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ings To Address" sheetId="1" r:id="rId5"/>
    <sheet state="visible" name="Accounts" sheetId="2" r:id="rId6"/>
    <sheet state="visible" name="CookieClicks" sheetId="3" r:id="rId7"/>
    <sheet state="visible" name="Day" sheetId="4" r:id="rId8"/>
    <sheet state="visible" name="Week" sheetId="5" r:id="rId9"/>
    <sheet state="visible" name="Month" sheetId="6" r:id="rId10"/>
    <sheet state="visible" name="ContentBuckets" sheetId="7" r:id="rId11"/>
    <sheet state="visible" name="SEO Trials" sheetId="8" r:id="rId12"/>
    <sheet state="visible" name="SEO Syncs" sheetId="9" r:id="rId13"/>
    <sheet state="visible" name="SEO Conversions" sheetId="10" r:id="rId14"/>
    <sheet state="visible" name="SEO Referrers" sheetId="11" r:id="rId15"/>
  </sheets>
  <definedNames>
    <definedName hidden="1" localSheetId="2" name="_xlnm._FilterDatabase">CookieClicks!$A$1:$AD$791</definedName>
  </definedNames>
  <calcPr/>
  <pivotCaches>
    <pivotCache cacheId="0" r:id="rId16"/>
    <pivotCache cacheId="1" r:id="rId17"/>
  </pivotCaches>
</workbook>
</file>

<file path=xl/sharedStrings.xml><?xml version="1.0" encoding="utf-8"?>
<sst xmlns="http://schemas.openxmlformats.org/spreadsheetml/2006/main" count="22257" uniqueCount="2858">
  <si>
    <t>Type</t>
  </si>
  <si>
    <t>Description</t>
  </si>
  <si>
    <t>PPC Cost</t>
  </si>
  <si>
    <t>You have paid clicks (CampaignAdjusted=Capterra,SplitAdjusted=capterra,KeyWord=GetApp) that have not been allocated a cost. Use the Tools menu to update costs.</t>
  </si>
  <si>
    <t>You have paid clicks (CampaignAdjusted=Capterra,SplitAdjusted=capterra,KeyWord=FreeTrial) that have not been allocated a cost. However, this looks invalid, as it came from a blank Referrer.</t>
  </si>
  <si>
    <t>You have paid clicks (CampaignAdjusted=Capterra,SplitAdjusted=Capterra_destinationURL,KeyWord=trial) that have not been allocated a cost. However, this looks invalid, as it came from a blank Referrer.</t>
  </si>
  <si>
    <t>You have paid clicks (CampaignAdjusted=Capterra,SplitAdjusted=Capterra_freetrial,KeyWord=CS) that have not been allocated a cost. However, this looks invalid, as it came from a blank Referrer.</t>
  </si>
  <si>
    <t>You have paid clicks (CampaignAdjusted=Capterra,SplitAdjusted=,KeyWord=crm-software) that have not been allocated a cost. However, this looks invalid, as it came from a blank Referrer.</t>
  </si>
  <si>
    <t>You have paid clicks (CampaignAdjusted=Capterra,SplitAdjusted=Proposals,KeyWord=LP) that have not been allocated a cost. Use the Tools menu to update costs.</t>
  </si>
  <si>
    <t>You have paid clicks (CampaignAdjusted=Capterra,SplitAdjusted=Capterra_destinationURL,KeyWord=capterra) that have not been allocated a cost. Use the Tools menu to update costs.</t>
  </si>
  <si>
    <t>You have paid clicks (CampaignAdjusted=Capterra,SplitAdjusted=ME,KeyWord=LP) that have not been allocated a cost. Use the Tools menu to update costs.</t>
  </si>
  <si>
    <t>You have paid clicks (CampaignAdjusted=Capterra,SplitAdjusted=Capterra_destinationURL,KeyWord=capterra) that have not been allocated a cost. However, this looks invalid, as it came from a blank Referrer.</t>
  </si>
  <si>
    <t>You have paid clicks (CampaignAdjusted=Capterra,SplitAdjusted=ME,KeyWord=LP) that have not been allocated a cost. However, this looks invalid, as it came from a blank Referrer.</t>
  </si>
  <si>
    <t>You have paid clicks (CampaignAdjusted=Capterra,SplitAdjusted=Proposals,KeyWord=LP) that have not been allocated a cost. However, this looks invalid, as it came from a blank Referrer.</t>
  </si>
  <si>
    <t>You have paid clicks (CampaignAdjusted=Capterra,SplitAdjusted=capterra,KeyWord=capterra) that have not been allocated a cost. Use the Tools menu to update costs.</t>
  </si>
  <si>
    <t>You have paid clicks (CampaignAdjusted=Capterra,SplitAdjusted=capterra,KeyWord=FSIndustry) that have not been allocated a cost. However, this looks invalid, as it came from a blank Referrer.</t>
  </si>
  <si>
    <t>You have paid clicks (CampaignAdjusted=Capterra,SplitAdjusted=capterra,KeyWord=FSIndustry) that have not been allocated a cost. Use the Tools menu to update costs.</t>
  </si>
  <si>
    <t>You have paid clicks (CampaignAdjusted=Capterra,SplitAdjusted=capterra,KeyWord=capterra) that have not been allocated a cost. However, this looks invalid, as it came from a blank Referrer.</t>
  </si>
  <si>
    <t>You have paid clicks (CampaignAdjusted=AdWords,SplitAdjusted=CAN-QB-G,KeyWord=quickbooks_crm_integration) that have not been allocated a cost. Use the Tools menu to update costs.</t>
  </si>
  <si>
    <t>You have paid clicks (CampaignAdjusted=AdWords,SplitAdjusted=CA_QB_G_sitelinks,KeyWord=quickbooks_crm_integration) that have not been allocated a cost. Use the Tools menu to update costs.</t>
  </si>
  <si>
    <t>You have paid clicks (CampaignAdjusted=AdWords,SplitAdjusted=USA-QB-G,KeyWord=crm_with_quickbooks) that have not been allocated a cost. Use the Tools menu to update costs.</t>
  </si>
  <si>
    <t>You have paid clicks (CampaignAdjusted=AdWords,SplitAdjusted=US-payment,KeyWord=quickbooks_payment_online) that have not been allocated a cost. However, this looks invalid, as it came from a blank Referrer.</t>
  </si>
  <si>
    <t>You have paid clicks (CampaignAdjusted=AdWords,SplitAdjusted=US-FS,KeyWord=field_service_quickbooks_crm) that have not been allocated a cost. However, this looks invalid, as it came from a blank Referrer.</t>
  </si>
  <si>
    <t>You have paid clicks (CampaignAdjusted=AdWords,SplitAdjusted=PMax-ME,KeyWord=KW-Insight) that have not been allocated a cost. However, this looks invalid, as it came from a blank Referrer.</t>
  </si>
  <si>
    <t>You have paid clicks (CampaignAdjusted=AdWords,SplitAdjusted=banner1,KeyWord=quickbooks_video_retargeting) that have not been allocated a cost. However, this looks invalid, as it came from a blank Referrer.</t>
  </si>
  <si>
    <t>You have paid clicks (CampaignAdjusted=AdWords,SplitAdjusted=US-New-Proposal,KeyWord=does_quickbooks_have_electronic_signature) that have not been allocated a cost. Use the Tools menu to update costs.</t>
  </si>
  <si>
    <t>You have paid clicks (CampaignAdjusted=AdWords,SplitAdjusted=USA-DSA-QB,KeyWord=DirectSEO) that have not been allocated a cost. Use the Tools menu to update costs.</t>
  </si>
  <si>
    <t>You have paid clicks (CampaignAdjusted=AdWords,SplitAdjusted=CAN-QB-G,KeyWord=crm_with_quickbooks) that have not been allocated a cost. Use the Tools menu to update costs.</t>
  </si>
  <si>
    <t>You have paid clicks (CampaignAdjusted=AdWords,SplitAdjusted=Sitelink,KeyWord=BFSale) that have not been allocated a cost. Use the Tools menu to update costs.</t>
  </si>
  <si>
    <t>You have paid clicks (CampaignAdjusted=AdWords,SplitAdjusted=banner1,KeyWord=quickbooks_video_retargeting) that have not been allocated a cost. Use the Tools menu to update costs.</t>
  </si>
  <si>
    <t>You have paid clicks (CampaignAdjusted=AdWords,SplitAdjusted=ME-Video,KeyWord=short) that have not been allocated a cost. Use the Tools menu to update costs.</t>
  </si>
  <si>
    <t>You have paid clicks (CampaignAdjusted=AdWords,SplitAdjusted=PMax-FS,KeyWord=PMax) that have not been allocated a cost. However, this looks invalid, as it came from a blank Referrer.</t>
  </si>
  <si>
    <t>You have paid clicks (CampaignAdjusted=AdWords,SplitAdjusted=US-payment,KeyWord=quickbooks_online_payment) that have not been allocated a cost. Use the Tools menu to update costs.</t>
  </si>
  <si>
    <t>You have paid clicks (CampaignAdjusted=AdWords,SplitAdjusted=CA-PMax,KeyWord=DirectSEO) that have not been allocated a cost. However, this looks invalid, as it came from a blank Referrer.</t>
  </si>
  <si>
    <t>You have paid clicks (CampaignAdjusted=AdWords,SplitAdjusted=US-payment,KeyWord=quickbooks_online_payment_processing) that have not been allocated a cost. Use the Tools menu to update costs.</t>
  </si>
  <si>
    <t>You have paid clicks (CampaignAdjusted=AdWords,SplitAdjusted=ConvertedKW,KeyWord=integrate_with_quickbooks) that have not been allocated a cost. Use the Tools menu to update costs.</t>
  </si>
  <si>
    <t>You have paid clicks (CampaignAdjusted=AdWords,SplitAdjusted=US-Customization,KeyWord=qbo_customize_dashboard) that have not been allocated a cost. Use the Tools menu to update costs.</t>
  </si>
  <si>
    <t>You have paid clicks (CampaignAdjusted=AdWords,SplitAdjusted=US-Multi-entity,KeyWord=multiple_quickbooks_accounts) that have not been allocated a cost. Use the Tools menu to update costs.</t>
  </si>
  <si>
    <t>You have paid clicks (CampaignAdjusted=AdWords,SplitAdjusted=CA-PMax,KeyWord=DirectSEO) that have not been allocated a cost. Use the Tools menu to update costs.</t>
  </si>
  <si>
    <t>You have paid clicks (CampaignAdjusted=AdWords,SplitAdjusted=CA-PMax-SL,KeyWord=DirectSEO) that have not been allocated a cost. However, this looks invalid, as it came from a blank Referrer.</t>
  </si>
  <si>
    <t>You have paid clicks (CampaignAdjusted=AdWords,SplitAdjusted=US-Multi-entity,KeyWord=quickbooks_multi_entity_consolidation) that have not been allocated a cost. Use the Tools menu to update costs.</t>
  </si>
  <si>
    <t>You have paid clicks (CampaignAdjusted=AdWords,SplitAdjusted=US-QBEstimates,KeyWord=quickbook_estimate) that have not been allocated a cost. Use the Tools menu to update costs.</t>
  </si>
  <si>
    <t>You have paid clicks (CampaignAdjusted=AdWords,SplitAdjusted=USA-QB-G_Ex,KeyWord=quickbooks_crm) that have not been allocated a cost. Use the Tools menu to update costs.</t>
  </si>
  <si>
    <t>You have paid clicks (CampaignAdjusted=AdWords,SplitAdjusted=US-Multi-entity,KeyWord=can_i_use_quickbooks_for_multiple_businesses) that have not been allocated a cost. Use the Tools menu to update costs.</t>
  </si>
  <si>
    <t>You have paid clicks (CampaignAdjusted=AdWords,SplitAdjusted=US-Multi-entity,KeyWord=DirectSEO) that have not been allocated a cost. Use the Tools menu to update costs.</t>
  </si>
  <si>
    <t>You have paid clicks (CampaignAdjusted=AdWords,SplitAdjusted=US-QBEstimates,KeyWord=quickbooks_quoting_software) that have not been allocated a cost. Use the Tools menu to update costs.</t>
  </si>
  <si>
    <t>You have paid clicks (CampaignAdjusted=AdWords,SplitAdjusted=USA-DSA-QB,KeyWord=DirectSEO) that have not been allocated a cost. However, this looks invalid, as it came from a blank Referrer.</t>
  </si>
  <si>
    <t>You have paid clicks (CampaignAdjusted=AdWords,SplitAdjusted=US-New-Proposal,KeyWord=quickbooks_online_proposals) that have not been allocated a cost. Use the Tools menu to update costs.</t>
  </si>
  <si>
    <t>You have paid clicks (CampaignAdjusted=AdWords,SplitAdjusted=PMax-ME,KeyWord=KW-Insight) that have not been allocated a cost. Use the Tools menu to update costs.</t>
  </si>
  <si>
    <t>You have paid clicks (CampaignAdjusted=AdWords,SplitAdjusted=US-QBInt-Ex,KeyWord=crm_integrates_with_quickbooks) that have not been allocated a cost. Use the Tools menu to update costs.</t>
  </si>
  <si>
    <t>You have paid clicks (CampaignAdjusted=AdWords,SplitAdjusted=USA-QB-G_Ex,KeyWord=crm_that_works_with_quickbooks) that have not been allocated a cost. Use the Tools menu to update costs.</t>
  </si>
  <si>
    <t>You have paid clicks (CampaignAdjusted=AdWords,SplitAdjusted=US-WorkOrder,KeyWord=quickbooks_work_order_management) that have not been allocated a cost. Use the Tools menu to update costs.</t>
  </si>
  <si>
    <t>You have paid clicks (CampaignAdjusted=AdWords,SplitAdjusted=US-QBInt-Ex,KeyWord=crm_integration_with_quickbooks_online) that have not been allocated a cost. Use the Tools menu to update costs.</t>
  </si>
  <si>
    <t>You have paid clicks (CampaignAdjusted=AdWords,SplitAdjusted=US-QBInt-Ex,KeyWord=crm_integration_with_quickbooks_online) that have not been allocated a cost. However, this looks invalid, as it came from a blank Referrer.</t>
  </si>
  <si>
    <t>You have paid clicks (CampaignAdjusted=AdWords,SplitAdjusted=US-QBEstimates,KeyWord=how_to_do_estimates_on_quickbooks) that have not been allocated a cost. Use the Tools menu to update costs.</t>
  </si>
  <si>
    <t>You have paid clicks (CampaignAdjusted=AdWords,SplitAdjusted=US-Multi-entity,KeyWord=multi-account_crm) that have not been allocated a cost. Use the Tools menu to update costs.</t>
  </si>
  <si>
    <t>You have paid clicks (CampaignAdjusted=AdWords,SplitAdjusted=ME-Video,KeyWord=short) that have not been allocated a cost. However, this looks invalid, as it came from a blank Referrer.</t>
  </si>
  <si>
    <t>You have paid clicks (CampaignAdjusted=AdWords,SplitAdjusted=US-Customization,KeyWord=quickbooks_invoice_customization) that have not been allocated a cost. Use the Tools menu to update costs.</t>
  </si>
  <si>
    <t>You have paid clicks (CampaignAdjusted=AdWords,SplitAdjusted=CAN-QB-G,KeyWord=crm_quickbooks_online) that have not been allocated a cost. Use the Tools menu to update costs.</t>
  </si>
  <si>
    <t>You have paid clicks (CampaignAdjusted=AdWords,SplitAdjusted=US-QBInt-Ex,KeyWord=best_crm_that_integrates_with_quickbooks_online) that have not been allocated a cost. Use the Tools menu to update costs.</t>
  </si>
  <si>
    <t>You have paid clicks (CampaignAdjusted=AdWords,SplitAdjusted=USA-QB-G_Ex,KeyWord=crm_that_integrates_with_quickbooks) that have not been allocated a cost. Use the Tools menu to update costs.</t>
  </si>
  <si>
    <t>You have paid clicks (CampaignAdjusted=AdWords,SplitAdjusted=US-payment,KeyWord=quickbooks_online_payment_fees) that have not been allocated a cost. Use the Tools menu to update costs.</t>
  </si>
  <si>
    <t>You have paid clicks (CampaignAdjusted=AdWords,SplitAdjusted=US-ERP,KeyWord=DirectSEO) that have not been allocated a cost. However, this looks invalid, as it came from a blank Referrer.</t>
  </si>
  <si>
    <t>You have paid clicks (CampaignAdjusted=AdWords,SplitAdjusted=say_yes,KeyWord=quickbooks_awareness) that have not been allocated a cost. However, this looks invalid, as it came from a blank Referrer.</t>
  </si>
  <si>
    <t>You have paid clicks (CampaignAdjusted=AdWords,SplitAdjusted=US-payment,KeyWord=quickbooks_cc_processing) that have not been allocated a cost. Use the Tools menu to update costs.</t>
  </si>
  <si>
    <t>You have paid clicks (CampaignAdjusted=AdWords,SplitAdjusted=US-WorkOrder,KeyWord=work_orders_in_quickbooks) that have not been allocated a cost. Use the Tools menu to update costs.</t>
  </si>
  <si>
    <t>You have paid clicks (CampaignAdjusted=AdWords,SplitAdjusted=US-QBInt-Ex,KeyWord=integrate_with_quickbooks_desktop) that have not been allocated a cost. Use the Tools menu to update costs.</t>
  </si>
  <si>
    <t>You have paid clicks (CampaignAdjusted=AdWords,SplitAdjusted=PMax-FS,KeyWord=PMax) that have not been allocated a cost. Use the Tools menu to update costs.</t>
  </si>
  <si>
    <t>You have paid clicks (CampaignAdjusted=AdWords,SplitAdjusted=US-payment,KeyWord=quickbooks_payment_processor) that have not been allocated a cost. Use the Tools menu to update costs.</t>
  </si>
  <si>
    <t>You have paid clicks (CampaignAdjusted=AdWords,SplitAdjusted=ConvertedKW,KeyWord=DirectSEO) that have not been allocated a cost. Use the Tools menu to update costs.</t>
  </si>
  <si>
    <t>You have paid clicks (CampaignAdjusted=AdWords,SplitAdjusted=US-payment,KeyWord=quickbooks_credit_card_processing) that have not been allocated a cost. Use the Tools menu to update costs.</t>
  </si>
  <si>
    <t>You have paid clicks (CampaignAdjusted=AdWords,SplitAdjusted=US-Customization,KeyWord=quickbooks_custom_reports) that have not been allocated a cost. Use the Tools menu to update costs.</t>
  </si>
  <si>
    <t>You have paid clicks (CampaignAdjusted=AdWords,SplitAdjusted=say_yes,KeyWord=quickbooks_awareness) that have not been allocated a cost. Use the Tools menu to update costs.</t>
  </si>
  <si>
    <t>You have paid clicks (CampaignAdjusted=AdWords,SplitAdjusted=PMax-ME-SL,KeyWord=DirectSEO) that have not been allocated a cost. However, this looks invalid, as it came from a blank Referrer.</t>
  </si>
  <si>
    <t>You have paid clicks (CampaignAdjusted=AdWords,SplitAdjusted=CA-QB-D,KeyWord=crm_for_quickbooks_desktop) that have not been allocated a cost. However, this looks invalid, as it came from a blank Referrer.</t>
  </si>
  <si>
    <t>You have paid clicks (CampaignAdjusted=AdWords,SplitAdjusted=US-Multi-entity,KeyWord=best_crm_for_multiple_businesses) that have not been allocated a cost. Use the Tools menu to update costs.</t>
  </si>
  <si>
    <t>You have paid clicks (CampaignAdjusted=AdWords,SplitAdjusted=CAN-QB-G,KeyWord=crm_with_quickbooks) that have not been allocated a cost. However, this looks invalid, as it came from a blank Referrer.</t>
  </si>
  <si>
    <t>You have paid clicks (CampaignAdjusted=AdWords,SplitAdjusted=USA-QB-G_Ex,KeyWord=qbo_crm_integration) that have not been allocated a cost. Use the Tools menu to update costs.</t>
  </si>
  <si>
    <t>You have paid clicks (CampaignAdjusted=AdWords,SplitAdjusted=US-QBEstimates,KeyWord=create_quotes_in_quickbooks) that have not been allocated a cost. Use the Tools menu to update costs.</t>
  </si>
  <si>
    <t>You have paid clicks (CampaignAdjusted=AdWords,SplitAdjusted=USA-QB-G_Ex,KeyWord=crm_integration_with_quickbooks) that have not been allocated a cost. Use the Tools menu to update costs.</t>
  </si>
  <si>
    <t>You have paid clicks (CampaignAdjusted=AdWords,SplitAdjusted=CA_QB_G_sitelinks,KeyWord=crm_with_quickbooks) that have not been allocated a cost. Use the Tools menu to update costs.</t>
  </si>
  <si>
    <t>You have paid clicks (CampaignAdjusted=AdWords,SplitAdjusted=US-QBEstimates,KeyWord=creating_invoices_in_quickbooks_online) that have not been allocated a cost. Use the Tools menu to update costs.</t>
  </si>
  <si>
    <t>You have paid clicks (CampaignAdjusted=AdWords,SplitAdjusted=US-Customization,KeyWord=custom_reports_quickbooks_online) that have not been allocated a cost. Use the Tools menu to update costs.</t>
  </si>
  <si>
    <t>You have paid clicks (CampaignAdjusted=AdWords,SplitAdjusted=US-Customization,KeyWord=custom_quickbooks_invoice_template) that have not been allocated a cost. Use the Tools menu to update costs.</t>
  </si>
  <si>
    <t>You have paid clicks (CampaignAdjusted=AdWords,SplitAdjusted=CA-Customization,KeyWord=quickbooks_customization) that have not been allocated a cost. Use the Tools menu to update costs.</t>
  </si>
  <si>
    <t>You have paid clicks (CampaignAdjusted=AdWords,SplitAdjusted=US-Customization,KeyWord=creating_invoices_in_quickbooks_desktop) that have not been allocated a cost. Use the Tools menu to update costs.</t>
  </si>
  <si>
    <t>You have paid clicks (CampaignAdjusted=AdWords,SplitAdjusted=US-Features-SL,KeyWord=quickbooks_online_payment) that have not been allocated a cost. Use the Tools menu to update costs.</t>
  </si>
  <si>
    <t>You have paid clicks (CampaignAdjusted=AdWords,SplitAdjusted=US-QBInt-Ex,KeyWord=DirectSEO) that have not been allocated a cost. Use the Tools menu to update costs.</t>
  </si>
  <si>
    <t>You have paid clicks (CampaignAdjusted=AdWords,SplitAdjusted=PMax-MWD,KeyWord=MWD) that have not been allocated a cost. However, this looks invalid, as it came from a blank Referrer.</t>
  </si>
  <si>
    <t>You have paid clicks (CampaignAdjusted=AdWords,SplitAdjusted=CAN-QB-G,KeyWord=quickbooks_crm_integration) that have not been allocated a cost. However, this looks invalid, as it came from a blank Referrer.</t>
  </si>
  <si>
    <t>You have paid clicks (CampaignAdjusted=AdWords,SplitAdjusted=USA-QB-G,KeyWord=crm_with_quickbooks) that have not been allocated a cost. However, this looks invalid, as it came from a blank Referrer.</t>
  </si>
  <si>
    <t>You have paid clicks (CampaignAdjusted=AdWords,SplitAdjusted=USA-QB-G_Ex,KeyWord=crm_for_quickbooks_online) that have not been allocated a cost. Use the Tools menu to update costs.</t>
  </si>
  <si>
    <t>You have paid clicks (CampaignAdjusted=AdWords,SplitAdjusted=US-New-Proposal,KeyWord=how_to_add_signature_in_quickbooks_online) that have not been allocated a cost. Use the Tools menu to update costs.</t>
  </si>
  <si>
    <t>You have paid clicks (CampaignAdjusted=AdWords,SplitAdjusted=G2,KeyWord=freetrial) that have not been allocated a cost. Use the Tools menu to update costs.</t>
  </si>
  <si>
    <t>You have paid clicks (CampaignAdjusted=AdWords,SplitAdjusted=US-QBEstimates,KeyWord=creating_estimates_in_quickbooks) that have not been allocated a cost. Use the Tools menu to update costs.</t>
  </si>
  <si>
    <t>You have paid clicks (CampaignAdjusted=AdWords,SplitAdjusted=CA-Customization,KeyWord=qbo_customize_invoice) that have not been allocated a cost. Use the Tools menu to update costs.</t>
  </si>
  <si>
    <t>You have paid clicks (CampaignAdjusted=AdWords,SplitAdjusted=USA-QB-G_Ex,KeyWord=best_crm_for_quickbooks) that have not been allocated a cost. Use the Tools menu to update costs.</t>
  </si>
  <si>
    <t>You have paid clicks (CampaignAdjusted=AdWords,SplitAdjusted=US-Multi-entity,KeyWord=crm_for_franchise_operations) that have not been allocated a cost. Use the Tools menu to update costs.</t>
  </si>
  <si>
    <t>You have paid clicks (CampaignAdjusted=AdWords,SplitAdjusted=US-QBEstimates,KeyWord=quickbooks_quote) that have not been allocated a cost. Use the Tools menu to update costs.</t>
  </si>
  <si>
    <t>You have paid clicks (CampaignAdjusted=AdWords,SplitAdjusted=US-Multi-entity,KeyWord=crm_intuit_enterprise_suite) that have not been allocated a cost. Use the Tools menu to update costs.</t>
  </si>
  <si>
    <t>You have paid clicks (CampaignAdjusted=AdWords,SplitAdjusted=US_QB_sitelinks,KeyWord=crm_with_quickbooks) that have not been allocated a cost. Use the Tools menu to update costs.</t>
  </si>
  <si>
    <t>You have paid clicks (CampaignAdjusted=AdWords,SplitAdjusted=USA-QB-G_Ex,KeyWord=keyword) that have not been allocated a cost. Use the Tools menu to update costs.</t>
  </si>
  <si>
    <t>You have paid clicks (CampaignAdjusted=AdWords,SplitAdjusted=US-QBInt-Ex,KeyWord=crm_integration_with_quickbooks) that have not been allocated a cost. Use the Tools menu to update costs.</t>
  </si>
  <si>
    <t>You have paid clicks (CampaignAdjusted=AdWords,SplitAdjusted=USA-QB-G_Ex,KeyWord=qbo_crm_integration) that have not been allocated a cost. However, this looks invalid, as it came from a blank Referrer.</t>
  </si>
  <si>
    <t>You have paid clicks (CampaignAdjusted=AdWords,SplitAdjusted=USA-QB-G_Ex,KeyWord=crm_quickbooks_online_integration) that have not been allocated a cost. Use the Tools menu to update costs.</t>
  </si>
  <si>
    <t>You have paid clicks (CampaignAdjusted=AdWords,SplitAdjusted=Sitelink,KeyWord=WHSale) that have not been allocated a cost. Use the Tools menu to update costs.</t>
  </si>
  <si>
    <t>You have paid clicks (CampaignAdjusted=AdWords,SplitAdjusted=US-Customization,KeyWord=qbo_customize_invoice) that have not been allocated a cost. Use the Tools menu to update costs.</t>
  </si>
  <si>
    <t>You have paid clicks (CampaignAdjusted=AdWords,SplitAdjusted=US-PMax,KeyWord=DirectSEO) that have not been allocated a cost. Use the Tools menu to update costs.</t>
  </si>
  <si>
    <t>You have paid clicks (CampaignAdjusted=AdWords,SplitAdjusted=US-New-Proposal,KeyWord=quickbooks_online_proposals) that have not been allocated a cost. However, this looks invalid, as it came from a blank Referrer.</t>
  </si>
  <si>
    <t>You have paid clicks (CampaignAdjusted=AdWords,SplitAdjusted=PMax-ME-SL,KeyWord=DirectSEO) that have not been allocated a cost. Use the Tools menu to update costs.</t>
  </si>
  <si>
    <t>You have paid clicks (CampaignAdjusted=AdWords,SplitAdjusted=CA-Customization,KeyWord=creating_invoices_in_quickbooks_desktop) that have not been allocated a cost. Use the Tools menu to update costs.</t>
  </si>
  <si>
    <t>You have paid clicks (CampaignAdjusted=AdWords,SplitAdjusted=US-PMax-Awareness,KeyWord=Retargeting) that have not been allocated a cost. Use the Tools menu to update costs.</t>
  </si>
  <si>
    <t>You have paid clicks (CampaignAdjusted=AdWords,SplitAdjusted=US-ERP,KeyWord=DirectSEO) that have not been allocated a cost. Use the Tools menu to update costs.</t>
  </si>
  <si>
    <t>You have paid clicks (CampaignAdjusted=AdWords,SplitAdjusted=US-Multi-entity,KeyWord=crm_quickbooks_enterprise_suite) that have not been allocated a cost. However, this looks invalid, as it came from a blank Referrer.</t>
  </si>
  <si>
    <t>You have paid clicks (CampaignAdjusted=AdWords,SplitAdjusted=USA-QB-G_Ex,KeyWord=DirectSEO) that have not been allocated a cost. Use the Tools menu to update costs.</t>
  </si>
  <si>
    <t>You have paid clicks (CampaignAdjusted=AdWords,SplitAdjusted=US-New-Proposal,KeyWord=quickbooks_engagement_letter) that have not been allocated a cost. Use the Tools menu to update costs.</t>
  </si>
  <si>
    <t>You have paid clicks (CampaignAdjusted=AdWords,SplitAdjusted=CAN-QB-G,KeyWord=crm_with_quickbooks_online_integration) that have not been allocated a cost. Use the Tools menu to update costs.</t>
  </si>
  <si>
    <t>You have paid clicks (CampaignAdjusted=AdWords,SplitAdjusted=US-SupplyChain,KeyWord=quickbooks_supply_chain) that have not been allocated a cost. Use the Tools menu to update costs.</t>
  </si>
  <si>
    <t>You have paid clicks (CampaignAdjusted=AdWords,SplitAdjusted=USA-DSA,KeyWord=DirectSEO) that have not been allocated a cost. Use the Tools menu to update costs.</t>
  </si>
  <si>
    <t>You have paid clicks (CampaignAdjusted=AdWords,SplitAdjusted=US-Scheduling,KeyWord=scheduling_software_that_works_with_quickbooks) that have not been allocated a cost. Use the Tools menu to update costs.</t>
  </si>
  <si>
    <t>You have paid clicks (CampaignAdjusted=AdWords,SplitAdjusted=CA-QB-D,KeyWord=crm_for_quickbooks_desktop) that have not been allocated a cost. Use the Tools menu to update costs.</t>
  </si>
  <si>
    <t>You have paid clicks (CampaignAdjusted=AdWords,SplitAdjusted=US-FS-PMax,KeyWord=DirectSEO) that have not been allocated a cost. Use the Tools menu to update costs.</t>
  </si>
  <si>
    <t>You have paid clicks (CampaignAdjusted=AdWords,SplitAdjusted=USA-DSA,KeyWord=DirectSEO) that have not been allocated a cost. However, this looks invalid, as it came from a blank Referrer.</t>
  </si>
  <si>
    <t>You have paid clicks (CampaignAdjusted=AdWords,SplitAdjusted=PMax-weekend,KeyWord=DirectSEO) that have not been allocated a cost. However, this looks invalid, as it came from a blank Referrer.</t>
  </si>
  <si>
    <t>You have paid clicks (CampaignAdjusted=AdWords,SplitAdjusted=US-QBInvoices,KeyWord=invoicing_software_that_integrates_with_quickbooks) that have not been allocated a cost. Use the Tools menu to update costs.</t>
  </si>
  <si>
    <t>You have paid clicks (CampaignAdjusted=AdWords,SplitAdjusted=CA-Customization,KeyWord=quickbooks_invoice_customization) that have not been allocated a cost. Use the Tools menu to update costs.</t>
  </si>
  <si>
    <t>You have paid clicks (CampaignAdjusted=AdWords,SplitAdjusted=PMax-weekend,KeyWord=DirectSEO) that have not been allocated a cost. Use the Tools menu to update costs.</t>
  </si>
  <si>
    <t>You have paid clicks (CampaignAdjusted=AdWords,SplitAdjusted=US-QBInt-Ex,KeyWord=integrate_with_quickbooks) that have not been allocated a cost. Use the Tools menu to update costs.</t>
  </si>
  <si>
    <t>You have paid clicks (CampaignAdjusted=AdWords,SplitAdjusted=US_Ext_QB_Int_sitelinks,KeyWord=integrate_with_quickbooks) that have not been allocated a cost. Use the Tools menu to update costs.</t>
  </si>
  <si>
    <t>You have paid clicks (CampaignAdjusted=AdWords,SplitAdjusted=US-payment,KeyWord=intuit_quickbooks_credit_card_processing) that have not been allocated a cost. Use the Tools menu to update costs.</t>
  </si>
  <si>
    <t>You have paid clicks (CampaignAdjusted=AdWords,SplitAdjusted=US-Multi-entity,KeyWord=multi_entity_consolidation) that have not been allocated a cost. Use the Tools menu to update costs.</t>
  </si>
  <si>
    <t>You have paid clicks (CampaignAdjusted=AdWords,SplitAdjusted=blog,KeyWord=DirectSEO) that have not been allocated a cost. Use the Tools menu to update costs.</t>
  </si>
  <si>
    <t>You have paid clicks (CampaignAdjusted=AdWords,SplitAdjusted=CA-Customization,KeyWord=invoice_template_in_quickbooks_online) that have not been allocated a cost. Use the Tools menu to update costs.</t>
  </si>
  <si>
    <t>You have paid clicks (CampaignAdjusted=AdWords,SplitAdjusted=PMax-MWD,KeyWord=MWD) that have not been allocated a cost. Use the Tools menu to update costs.</t>
  </si>
  <si>
    <t>You have paid clicks (CampaignAdjusted=AdWords,SplitAdjusted=PMax-ERP,KeyWord=DirectSEO) that have not been allocated a cost. Use the Tools menu to update costs.</t>
  </si>
  <si>
    <t>You have paid clicks (CampaignAdjusted=AdWords,SplitAdjusted=USA-QB-G_Ex,KeyWord=crm_for_quickbooks) that have not been allocated a cost. Use the Tools menu to update costs.</t>
  </si>
  <si>
    <t>You have paid clicks (CampaignAdjusted=AdWords,SplitAdjusted=US-QBEstimates,KeyWord=quickbooks_quote) that have not been allocated a cost. However, this looks invalid, as it came from a blank Referrer.</t>
  </si>
  <si>
    <t>You have paid clicks (CampaignAdjusted=AdWords,SplitAdjusted=US-payment,KeyWord=how_to_set_up_credit_card_payments_in_quickbooks) that have not been allocated a cost. Use the Tools menu to update costs.</t>
  </si>
  <si>
    <t>You have paid clicks (CampaignAdjusted=AdWords,SplitAdjusted=CRMOrg,KeyWord=DirectSEO) that have not been allocated a cost. However, this looks invalid, as it came from a blank Referrer.</t>
  </si>
  <si>
    <t>You have paid clicks (CampaignAdjusted=AdWords,SplitAdjusted=US-QBInt-Ex,KeyWord=integrate_with_quickbooks) that have not been allocated a cost. However, this looks invalid, as it came from a blank Referrer.</t>
  </si>
  <si>
    <t>You have paid clicks (CampaignAdjusted=AdWords,SplitAdjusted=banner1,KeyWord=me_retargeting) that have not been allocated a cost. Use the Tools menu to update costs.</t>
  </si>
  <si>
    <t>You have paid clicks (CampaignAdjusted=AdWords,SplitAdjusted=PMax-FS,KeyWord=DirectSEO) that have not been allocated a cost. However, this looks invalid, as it came from a blank Referrer.</t>
  </si>
  <si>
    <t>You have paid clicks (CampaignAdjusted=AdWords,SplitAdjusted=US-New-Proposal,KeyWord=does_quickbooks_have_electronic_signature) that have not been allocated a cost. However, this looks invalid, as it came from a blank Referrer.</t>
  </si>
  <si>
    <t>You have paid clicks (CampaignAdjusted=AdWords,SplitAdjusted=banner1,KeyWord=me_retargeting) that have not been allocated a cost. However, this looks invalid, as it came from a blank Referrer.</t>
  </si>
  <si>
    <t>You have paid clicks (CampaignAdjusted=AdWords,SplitAdjusted=USA-DSA-IND,KeyWord=DirectSEO) that have not been allocated a cost. Use the Tools menu to update costs.</t>
  </si>
  <si>
    <t>You have paid clicks (CampaignAdjusted=AdWords,SplitAdjusted=US-PMax,KeyWord=DirectSEO) that have not been allocated a cost. However, this looks invalid, as it came from a blank Referrer.</t>
  </si>
  <si>
    <t>You have paid clicks (CampaignAdjusted=AdWords,SplitAdjusted=US-Multi-entity,KeyWord=how_to_have_two_companies_in_quickbooks) that have not been allocated a cost. Use the Tools menu to update costs.</t>
  </si>
  <si>
    <t>You have paid clicks (CampaignAdjusted=AdWords,SplitAdjusted=USA-QB-G_Ex,KeyWord=crm_works_with_quickbooks) that have not been allocated a cost. Use the Tools menu to update costs.</t>
  </si>
  <si>
    <t>You have paid clicks (CampaignAdjusted=AdWords,SplitAdjusted=US-Multi-entity,KeyWord=consolidated_financial_reporting_quickbooks) that have not been allocated a cost. Use the Tools menu to update costs.</t>
  </si>
  <si>
    <t>You have paid clicks (CampaignAdjusted=AdWords,SplitAdjusted=US-Multi-entity,KeyWord=crm_quickbooks_enterprise_suite) that have not been allocated a cost. Use the Tools menu to update costs.</t>
  </si>
  <si>
    <t>You have paid clicks (CampaignAdjusted=AdWords,SplitAdjusted=USA-QB-G_Ex,KeyWord=crm_works_with_quickbooks) that have not been allocated a cost. However, this looks invalid, as it came from a blank Referrer.</t>
  </si>
  <si>
    <t>You have paid clicks (CampaignAdjusted=AdWords,SplitAdjusted=US-Multi-entity,KeyWord=quickbooks_for_multiple_businesses) that have not been allocated a cost. Use the Tools menu to update costs.</t>
  </si>
  <si>
    <t>You have paid clicks (CampaignAdjusted=AdWords,SplitAdjusted=US-payment,KeyWord=DirectSEO) that have not been allocated a cost. Use the Tools menu to update costs.</t>
  </si>
  <si>
    <t>You have paid clicks (CampaignAdjusted=AdWords,SplitAdjusted=US-payment,KeyWord=quickbooks_online_payment_processing) that have not been allocated a cost. However, this looks invalid, as it came from a blank Referrer.</t>
  </si>
  <si>
    <t>You have paid clicks (CampaignAdjusted=AdWords,SplitAdjusted=US-FS,KeyWord=field_service_quickbooks_crm) that have not been allocated a cost. Use the Tools menu to update costs.</t>
  </si>
  <si>
    <t>You have paid clicks (CampaignAdjusted=AdWords,SplitAdjusted=A2is_freedemo,KeyWord=DirectSEO) that have not been allocated a cost. Use the Tools menu to update costs.</t>
  </si>
  <si>
    <t>You have paid clicks (CampaignAdjusted=AdWords,SplitAdjusted=US-QBEstimates,KeyWord=create_quotes_in_quickbooks) that have not been allocated a cost. However, this looks invalid, as it came from a blank Referrer.</t>
  </si>
  <si>
    <t>You have paid clicks (CampaignAdjusted=AdWords,SplitAdjusted=US-PMax-SL,KeyWord=DirectSEO) that have not been allocated a cost. Use the Tools menu to update costs.</t>
  </si>
  <si>
    <t>You have paid clicks (CampaignAdjusted=AdWords,SplitAdjusted=US-PMax-Awareness,KeyWord=Retargeting) that have not been allocated a cost. However, this looks invalid, as it came from a blank Referrer.</t>
  </si>
  <si>
    <t>You have paid clicks (CampaignAdjusted=AdWords,SplitAdjusted=CA-PMax-SL,KeyWord=DirectSEO) that have not been allocated a cost. Use the Tools menu to update costs.</t>
  </si>
  <si>
    <t>You have paid clicks (CampaignAdjusted=AdWords,SplitAdjusted=CA-Customization,KeyWord=quickbooks_invoice_customization) that have not been allocated a cost. However, this looks invalid, as it came from a blank Referrer.</t>
  </si>
  <si>
    <t>You have paid clicks (CampaignAdjusted=AdWords,SplitAdjusted=CAN-QB-G,KeyWord=quickbooks_online_payment_processing) that have not been allocated a cost. Use the Tools menu to update costs.</t>
  </si>
  <si>
    <t>You have paid clicks (CampaignAdjusted=AdWords,SplitAdjusted=CAN-QB-G,KeyWord=quickbooks_and_crm) that have not been allocated a cost. Use the Tools menu to update costs.</t>
  </si>
  <si>
    <t>You have paid clicks (CampaignAdjusted=AdWords,SplitAdjusted=US-Multi-entity,KeyWord=how_to_add_another_business_to_quickbooks) that have not been allocated a cost. Use the Tools menu to update costs.</t>
  </si>
  <si>
    <t>You have paid clicks (CampaignAdjusted=AdWords,SplitAdjusted=US-QBInvoices,KeyWord=quickbooks_invoice_software) that have not been allocated a cost. Use the Tools menu to update costs.</t>
  </si>
  <si>
    <t>You have paid clicks (CampaignAdjusted=AdWords,SplitAdjusted=a2is,KeyWord=FSIndustry) that have not been allocated a cost. Use the Tools menu to update costs.</t>
  </si>
  <si>
    <t>You have paid clicks (CampaignAdjusted=AdWords,SplitAdjusted=US-QBInvoices,KeyWord=creating_invoices_in_quickbooks_online) that have not been allocated a cost. Use the Tools menu to update costs.</t>
  </si>
  <si>
    <t>You have paid clicks (CampaignAdjusted=AdWords,SplitAdjusted=US-QBInt-Ex,KeyWord=best_crm_that_integrates_with_quickbooks_online) that have not been allocated a cost. However, this looks invalid, as it came from a blank Referrer.</t>
  </si>
  <si>
    <t>You have paid clicks (CampaignAdjusted=AdWords,SplitAdjusted=US-PMax-SL,KeyWord=DirectSEO) that have not been allocated a cost. However, this looks invalid, as it came from a blank Referrer.</t>
  </si>
  <si>
    <t>You have paid clicks (CampaignAdjusted=AdWords,SplitAdjusted=A2is_freetrial,KeyWord=DirectSEO) that have not been allocated a cost. Use the Tools menu to update costs.</t>
  </si>
  <si>
    <t>You have paid clicks (CampaignAdjusted=AdWords,SplitAdjusted=PreSale-SL,KeyWord=crm_with_quickbooks) that have not been allocated a cost. Use the Tools menu to update costs.</t>
  </si>
  <si>
    <t>You have paid clicks (CampaignAdjusted=AdWords,SplitAdjusted=CAN-QB-G,KeyWord=crm_compatible_with_quickbooks) that have not been allocated a cost. Use the Tools menu to update costs.</t>
  </si>
  <si>
    <t>You have paid clicks (CampaignAdjusted=AdWords,SplitAdjusted=US-Multi-entity,KeyWord=multi_entity_management) that have not been allocated a cost. Use the Tools menu to update costs.</t>
  </si>
  <si>
    <t>You have paid clicks (CampaignAdjusted=AdWords,SplitAdjusted=USA-QB-G_Ex,KeyWord=quickbooks_app_features) that have not been allocated a cost. Use the Tools menu to update costs.</t>
  </si>
  <si>
    <t>You have paid clicks (CampaignAdjusted=AdWords,SplitAdjusted=US_Ext_QB_Int_sitelinks,KeyWord=crm_integrates_with_quickbooks) that have not been allocated a cost. Use the Tools menu to update costs.</t>
  </si>
  <si>
    <t>You have paid clicks (CampaignAdjusted=AdWords,SplitAdjusted=US-QB-sitelink,KeyWord=crm_with_quickbooks) that have not been allocated a cost. Use the Tools menu to update costs.</t>
  </si>
  <si>
    <t>You have paid clicks (CampaignAdjusted=AdWords,SplitAdjusted=USA-QB-G_Ex,KeyWord=integrate_with_quickbooks) that have not been allocated a cost. Use the Tools menu to update costs.</t>
  </si>
  <si>
    <t>You have paid clicks (CampaignAdjusted=AdWords,SplitAdjusted=US-QBEstimates,KeyWord=create_a_quote_in_quickbooks) that have not been allocated a cost. Use the Tools menu to update costs.</t>
  </si>
  <si>
    <t>You have paid clicks (CampaignAdjusted=AdWords,SplitAdjusted=USA-QB-G_Ex,KeyWord=crm_with_quickbooks_online_integration) that have not been allocated a cost. Use the Tools menu to update costs.</t>
  </si>
  <si>
    <t>You have paid clicks (CampaignAdjusted=AdWords,SplitAdjusted=US-payment,KeyWord=credit_card_processing_that_works_with_quickbooks) that have not been allocated a cost. Use the Tools menu to update costs.</t>
  </si>
  <si>
    <t>You have paid clicks (CampaignAdjusted=AdWords,SplitAdjusted=USA-QB-G_Ex,KeyWord=integrate_with_quickbooks_desktop) that have not been allocated a cost. Use the Tools menu to update costs.</t>
  </si>
  <si>
    <t>You have paid clicks (CampaignAdjusted=AdWords,SplitAdjusted=CRMOrg,KeyWord=DirectSEO) that have not been allocated a cost. Use the Tools menu to update costs.</t>
  </si>
  <si>
    <t>You have paid clicks (CampaignAdjusted=AdWords,SplitAdjusted=USA-QB-G_Ex,KeyWord=quickbooks_app_features) that have not been allocated a cost. However, this looks invalid, as it came from a blank Referrer.</t>
  </si>
  <si>
    <t>You have paid clicks (CampaignAdjusted=AdWords,SplitAdjusted=USA-QB-G_Ex,KeyWord=quickbooks_data_integration) that have not been allocated a cost. Use the Tools menu to update costs.</t>
  </si>
  <si>
    <t>You have paid clicks (CampaignAdjusted=AdWords,SplitAdjusted=US_Ext_QB_Int_sitelinks,KeyWord=integrate_with_quickbooks_desktop) that have not been allocated a cost. Use the Tools menu to update costs.</t>
  </si>
  <si>
    <t>You have paid clicks (CampaignAdjusted=AdWords,SplitAdjusted=US-QBEstimates,KeyWord=how_do_estimates_work_in_quickbooks) that have not been allocated a cost. Use the Tools menu to update costs.</t>
  </si>
  <si>
    <t>You have paid clicks (CampaignAdjusted=AdWords,SplitAdjusted=CA_QB_sitelinks,KeyWord=quickbooks_customization) that have not been allocated a cost. Use the Tools menu to update costs.</t>
  </si>
  <si>
    <t>You have paid clicks (CampaignAdjusted=AdWords,SplitAdjusted=US-Customization,KeyWord=customize_invoices_in_quickbooks_online) that have not been allocated a cost. Use the Tools menu to update costs.</t>
  </si>
  <si>
    <t>You have paid clicks (CampaignAdjusted=AdWords,SplitAdjusted=US-payment,KeyWord=quickbooks_payment_online) that have not been allocated a cost. Use the Tools menu to update costs.</t>
  </si>
  <si>
    <t>You have paid clicks (CampaignAdjusted=AdWords,SplitAdjusted=USA-QB-G_Ex,KeyWord=crm_for_bookkeepers) that have not been allocated a cost. Use the Tools menu to update costs.</t>
  </si>
  <si>
    <t>You have paid clicks (CampaignAdjusted=AdWords,SplitAdjusted=US-QBEstimates,KeyWord=estimates_in_quickbooks) that have not been allocated a cost. Use the Tools menu to update costs.</t>
  </si>
  <si>
    <t>You have paid clicks (CampaignAdjusted=AdWords,SplitAdjusted=US-QBEstimates,KeyWord=creating_invoices_in_quickbooks_online) that have not been allocated a cost. However, this looks invalid, as it came from a blank Referrer.</t>
  </si>
  <si>
    <t>You have paid clicks (CampaignAdjusted=AdWords,SplitAdjusted=US-payment,KeyWord=intuit_online_payments) that have not been allocated a cost. Use the Tools menu to update costs.</t>
  </si>
  <si>
    <t>You have paid clicks (CampaignAdjusted=AdWords,SplitAdjusted=US-Multi-entity,KeyWord=enterprise_suite_crm) that have not been allocated a cost. Use the Tools menu to update costs.</t>
  </si>
  <si>
    <t>You have paid clicks (CampaignAdjusted=AdWords,SplitAdjusted=USA-QB-G_Ex,KeyWord=crm_software_compatible_with_quickbooks) that have not been allocated a cost. Use the Tools menu to update costs.</t>
  </si>
  <si>
    <t>You have paid clicks (CampaignAdjusted=AdWords,SplitAdjusted=US-Customization,KeyWord=quickbooks_desktop_custom_reports) that have not been allocated a cost. Use the Tools menu to update costs.</t>
  </si>
  <si>
    <t>You have paid clicks (CampaignAdjusted=AdWords,SplitAdjusted=US_Ext_QB_Int_sitelinks,KeyWord=crm_integration_with_quickbooks) that have not been allocated a cost. Use the Tools menu to update costs.</t>
  </si>
  <si>
    <t>You have paid clicks (CampaignAdjusted=AdWords,SplitAdjusted=US-QBInt-Ex,KeyWord=integrate_with_quickbooks_desktop) that have not been allocated a cost. However, this looks invalid, as it came from a blank Referrer.</t>
  </si>
  <si>
    <t>You have paid clicks (CampaignAdjusted=AdWords,SplitAdjusted=CA-QB-O,KeyWord=crm_for_quickbooks) that have not been allocated a cost. Use the Tools menu to update costs.</t>
  </si>
  <si>
    <t>You have paid clicks (CampaignAdjusted=AdWords,SplitAdjusted=US-Multi-entity-SL,KeyWord=quickbooks_for_multiple_businesses) that have not been allocated a cost. Use the Tools menu to update costs.</t>
  </si>
  <si>
    <t>You have paid clicks (CampaignAdjusted=AdWords,SplitAdjusted=US-Multi-entity,KeyWord=quickbooks_manage_multiple_businesses) that have not been allocated a cost. Use the Tools menu to update costs.</t>
  </si>
  <si>
    <t>You have paid clicks (CampaignAdjusted=AdWords,SplitAdjusted=US-Cloud-MWD,KeyWord=manufacturing_quickbooks) that have not been allocated a cost. Use the Tools menu to update costs.</t>
  </si>
  <si>
    <t>You have paid clicks (CampaignAdjusted=AdWords,SplitAdjusted=USA-QB-G,KeyWord=quickbooks_desktop_estimates) that have not been allocated a cost. Use the Tools menu to update costs.</t>
  </si>
  <si>
    <t>You have paid clicks (CampaignAdjusted=AdWords,SplitAdjusted=US-payment,KeyWord=quickbooks_online_payment) that have not been allocated a cost. However, this looks invalid, as it came from a blank Referrer.</t>
  </si>
  <si>
    <t>You have paid clicks (CampaignAdjusted=AdWords,SplitAdjusted=CA_QB_G_sitelinks,KeyWord=crm_compatible_with_quickbooks) that have not been allocated a cost. Use the Tools menu to update costs.</t>
  </si>
  <si>
    <t>You have paid clicks (CampaignAdjusted=AdWords,SplitAdjusted=US-Customization,KeyWord=edit_invoice_template_in_quickbooks) that have not been allocated a cost. Use the Tools menu to update costs.</t>
  </si>
  <si>
    <t>You have paid clicks (CampaignAdjusted=AdWords,SplitAdjusted=QB-payment-SL,KeyWord=quickbooks_online_payment_processing) that have not been allocated a cost. Use the Tools menu to update costs.</t>
  </si>
  <si>
    <t>You have paid clicks (CampaignAdjusted=AdWords,SplitAdjusted=USA-QB-G_Ex,KeyWord=quickbooks_online_crm_integration) that have not been allocated a cost. Use the Tools menu to update costs.</t>
  </si>
  <si>
    <t>You have paid clicks (CampaignAdjusted=AdWords,SplitAdjusted=US-Customization,KeyWord=creating_invoices_in_quickbooks_desktop) that have not been allocated a cost. However, this looks invalid, as it came from a blank Referrer.</t>
  </si>
  <si>
    <t>You have paid clicks (CampaignAdjusted=AdWords,SplitAdjusted=CA-QB-O,KeyWord=crm_quickbooks_online) that have not been allocated a cost. Use the Tools menu to update costs.</t>
  </si>
  <si>
    <t>You have paid clicks (CampaignAdjusted=AdWords,SplitAdjusted=CAN-QB-G,KeyWord=does_quickbooks_have_electronic_signature) that have not been allocated a cost. Use the Tools menu to update costs.</t>
  </si>
  <si>
    <t>You have paid clicks (CampaignAdjusted=AdWords,SplitAdjusted=CAN-QB-G,KeyWord=quickbooks_quote) that have not been allocated a cost. Use the Tools menu to update costs.</t>
  </si>
  <si>
    <t>You have paid clicks (CampaignAdjusted=AdWords,SplitAdjusted=USA-QB-G,KeyWord=crm_with_quickbooksQUICKBOOK) that have not been allocated a cost. However, this looks invalid, as it came from a blank Referrer.</t>
  </si>
  <si>
    <t>You have paid clicks (CampaignAdjusted=AdWords,SplitAdjusted=US-QBEstimates,KeyWord=creating_an_invoice_in_quickbooks) that have not been allocated a cost. Use the Tools menu to update costs.</t>
  </si>
  <si>
    <t>You have paid clicks (CampaignAdjusted=AdWords,SplitAdjusted=US-DSA-Price,KeyWord=DirectSEO) that have not been allocated a cost. Use the Tools menu to update costs.</t>
  </si>
  <si>
    <t>You have paid clicks (CampaignAdjusted=AdWords,SplitAdjusted=USA-QB-G_Ex,KeyWord=integrate_with_quickbooks_desktop) that have not been allocated a cost. However, this looks invalid, as it came from a blank Referrer.</t>
  </si>
  <si>
    <t>You have paid clicks (CampaignAdjusted=AdWords,SplitAdjusted=US_QB_sitelinks,KeyWord=quickbooks_desktop_estimates) that have not been allocated a cost. Use the Tools menu to update costs.</t>
  </si>
  <si>
    <t>You have paid clicks (CampaignAdjusted=AdWords,SplitAdjusted=CAN-QB-G,KeyWord=quickbooks_invoice_customization) that have not been allocated a cost. Use the Tools menu to update costs.</t>
  </si>
  <si>
    <t>You have paid clicks (CampaignAdjusted=AdWords,SplitAdjusted=US_YT,KeyWord=DirectSEO) that have not been allocated a cost. However, this looks invalid, as it came from a blank Referrer.</t>
  </si>
  <si>
    <t>You have paid clicks (CampaignAdjusted=AdWords,SplitAdjusted=Sitelink,KeyWord=WHSale) that have not been allocated a cost. However, this looks invalid, as it came from a blank Referrer.</t>
  </si>
  <si>
    <t>You have paid clicks (CampaignAdjusted=AdWords,SplitAdjusted=US-Multi-entity,KeyWord=multi-account_crm) that have not been allocated a cost. However, this looks invalid, as it came from a blank Referrer.</t>
  </si>
  <si>
    <t>You have paid clicks (CampaignAdjusted=AdWords,SplitAdjusted=QB-payment-SL,KeyWord=create_quotes_in_quickbooks) that have not been allocated a cost. Use the Tools menu to update costs.</t>
  </si>
  <si>
    <t>You have paid clicks (CampaignAdjusted=AdWords,SplitAdjusted=US-Customization,KeyWord=customize_invoice_quickbooks_desktop) that have not been allocated a cost. Use the Tools menu to update costs.</t>
  </si>
  <si>
    <t>You have paid clicks (CampaignAdjusted=AdWords,SplitAdjusted=CA_QBO_sitelink,KeyWord=crm_quickbooks_online) that have not been allocated a cost. Use the Tools menu to update costs.</t>
  </si>
  <si>
    <t>You have paid clicks (CampaignAdjusted=AdWords,SplitAdjusted=QB-payment-SL,KeyWord=quickbooks_online_payment) that have not been allocated a cost. Use the Tools menu to update costs.</t>
  </si>
  <si>
    <t>You have paid clicks (CampaignAdjusted=AdWords,SplitAdjusted=US-Features-SL,KeyWord=quickbooks_online_payment_processing) that have not been allocated a cost. Use the Tools menu to update costs.</t>
  </si>
  <si>
    <t>You have paid clicks (CampaignAdjusted=AdWords,SplitAdjusted=USA-QB-G_Ex,KeyWord=crm_quickbooks_online) that have not been allocated a cost. Use the Tools menu to update costs.</t>
  </si>
  <si>
    <t>You have paid clicks (CampaignAdjusted=AdWords,SplitAdjusted=US-FS,KeyWord=work_orders_in_quickbooks) that have not been allocated a cost. Use the Tools menu to update costs.</t>
  </si>
  <si>
    <t>You have paid clicks (CampaignAdjusted=AdWords,SplitAdjusted=US-Customization,KeyWord=creating_custom_reports_in_quickbooks) that have not been allocated a cost. Use the Tools menu to update costs.</t>
  </si>
  <si>
    <t>You have paid clicks (CampaignAdjusted=AdWords,SplitAdjusted=CA-Customization,KeyWord=edit_invoice_template_in_quickbooks) that have not been allocated a cost. Use the Tools menu to update costs.</t>
  </si>
  <si>
    <t>You have paid clicks (CampaignAdjusted=AdWords,SplitAdjusted=G2,KeyWord=freetrial) that have not been allocated a cost. However, this looks invalid, as it came from a blank Referrer.</t>
  </si>
  <si>
    <t>You have paid clicks (CampaignAdjusted=AdWords,SplitAdjusted=US-payment,KeyWord=quickbooks_online_invoice_payment) that have not been allocated a cost. Use the Tools menu to update costs.</t>
  </si>
  <si>
    <t>You have paid clicks (CampaignAdjusted=AdWords,SplitAdjusted=US-Customization,KeyWord=quickbooks_online_custom_reports) that have not been allocated a cost. Use the Tools menu to update costs.</t>
  </si>
  <si>
    <t>You have paid clicks (CampaignAdjusted=AdWords,SplitAdjusted=USA-QB-G_Ex,KeyWord=quickbooks_remote_access_tool) that have not been allocated a cost. Use the Tools menu to update costs.</t>
  </si>
  <si>
    <t>You have paid clicks (CampaignAdjusted=AdWords,SplitAdjusted=US-Customization,KeyWord=customize_estimates_in_quickbooks_online) that have not been allocated a cost. Use the Tools menu to update costs.</t>
  </si>
  <si>
    <t>You have paid clicks (CampaignAdjusted=AdWords,SplitAdjusted=US-payment,KeyWord=quickbooks_online_credit_card_processing) that have not been allocated a cost. Use the Tools menu to update costs.</t>
  </si>
  <si>
    <t>You have paid clicks (CampaignAdjusted=AdWords,SplitAdjusted=USA-QB-G,KeyWord=DirectSEO) that have not been allocated a cost. Use the Tools menu to update costs.</t>
  </si>
  <si>
    <t>You have paid clicks (CampaignAdjusted=AdWords,SplitAdjusted=US-payment,KeyWord=quickbooks_payment_app) that have not been allocated a cost. Use the Tools menu to update costs.</t>
  </si>
  <si>
    <t>You have paid clicks (CampaignAdjusted=AdWords,SplitAdjusted=US-payment,KeyWord=best_credit_card_processing_for_quickbooks) that have not been allocated a cost. Use the Tools menu to update costs.</t>
  </si>
  <si>
    <t>You have paid clicks (CampaignAdjusted=AdWords,SplitAdjusted=US-payment,KeyWord=best_credit_card_processing_for_quickbooks) that have not been allocated a cost. However, this looks invalid, as it came from a blank Referrer.</t>
  </si>
  <si>
    <t>You have paid clicks (CampaignAdjusted=AdWords,SplitAdjusted=CA_QBO_sitelink,KeyWord=crm_quickbooks_online) that have not been allocated a cost. However, this looks invalid, as it came from a blank Referrer.</t>
  </si>
  <si>
    <t>You have paid clicks (CampaignAdjusted=AdWords,SplitAdjusted=CA-QB-O,KeyWord=crm_quickbooks_online) that have not been allocated a cost. However, this looks invalid, as it came from a blank Referrer.</t>
  </si>
  <si>
    <t>You have paid clicks (CampaignAdjusted=AdWords,SplitAdjusted=US-QBInt-Ex,KeyWord=crm_integrates_with_quickbooks) that have not been allocated a cost. However, this looks invalid, as it came from a blank Referrer.</t>
  </si>
  <si>
    <t>You have paid clicks (CampaignAdjusted=AdWords,SplitAdjusted=US-QBInvoices,KeyWord=batch_invoice_in_quickbooks) that have not been allocated a cost. Use the Tools menu to update costs.</t>
  </si>
  <si>
    <t>You have paid clicks (CampaignAdjusted=AdWords,SplitAdjusted=US-Multi-entity-SL,KeyWord=crm_that_works_with_quickbooks) that have not been allocated a cost. Use the Tools menu to update costs.</t>
  </si>
  <si>
    <t>You have paid clicks (CampaignAdjusted=AdWords,SplitAdjusted=USA-QB-G,KeyWord=keyword) that have not been allocated a cost. However, this looks invalid, as it came from a blank Referrer.</t>
  </si>
  <si>
    <t>You have paid clicks (CampaignAdjusted=AdWords,SplitAdjusted=CA_QB_G_sitelinks,KeyWord=quickbooks_invoice_customization) that have not been allocated a cost. Use the Tools menu to update costs.</t>
  </si>
  <si>
    <t>You have paid clicks (CampaignAdjusted=AdWords,SplitAdjusted=CA_QB_G_sitelinks,KeyWord=quickbooks_invoice_customization) that have not been allocated a cost. However, this looks invalid, as it came from a blank Referrer.</t>
  </si>
  <si>
    <t>You have paid clicks (CampaignAdjusted=AdWords,SplitAdjusted=USA-QB-G,KeyWord=DirectSEO) that have not been allocated a cost. However, this looks invalid, as it came from a blank Referrer.</t>
  </si>
  <si>
    <t>You have paid clicks (CampaignAdjusted=AdWords,SplitAdjusted=US-Customization,KeyWord=quickbooks_online_custom_reports) that have not been allocated a cost. However, this looks invalid, as it came from a blank Referrer.</t>
  </si>
  <si>
    <t>You have paid clicks (CampaignAdjusted=AdWords,SplitAdjusted=US-QBEstimates,KeyWord=create_a_new_estimate_in_quickbooks_online) that have not been allocated a cost. Use the Tools menu to update costs.</t>
  </si>
  <si>
    <t>You have paid clicks (CampaignAdjusted=AdWords,SplitAdjusted=CA_QB_sitelinks,KeyWord=crm_quickbooks_online) that have not been allocated a cost. Use the Tools menu to update costs.</t>
  </si>
  <si>
    <t>You have paid clicks (CampaignAdjusted=AdWords,SplitAdjusted=USA-QB-G_Ex,KeyWord=integrate_with_quickbooks) that have not been allocated a cost. However, this looks invalid, as it came from a blank Referrer.</t>
  </si>
  <si>
    <t>You have paid clicks (CampaignAdjusted=AdWords,SplitAdjusted=CA_QB_sitelinks,KeyWord=does_quickbooks_have_electronic_signature) that have not been allocated a cost. Use the Tools menu to update costs.</t>
  </si>
  <si>
    <t>You have paid clicks (CampaignAdjusted=AdWords,SplitAdjusted=US-Multi-entity,KeyWord=quickbooks_multiple_companies_management) that have not been allocated a cost. Use the Tools menu to update costs.</t>
  </si>
  <si>
    <t>You have paid clicks (CampaignAdjusted=AdWords,SplitAdjusted=CA_QB_sitelinks,KeyWord=quickbooks_invoice_customization) that have not been allocated a cost. Use the Tools menu to update costs.</t>
  </si>
  <si>
    <t>You have paid clicks (CampaignAdjusted=AdWords,SplitAdjusted=US-Customization,KeyWord=customize_purchase_order_quickbooks) that have not been allocated a cost. Use the Tools menu to update costs.</t>
  </si>
  <si>
    <t>You have paid clicks (CampaignAdjusted=AdWords,SplitAdjusted=CA_QB_sitelinks,KeyWord=crm_quickbooks_online) that have not been allocated a cost. However, this looks invalid, as it came from a blank Referrer.</t>
  </si>
  <si>
    <t>You have paid clicks (CampaignAdjusted=Bing,SplitAdjusted=Bing-PMax,KeyWord=growmethodme) that have not been allocated a cost. Use the Tools menu to update costs.</t>
  </si>
  <si>
    <t>You have paid clicks (CampaignAdjusted=Bing,SplitAdjusted=Bing-PMax,KeyWord=ActEx) that have not been allocated a cost. Use the Tools menu to update costs.</t>
  </si>
  <si>
    <t>You have paid clicks (CampaignAdjusted=Bing,SplitAdjusted=US-Bing-sitelink,KeyWord=growmethodme) that have not been allocated a cost. Use the Tools menu to update costs.</t>
  </si>
  <si>
    <t>You have paid clicks (CampaignAdjusted=Bing,SplitAdjusted=USA-G-QB-Bing,KeyWord=quickbooks_invoice_online_payment) that have not been allocated a cost. Use the Tools menu to update costs.</t>
  </si>
  <si>
    <t>You have paid clicks (CampaignAdjusted=Bing,SplitAdjusted=USA-G-QB-Bing,KeyWord=software_that_integrates_quickbooks) that have not been allocated a cost. Use the Tools menu to update costs.</t>
  </si>
  <si>
    <t>You have paid clicks (CampaignAdjusted=Bing,SplitAdjusted=US-Multi-entity-Bing,KeyWord=can_i_use_quickbooks_for_multiple_locations) that have not been allocated a cost. Use the Tools menu to update costs.</t>
  </si>
  <si>
    <t>You have paid clicks (CampaignAdjusted=Bing,SplitAdjusted=US-Multi-entity-Bing,KeyWord=multi_company_quickbooks_online) that have not been allocated a cost. Use the Tools menu to update costs.</t>
  </si>
  <si>
    <t>You have paid clicks (CampaignAdjusted=Bing,SplitAdjusted=USA-G-QB-Bing,KeyWord=how_to_add_signature_in_quickbooks_online) that have not been allocated a cost. Use the Tools menu to update costs.</t>
  </si>
  <si>
    <t>You have paid clicks (CampaignAdjusted=Bing,SplitAdjusted=USA-G-QB-Bing,KeyWord=mobile_invoicing_quickbooks) that have not been allocated a cost. Use the Tools menu to update costs.</t>
  </si>
  <si>
    <t>You have paid clicks (CampaignAdjusted=Bing,SplitAdjusted=USA-G-QB-Bing,KeyWord=customize_quickbooks_invoice) that have not been allocated a cost. Use the Tools menu to update costs.</t>
  </si>
  <si>
    <t>You have paid clicks (CampaignAdjusted=Bing,SplitAdjusted=US-Multi-entity-Bing,KeyWord=best_accounting_software_for_multiple_businesses) that have not been allocated a cost. Use the Tools menu to update costs.</t>
  </si>
  <si>
    <t>You have paid clicks (CampaignAdjusted=Bing,SplitAdjusted=Bing-PMax,KeyWord=growmethodme) that have not been allocated a cost. However, this looks invalid, as it came from a blank Referrer.</t>
  </si>
  <si>
    <t>You have paid clicks (CampaignAdjusted=Bing,SplitAdjusted=USA-G-QB-Bing,KeyWord=quickbooks_estimate_invoice) that have not been allocated a cost. Use the Tools menu to update costs.</t>
  </si>
  <si>
    <t>You have paid clicks (CampaignAdjusted=Bing,SplitAdjusted=USA-G-QB-Bing,KeyWord=quickbooks_desktop_integration) that have not been allocated a cost. Use the Tools menu to update costs.</t>
  </si>
  <si>
    <t>You have paid clicks (CampaignAdjusted=Bing,SplitAdjusted=US-QBInt-Bing,KeyWord=crm_compatible_with_quickbooks) that have not been allocated a cost. Use the Tools menu to update costs.</t>
  </si>
  <si>
    <t>You have paid clicks (CampaignAdjusted=Bing,SplitAdjusted=USA-G-QB-Bing,KeyWord=recurring_invoices_quickbooks) that have not been allocated a cost. Use the Tools menu to update costs.</t>
  </si>
  <si>
    <t>You have paid clicks (CampaignAdjusted=Bing,SplitAdjusted=USA-G-QB-Bing,KeyWord=custom_invoice_quickbooks) that have not been allocated a cost. Use the Tools menu to update costs.</t>
  </si>
  <si>
    <t>You have paid clicks (CampaignAdjusted=Bing,SplitAdjusted=US-Multi-entity-Bing,KeyWord=crm_quickbooks_enterprise_suite) that have not been allocated a cost. Use the Tools menu to update costs.</t>
  </si>
  <si>
    <t>You have paid clicks (CampaignAdjusted=Bing,SplitAdjusted=USA-G-QB-Bing,KeyWord=custom_invoice_quickbooks_online) that have not been allocated a cost. Use the Tools menu to update costs.</t>
  </si>
  <si>
    <t>You have paid clicks (CampaignAdjusted=Bing,SplitAdjusted=USA-G-QB-Bing,KeyWord=quickbook_estimate) that have not been allocated a cost. Use the Tools menu to update costs.</t>
  </si>
  <si>
    <t>You have paid clicks (CampaignAdjusted=Bing,SplitAdjusted=US-Multi-entity-Bing,KeyWord=quickbooks_for_multiple_businesses) that have not been allocated a cost. Use the Tools menu to update costs.</t>
  </si>
  <si>
    <t>You have paid clicks (CampaignAdjusted=Bing,SplitAdjusted=US-QBInt-Bing,KeyWord=how_to_use_quickbooks_online_with_a_sales_crm) that have not been allocated a cost. Use the Tools menu to update costs.</t>
  </si>
  <si>
    <t>You have paid clicks (CampaignAdjusted=Bing,SplitAdjusted=US-Multi-entity-Bing,KeyWord=quickbooks_for_multiple_locations) that have not been allocated a cost. Use the Tools menu to update costs.</t>
  </si>
  <si>
    <t>You have paid clicks (CampaignAdjusted=Bing,SplitAdjusted=USA-G-QB-Bing,KeyWord=custom_invoices_for_quickbooks) that have not been allocated a cost. Use the Tools menu to update costs.</t>
  </si>
  <si>
    <t>You have paid clicks (CampaignAdjusted=Bing,SplitAdjusted=US-QBInt-Bing,KeyWord=best_crm_quickbooks_integration) that have not been allocated a cost. Use the Tools menu to update costs.</t>
  </si>
  <si>
    <t>You have paid clicks (CampaignAdjusted=Bing,SplitAdjusted=US-Multi-entity-Bing,KeyWord=quickbooks_multi_company) that have not been allocated a cost. Use the Tools menu to update costs.</t>
  </si>
  <si>
    <t>You have paid clicks (CampaignAdjusted=Bing,SplitAdjusted=US-Multi-entity-Bing,KeyWord=QuickBooks_crm_intuit_enterprise_suite) that have not been allocated a cost. Use the Tools menu to update costs.</t>
  </si>
  <si>
    <t>You have paid clicks (CampaignAdjusted=Bing,SplitAdjusted=US-Multi-entity-Bing,KeyWord=can_i_use_quickbooks_for_multiple_businesses) that have not been allocated a cost. Use the Tools menu to update costs.</t>
  </si>
  <si>
    <t>You have paid clicks (CampaignAdjusted=Bing,SplitAdjusted=USA-G-QB-Bing,KeyWord=quickbooks_online_customize_invoice) that have not been allocated a cost. Use the Tools menu to update costs.</t>
  </si>
  <si>
    <t>You have paid clicks (CampaignAdjusted=Bing,SplitAdjusted=US-QBInt-Bing,KeyWord=best_crm_that_integrates_with_quickbooks) that have not been allocated a cost. Use the Tools menu to update costs.</t>
  </si>
  <si>
    <t>You have paid clicks (CampaignAdjusted=Bing,SplitAdjusted=USA-G-QB-Bing,KeyWord=progress_invoicing_quickbooks) that have not been allocated a cost. Use the Tools menu to update costs.</t>
  </si>
  <si>
    <t>You have paid clicks (CampaignAdjusted=Bing,SplitAdjusted=US-Bing-QB,KeyWord=crm_quickbooks) that have not been allocated a cost. Use the Tools menu to update costs.</t>
  </si>
  <si>
    <t>You have paid clicks (CampaignAdjusted=Bing,SplitAdjusted=US-Multi-entity-Bing,KeyWord=ERP_alternative_for_QuickBooks_users) that have not been allocated a cost. However, this looks invalid, as it came from a blank Referrer.</t>
  </si>
  <si>
    <t>You have paid clicks (CampaignAdjusted=Bing,SplitAdjusted=US-Bing-QB,KeyWord=crm_that_integrates_with_quickbooks) that have not been allocated a cost. However, this looks invalid, as it came from a blank Referrer.</t>
  </si>
  <si>
    <t>You have paid clicks (CampaignAdjusted=Bing,SplitAdjusted=USA-G-QB-Bing,KeyWord=quickbooks_send_invoice_with_payment_link) that have not been allocated a cost. Use the Tools menu to update costs.</t>
  </si>
  <si>
    <t>You have paid clicks (CampaignAdjusted=Bing,SplitAdjusted=US-Bing-Sitelink,KeyWord=quickbooks_erp_software) that have not been allocated a cost. Use the Tools menu to update costs.</t>
  </si>
  <si>
    <t>You have paid clicks (CampaignAdjusted=Bing,SplitAdjusted=USA-G-QB-Bing,KeyWord=CRM_integration_with_QuickBooks) that have not been allocated a cost. Use the Tools menu to update costs.</t>
  </si>
  <si>
    <t>You have paid clicks (CampaignAdjusted=Bing,SplitAdjusted=USA-G-QB-Bing,KeyWord=quickbooks_crm) that have not been allocated a cost. Use the Tools menu to update costs.</t>
  </si>
  <si>
    <t>You have paid clicks (CampaignAdjusted=Bing,SplitAdjusted=RLSA-Bing-Dyn,KeyWord=features) that have not been allocated a cost. However, this looks invalid, as it came from a blank Referrer.</t>
  </si>
  <si>
    <t>You have paid clicks (CampaignAdjusted=Bing,SplitAdjusted=USA-G-QB-Bing,KeyWord=quickbooks_erp_software) that have not been allocated a cost. Use the Tools menu to update costs.</t>
  </si>
  <si>
    <t>You have paid clicks (CampaignAdjusted=Bing,SplitAdjusted=RLSA-Bing-Dyn,KeyWord=features) that have not been allocated a cost. Use the Tools menu to update costs.</t>
  </si>
  <si>
    <t>You have paid clicks (CampaignAdjusted=Bing,SplitAdjusted=USA-G-QB-Bing,KeyWord=paying_invoices_quickbooks_online) that have not been allocated a cost. Use the Tools menu to update costs.</t>
  </si>
  <si>
    <t>You have paid clicks (CampaignAdjusted=Bing,SplitAdjusted=US-Bing-QB,KeyWord=crm_that_works_with_quickbooks) that have not been allocated a cost. Use the Tools menu to update costs.</t>
  </si>
  <si>
    <t>You have paid clicks (CampaignAdjusted=Bing,SplitAdjusted=US-Bing-QB,KeyWord=crm_that_works_with_quickbooks) that have not been allocated a cost. However, this looks invalid, as it came from a blank Referrer.</t>
  </si>
  <si>
    <t>You have paid clicks (CampaignAdjusted=Bing,SplitAdjusted=US-QBInt-Bing,KeyWord=crm_that_integrates_with_quickbooks) that have not been allocated a cost. Use the Tools menu to update costs.</t>
  </si>
  <si>
    <t>You have paid clicks (CampaignAdjusted=Bing,SplitAdjusted=USA-G-QB-Bing,KeyWord=quickbooks_online_invoice_management) that have not been allocated a cost. Use the Tools menu to update costs.</t>
  </si>
  <si>
    <t>You have paid clicks (CampaignAdjusted=Bing,SplitAdjusted=US-Bing-QB,KeyWord=crm_that_integrates_with_quickbooks) that have not been allocated a cost. Use the Tools menu to update costs.</t>
  </si>
  <si>
    <t>You have paid clicks (CampaignAdjusted=Bing,SplitAdjusted=RLSA-Bing-Dyn,KeyWord=crm-quickbooks) that have not been allocated a cost. Use the Tools menu to update costs.</t>
  </si>
  <si>
    <t>You have paid clicks (CampaignAdjusted=Bing,SplitAdjusted=US-Multi-entity-Bing,KeyWord=quickbooks_multi_user) that have not been allocated a cost. Use the Tools menu to update costs.</t>
  </si>
  <si>
    <t>You have paid clicks (CampaignAdjusted=Bing,SplitAdjusted=USA-G-QB-Bing,KeyWord=docsign_for_QuickBooks) that have not been allocated a cost. Use the Tools menu to update costs.</t>
  </si>
  <si>
    <t>You have paid clicks (CampaignAdjusted=Bing,SplitAdjusted=Bing-sitelink,KeyWord=growmethodme) that have not been allocated a cost. Use the Tools menu to update costs.</t>
  </si>
  <si>
    <t>You have paid clicks (CampaignAdjusted=Bing,SplitAdjusted=US-Bing-QB,KeyWord=crm_quickbooks) that have not been allocated a cost. However, this looks invalid, as it came from a blank Referrer.</t>
  </si>
  <si>
    <t>You have paid clicks (CampaignAdjusted=Bing,SplitAdjusted=RLSA-Bing,KeyWord=quickbooks_crm) that have not been allocated a cost. Use the Tools menu to update costs.</t>
  </si>
  <si>
    <t>You have paid clicks (CampaignAdjusted=Bing,SplitAdjusted=USA-G-QB-Bing,KeyWord=creating_invoices_in_quickbooks_online) that have not been allocated a cost. Use the Tools menu to update costs.</t>
  </si>
  <si>
    <t>You have paid clicks (CampaignAdjusted=Bing,SplitAdjusted=US-Multi-entity-Bing,KeyWord=multiple_entities_in_quickbooks_online) that have not been allocated a cost. Use the Tools menu to update costs.</t>
  </si>
  <si>
    <t>You have paid clicks (CampaignAdjusted=Bing,SplitAdjusted=US-Multi-entity-Bing,KeyWord=Consolidated_reporting_QuickBooks) that have not been allocated a cost. Use the Tools menu to update costs.</t>
  </si>
  <si>
    <t>You have paid clicks (CampaignAdjusted=Bing,SplitAdjusted=US-Multi-entity-Bing,KeyWord=best_accounting_software_for_multiple_small_businesses) that have not been allocated a cost. Use the Tools menu to update costs.</t>
  </si>
  <si>
    <t>You have paid clicks (CampaignAdjusted=Bing,SplitAdjusted=USA-G-QB-Bing,KeyWord=create_a_new_estimate_in_quickbooks_online) that have not been allocated a cost. Use the Tools menu to update costs.</t>
  </si>
  <si>
    <t>You have paid clicks (CampaignAdjusted=Bing,SplitAdjusted=US-Multi-entity-Bing,KeyWord=QuickBooks_crm_quickbooks_enterprise_suite) that have not been allocated a cost. Use the Tools menu to update costs.</t>
  </si>
  <si>
    <t>You have paid clicks (CampaignAdjusted=Bing,SplitAdjusted=USA-G-QB-Bing,KeyWord=quickbooks_online_invoices) that have not been allocated a cost. Use the Tools menu to update costs.</t>
  </si>
  <si>
    <t>You have paid clicks (CampaignAdjusted=Bing,SplitAdjusted=US-QBInt-Bing,KeyWord=best_crm_for_quickbooks_desktop) that have not been allocated a cost. Use the Tools menu to update costs.</t>
  </si>
  <si>
    <t>You have paid clicks (CampaignAdjusted=Bing,SplitAdjusted=US-QBInt-Bing,KeyWord=CRM_compatible_with_QuickBooks) that have not been allocated a cost. Use the Tools menu to update costs.</t>
  </si>
  <si>
    <t>You have paid clicks (CampaignAdjusted=Bing,SplitAdjusted=RLSA-Bing,KeyWord=using_quickbooks) that have not been allocated a cost. Use the Tools menu to update costs.</t>
  </si>
  <si>
    <t>You have paid clicks (CampaignAdjusted=Bing,SplitAdjusted=CA-Bing-QB-G,KeyWord=quickbooks_erp_software) that have not been allocated a cost. Use the Tools menu to update costs.</t>
  </si>
  <si>
    <t>You have paid clicks (CampaignAdjusted=Bing,SplitAdjusted=USA-G-QB-Bing,KeyWord=quickbooks_automatic_invoicing) that have not been allocated a cost. Use the Tools menu to update costs.</t>
  </si>
  <si>
    <t>You have paid clicks (CampaignAdjusted=Bing,SplitAdjusted=US-Multi-entity-Bing,KeyWord=quickbooks_manage_multiple_businesses) that have not been allocated a cost. Use the Tools menu to update costs.</t>
  </si>
  <si>
    <t>You have paid clicks (CampaignAdjusted=Bing,SplitAdjusted=US-Multi-entity-Bing,KeyWord=how_to_unreconcile_multiple_transactions_in_quickbooks_online) that have not been allocated a cost. Use the Tools menu to update costs.</t>
  </si>
  <si>
    <t>You have paid clicks (CampaignAdjusted=Bing,SplitAdjusted=Bing-SL,KeyWord=quickbooks_erp_software) that have not been allocated a cost. Use the Tools menu to update costs.</t>
  </si>
  <si>
    <t>You have paid clicks (CampaignAdjusted=Bing,SplitAdjusted=US-Bing-sitelink,KeyWord=crm_that_works_with_quickbooks) that have not been allocated a cost. Use the Tools menu to update costs.</t>
  </si>
  <si>
    <t>You have paid clicks (CampaignAdjusted=Bing,SplitAdjusted=USA-G-QB-Bing,KeyWord=quickbooks_online_convert_estimate_invoice) that have not been allocated a cost. Use the Tools menu to update costs.</t>
  </si>
  <si>
    <t>You have paid clicks (CampaignAdjusted=Bing,SplitAdjusted=USA-G-QB-Bing,KeyWord=how_to_customize_quickbooks_invoice) that have not been allocated a cost. Use the Tools menu to update costs.</t>
  </si>
  <si>
    <t>You have paid clicks (CampaignAdjusted=Bing,SplitAdjusted=USA-G-QB-Bing,KeyWord=customize_invoice_quickbooks) that have not been allocated a cost. Use the Tools menu to update costs.</t>
  </si>
  <si>
    <t>You have paid clicks (CampaignAdjusted=Bing,SplitAdjusted=RLSA-Bing,KeyWord=CRM_for_QuickBooks_Online) that have not been allocated a cost. Use the Tools menu to update costs.</t>
  </si>
  <si>
    <t>You have paid clicks (CampaignAdjusted=Bing,SplitAdjusted=US-Multi-entity-Bing,KeyWord=crm_intuit_enterprise_suite) that have not been allocated a cost. Use the Tools menu to update costs.</t>
  </si>
  <si>
    <t>You have paid clicks (CampaignAdjusted=Bing,SplitAdjusted=US-Multi-entity-Bing,KeyWord=quickbooks_multi_user) that have not been allocated a cost. However, this looks invalid, as it came from a blank Referrer.</t>
  </si>
  <si>
    <t>You have paid clicks (CampaignAdjusted=Bing,SplitAdjusted=US-Bing-sitelink,KeyWord=crm_that_integrates_with_quickbooks) that have not been allocated a cost. Use the Tools menu to update costs.</t>
  </si>
  <si>
    <t>You have paid clicks (CampaignAdjusted=Bing,SplitAdjusted=USA-G-QB-Bing,KeyWord=quickbooks_customize_invoice) that have not been allocated a cost. Use the Tools menu to update costs.</t>
  </si>
  <si>
    <t>You have paid clicks (CampaignAdjusted=Bing,SplitAdjusted=US-Bing-Sitelink,KeyWord=best_crm_quickbooks_integration) that have not been allocated a cost. Use the Tools menu to update costs.</t>
  </si>
  <si>
    <t>You have paid clicks (CampaignAdjusted=Bing,SplitAdjusted=US-Multi-entity-Bing,KeyWord=Consolidated_financial_reporting_QuickBooks) that have not been allocated a cost. Use the Tools menu to update costs.</t>
  </si>
  <si>
    <t>You have paid clicks (CampaignAdjusted=Bing,SplitAdjusted=US-Bing-Promo,KeyWord=crm_that_integrates_with_quickbooks) that have not been allocated a cost. Use the Tools menu to update costs.</t>
  </si>
  <si>
    <t>You have paid clicks (CampaignAdjusted=Bing,SplitAdjusted=US-Bing-QB,KeyWord=quickbooks_online_crm) that have not been allocated a cost. Use the Tools menu to update costs.</t>
  </si>
  <si>
    <t>You have paid clicks (CampaignAdjusted=Bing,SplitAdjusted=US-Bing-Sitelink,KeyWord=crm-quickbooks) that have not been allocated a cost. Use the Tools menu to update costs.</t>
  </si>
  <si>
    <t>You have paid clicks (CampaignAdjusted=Bing,SplitAdjusted=US-Bing-Promo,KeyWord=crm_that_integrates_with_quickbooks) that have not been allocated a cost. However, this looks invalid, as it came from a blank Referrer.</t>
  </si>
  <si>
    <t>You have paid clicks (CampaignAdjusted=Bing,SplitAdjusted=US-QBInt-Bing,KeyWord=crm_that_works_with_quickbooks) that have not been allocated a cost. Use the Tools menu to update costs.</t>
  </si>
  <si>
    <t>You have paid clicks (CampaignAdjusted=Bing,SplitAdjusted=US-Bing-Sitelink,KeyWord=recurring_invoices_quickbooks) that have not been allocated a cost. Use the Tools menu to update costs.</t>
  </si>
  <si>
    <t>You have paid clicks (CampaignAdjusted=Bing,SplitAdjusted=US-Multi-entity-Bing,KeyWord=QuickBooks_crm_that_supports_multiple_quickbooks_files) that have not been allocated a cost. Use the Tools menu to update costs.</t>
  </si>
  <si>
    <t>You have paid clicks (CampaignAdjusted=Bing,SplitAdjusted=US-Multi-entity-Bing,KeyWord=quickbooks_multiple_bank_accounts) that have not been allocated a cost. Use the Tools menu to update costs.</t>
  </si>
  <si>
    <t>You have paid clicks (CampaignAdjusted=Bing,SplitAdjusted=Bing-sitelink,KeyWord=quickbooks_multiple_bank_accounts) that have not been allocated a cost. Use the Tools menu to update costs.</t>
  </si>
  <si>
    <t>You have paid clicks (CampaignAdjusted=Bing,SplitAdjusted=US-Multi-entity-Bing,KeyWord=Multi-account_CRM) that have not been allocated a cost. Use the Tools menu to update costs.</t>
  </si>
  <si>
    <t>You have paid clicks (CampaignAdjusted=Bing,SplitAdjusted=US-Multi-entity-Bing,KeyWord=ERP_alternative_for_QuickBooks_users) that have not been allocated a cost. Use the Tools menu to update costs.</t>
  </si>
  <si>
    <t>You have paid clicks (CampaignAdjusted=Bing,SplitAdjusted=US-Multi-entity-Bing,KeyWord=crm_for_multiple_business_locations) that have not been allocated a cost. However, this looks invalid, as it came from a blank Referrer.</t>
  </si>
  <si>
    <t>You have paid clicks (CampaignAdjusted=Bing,SplitAdjusted=US-Multi-entity-Bing,KeyWord=multi-accounting_crm) that have not been allocated a cost. However, this looks invalid, as it came from a blank Referrer.</t>
  </si>
  <si>
    <t>You have paid clicks (CampaignAdjusted=Bing,SplitAdjusted=US-Multi-entity-Bing,KeyWord=best_crm_for_multiple_businesses) that have not been allocated a cost. Use the Tools menu to update costs.</t>
  </si>
  <si>
    <t>You have paid clicks (CampaignAdjusted=Bing,SplitAdjusted=Bing-PMax,KeyWord=ActEx) that have not been allocated a cost. However, this looks invalid, as it came from a blank Referrer.</t>
  </si>
  <si>
    <t>You have paid clicks (CampaignAdjusted=Bing,SplitAdjusted=US-Multi-entity-Bing,KeyWord=QuickBooks_crm_quickbooks_enterprise_suite) that have not been allocated a cost. However, this looks invalid, as it came from a blank Referrer.</t>
  </si>
  <si>
    <t>You have paid clicks (CampaignAdjusted=Bing,SplitAdjusted=US-QBInt-Bing,KeyWord=is_there_a_crm_that_integrates_with_quickbooks) that have not been allocated a cost. Use the Tools menu to update costs.</t>
  </si>
  <si>
    <t>You have paid clicks (CampaignAdjusted=Bing,SplitAdjusted=US-Multi-entity-Bing,KeyWord=multi_company_quickbooks_online) that have not been allocated a cost. However, this looks invalid, as it came from a blank Referrer.</t>
  </si>
  <si>
    <t>You have paid clicks (CampaignAdjusted=Bing,SplitAdjusted=US-Multi-entity-Bing,KeyWord=QuickBooks_crm_with_entity_management) that have not been allocated a cost. Use the Tools menu to update costs.</t>
  </si>
  <si>
    <t>You have paid clicks (CampaignAdjusted=Bing,SplitAdjusted=USA-G-QB-Bing,KeyWord=QuickBooks_CRM) that have not been allocated a cost. Use the Tools menu to update costs.</t>
  </si>
  <si>
    <t>You have paid clicks (CampaignAdjusted=Bing,SplitAdjusted=US-Multi-entity-Bing,KeyWord=crm_for_franchise_operations) that have not been allocated a cost. Use the Tools menu to update costs.</t>
  </si>
  <si>
    <t>You have paid clicks (CampaignAdjusted=Bing,SplitAdjusted=US-Bing-Sitelink,KeyWord=growmethodme) that have not been allocated a cost. Use the Tools menu to update costs.</t>
  </si>
  <si>
    <t>You have paid clicks (CampaignAdjusted=Bing,SplitAdjusted=US-Bing-Sitelink,KeyWord=custom_invoices_for_quickbooks) that have not been allocated a cost. Use the Tools menu to update costs.</t>
  </si>
  <si>
    <t>You have paid clicks (CampaignAdjusted=Bing,SplitAdjusted=Bing-SL,KeyWord=growmethodme) that have not been allocated a cost. Use the Tools menu to update costs.</t>
  </si>
  <si>
    <t>You have paid clicks (CampaignAdjusted=Bing,SplitAdjusted=US-Multi-entity-Bing,KeyWord=best_crm_for_multiple_companies) that have not been allocated a cost. Use the Tools menu to update costs.</t>
  </si>
  <si>
    <t>You have paid clicks (CampaignAdjusted=Bing,SplitAdjusted=Bing-sitelink,KeyWord=QuickBooks_crm_quickbooks_enterprise_suite) that have not been allocated a cost. Use the Tools menu to update costs.</t>
  </si>
  <si>
    <t>You have paid clicks (CampaignAdjusted=Bing,SplitAdjusted=US-QBInt-Bing,KeyWord=intergrating_zoho_crm_with_quickbooks) that have not been allocated a cost. Use the Tools menu to update costs.</t>
  </si>
  <si>
    <t>You have paid clicks (CampaignAdjusted=LinkedIn Retargeting campaign,SplitAdjusted=TL-Video,KeyWord=method_customization) that have not been allocated a cost. Use the Tools menu to update costs.</t>
  </si>
  <si>
    <t>You have paid clicks (CampaignAdjusted=LinkedIn Retargeting campaign,SplitAdjusted=TL-Video,KeyWord=crm_small_business) that have not been allocated a cost. Use the Tools menu to update costs.</t>
  </si>
  <si>
    <t>You have paid clicks (CampaignAdjusted=LinkedIn Retargeting campaign,SplitAdjusted=InMail,KeyWord=Remarketing) that have not been allocated a cost. However, this looks invalid, as it came from a blank Referrer.</t>
  </si>
  <si>
    <t>You have paid clicks (CampaignAdjusted=LinkedIn Retargeting campaign,SplitAdjusted=TL-Video,KeyWord=intuit_platinum_partner) that have not been allocated a cost. Use the Tools menu to update costs.</t>
  </si>
  <si>
    <t>You have paid clicks (CampaignAdjusted=Facebook Ads,SplitAdjusted=short_video1,KeyWord=quickbooks_awareness) that have not been allocated a cost. Use the Tools menu to update costs.</t>
  </si>
  <si>
    <t>You have paid clicks (CampaignAdjusted=Facebook Ads,SplitAdjusted=FB-Lookalike,KeyWord=BOF) that have not been allocated a cost. Use the Tools menu to update costs.</t>
  </si>
  <si>
    <t>You have paid clicks (CampaignAdjusted=Facebook Ads,SplitAdjusted=say_yes3,KeyWord=quickbooks_awareness) that have not been allocated a cost. Use the Tools menu to update costs.</t>
  </si>
  <si>
    <t>You have paid clicks (CampaignAdjusted=Facebook Ads,SplitAdjusted=FB-Retargeting,KeyWord=DoThis) that have not been allocated a cost. Use the Tools menu to update costs.</t>
  </si>
  <si>
    <t>You have paid clicks (CampaignAdjusted=Facebook Ads,SplitAdjusted=CAD-Lookalike,KeyWord=banner) that have not been allocated a cost. However, this looks invalid, as it came from a blank Referrer.</t>
  </si>
  <si>
    <t>You have paid clicks (CampaignAdjusted=Facebook Ads,SplitAdjusted=CAD-Lookalike,KeyWord=banner) that have not been allocated a cost. Use the Tools menu to update costs.</t>
  </si>
  <si>
    <t>You have paid clicks (CampaignAdjusted=Facebook Ads,SplitAdjusted=bof2,KeyWord=instantly_list) that have not been allocated a cost. However, this looks invalid, as it came from a blank Referrer.</t>
  </si>
  <si>
    <t>You have paid clicks (CampaignAdjusted=Facebook Ads,SplitAdjusted=CAD-retargeting,KeyWord=banner) that have not been allocated a cost. Use the Tools menu to update costs.</t>
  </si>
  <si>
    <t>You have paid clicks (CampaignAdjusted=Facebook Ads,SplitAdjusted=CAD-Lookalike,KeyWord=Banner-SL) that have not been allocated a cost. Use the Tools menu to update costs.</t>
  </si>
  <si>
    <t>You have paid clicks (CampaignAdjusted=Facebook Ads,SplitAdjusted=CAD-Lookalike,KeyWord=Banner-SL) that have not been allocated a cost. However, this looks invalid, as it came from a blank Referrer.</t>
  </si>
  <si>
    <t>You have paid clicks (CampaignAdjusted=Facebook Ads,SplitAdjusted=CAD-Retargeting,KeyWord=Banner-SL) that have not been allocated a cost. However, this looks invalid, as it came from a blank Referrer.</t>
  </si>
  <si>
    <t>You have paid clicks (CampaignAdjusted=Facebook Ads,SplitAdjusted=FB-Lookalike,KeyWord=Video) that have not been allocated a cost. However, this looks invalid, as it came from a blank Referrer.</t>
  </si>
  <si>
    <t>You have paid clicks (CampaignAdjusted=Facebook Ads,SplitAdjusted=Lookalike,KeyWord=Carousel) that have not been allocated a cost. Use the Tools menu to update costs.</t>
  </si>
  <si>
    <t>You have paid clicks (CampaignAdjusted=Facebook Ads,SplitAdjusted=FB-Retargeting,KeyWord=DoThis) that have not been allocated a cost. However, this looks invalid, as it came from a blank Referrer.</t>
  </si>
  <si>
    <t>You have paid clicks (CampaignAdjusted=Facebook Ads,SplitAdjusted=FB-Lookalike,KeyWord=1CRM) that have not been allocated a cost. Use the Tools menu to update costs.</t>
  </si>
  <si>
    <t>You have paid clicks (CampaignAdjusted=Facebook Ads,SplitAdjusted=FB-Lookalike,KeyWord=1CRM) that have not been allocated a cost. However, this looks invalid, as it came from a blank Referrer.</t>
  </si>
  <si>
    <t>You have paid clicks (CampaignAdjusted=Facebook Ads,SplitAdjusted=say_yes3,KeyWord=quickbooks_awareness) that have not been allocated a cost. However, this looks invalid, as it came from a blank Referrer.</t>
  </si>
  <si>
    <t>You have paid clicks (CampaignAdjusted=Facebook Ads,SplitAdjusted=Retargeting,KeyWord=UI) that have not been allocated a cost. However, this looks invalid, as it came from a blank Referrer.</t>
  </si>
  <si>
    <t>You have paid clicks (CampaignAdjusted=Facebook Ads,SplitAdjusted=lookalike-Banner,KeyWord=Whatif-Car-ad) that have not been allocated a cost. However, this looks invalid, as it came from a blank Referrer.</t>
  </si>
  <si>
    <t>You have paid clicks (CampaignAdjusted=Facebook Ads,SplitAdjusted=say_yes2,KeyWord=quickbooks_awareness) that have not been allocated a cost. Use the Tools menu to update costs.</t>
  </si>
  <si>
    <t>You have paid clicks (CampaignAdjusted=Facebook Ads,SplitAdjusted=CAD-retargeting,KeyWord=banner) that have not been allocated a cost. However, this looks invalid, as it came from a blank Referrer.</t>
  </si>
  <si>
    <t>You have paid clicks (CampaignAdjusted=Facebook Ads,SplitAdjusted=FB-Retargeting,KeyWord=QB-features) that have not been allocated a cost. Use the Tools menu to update costs.</t>
  </si>
  <si>
    <t>You have paid clicks (CampaignAdjusted=Facebook Ads,SplitAdjusted=nelson_video_1,KeyWord=quickbooks_awareness) that have not been allocated a cost. Use the Tools menu to update costs.</t>
  </si>
  <si>
    <t>You have paid clicks (CampaignAdjusted=Facebook Ads,SplitAdjusted=lookalike-Banner,KeyWord=Whatif-Car-ad) that have not been allocated a cost. Use the Tools menu to update costs.</t>
  </si>
  <si>
    <t>You have paid clicks (CampaignAdjusted=Facebook Ads,SplitAdjusted=FB-Lookalike,KeyWord=BOF) that have not been allocated a cost. However, this looks invalid, as it came from a blank Referrer.</t>
  </si>
  <si>
    <t>You have paid clicks (CampaignAdjusted=Facebook Ads,SplitAdjusted=Lookalike,KeyWord=Carousel) that have not been allocated a cost. However, this looks invalid, as it came from a blank Referrer.</t>
  </si>
  <si>
    <t>You have paid clicks (CampaignAdjusted=Facebook Ads,SplitAdjusted=Salesforce,KeyWord=e-sign) that have not been allocated a cost. However, this looks invalid, as it came from a blank Referrer.</t>
  </si>
  <si>
    <t>You have paid clicks (CampaignAdjusted=Facebook Ads,SplitAdjusted=FB-Retargeting,KeyWord=Signup_Sitelink) that have not been allocated a cost. However, this looks invalid, as it came from a blank Referrer.</t>
  </si>
  <si>
    <t>You have paid clicks (CampaignAdjusted=Facebook Ads,SplitAdjusted=FB-Retargeting,KeyWord=SL-Invoice) that have not been allocated a cost. Use the Tools menu to update costs.</t>
  </si>
  <si>
    <t>You have paid clicks (CampaignAdjusted=Facebook Ads,SplitAdjusted=FB-Retargeting,KeyWord=SL-Pricing) that have not been allocated a cost. Use the Tools menu to update costs.</t>
  </si>
  <si>
    <t>You have paid clicks (CampaignAdjusted=Facebook Ads,SplitAdjusted=fb-retargeting,KeyWord=sl-signup) that have not been allocated a cost. However, this looks invalid, as it came from a blank Referrer.</t>
  </si>
  <si>
    <t>You have paid clicks (CampaignAdjusted=Facebook Ads,SplitAdjusted=FB-Retargeting,KeyWord=SL-SignUp) that have not been allocated a cost. However, this looks invalid, as it came from a blank Referrer.</t>
  </si>
  <si>
    <t>You have paid clicks (CampaignAdjusted=Facebook Ads,SplitAdjusted=FB-Retargeting,KeyWord=QB-features) that have not been allocated a cost. However, this looks invalid, as it came from a blank Referrer.</t>
  </si>
  <si>
    <t>You have paid clicks (CampaignAdjusted=Facebook Ads,SplitAdjusted=say_yes1,KeyWord=quickbooks_awareness) that have not been allocated a cost. Use the Tools menu to update costs.</t>
  </si>
  <si>
    <t>You have paid clicks (CampaignAdjusted=Facebook Ads,SplitAdjusted=bof2,KeyWord=instantly_list) that have not been allocated a cost. Use the Tools menu to update costs.</t>
  </si>
  <si>
    <t>You have paid clicks (CampaignAdjusted=Facebook Ads,SplitAdjusted=fb-lookalike,KeyWord=sl-signup) that have not been allocated a cost. However, this looks invalid, as it came from a blank Referrer.</t>
  </si>
  <si>
    <t>You have paid clicks (CampaignAdjusted=Facebook Ads,SplitAdjusted=FB-Lookalike,KeyWord=SL-SignUp) that have not been allocated a cost. Use the Tools menu to update costs.</t>
  </si>
  <si>
    <t>You have paid clicks (CampaignAdjusted=Facebook Ads,SplitAdjusted=Retargeting-Banner,KeyWord=SL) that have not been allocated a cost. Use the Tools menu to update costs.</t>
  </si>
  <si>
    <t>You have paid clicks (CampaignAdjusted=Facebook Ads,SplitAdjusted=FB-Lookalike,KeyWord=Pricing-SL) that have not been allocated a cost. Use the Tools menu to update costs.</t>
  </si>
  <si>
    <t>You have paid clicks (CampaignAdjusted=Facebook Ads,SplitAdjusted=FB-Lookalike,KeyWord=SL-Pricing) that have not been allocated a cost. Use the Tools menu to update costs.</t>
  </si>
  <si>
    <t>You have paid clicks (CampaignAdjusted=Facebook Ads,SplitAdjusted=FB-Lookalike,KeyWord=SL-SignUp) that have not been allocated a cost. However, this looks invalid, as it came from a blank Referrer.</t>
  </si>
  <si>
    <t>You have paid clicks (CampaignAdjusted=Facebook Ads,SplitAdjusted=FB-Lookalike-CAD,KeyWord=Video) that have not been allocated a cost. Use the Tools menu to update costs.</t>
  </si>
  <si>
    <t>You have paid clicks (CampaignAdjusted=Facebook Ads,SplitAdjusted=MWD,KeyWord=Yes-Video) that have not been allocated a cost. Use the Tools menu to update costs.</t>
  </si>
  <si>
    <t>You have paid clicks (CampaignAdjusted=Facebook Ads,SplitAdjusted=FB-MWD,KeyWord=Yes) that have not been allocated a cost. Use the Tools menu to update costs.</t>
  </si>
  <si>
    <t>You have paid clicks (CampaignAdjusted=Facebook Ads,SplitAdjusted=FB-MWD,KeyWord=Yes) that have not been allocated a cost. However, this looks invalid, as it came from a blank Referrer.</t>
  </si>
  <si>
    <t>You have paid clicks (CampaignAdjusted=Facebook Ads,SplitAdjusted=FB-Retargeting,KeyWord=Ad1_BOFVideo) that have not been allocated a cost. Use the Tools menu to update costs.</t>
  </si>
  <si>
    <t>You have paid clicks (CampaignAdjusted=Facebook Ads,SplitAdjusted=FB-Retargeting,KeyWord=Ad225off) that have not been allocated a cost. Use the Tools menu to update costs.</t>
  </si>
  <si>
    <t>You have paid clicks (CampaignAdjusted=Facebook Ads,SplitAdjusted=RetargetingTestDec2025,KeyWord=Carousel) that have not been allocated a cost. Use the Tools menu to update costs.</t>
  </si>
  <si>
    <t>You have paid clicks (CampaignAdjusted=Facebook Ads,SplitAdjusted=FB-Retargeting,KeyWord=Ad3Carousel) that have not been allocated a cost. Use the Tools menu to update costs.</t>
  </si>
  <si>
    <t>You have paid clicks (CampaignAdjusted=Facebook Ads,SplitAdjusted=RetargetingTestDec2025,KeyWord=Carousel) that have not been allocated a cost. However, this looks invalid, as it came from a blank Referrer.</t>
  </si>
  <si>
    <t>You have paid clicks (CampaignAdjusted=Facebook Ads,SplitAdjusted=FB-Retargeting,KeyWord=Ad4VideoPost) that have not been allocated a cost. Use the Tools menu to update costs.</t>
  </si>
  <si>
    <t>You have paid clicks (CampaignAdjusted=Facebook Ads,SplitAdjusted=FB-Retargeting,KeyWord=Pricing-SL) that have not been allocated a cost. Use the Tools menu to update costs.</t>
  </si>
  <si>
    <t>You have paid clicks (CampaignAdjusted=Facebook Ads,SplitAdjusted=FB-Retargeting,KeyWord=Ad5Banner) that have not been allocated a cost. Use the Tools menu to update costs.</t>
  </si>
  <si>
    <t>You have paid clicks (CampaignAdjusted=Facebook Ads,SplitAdjusted=FB-Retargeting,KeyWord=SL-Demo) that have not been allocated a cost. However, this looks invalid, as it came from a blank Referrer.</t>
  </si>
  <si>
    <t>You have paid clicks (CampaignAdjusted=Facebook Ads,SplitAdjusted=FB-Retargeting,KeyWord=Pricing-SL) that have not been allocated a cost. However, this looks invalid, as it came from a blank Referrer.</t>
  </si>
  <si>
    <t>You have paid clicks (CampaignAdjusted=Facebook Ads,SplitAdjusted=FB-Retargeting,KeyWord=SL-Invoice) that have not been allocated a cost. However, this looks invalid, as it came from a blank Referrer.</t>
  </si>
  <si>
    <t>You have paid clicks (CampaignAdjusted=Facebook Ads,SplitAdjusted=FB-Retargeting,KeyWord=SL-Pricing) that have not been allocated a cost. However, this looks invalid, as it came from a blank Referrer.</t>
  </si>
  <si>
    <t>You have paid clicks (CampaignAdjusted=Facebook Ads,SplitAdjusted=FB-Retargeting,KeyWord=Ad6DothisVideo) that have not been allocated a cost. Use the Tools menu to update costs.</t>
  </si>
  <si>
    <t>You have paid clicks (CampaignAdjusted=Facebook Ads,SplitAdjusted=FB-RetargetTest,KeyWord=Ad5Banner) that have not been allocated a cost. Use the Tools menu to update costs.</t>
  </si>
  <si>
    <t>You have paid clicks (CampaignAdjusted=Facebook Ads,SplitAdjusted=FB-RetargetTest,KeyWord=Ad225off) that have not been allocated a cost. Use the Tools menu to update costs.</t>
  </si>
  <si>
    <t>You have paid clicks (CampaignAdjusted=Facebook Ads,SplitAdjusted=FB-RetargetTest,KeyWord=Ad4VideoPost) that have not been allocated a cost. Use the Tools menu to update costs.</t>
  </si>
  <si>
    <t>You have paid clicks (CampaignAdjusted=Facebook Ads,SplitAdjusted=FB-RetargetTest,KeyWord=Ad6DothisVideo) that have not been allocated a cost. Use the Tools menu to update costs.</t>
  </si>
  <si>
    <t>You have paid clicks (CampaignAdjusted=Facebook Ads,SplitAdjusted=FB-RetargetTest,KeyWord=Ad1BOFVideo) that have not been allocated a cost. Use the Tools menu to update costs.</t>
  </si>
  <si>
    <t>You have paid clicks (CampaignAdjusted=Facebook Ads,SplitAdjusted=FB-RetargetTest,KeyWord=Ad3Carousel) that have not been allocated a cost. Use the Tools menu to update costs.</t>
  </si>
  <si>
    <t>You have paid clicks (CampaignAdjusted=Facebook Ads,SplitAdjusted=FB-RetargetTest,KeyWord=Ad3Carousel) that have not been allocated a cost. However, this looks invalid, as it came from a blank Referrer.</t>
  </si>
  <si>
    <t>You have paid clicks (CampaignAdjusted=Facebook Ads,SplitAdjusted=MWD,KeyWord=Yes) that have not been allocated a cost. Use the Tools menu to update costs.</t>
  </si>
  <si>
    <t>You have paid clicks (CampaignAdjusted=Facebook Ads,SplitAdjusted=youtube_ad,KeyWord=quickbooks_awareness) that have not been allocated a cost. Use the Tools menu to update costs.</t>
  </si>
  <si>
    <t>You have paid clicks (CampaignAdjusted=Facebook Ads,SplitAdjusted=FB-RetargetTest,KeyWord=Ad225off) that have not been allocated a cost. However, this looks invalid, as it came from a blank Referrer.</t>
  </si>
  <si>
    <t>You have paid clicks (CampaignAdjusted=Facebook Ads,SplitAdjusted=MWD,KeyWord=Yes) that have not been allocated a cost. However, this looks invalid, as it came from a blank Referrer.</t>
  </si>
  <si>
    <t>You have paid clicks (CampaignAdjusted=Facebook Ads,SplitAdjusted=FB-RetargetTest,KeyWord=Ad1BOFVideo) that have not been allocated a cost. However, this looks invalid, as it came from a blank Referrer.</t>
  </si>
  <si>
    <t>You have paid clicks (CampaignAdjusted=Facebook Ads,SplitAdjusted=Salesforce,KeyWord=e-sign) that have not been allocated a cost. Use the Tools menu to update costs.</t>
  </si>
  <si>
    <t>You have paid clicks (CampaignAdjusted=Facebook Ads,SplitAdjusted=FB-RetargetTest,KeyWord=Ad5Banner) that have not been allocated a cost. However, this looks invalid, as it came from a blank Referrer.</t>
  </si>
  <si>
    <t>You have paid clicks (CampaignAdjusted=Facebook Ads,SplitAdjusted=FB-RetargetTest,KeyWord=Ad4VideoPost) that have not been allocated a cost. However, this looks invalid, as it came from a blank Referrer.</t>
  </si>
  <si>
    <t>You have paid clicks (CampaignAdjusted=Facebook Ads,SplitAdjusted=FB-Lookalike-CAD,KeyWord=Video) that have not been allocated a cost. However, this looks invalid, as it came from a blank Referrer.</t>
  </si>
  <si>
    <t>You have paid clicks (CampaignAdjusted=Facebook Ads,SplitAdjusted=customer_lookalike,KeyWord=BOF) that have not been allocated a cost. Use the Tools menu to update costs.</t>
  </si>
  <si>
    <t>You have paid clicks (CampaignAdjusted=Facebook Ads,SplitAdjusted=youtube_ad,KeyWord=customer_lookalike) that have not been allocated a cost. Use the Tools menu to update costs.</t>
  </si>
  <si>
    <t>You have paid clicks (CampaignAdjusted=Facebook Ads,SplitAdjusted=nelson_video_1,KeyWord=customer_lookalike) that have not been allocated a cost. Use the Tools menu to update costs.</t>
  </si>
  <si>
    <t>You have paid clicks (CampaignAdjusted=Facebook Ads,SplitAdjusted=customer_lookalike,KeyWord=remarketingbanner1) that have not been allocated a cost. Use the Tools menu to update costs.</t>
  </si>
  <si>
    <t>You have paid clicks (CampaignAdjusted=Facebook Ads,SplitAdjusted=customer_lookalike,KeyWord=remarketingbanner2) that have not been allocated a cost. Use the Tools menu to update costs.</t>
  </si>
  <si>
    <t>You have paid clicks (CampaignAdjusted=G2,SplitAdjusted=FreeTrial,KeyWord=DirectSEO) that have not been allocated a cost. Use the Tools menu to update costs.</t>
  </si>
  <si>
    <t>You have paid clicks (CampaignAdjusted=G2,SplitAdjusted=,KeyWord=DirectSEO) that have not been allocated a cost. Use the Tools menu to update costs.</t>
  </si>
  <si>
    <t>You have paid clicks (CampaignAdjusted=Reddit Ads,SplitAdjusted=CAD2,KeyWord=RemarketingCAD) that have not been allocated a cost. However, this looks invalid, as it came from a blank Referrer.</t>
  </si>
  <si>
    <t>You have paid clicks (CampaignAdjusted=Reddit Ads,SplitAdjusted=CAD1,KeyWord=RemarketingCAD) that have not been allocated a cost. However, this looks invalid, as it came from a blank Referrer.</t>
  </si>
  <si>
    <t>You have paid clicks (CampaignAdjusted=Reddit Ads,SplitAdjusted=say_yes_1,KeyWord=Awareness) that have not been allocated a cost. However, this looks invalid, as it came from a blank Referrer.</t>
  </si>
  <si>
    <t>You have paid clicks (CampaignAdjusted=Reddit Ads,SplitAdjusted=Reddit_Awareness_Video4,KeyWord=Awareness) that have not been allocated a cost. However, this looks invalid, as it came from a blank Referrer.</t>
  </si>
  <si>
    <t>You have paid clicks (CampaignAdjusted=Reddit Ads,SplitAdjusted=CAD3,KeyWord=RemarketingCAD) that have not been allocated a cost. However, this looks invalid, as it came from a blank Referrer.</t>
  </si>
  <si>
    <t>You have paid clicks (CampaignAdjusted=Reddit Ads,SplitAdjusted=CAD2,KeyWord=RemarketingCAD) that have not been allocated a cost. Use the Tools menu to update costs.</t>
  </si>
  <si>
    <t>You have paid clicks (CampaignAdjusted=Reddit Ads,SplitAdjusted=1QBCRM,KeyWord=Remarketing) that have not been allocated a cost. However, this looks invalid, as it came from a blank Referrer.</t>
  </si>
  <si>
    <t>You have paid clicks (CampaignAdjusted=Reddit Ads,SplitAdjusted=say_yes_2,KeyWord=Awareness) that have not been allocated a cost. Use the Tools menu to update costs.</t>
  </si>
  <si>
    <t>You have paid clicks (CampaignAdjusted=Reddit Ads,SplitAdjusted=BFSale,KeyWord=Remarketing) that have not been allocated a cost. Use the Tools menu to update costs.</t>
  </si>
  <si>
    <t>You have paid clicks (CampaignAdjusted=Reddit Ads,SplitAdjusted=BFSale,KeyWord=Remarketing) that have not been allocated a cost. However, this looks invalid, as it came from a blank Referrer.</t>
  </si>
  <si>
    <t>You have paid clicks (CampaignAdjusted=Reddit Ads,SplitAdjusted=CAD3,KeyWord=RemarketingCAD) that have not been allocated a cost. Use the Tools menu to update costs.</t>
  </si>
  <si>
    <t>You have paid clicks (CampaignAdjusted=Reddit Ads,SplitAdjusted=say_yes_2,KeyWord=Awareness) that have not been allocated a cost. However, this looks invalid, as it came from a blank Referrer.</t>
  </si>
  <si>
    <t>You have paid clicks (CampaignAdjusted=Reddit Ads,SplitAdjusted=1QBCRM,KeyWord=Remarketing) that have not been allocated a cost. Use the Tools menu to update costs.</t>
  </si>
  <si>
    <t>You have paid clicks (CampaignAdjusted=Reddit Ads,SplitAdjusted=Reddit_Awareness_Video2,KeyWord=Awareness) that have not been allocated a cost. However, this looks invalid, as it came from a blank Referrer.</t>
  </si>
  <si>
    <t>You have paid clicks (CampaignAdjusted=Reddit Ads,SplitAdjusted=CAD1,KeyWord=RemarketingCAD) that have not been allocated a cost. Use the Tools menu to update costs.</t>
  </si>
  <si>
    <t>You have paid clicks (CampaignAdjusted=Reddit Ads,SplitAdjusted=ExtendPower2,KeyWord=Remarketing) that have not been allocated a cost. However, this looks invalid, as it came from a blank Referrer.</t>
  </si>
  <si>
    <t>You have paid clicks (CampaignAdjusted=Reddit Ads,SplitAdjusted=Reddit_Awareness_Post1,KeyWord=Awareness) that have not been allocated a cost. However, this looks invalid, as it came from a blank Referrer.</t>
  </si>
  <si>
    <t>You have paid clicks (CampaignAdjusted=Reddit Ads,SplitAdjusted=nelson_video1,KeyWord=Awareness) that have not been allocated a cost. However, this looks invalid, as it came from a blank Referrer.</t>
  </si>
  <si>
    <t>You have paid clicks (CampaignAdjusted=Reddit Ads,SplitAdjusted=ExtendPower2,KeyWord=Remarketing) that have not been allocated a cost. Use the Tools menu to update costs.</t>
  </si>
  <si>
    <t>You have paid clicks (CampaignAdjusted=Reddit Ads,SplitAdjusted=QBCRM6,KeyWord=Remarketing) that have not been allocated a cost. However, this looks invalid, as it came from a blank Referrer.</t>
  </si>
  <si>
    <t>You have paid clicks (CampaignAdjusted=Reddit Ads,SplitAdjusted=QBCRM6,KeyWord=Remarketing) that have not been allocated a cost. Use the Tools menu to update costs.</t>
  </si>
  <si>
    <t>You have paid clicks (CampaignAdjusted=Twitter X Ad,SplitAdjusted=Video-views,KeyWord=Desktop) that have not been allocated a cost. However, this looks invalid, as it came from a blank Referrer.</t>
  </si>
  <si>
    <t>RecordID</t>
  </si>
  <si>
    <t>AccountName</t>
  </si>
  <si>
    <t>SignUpDate</t>
  </si>
  <si>
    <t>CancellationDate</t>
  </si>
  <si>
    <t>ConvertPayDate</t>
  </si>
  <si>
    <t>IsActive</t>
  </si>
  <si>
    <t>IsConversionException</t>
  </si>
  <si>
    <t>IsCountedAsChurn</t>
  </si>
  <si>
    <t>IsTrialConverted</t>
  </si>
  <si>
    <t>PayType</t>
  </si>
  <si>
    <t>AppName</t>
  </si>
  <si>
    <t>AccountingPlatform</t>
  </si>
  <si>
    <t>PlatformToggle</t>
  </si>
  <si>
    <t>CustDatSaaSAmountToDate</t>
  </si>
  <si>
    <t>CustDatLastSaaSAmount</t>
  </si>
  <si>
    <t>CustDatPSAmountToDate</t>
  </si>
  <si>
    <t>CustDatPSLastMonth</t>
  </si>
  <si>
    <t>ExpectedLifetime</t>
  </si>
  <si>
    <t>MethodDiscount</t>
  </si>
  <si>
    <t>Channel</t>
  </si>
  <si>
    <t>PartnerName</t>
  </si>
  <si>
    <t>CookieID</t>
  </si>
  <si>
    <t>Att_Direct_SEO_Referrer</t>
  </si>
  <si>
    <t>Att_Direct</t>
  </si>
  <si>
    <t>Att_SEO</t>
  </si>
  <si>
    <t>Att_OPN_Other_Peoples_Networks</t>
  </si>
  <si>
    <t>Att_Pay_Per_Click</t>
  </si>
  <si>
    <t>Att_Partners</t>
  </si>
  <si>
    <t>Att_Email</t>
  </si>
  <si>
    <t>Att_Remarketing</t>
  </si>
  <si>
    <t>Att_Social</t>
  </si>
  <si>
    <t>Att_Help_Center</t>
  </si>
  <si>
    <t>Att_Online_Chat_Tool</t>
  </si>
  <si>
    <t>Att_Content</t>
  </si>
  <si>
    <t>Att_Banner_Ads</t>
  </si>
  <si>
    <t>Att_Seminar_Conference</t>
  </si>
  <si>
    <t>Att_Referral_Program</t>
  </si>
  <si>
    <t>Att_Referral_Link</t>
  </si>
  <si>
    <t>Att_Backlinks</t>
  </si>
  <si>
    <t>Att_Other</t>
  </si>
  <si>
    <t>Att_Webinar</t>
  </si>
  <si>
    <t>Att_None</t>
  </si>
  <si>
    <t>SyncTypeRegion</t>
  </si>
  <si>
    <t>Vertical</t>
  </si>
  <si>
    <t>Sector</t>
  </si>
  <si>
    <t>CustDatIndustry</t>
  </si>
  <si>
    <t>CustDatFirstSyncCompleted</t>
  </si>
  <si>
    <t>CustDatLastRefreshed</t>
  </si>
  <si>
    <t>CustDatCountOfEmployees</t>
  </si>
  <si>
    <t>CustDatAnnualSales</t>
  </si>
  <si>
    <t>CustDatCountOfCustomers</t>
  </si>
  <si>
    <t>LicenseCount</t>
  </si>
  <si>
    <t>CountOfCustomScreens</t>
  </si>
  <si>
    <t>CountOfCustomScreensMN</t>
  </si>
  <si>
    <t>Day</t>
  </si>
  <si>
    <t>Week</t>
  </si>
  <si>
    <t>Month</t>
  </si>
  <si>
    <t>Year</t>
  </si>
  <si>
    <t>SignUpCountry</t>
  </si>
  <si>
    <t>URL</t>
  </si>
  <si>
    <t>Category</t>
  </si>
  <si>
    <t>Media Type</t>
  </si>
  <si>
    <t>multdoor</t>
  </si>
  <si>
    <t>Monthly</t>
  </si>
  <si>
    <t>Method:CRM For QBO</t>
  </si>
  <si>
    <t>QBO</t>
  </si>
  <si>
    <t>New</t>
  </si>
  <si>
    <t>US-3 Month Promo(25% off)</t>
  </si>
  <si>
    <t>Direct</t>
  </si>
  <si>
    <t>https://www.google.com/</t>
  </si>
  <si>
    <t>CA</t>
  </si>
  <si>
    <t>Other</t>
  </si>
  <si>
    <t>other</t>
  </si>
  <si>
    <t>Industrial building construction</t>
  </si>
  <si>
    <t>Nov</t>
  </si>
  <si>
    <t>Canada</t>
  </si>
  <si>
    <t>alromanimechanicalworkshop6</t>
  </si>
  <si>
    <t>KW</t>
  </si>
  <si>
    <t>Repair and maintenance</t>
  </si>
  <si>
    <t>Dec</t>
  </si>
  <si>
    <t>Kuwait</t>
  </si>
  <si>
    <t>student26</t>
  </si>
  <si>
    <t>Method:CRM</t>
  </si>
  <si>
    <t>QuickBooks</t>
  </si>
  <si>
    <t>Indonesia</t>
  </si>
  <si>
    <t>healthcaremaintenanceservices</t>
  </si>
  <si>
    <t>US</t>
  </si>
  <si>
    <t>United States</t>
  </si>
  <si>
    <t>customoutdoorkitchens</t>
  </si>
  <si>
    <t>Construction</t>
  </si>
  <si>
    <t>Outdoor Kitchen Design / Build</t>
  </si>
  <si>
    <t>manexusa</t>
  </si>
  <si>
    <t>reddoorpestcontrol2</t>
  </si>
  <si>
    <t>Field Services</t>
  </si>
  <si>
    <t>manexusa2</t>
  </si>
  <si>
    <t>Method:CRM for QBD</t>
  </si>
  <si>
    <t>QBDT</t>
  </si>
  <si>
    <t>Manufacturing (MWD)</t>
  </si>
  <si>
    <t>jlbcompanies</t>
  </si>
  <si>
    <t>ssisanitary</t>
  </si>
  <si>
    <t>Wholesale and distribution services (MWD)</t>
  </si>
  <si>
    <t>highendcompaniesllc</t>
  </si>
  <si>
    <t>jirehtransmissionsllc</t>
  </si>
  <si>
    <t>waycosalesinc</t>
  </si>
  <si>
    <t>aeromarinebiotechllc</t>
  </si>
  <si>
    <t>whitingdesignandelectric</t>
  </si>
  <si>
    <t>mastercraneandhoist</t>
  </si>
  <si>
    <t>Consulting and Professional Services</t>
  </si>
  <si>
    <t>All other professional, scientific, and technical services</t>
  </si>
  <si>
    <t>grety</t>
  </si>
  <si>
    <t>danielaziz</t>
  </si>
  <si>
    <t>knightinsurancesolutions</t>
  </si>
  <si>
    <t>joeythecoffeeguy</t>
  </si>
  <si>
    <t>Coffee and tea manufacturing</t>
  </si>
  <si>
    <t>octopusgdn</t>
  </si>
  <si>
    <t>Fish and seafood merchant wholesalers</t>
  </si>
  <si>
    <t>cravenscoffee</t>
  </si>
  <si>
    <t>https://chatgpt.com/</t>
  </si>
  <si>
    <t>OtherNone</t>
  </si>
  <si>
    <t>cosmicvisionairesllc</t>
  </si>
  <si>
    <t>IT and computer related</t>
  </si>
  <si>
    <t>Software publishers</t>
  </si>
  <si>
    <t>khshopapp</t>
  </si>
  <si>
    <t>Egypt</t>
  </si>
  <si>
    <t>servicerankprocommateiucwebcompaniesllc</t>
  </si>
  <si>
    <t>test212</t>
  </si>
  <si>
    <t>WholesaleDistributionandSales</t>
  </si>
  <si>
    <t>butleragway</t>
  </si>
  <si>
    <t>None</t>
  </si>
  <si>
    <t>westernheatingandairllc</t>
  </si>
  <si>
    <t>Prepay</t>
  </si>
  <si>
    <t>makeready</t>
  </si>
  <si>
    <t>cloudheroes2</t>
  </si>
  <si>
    <t>GB</t>
  </si>
  <si>
    <t>United Kingdom</t>
  </si>
  <si>
    <t>umjca2</t>
  </si>
  <si>
    <t>fetzerfinancial8</t>
  </si>
  <si>
    <t>Accounting and Bookkeeping</t>
  </si>
  <si>
    <t>platinumplaygrounds</t>
  </si>
  <si>
    <t>21</t>
  </si>
  <si>
    <t>rvrepairnearmellc</t>
  </si>
  <si>
    <t>Method:FieldServices for QBD</t>
  </si>
  <si>
    <t>individual6</t>
  </si>
  <si>
    <t>thenesthomeimprovementcentreinc</t>
  </si>
  <si>
    <t>garcyusa</t>
  </si>
  <si>
    <t>Manufacturing</t>
  </si>
  <si>
    <t>vandalenindustries</t>
  </si>
  <si>
    <t>retail</t>
  </si>
  <si>
    <t>pizzahurt</t>
  </si>
  <si>
    <t>sbc2</t>
  </si>
  <si>
    <t>ashram</t>
  </si>
  <si>
    <t>Method:CRM for Xero</t>
  </si>
  <si>
    <t>Xero</t>
  </si>
  <si>
    <t>India</t>
  </si>
  <si>
    <t>gestioncobe</t>
  </si>
  <si>
    <t>cotektheamericas</t>
  </si>
  <si>
    <t>brontebaycpaprofessionalcorporation2</t>
  </si>
  <si>
    <t>growtrax2</t>
  </si>
  <si>
    <t>Switzerland</t>
  </si>
  <si>
    <t>bluewatercas2</t>
  </si>
  <si>
    <t>Other chemical and allied products merchant wholesalers</t>
  </si>
  <si>
    <t>method113</t>
  </si>
  <si>
    <t>ecoofficewerks</t>
  </si>
  <si>
    <t>Professional Consulting</t>
  </si>
  <si>
    <t>wanderwood</t>
  </si>
  <si>
    <t>gflsystems</t>
  </si>
  <si>
    <t>mammothlive2</t>
  </si>
  <si>
    <t>GeneralServicebasedBusiness</t>
  </si>
  <si>
    <t>kovarwoodwork</t>
  </si>
  <si>
    <t>ogleheatingandcoolgin</t>
  </si>
  <si>
    <t>westernslopefire</t>
  </si>
  <si>
    <t>hybridelectronics5</t>
  </si>
  <si>
    <t>threepillarsconsulting</t>
  </si>
  <si>
    <t>saniclean2</t>
  </si>
  <si>
    <t>agoradistributioninc</t>
  </si>
  <si>
    <t>Solution Promotionnelle</t>
  </si>
  <si>
    <t>joni</t>
  </si>
  <si>
    <t>clearwaterpoolcare</t>
  </si>
  <si>
    <t>Australia</t>
  </si>
  <si>
    <t>verticalelectric4</t>
  </si>
  <si>
    <t>Electrical contractor</t>
  </si>
  <si>
    <t>commercialconsultingservicesllc</t>
  </si>
  <si>
    <t>https://www.bing.com/</t>
  </si>
  <si>
    <t>tauruscorp</t>
  </si>
  <si>
    <t>United Arab Emirates</t>
  </si>
  <si>
    <t>nanh</t>
  </si>
  <si>
    <t>Vietnam</t>
  </si>
  <si>
    <t>zennohintl</t>
  </si>
  <si>
    <t>HK</t>
  </si>
  <si>
    <t>Hong Kong</t>
  </si>
  <si>
    <t>wasangshow</t>
  </si>
  <si>
    <t>Taiwan</t>
  </si>
  <si>
    <t>db4</t>
  </si>
  <si>
    <t>bandbshowroom</t>
  </si>
  <si>
    <t>medpipe2</t>
  </si>
  <si>
    <t>up2codesystems</t>
  </si>
  <si>
    <t>indeed</t>
  </si>
  <si>
    <t>Serbia</t>
  </si>
  <si>
    <t>remmgroup</t>
  </si>
  <si>
    <t>Recycling</t>
  </si>
  <si>
    <t>redtoothimageryllc</t>
  </si>
  <si>
    <t>emk</t>
  </si>
  <si>
    <t>Morocco</t>
  </si>
  <si>
    <t>dragonpowerpromo</t>
  </si>
  <si>
    <t>bluegrasspoolmanagement</t>
  </si>
  <si>
    <t>Pool Management</t>
  </si>
  <si>
    <t>cornerstoneirrigationservicesinc</t>
  </si>
  <si>
    <t>duttonarchitecturepllc</t>
  </si>
  <si>
    <t>Architectural services</t>
  </si>
  <si>
    <t>theappliancebarnfl</t>
  </si>
  <si>
    <t>Retail</t>
  </si>
  <si>
    <t>Household appliance stores</t>
  </si>
  <si>
    <t>hudsonrestoration</t>
  </si>
  <si>
    <t>pacificmicrosystemsllc</t>
  </si>
  <si>
    <t>bigrodconstruction</t>
  </si>
  <si>
    <t>Finland</t>
  </si>
  <si>
    <t>belangerengineeringcorp</t>
  </si>
  <si>
    <t>completeplumbingservicesinc</t>
  </si>
  <si>
    <t>Plumbing, heating, and air-conditioning contractors</t>
  </si>
  <si>
    <t>adoninetworks</t>
  </si>
  <si>
    <t>testorg11</t>
  </si>
  <si>
    <t>IN</t>
  </si>
  <si>
    <t>yjynjhxfyn</t>
  </si>
  <si>
    <t>Algeria</t>
  </si>
  <si>
    <t>speedyseweranddrain</t>
  </si>
  <si>
    <t>marlinzpharma2</t>
  </si>
  <si>
    <t>intelgest2</t>
  </si>
  <si>
    <t>corpcommunications</t>
  </si>
  <si>
    <t>jetglowaviation</t>
  </si>
  <si>
    <t>Other support activities for air transportation</t>
  </si>
  <si>
    <t>bametalgraphics</t>
  </si>
  <si>
    <t>resilientfireprotection</t>
  </si>
  <si>
    <t>Method:FieldServices for QBO</t>
  </si>
  <si>
    <t>httpsu</t>
  </si>
  <si>
    <t>intelgest3</t>
  </si>
  <si>
    <t>Security</t>
  </si>
  <si>
    <t>manexusa3</t>
  </si>
  <si>
    <t>manexusa4</t>
  </si>
  <si>
    <t>allservicessouthfloridaelevator</t>
  </si>
  <si>
    <t>prolasinc</t>
  </si>
  <si>
    <t>TT</t>
  </si>
  <si>
    <t>Trinidad and Tobago</t>
  </si>
  <si>
    <t>seniorlivingsolutionsga</t>
  </si>
  <si>
    <t>Assisted living facilities for the elderly</t>
  </si>
  <si>
    <t>ayrtechfleetsolutionsinc</t>
  </si>
  <si>
    <t>johnbroedersmachinecoltd</t>
  </si>
  <si>
    <t>worldnetworksystems</t>
  </si>
  <si>
    <t>Costa Rica</t>
  </si>
  <si>
    <t>sociumsecurity2</t>
  </si>
  <si>
    <t>balanceupaccounting2</t>
  </si>
  <si>
    <t>Services</t>
  </si>
  <si>
    <t>upgradeelectricllc</t>
  </si>
  <si>
    <t>empirepropanenwllc</t>
  </si>
  <si>
    <t>a1treeredding</t>
  </si>
  <si>
    <t>Referred</t>
  </si>
  <si>
    <t>Altiro Solutions</t>
  </si>
  <si>
    <t>general contractor</t>
  </si>
  <si>
    <t>synergylivinghomesllc</t>
  </si>
  <si>
    <t>sayyasingh</t>
  </si>
  <si>
    <t>spotlightevents2</t>
  </si>
  <si>
    <t>wrhaburnconsulting</t>
  </si>
  <si>
    <t>Belize</t>
  </si>
  <si>
    <t>printasaurus2</t>
  </si>
  <si>
    <t>inspiringdreamsventure</t>
  </si>
  <si>
    <t>Financial transactions processing, reserve, and clearinghouse activities</t>
  </si>
  <si>
    <t>primetonellc</t>
  </si>
  <si>
    <t>cajconsultingllc</t>
  </si>
  <si>
    <t>Other management consulting services</t>
  </si>
  <si>
    <t>bmdistributorsllc</t>
  </si>
  <si>
    <t>Wine and distilled alcoholic beverage merchant wholesalers</t>
  </si>
  <si>
    <t>promarkbrandedsolutions</t>
  </si>
  <si>
    <t>Other direct selling establishments</t>
  </si>
  <si>
    <t>hurricanecharlie</t>
  </si>
  <si>
    <t>jmorigintechnosoftprivatelimited</t>
  </si>
  <si>
    <t>subcitylife</t>
  </si>
  <si>
    <t>transitiongroupsa</t>
  </si>
  <si>
    <t>Botswana</t>
  </si>
  <si>
    <t>sublimatetechnologiesllc</t>
  </si>
  <si>
    <t>Other services to buildings and dwellings</t>
  </si>
  <si>
    <t>cfuqc</t>
  </si>
  <si>
    <t>marathonmarketingbranding2</t>
  </si>
  <si>
    <t>Cloud Consultancy</t>
  </si>
  <si>
    <t>tecnosistemas</t>
  </si>
  <si>
    <t>PA</t>
  </si>
  <si>
    <t>Panama</t>
  </si>
  <si>
    <t>intusinteriors</t>
  </si>
  <si>
    <t>Interior design services</t>
  </si>
  <si>
    <t>studiopartnership</t>
  </si>
  <si>
    <t>fe3manlimited3</t>
  </si>
  <si>
    <t>Professional Services – e.g. consultants, designers, tutors &amp; childminders</t>
  </si>
  <si>
    <t>machanicautomotiverepair</t>
  </si>
  <si>
    <t>rightworks3</t>
  </si>
  <si>
    <t>AccountingorBookkeeping</t>
  </si>
  <si>
    <t>rightworks4</t>
  </si>
  <si>
    <t>soundestatewatch</t>
  </si>
  <si>
    <t>Home Watch IT, LLC</t>
  </si>
  <si>
    <t>Home Watch</t>
  </si>
  <si>
    <t>Slovenia</t>
  </si>
  <si>
    <t>fabbian</t>
  </si>
  <si>
    <t>ezstreetllc</t>
  </si>
  <si>
    <t>tonygmg</t>
  </si>
  <si>
    <t>neowavehub</t>
  </si>
  <si>
    <t>Palestinian Territory</t>
  </si>
  <si>
    <t>ipccleaningsolutions</t>
  </si>
  <si>
    <t>staterenewals</t>
  </si>
  <si>
    <t>staterenewals2</t>
  </si>
  <si>
    <t>rivergatedoorsupply</t>
  </si>
  <si>
    <t>Other commercial equipment merchant wholesalers</t>
  </si>
  <si>
    <t>granburyappliancerepairatgmailcom</t>
  </si>
  <si>
    <t>Appliance repair and maintenance</t>
  </si>
  <si>
    <t>threethirteeninc</t>
  </si>
  <si>
    <t>Surveying</t>
  </si>
  <si>
    <t>bebeeelectricalservice</t>
  </si>
  <si>
    <t>dg2</t>
  </si>
  <si>
    <t>homedelivery</t>
  </si>
  <si>
    <t>Bangladesh</t>
  </si>
  <si>
    <t>airtechsolutions</t>
  </si>
  <si>
    <t>Other activities related to real estate</t>
  </si>
  <si>
    <t>ginacarver</t>
  </si>
  <si>
    <t>pakarcctvmsdnbhd2</t>
  </si>
  <si>
    <t>MY</t>
  </si>
  <si>
    <t>Malaysia</t>
  </si>
  <si>
    <t>paragonlandscape</t>
  </si>
  <si>
    <t>swimshadypools</t>
  </si>
  <si>
    <t>AU</t>
  </si>
  <si>
    <t>jandgculvertsinc</t>
  </si>
  <si>
    <t>fast</t>
  </si>
  <si>
    <t>https://www.youtube.com/</t>
  </si>
  <si>
    <t>Gambia</t>
  </si>
  <si>
    <t>esalymechanic</t>
  </si>
  <si>
    <t>Method:FieldServices</t>
  </si>
  <si>
    <t>jollygl</t>
  </si>
  <si>
    <t>contractornet</t>
  </si>
  <si>
    <t>pivotalmomentuminc</t>
  </si>
  <si>
    <t>zahntechnique</t>
  </si>
  <si>
    <t>isprofessionalservices</t>
  </si>
  <si>
    <t>westseattleelectricandsolar</t>
  </si>
  <si>
    <t>Mexico</t>
  </si>
  <si>
    <t>candcremodeling</t>
  </si>
  <si>
    <t>laserway</t>
  </si>
  <si>
    <t>foodheadsinc</t>
  </si>
  <si>
    <t>Marketing consulting services</t>
  </si>
  <si>
    <t>clearviewpoolsinc</t>
  </si>
  <si>
    <t>evolutionweldingandfabrication</t>
  </si>
  <si>
    <t>schwartzproperties</t>
  </si>
  <si>
    <t>Marwan Dajani Business Solutions</t>
  </si>
  <si>
    <t>mikalacorp2</t>
  </si>
  <si>
    <t>Service Provider</t>
  </si>
  <si>
    <t>a1forestrygroupllc</t>
  </si>
  <si>
    <t>Support activities for forestry</t>
  </si>
  <si>
    <t>a1treeservices</t>
  </si>
  <si>
    <t>a1vegetationmanagementllc</t>
  </si>
  <si>
    <t>prescottgreenwaste</t>
  </si>
  <si>
    <t>Other waste collection</t>
  </si>
  <si>
    <t>tdsprojectsgroup</t>
  </si>
  <si>
    <t>ZA</t>
  </si>
  <si>
    <t>4</t>
  </si>
  <si>
    <t>South Africa</t>
  </si>
  <si>
    <t>preferpack</t>
  </si>
  <si>
    <t>pmtreliabilityltd</t>
  </si>
  <si>
    <t>https://duckduckgo.com/</t>
  </si>
  <si>
    <t>Management, Scientific, and Technical Consulting Services</t>
  </si>
  <si>
    <t>nimbuslogic2</t>
  </si>
  <si>
    <t>linkestimation</t>
  </si>
  <si>
    <t>Pakistan</t>
  </si>
  <si>
    <t>mikalacorporation</t>
  </si>
  <si>
    <t>a1treeservices2</t>
  </si>
  <si>
    <t>a1forestrygroupllc2</t>
  </si>
  <si>
    <t>a1vegetationmanagement</t>
  </si>
  <si>
    <t>General Contractor</t>
  </si>
  <si>
    <t>nickdavis</t>
  </si>
  <si>
    <t>petraharris</t>
  </si>
  <si>
    <t>onyxlinesllc</t>
  </si>
  <si>
    <t>ninetyfivemillionthreehundredandninetyfour</t>
  </si>
  <si>
    <t>chcnavigationusacorporation</t>
  </si>
  <si>
    <t>nxastudio</t>
  </si>
  <si>
    <t>supremeconceptsproprietarylimited</t>
  </si>
  <si>
    <t>manexusa5</t>
  </si>
  <si>
    <t>maritimegoodfood</t>
  </si>
  <si>
    <t>jahanvi</t>
  </si>
  <si>
    <t>dashboardgenius</t>
  </si>
  <si>
    <t>frispycrispy</t>
  </si>
  <si>
    <t>PK</t>
  </si>
  <si>
    <t>Accommodation and Food Services</t>
  </si>
  <si>
    <t>bfmcontrcatorservices</t>
  </si>
  <si>
    <t>jdminstallationsllc</t>
  </si>
  <si>
    <t>Automotive parts, repair and maintenance</t>
  </si>
  <si>
    <t>All other automotive repair and maintenance</t>
  </si>
  <si>
    <t>bossisecurityriskmanagment</t>
  </si>
  <si>
    <t>Aruba</t>
  </si>
  <si>
    <t>goodenergycollectivellcoilify</t>
  </si>
  <si>
    <t>synova</t>
  </si>
  <si>
    <t>hinc</t>
  </si>
  <si>
    <t>getacquainted</t>
  </si>
  <si>
    <t>corbymechanicalservices</t>
  </si>
  <si>
    <t>codex3</t>
  </si>
  <si>
    <t>timbertakeawaytreecare</t>
  </si>
  <si>
    <t>homersicecream</t>
  </si>
  <si>
    <t>threepillarsconsulting2</t>
  </si>
  <si>
    <t>theemberalliance</t>
  </si>
  <si>
    <t>Method:Donor for QBO</t>
  </si>
  <si>
    <t>catherwoodtowing</t>
  </si>
  <si>
    <t>goldcoastpoolandspa</t>
  </si>
  <si>
    <t>egfservicesinc</t>
  </si>
  <si>
    <t>ngi</t>
  </si>
  <si>
    <t>sergioalejandro</t>
  </si>
  <si>
    <t>gotaguy</t>
  </si>
  <si>
    <t>renovvo</t>
  </si>
  <si>
    <t>Residential remodelers</t>
  </si>
  <si>
    <t>fofaorganicfarm</t>
  </si>
  <si>
    <t>philsqualityrepairs</t>
  </si>
  <si>
    <t>quickbooksintegrations</t>
  </si>
  <si>
    <t>brannanaluminuminccom</t>
  </si>
  <si>
    <t>eddy2</t>
  </si>
  <si>
    <t>beuta</t>
  </si>
  <si>
    <t>coulombengineeringinc</t>
  </si>
  <si>
    <t>stockman</t>
  </si>
  <si>
    <t>deletethis2</t>
  </si>
  <si>
    <t>azequipmentrepair</t>
  </si>
  <si>
    <t>newtalentadvertising</t>
  </si>
  <si>
    <t>Professional Services (e.g. Legal, Accounting, Marketing, Consulting)</t>
  </si>
  <si>
    <t>milton</t>
  </si>
  <si>
    <t>zephyrbhs</t>
  </si>
  <si>
    <t>Conveyor and conveying equipment manufacturing</t>
  </si>
  <si>
    <t>hemlatasharma</t>
  </si>
  <si>
    <t>wlcgroup</t>
  </si>
  <si>
    <t>williamsglassandcompanyllc</t>
  </si>
  <si>
    <t>tweezerdistributors</t>
  </si>
  <si>
    <t>UG</t>
  </si>
  <si>
    <t>Retail Trade (Food &amp; Beverage)</t>
  </si>
  <si>
    <t>Uganda</t>
  </si>
  <si>
    <t>texanmosquitosystems</t>
  </si>
  <si>
    <t>toronaturallabsltd</t>
  </si>
  <si>
    <t>wyacore</t>
  </si>
  <si>
    <t>Method:Proposals for QBO</t>
  </si>
  <si>
    <t>All other business support services</t>
  </si>
  <si>
    <t>ginacarver2</t>
  </si>
  <si>
    <t>Bookkeeping</t>
  </si>
  <si>
    <t>professionaldoorfixers</t>
  </si>
  <si>
    <t>General Service</t>
  </si>
  <si>
    <t>texassolarsheep</t>
  </si>
  <si>
    <t>ktg</t>
  </si>
  <si>
    <t>pd2</t>
  </si>
  <si>
    <t>acapp</t>
  </si>
  <si>
    <t>Apparel Manufacturing</t>
  </si>
  <si>
    <t>marinetechnicalservices</t>
  </si>
  <si>
    <t>appliedmediaus</t>
  </si>
  <si>
    <t>expresscrossdockingllc</t>
  </si>
  <si>
    <t>General warehousing and storage</t>
  </si>
  <si>
    <t>greendesignslandscaping2</t>
  </si>
  <si>
    <t>vadhjk</t>
  </si>
  <si>
    <t>France</t>
  </si>
  <si>
    <t>citizensuk2</t>
  </si>
  <si>
    <t>polocarpetcleaningandflooringllc2</t>
  </si>
  <si>
    <t>Flooring contractors</t>
  </si>
  <si>
    <t>kckcpa</t>
  </si>
  <si>
    <t>https://search.yahoo.com/</t>
  </si>
  <si>
    <t>quickwrapgifts</t>
  </si>
  <si>
    <t>mngfoods</t>
  </si>
  <si>
    <t>NZ</t>
  </si>
  <si>
    <t>New Zealand</t>
  </si>
  <si>
    <t>countylogisticsllc</t>
  </si>
  <si>
    <t>massi</t>
  </si>
  <si>
    <t>Other specialized design services</t>
  </si>
  <si>
    <t>hifresh</t>
  </si>
  <si>
    <t>cpcorp</t>
  </si>
  <si>
    <t>getweys</t>
  </si>
  <si>
    <t>discounp</t>
  </si>
  <si>
    <t>superior5</t>
  </si>
  <si>
    <t>ptharargeneraltrading</t>
  </si>
  <si>
    <t>ID</t>
  </si>
  <si>
    <t>Wholesale Trade</t>
  </si>
  <si>
    <t>Singapore</t>
  </si>
  <si>
    <t>vespoliusainc</t>
  </si>
  <si>
    <t>maritimegoodfood2</t>
  </si>
  <si>
    <t>regionselectricinc</t>
  </si>
  <si>
    <t>testinggroupllc</t>
  </si>
  <si>
    <t>pipehitterplumbing</t>
  </si>
  <si>
    <t>Plumbing, gas fitting</t>
  </si>
  <si>
    <t>fareeninttest</t>
  </si>
  <si>
    <t>luxuryharrods</t>
  </si>
  <si>
    <t>nehalbekawala</t>
  </si>
  <si>
    <t>regionselectricinc2</t>
  </si>
  <si>
    <t>none58</t>
  </si>
  <si>
    <t>arsincne</t>
  </si>
  <si>
    <t>Other Scientific and Technical Consulting Services</t>
  </si>
  <si>
    <t>ibidmachinery</t>
  </si>
  <si>
    <t>Other industrial machinery manufacturing</t>
  </si>
  <si>
    <t>brilliantlypristinecleanersllc</t>
  </si>
  <si>
    <t>williamthomasdigital</t>
  </si>
  <si>
    <t>acemysteryshopping2</t>
  </si>
  <si>
    <t>synergystaffingusa</t>
  </si>
  <si>
    <t>https://bit.ly/3PWw6Mj</t>
  </si>
  <si>
    <t>aliteservicesllc</t>
  </si>
  <si>
    <t>apex2</t>
  </si>
  <si>
    <t>socialconcepts</t>
  </si>
  <si>
    <t>Internet Publishing and Broadcasting and Web Search Portals</t>
  </si>
  <si>
    <t>thecleaningclub</t>
  </si>
  <si>
    <t>forward2</t>
  </si>
  <si>
    <t>momoka</t>
  </si>
  <si>
    <t>mastertouchpools3</t>
  </si>
  <si>
    <t>westpac</t>
  </si>
  <si>
    <t>MA</t>
  </si>
  <si>
    <t>Netherlands</t>
  </si>
  <si>
    <t>md2</t>
  </si>
  <si>
    <t>lucidpay</t>
  </si>
  <si>
    <t>AE</t>
  </si>
  <si>
    <t>mcmillionpools2</t>
  </si>
  <si>
    <t>mcmillionpoolco2</t>
  </si>
  <si>
    <t>suttermedicalcentersacramento</t>
  </si>
  <si>
    <t>Method:FieldServices for Xero</t>
  </si>
  <si>
    <t>secantpublishingllc2</t>
  </si>
  <si>
    <t>kwakhalabs</t>
  </si>
  <si>
    <t>ZW</t>
  </si>
  <si>
    <t>Zimbabwe</t>
  </si>
  <si>
    <t>sesmas</t>
  </si>
  <si>
    <t>axa2</t>
  </si>
  <si>
    <t>deltalogisticsinc</t>
  </si>
  <si>
    <t>bugbash</t>
  </si>
  <si>
    <t>arabasa</t>
  </si>
  <si>
    <t>bullzeyetacosandcatering</t>
  </si>
  <si>
    <t>asfalt</t>
  </si>
  <si>
    <t>superiorwaterproofingandrestorationinc</t>
  </si>
  <si>
    <t>terraboundsolutions</t>
  </si>
  <si>
    <t>Retail: General</t>
  </si>
  <si>
    <t>intercontinentaltraderinc</t>
  </si>
  <si>
    <t>hhh2</t>
  </si>
  <si>
    <t>Commercial and institutional building construction</t>
  </si>
  <si>
    <t>twmechanicalservices</t>
  </si>
  <si>
    <t>alld1</t>
  </si>
  <si>
    <t>easterndominicanchristianmission</t>
  </si>
  <si>
    <t>Religious organizations</t>
  </si>
  <si>
    <t>Dominican Republic</t>
  </si>
  <si>
    <t>trueupsolutions</t>
  </si>
  <si>
    <t>indigenousimaginationworkshop</t>
  </si>
  <si>
    <t>Graphic design services</t>
  </si>
  <si>
    <t>griffindecksandcovers2</t>
  </si>
  <si>
    <t>Builder</t>
  </si>
  <si>
    <t>criteriummn</t>
  </si>
  <si>
    <t>nervanamedical</t>
  </si>
  <si>
    <t>Medical, dental, and hospital equipment and supplies merchant wholesalers</t>
  </si>
  <si>
    <t>garagedoorworks2</t>
  </si>
  <si>
    <t>Overhead Doors And Openers</t>
  </si>
  <si>
    <t>partnersautomotive</t>
  </si>
  <si>
    <t>tropicalroots</t>
  </si>
  <si>
    <t>dell</t>
  </si>
  <si>
    <t>shauna</t>
  </si>
  <si>
    <t>ridah</t>
  </si>
  <si>
    <t>Israel</t>
  </si>
  <si>
    <t>kimberlyroberts</t>
  </si>
  <si>
    <t>obxcertifiedpoolandspaservicesllc4</t>
  </si>
  <si>
    <t>obxcertifiedpoolandspaservicesllc5</t>
  </si>
  <si>
    <t>agtbookkeeping</t>
  </si>
  <si>
    <t>lucymedina</t>
  </si>
  <si>
    <t>rhondavarner</t>
  </si>
  <si>
    <t>lakayseasytransport</t>
  </si>
  <si>
    <t>magicbreezekombucha</t>
  </si>
  <si>
    <t>Breweries</t>
  </si>
  <si>
    <t>amgen2</t>
  </si>
  <si>
    <t>josephcrawley</t>
  </si>
  <si>
    <t>brivester</t>
  </si>
  <si>
    <t>KE</t>
  </si>
  <si>
    <t>Kenya</t>
  </si>
  <si>
    <t>pittmanoilcompany</t>
  </si>
  <si>
    <t>xinyujiangxicn</t>
  </si>
  <si>
    <t>none59</t>
  </si>
  <si>
    <t>wasif</t>
  </si>
  <si>
    <t>redmondandcompanyinc</t>
  </si>
  <si>
    <t>zenoutdoor2</t>
  </si>
  <si>
    <t>abcorlandolumberandhardware</t>
  </si>
  <si>
    <t>chicagofirefurniture2</t>
  </si>
  <si>
    <t>millervofsarasota</t>
  </si>
  <si>
    <t>whiteriverblasters</t>
  </si>
  <si>
    <t>Sandblasting and Painting</t>
  </si>
  <si>
    <t>firsttimieforeverything</t>
  </si>
  <si>
    <t>gonzalezcarpetsuppliesllc</t>
  </si>
  <si>
    <t>RetailSummary</t>
  </si>
  <si>
    <t>thomsonkuramatsugroupinc</t>
  </si>
  <si>
    <t>waccessoriesnyc</t>
  </si>
  <si>
    <t>stpbakershill</t>
  </si>
  <si>
    <t>treygirlzlilclean</t>
  </si>
  <si>
    <t>treygirlsclean</t>
  </si>
  <si>
    <t>byarcadiacp</t>
  </si>
  <si>
    <t>pavan2</t>
  </si>
  <si>
    <t>turner412</t>
  </si>
  <si>
    <t>ndglobal</t>
  </si>
  <si>
    <t>jjccfinancialexpertsinc</t>
  </si>
  <si>
    <t>umojo4</t>
  </si>
  <si>
    <t>Other computer related services</t>
  </si>
  <si>
    <t>thejumpropestore</t>
  </si>
  <si>
    <t>suite3500</t>
  </si>
  <si>
    <t>whiffinit</t>
  </si>
  <si>
    <t>faychristie</t>
  </si>
  <si>
    <t>anetagiadlav</t>
  </si>
  <si>
    <t>verizon2</t>
  </si>
  <si>
    <t>wowcleancarpets</t>
  </si>
  <si>
    <t>personal22</t>
  </si>
  <si>
    <t>tdaniels</t>
  </si>
  <si>
    <t>creativetilesolutionsllc</t>
  </si>
  <si>
    <t>robinhood</t>
  </si>
  <si>
    <t>axure</t>
  </si>
  <si>
    <t>teammusicpteltd</t>
  </si>
  <si>
    <t>startrackprojects</t>
  </si>
  <si>
    <t>dyebookkeeping</t>
  </si>
  <si>
    <t>optimum</t>
  </si>
  <si>
    <t>intuit50</t>
  </si>
  <si>
    <t>Commercial banking</t>
  </si>
  <si>
    <t>intuit51</t>
  </si>
  <si>
    <t>BFS</t>
  </si>
  <si>
    <t>startrackprojects2</t>
  </si>
  <si>
    <t>graceysglowenergy</t>
  </si>
  <si>
    <t>abcorlandolumberandhardware2</t>
  </si>
  <si>
    <t>skyprogressdigital</t>
  </si>
  <si>
    <t>website design</t>
  </si>
  <si>
    <t>test194</t>
  </si>
  <si>
    <t>carrolltigers</t>
  </si>
  <si>
    <t>skilledmobility</t>
  </si>
  <si>
    <t>peaceofmindinsurance</t>
  </si>
  <si>
    <t>ercsolutionsinc</t>
  </si>
  <si>
    <t>sai2</t>
  </si>
  <si>
    <t>njiai</t>
  </si>
  <si>
    <t>SBS Associates, Inc.</t>
  </si>
  <si>
    <t>Investigation services</t>
  </si>
  <si>
    <t>skyvaultaiallocation</t>
  </si>
  <si>
    <t>calpacificsupply</t>
  </si>
  <si>
    <t>denariustradingcompany</t>
  </si>
  <si>
    <t>calpacificsupplyinc</t>
  </si>
  <si>
    <t>pr2</t>
  </si>
  <si>
    <t>smartapproachdigital</t>
  </si>
  <si>
    <t>preservingmemoriesllc</t>
  </si>
  <si>
    <t>refreshingripplespoolandspallc</t>
  </si>
  <si>
    <t>Pool and Spa maintenance and service</t>
  </si>
  <si>
    <t>fcs3</t>
  </si>
  <si>
    <t>powerconstructionllc</t>
  </si>
  <si>
    <t>minfinity888ptyltd2</t>
  </si>
  <si>
    <t>elev8equipment</t>
  </si>
  <si>
    <t>unitedbusinessgroupllc</t>
  </si>
  <si>
    <t>SaaSphalt for QBO</t>
  </si>
  <si>
    <t>Tech In The Field</t>
  </si>
  <si>
    <t>evs2</t>
  </si>
  <si>
    <t>hack2</t>
  </si>
  <si>
    <t>noneya</t>
  </si>
  <si>
    <t>pakarcctvmsdnbhd3</t>
  </si>
  <si>
    <t>isbu</t>
  </si>
  <si>
    <t>localinitiativesupportcorporation</t>
  </si>
  <si>
    <t>Tax preparation services</t>
  </si>
  <si>
    <t>thelasourcegroup</t>
  </si>
  <si>
    <t>wholecubesofficefurniture</t>
  </si>
  <si>
    <t>startrackprojects3</t>
  </si>
  <si>
    <t>18</t>
  </si>
  <si>
    <t>individual7</t>
  </si>
  <si>
    <t>haithammustafacharteredaccountants2</t>
  </si>
  <si>
    <t>EG</t>
  </si>
  <si>
    <t>unitedway</t>
  </si>
  <si>
    <t>oakridgefoamandcoatingsystemsinc</t>
  </si>
  <si>
    <t>manufacturing</t>
  </si>
  <si>
    <t>yvonnepetricka</t>
  </si>
  <si>
    <t>brutusenterprises</t>
  </si>
  <si>
    <t>cse2</t>
  </si>
  <si>
    <t>Engineering services</t>
  </si>
  <si>
    <t>whiffinitllc</t>
  </si>
  <si>
    <t>All other miscellaneous store retailers (except tobacco stores)</t>
  </si>
  <si>
    <t>larebel</t>
  </si>
  <si>
    <t>Oil and gas pipeline and related structures construction</t>
  </si>
  <si>
    <t>ercsolutions</t>
  </si>
  <si>
    <t>US-Partner 2 Free Users</t>
  </si>
  <si>
    <t>masterchefpr</t>
  </si>
  <si>
    <t>joshtech</t>
  </si>
  <si>
    <t>americandoor</t>
  </si>
  <si>
    <t>sfcconstruction</t>
  </si>
  <si>
    <t>refreshingripplespoolandspallc2</t>
  </si>
  <si>
    <t>masterchefpr2</t>
  </si>
  <si>
    <t>onehundredandtwentythreeinnovativesolution</t>
  </si>
  <si>
    <t>maewelldrawindustriesllc2</t>
  </si>
  <si>
    <t>letgracein</t>
  </si>
  <si>
    <t>Other personal care services</t>
  </si>
  <si>
    <t>durl</t>
  </si>
  <si>
    <t>Argentina</t>
  </si>
  <si>
    <t>escheloninc</t>
  </si>
  <si>
    <t>testorg12</t>
  </si>
  <si>
    <t>hrmob</t>
  </si>
  <si>
    <t>indeedseo</t>
  </si>
  <si>
    <t>uday</t>
  </si>
  <si>
    <t>ternionelevatorcompany</t>
  </si>
  <si>
    <t>rockymountainelectricandcontrolllc</t>
  </si>
  <si>
    <t>Electrical contractors and other wiring installation contractors</t>
  </si>
  <si>
    <t>integratedfacilityservices</t>
  </si>
  <si>
    <t>piericompanies</t>
  </si>
  <si>
    <t>baymonservalllp</t>
  </si>
  <si>
    <t>sailsandgrace2</t>
  </si>
  <si>
    <t>Sports and Recreation Instruction</t>
  </si>
  <si>
    <t>erosionmanagementservices</t>
  </si>
  <si>
    <t>Environmental consulting services</t>
  </si>
  <si>
    <t>mbja</t>
  </si>
  <si>
    <t>Sports and recreation instruction</t>
  </si>
  <si>
    <t>everestguttercompany</t>
  </si>
  <si>
    <t>electricalcontrolsandinstrumentationservic</t>
  </si>
  <si>
    <t>SR</t>
  </si>
  <si>
    <t>Construction/Builder</t>
  </si>
  <si>
    <t>Suriname</t>
  </si>
  <si>
    <t>cleanslatefinancialservices</t>
  </si>
  <si>
    <t>infernodesignandconsultancylimited</t>
  </si>
  <si>
    <t>twothousandandtwentyfivedecember</t>
  </si>
  <si>
    <t>degreasingengineers</t>
  </si>
  <si>
    <t>degreasingengineers2</t>
  </si>
  <si>
    <t>canadianfinancegal</t>
  </si>
  <si>
    <t>braggnrites</t>
  </si>
  <si>
    <t>zmksolutions</t>
  </si>
  <si>
    <t>HN</t>
  </si>
  <si>
    <t>Honduras</t>
  </si>
  <si>
    <t>weilerbuildersllc</t>
  </si>
  <si>
    <t>evergreenforestproducts</t>
  </si>
  <si>
    <t>buildwithago</t>
  </si>
  <si>
    <t>construction</t>
  </si>
  <si>
    <t>premiersiteservices</t>
  </si>
  <si>
    <t>ttmtechnologies</t>
  </si>
  <si>
    <t>applianceboss</t>
  </si>
  <si>
    <t>advocatepropertyinspectionsllc</t>
  </si>
  <si>
    <t>bostonwhaler</t>
  </si>
  <si>
    <t>pruittentertainment</t>
  </si>
  <si>
    <t>therepairguyllc</t>
  </si>
  <si>
    <t>cuttingboardsofflorida</t>
  </si>
  <si>
    <t>cyberarkinternal</t>
  </si>
  <si>
    <t>printdeed</t>
  </si>
  <si>
    <t>earthworksnaturalorganics</t>
  </si>
  <si>
    <t>Cleanslate Financial Services</t>
  </si>
  <si>
    <t>vespoliusainc2</t>
  </si>
  <si>
    <t>umjca3</t>
  </si>
  <si>
    <t>finsol</t>
  </si>
  <si>
    <t>justalittlebookkeeping</t>
  </si>
  <si>
    <t>ironeagle</t>
  </si>
  <si>
    <t>handymanveteran3</t>
  </si>
  <si>
    <t>advsts</t>
  </si>
  <si>
    <t>joshphillipshvac</t>
  </si>
  <si>
    <t>titansportsflooring</t>
  </si>
  <si>
    <t>anylabtestnow3</t>
  </si>
  <si>
    <t>rubaedhassanmahin</t>
  </si>
  <si>
    <t>cmshuster</t>
  </si>
  <si>
    <t>Wholesale trade agents and brokers</t>
  </si>
  <si>
    <t>cardinalcomms3</t>
  </si>
  <si>
    <t>mastcontracting</t>
  </si>
  <si>
    <t>punditservices</t>
  </si>
  <si>
    <t>spydersigns</t>
  </si>
  <si>
    <t>halieisconstructionllc</t>
  </si>
  <si>
    <t>Roofing contractors</t>
  </si>
  <si>
    <t>ariadnaruiz</t>
  </si>
  <si>
    <t>personal23</t>
  </si>
  <si>
    <t>protronixcontrols3</t>
  </si>
  <si>
    <t>mtsforqb</t>
  </si>
  <si>
    <t>design_arch_eng</t>
  </si>
  <si>
    <t>bisonoutdoorproducts</t>
  </si>
  <si>
    <t>williselectricalsalesoftexas</t>
  </si>
  <si>
    <t>cpaexcellence</t>
  </si>
  <si>
    <t>bcacunderground</t>
  </si>
  <si>
    <t>epssignsupply2</t>
  </si>
  <si>
    <t>mf4</t>
  </si>
  <si>
    <t>fifthweaverllc</t>
  </si>
  <si>
    <t>hctns</t>
  </si>
  <si>
    <t>South Korea</t>
  </si>
  <si>
    <t>commworldofpa</t>
  </si>
  <si>
    <t>Telecommunications</t>
  </si>
  <si>
    <t>alaskancleaningservice</t>
  </si>
  <si>
    <t>viasocket10</t>
  </si>
  <si>
    <t>plugin</t>
  </si>
  <si>
    <t>tevinlee</t>
  </si>
  <si>
    <t>alli</t>
  </si>
  <si>
    <t>codexsolutions</t>
  </si>
  <si>
    <t>ortegamjhomeimprovemetllc</t>
  </si>
  <si>
    <t>raetechllc</t>
  </si>
  <si>
    <t>chipmunkhillwoodworking</t>
  </si>
  <si>
    <t>greeleyweldcountyairportauthority</t>
  </si>
  <si>
    <t>rizzlemediagroup</t>
  </si>
  <si>
    <t>vahallan3</t>
  </si>
  <si>
    <t>badgerprowash</t>
  </si>
  <si>
    <t>Exterior Cleaning</t>
  </si>
  <si>
    <t>curtistech</t>
  </si>
  <si>
    <t>All other miscellaneous manufacturing</t>
  </si>
  <si>
    <t>environmentalequipment</t>
  </si>
  <si>
    <t>mcjsolutions</t>
  </si>
  <si>
    <t>seekingministries</t>
  </si>
  <si>
    <t>environmentalequipment2</t>
  </si>
  <si>
    <t>smartsbyllc</t>
  </si>
  <si>
    <t>Computer systems design services</t>
  </si>
  <si>
    <t>bisonoutdoorproducts2</t>
  </si>
  <si>
    <t>kennethgreenllc</t>
  </si>
  <si>
    <t>bisolutions</t>
  </si>
  <si>
    <t>mediasolutionsinc</t>
  </si>
  <si>
    <t>offshoremetals</t>
  </si>
  <si>
    <t>ascendanceproductions</t>
  </si>
  <si>
    <t>All other personal services</t>
  </si>
  <si>
    <t>terrastonellc3</t>
  </si>
  <si>
    <t>sdfasdf</t>
  </si>
  <si>
    <t>reddox</t>
  </si>
  <si>
    <t>buhlerpainting</t>
  </si>
  <si>
    <t>mahir</t>
  </si>
  <si>
    <t>myroom</t>
  </si>
  <si>
    <t>dummyfmhomewatch</t>
  </si>
  <si>
    <t>lawnsouth</t>
  </si>
  <si>
    <t>qhwj</t>
  </si>
  <si>
    <t>thakornaresh</t>
  </si>
  <si>
    <t>thakornaresh2</t>
  </si>
  <si>
    <t>etallinc</t>
  </si>
  <si>
    <t>apexadvisorsus</t>
  </si>
  <si>
    <t>handicapsign</t>
  </si>
  <si>
    <t>dennisonlubricantsinc</t>
  </si>
  <si>
    <t>impressionav</t>
  </si>
  <si>
    <t>haseebkhan</t>
  </si>
  <si>
    <t>ahlan</t>
  </si>
  <si>
    <t>Tunisia</t>
  </si>
  <si>
    <t>fmcpreschool</t>
  </si>
  <si>
    <t>stayathomebookkeepingmoms</t>
  </si>
  <si>
    <t>northwestcommunities</t>
  </si>
  <si>
    <t>markhhookerandassociates</t>
  </si>
  <si>
    <t>tomatosales</t>
  </si>
  <si>
    <t>Chicken egg production</t>
  </si>
  <si>
    <t>forwardto2</t>
  </si>
  <si>
    <t>tioperfumes</t>
  </si>
  <si>
    <t>kingandqueenofclean2</t>
  </si>
  <si>
    <t>luuhalexx</t>
  </si>
  <si>
    <t>almeidacontbil</t>
  </si>
  <si>
    <t>dipanddowglassworks2</t>
  </si>
  <si>
    <t>Glass and Glazing Contractors</t>
  </si>
  <si>
    <t>scotchtownhills</t>
  </si>
  <si>
    <t>appraisalsandevaluations</t>
  </si>
  <si>
    <t>Freight transportation arrangement</t>
  </si>
  <si>
    <t>latinoconsultingandnotarygroupllc</t>
  </si>
  <si>
    <t>Offices of notaries</t>
  </si>
  <si>
    <t>beselerconstruction</t>
  </si>
  <si>
    <t>williamsservicesgroup</t>
  </si>
  <si>
    <t>ampedsoftwareusa</t>
  </si>
  <si>
    <t>dallascountyhealthdepartment</t>
  </si>
  <si>
    <t>legacyplumbing26</t>
  </si>
  <si>
    <t>John Sandy and Associates Co</t>
  </si>
  <si>
    <t>ConstructionTradesPlumberElectricianHVAC</t>
  </si>
  <si>
    <t>yyoung</t>
  </si>
  <si>
    <t>Bottled water manufacturing</t>
  </si>
  <si>
    <t>princemanagement</t>
  </si>
  <si>
    <t>orko</t>
  </si>
  <si>
    <t>truebounce3</t>
  </si>
  <si>
    <t>sweethomeoutdoorsllc</t>
  </si>
  <si>
    <t>All other specialty trade contractors</t>
  </si>
  <si>
    <t>williampittsothebysinternationalrealty</t>
  </si>
  <si>
    <t>csw2</t>
  </si>
  <si>
    <t>alfrescoheating2</t>
  </si>
  <si>
    <t>accesscarriercenter</t>
  </si>
  <si>
    <t>swathiindianmarket</t>
  </si>
  <si>
    <t>coolfixapplianceandhvacserviceltd</t>
  </si>
  <si>
    <t>twopeoplecleaning</t>
  </si>
  <si>
    <t>nomadobookkeepingllc</t>
  </si>
  <si>
    <t>Other accounting services</t>
  </si>
  <si>
    <t>starnesservicesllc</t>
  </si>
  <si>
    <t>rhinoroofing</t>
  </si>
  <si>
    <t>cnjscleaningandhandyservices</t>
  </si>
  <si>
    <t>unitedglobaltradingcorp9</t>
  </si>
  <si>
    <t>obeglass</t>
  </si>
  <si>
    <t>Repair and Maintenance (Automotive &amp; Property)</t>
  </si>
  <si>
    <t>prairiecurbsandsurfacesolutions</t>
  </si>
  <si>
    <t>Landscaping services</t>
  </si>
  <si>
    <t>bluebirdretirement</t>
  </si>
  <si>
    <t>General Service-based Business</t>
  </si>
  <si>
    <t>tinkercreekcontracting</t>
  </si>
  <si>
    <t>kristyvaughanbookkeeping</t>
  </si>
  <si>
    <t>dessertoasiscoffeeroasters</t>
  </si>
  <si>
    <t>officedeals</t>
  </si>
  <si>
    <t>ameritech</t>
  </si>
  <si>
    <t>momenezzat</t>
  </si>
  <si>
    <t>mtc2</t>
  </si>
  <si>
    <t>a2zautomotivellc2</t>
  </si>
  <si>
    <t>dhanoatransportationservicesltd</t>
  </si>
  <si>
    <t>weida</t>
  </si>
  <si>
    <t>skaklsco</t>
  </si>
  <si>
    <t>android-app://com.google.android.googlequicksearchbox/</t>
  </si>
  <si>
    <t>precisionmedicalequipment</t>
  </si>
  <si>
    <t>miltonwbosleyandco</t>
  </si>
  <si>
    <t>jrunited3</t>
  </si>
  <si>
    <t>desertarc3</t>
  </si>
  <si>
    <t>Brandow Consulting</t>
  </si>
  <si>
    <t>Other social advocacy organizations</t>
  </si>
  <si>
    <t>menatropicals</t>
  </si>
  <si>
    <t>evitabletransportationagencyllc2</t>
  </si>
  <si>
    <t>Couriers and express delivery services</t>
  </si>
  <si>
    <t>daveevans</t>
  </si>
  <si>
    <t>backoffice</t>
  </si>
  <si>
    <t>caroltech</t>
  </si>
  <si>
    <t>galaxycorporation</t>
  </si>
  <si>
    <t>ozi</t>
  </si>
  <si>
    <t>santofir</t>
  </si>
  <si>
    <t>admin4</t>
  </si>
  <si>
    <t>aqbconsultancy</t>
  </si>
  <si>
    <t>dustbunnysbegone</t>
  </si>
  <si>
    <t>aryansaas</t>
  </si>
  <si>
    <t>Germany</t>
  </si>
  <si>
    <t>majdkorj</t>
  </si>
  <si>
    <t>blevinscorporation</t>
  </si>
  <si>
    <t>Offices of other holding companies</t>
  </si>
  <si>
    <t>rlmfinancialservice</t>
  </si>
  <si>
    <t>capturedmomentslimited13</t>
  </si>
  <si>
    <t>JM</t>
  </si>
  <si>
    <t>20</t>
  </si>
  <si>
    <t>Jamaica</t>
  </si>
  <si>
    <t>techsatcommunications</t>
  </si>
  <si>
    <t>shahfooddistributorsinc</t>
  </si>
  <si>
    <t>pacificgeomaticslimited3</t>
  </si>
  <si>
    <t>blevinsassetmanagement</t>
  </si>
  <si>
    <t>blevinsholdings</t>
  </si>
  <si>
    <t>excelsiouslimited</t>
  </si>
  <si>
    <t>joly</t>
  </si>
  <si>
    <t>capitalsuppliesinc</t>
  </si>
  <si>
    <t>rrplett</t>
  </si>
  <si>
    <t>revivalsolar</t>
  </si>
  <si>
    <t>Solar electric power generation</t>
  </si>
  <si>
    <t>johan</t>
  </si>
  <si>
    <t>hpiunifiedinc</t>
  </si>
  <si>
    <t>Security guards and patrol services</t>
  </si>
  <si>
    <t>thesecond2day</t>
  </si>
  <si>
    <t>trifieldenergy</t>
  </si>
  <si>
    <t>Electrical Services</t>
  </si>
  <si>
    <t>purekbfinc</t>
  </si>
  <si>
    <t>Wholesale &amp; Distribution</t>
  </si>
  <si>
    <t>fletcherquillgroup</t>
  </si>
  <si>
    <t>Application Development/Software, Publishers (packaged)</t>
  </si>
  <si>
    <t>coldent</t>
  </si>
  <si>
    <t>saeed2</t>
  </si>
  <si>
    <t>trinivamanagementgroup</t>
  </si>
  <si>
    <t>Chile</t>
  </si>
  <si>
    <t>gutierrezservices</t>
  </si>
  <si>
    <t>kerriebradshaw</t>
  </si>
  <si>
    <t>beatneed</t>
  </si>
  <si>
    <t>Turkey</t>
  </si>
  <si>
    <t>comfortworkspace</t>
  </si>
  <si>
    <t>naim</t>
  </si>
  <si>
    <t>castlehill</t>
  </si>
  <si>
    <t>adfaengr</t>
  </si>
  <si>
    <t>Iraq</t>
  </si>
  <si>
    <t>nordictimbersllc</t>
  </si>
  <si>
    <t>harmonyalexapressllc</t>
  </si>
  <si>
    <t>Packaging and labeling services</t>
  </si>
  <si>
    <t>theneurobridge</t>
  </si>
  <si>
    <t>ameliaservicegroup</t>
  </si>
  <si>
    <t>maidsnthings</t>
  </si>
  <si>
    <t>prestigeelectricllc3</t>
  </si>
  <si>
    <t>rtlinc</t>
  </si>
  <si>
    <t>hylprojectsolutionsinc</t>
  </si>
  <si>
    <t>Outdoor advertising</t>
  </si>
  <si>
    <t>dvt</t>
  </si>
  <si>
    <t>onestchoicegeneralservicesinc</t>
  </si>
  <si>
    <t>bestelitecleaningservicesinc</t>
  </si>
  <si>
    <t>crawfordmovingandstorage</t>
  </si>
  <si>
    <t>dasaw</t>
  </si>
  <si>
    <t>mpinc</t>
  </si>
  <si>
    <t>Retail bakeries</t>
  </si>
  <si>
    <t>javaislandcoffee</t>
  </si>
  <si>
    <t>elderco</t>
  </si>
  <si>
    <t>growconstruction2</t>
  </si>
  <si>
    <t>pakarcctvmsdnbhd4</t>
  </si>
  <si>
    <t>balanceupaccounting3</t>
  </si>
  <si>
    <t>doorsmith</t>
  </si>
  <si>
    <t>construction_contractor</t>
  </si>
  <si>
    <t>aiimagingsupplies</t>
  </si>
  <si>
    <t>saeed3</t>
  </si>
  <si>
    <t>cajunkleenproductsllc</t>
  </si>
  <si>
    <t>biltconstructionllc2</t>
  </si>
  <si>
    <t>chefscarecompany</t>
  </si>
  <si>
    <t>Professional organizations</t>
  </si>
  <si>
    <t>millermobility</t>
  </si>
  <si>
    <t>castlebar2</t>
  </si>
  <si>
    <t>meilechwettenstein</t>
  </si>
  <si>
    <t>thebartoncocarpets</t>
  </si>
  <si>
    <t>shxrlxy</t>
  </si>
  <si>
    <t>mobilitycityoflubbocktx</t>
  </si>
  <si>
    <t>Both</t>
  </si>
  <si>
    <t>Managed</t>
  </si>
  <si>
    <t>Mobility City Franchises</t>
  </si>
  <si>
    <t>creativeedgephotostudio</t>
  </si>
  <si>
    <t>Commercial photography</t>
  </si>
  <si>
    <t>allcallpaints</t>
  </si>
  <si>
    <t>cladform</t>
  </si>
  <si>
    <t>Other building material dealers</t>
  </si>
  <si>
    <t>jmorigintechnosoftpvtltd</t>
  </si>
  <si>
    <t>tilusjeantyconsulting</t>
  </si>
  <si>
    <t>leon</t>
  </si>
  <si>
    <t>embolx</t>
  </si>
  <si>
    <t>cladform2</t>
  </si>
  <si>
    <t>lakeloreleiohio</t>
  </si>
  <si>
    <t>chefscarecompany2</t>
  </si>
  <si>
    <t>woodfieldpress</t>
  </si>
  <si>
    <t>pipeandmetalcenteroftexas</t>
  </si>
  <si>
    <t>rayhan</t>
  </si>
  <si>
    <t>zimco</t>
  </si>
  <si>
    <t>CookieClickID</t>
  </si>
  <si>
    <t>CreatedDate</t>
  </si>
  <si>
    <t>CompanyAccount</t>
  </si>
  <si>
    <t>AttributionAmount</t>
  </si>
  <si>
    <t>Cost</t>
  </si>
  <si>
    <t>CampaignOriginal</t>
  </si>
  <si>
    <t>SplitOriginal</t>
  </si>
  <si>
    <t>CampaignAdjusted</t>
  </si>
  <si>
    <t>CampaignAdjustedType</t>
  </si>
  <si>
    <t>SplitAdjusted</t>
  </si>
  <si>
    <t>Keyword</t>
  </si>
  <si>
    <t>Referrer</t>
  </si>
  <si>
    <t>BrowserInfo</t>
  </si>
  <si>
    <t>IPAddress</t>
  </si>
  <si>
    <t>IsToBeIgnored</t>
  </si>
  <si>
    <t>AttributionType</t>
  </si>
  <si>
    <t>LastAdjusted</t>
  </si>
  <si>
    <t>AdjustedByRule</t>
  </si>
  <si>
    <t>SyncRegion</t>
  </si>
  <si>
    <t>IsConversionExeption</t>
  </si>
  <si>
    <t>SEO</t>
  </si>
  <si>
    <t>Google</t>
  </si>
  <si>
    <t>DirectSEO</t>
  </si>
  <si>
    <t>https://www.method.me/</t>
  </si>
  <si>
    <t>Mozilla/5.0 (Macintosh; Intel Mac OS X 10_15_7) AppleWebKit/605.1.15 (KHTML, like Gecko) Version/18.5 Safari/605.1.15</t>
  </si>
  <si>
    <t>104.28.133.33</t>
  </si>
  <si>
    <t>U</t>
  </si>
  <si>
    <t>130-SEO: google (DirectSEO)</t>
  </si>
  <si>
    <t>Mozilla/5.0 (Windows NT 10.0; Win64; x64) AppleWebKit/537.36 (KHTML, like Gecko) Chrome/142.0.0.0 Safari/537.36</t>
  </si>
  <si>
    <t>188.70.49.221</t>
  </si>
  <si>
    <t>Other - Generic</t>
  </si>
  <si>
    <t>https://claude.ai/</t>
  </si>
  <si>
    <t>https://www.method.me/blog/construction-project-success-crm-solution/</t>
  </si>
  <si>
    <t>140.213.148.239</t>
  </si>
  <si>
    <t>500-Other: catch-all remainders (DirectSEO)</t>
  </si>
  <si>
    <t>https://www.method.me/blog/quickbooks-customer-portal/</t>
  </si>
  <si>
    <t>Mozilla/5.0 (Windows NT 10.0; Win64; x64) AppleWebKit/537.36 (KHTML, like Gecko) Chrome/142.0.0.0 Safari/537.36 Edg/142.0.0.0</t>
  </si>
  <si>
    <t>200.12.168.23</t>
  </si>
  <si>
    <t>94.140.11.156</t>
  </si>
  <si>
    <t>blank</t>
  </si>
  <si>
    <t>http://signup.method.me/methodcrm</t>
  </si>
  <si>
    <t>69.202.176.104, 52.9.26.127</t>
  </si>
  <si>
    <t>50-Direct: Referrer Blank (Direct)</t>
  </si>
  <si>
    <t>https://signin.method.me/Password/Reset?rpcode=-nZQ0G03B%2bIuTre9Gdsw3ggkv!rw%3du%3dJPbRgJ7a-UmqVNiskXhWYwfMQB8a5</t>
  </si>
  <si>
    <t>Mozilla/5.0 (iPhone; CPU iPhone OS 18_6_2 like Mac OS X) AppleWebKit/605.1.15 (KHTML, like Gecko) CriOS/142.0.7444.148 Mobile/15E148 Safari/604.1</t>
  </si>
  <si>
    <t>65.24.101.202</t>
  </si>
  <si>
    <t>Mozilla/5.0 (Macintosh; Intel Mac OS X 10_15_7) AppleWebKit/537.36 (KHTML, like Gecko) Chrome/142.0.0.0 Safari/537.36</t>
  </si>
  <si>
    <t>74.244.21.218</t>
  </si>
  <si>
    <t>66.41.215.134</t>
  </si>
  <si>
    <t>Mozilla/5.0 (Macintosh; Intel Mac OS X 10_15_7) AppleWebKit/605.1.15 (KHTML, like Gecko) Version/18.0.1 Safari/605.1.15</t>
  </si>
  <si>
    <t>70.170.147.21</t>
  </si>
  <si>
    <t>Bing</t>
  </si>
  <si>
    <t>USA-G-QB-Bing</t>
  </si>
  <si>
    <t>Pay Per Click</t>
  </si>
  <si>
    <t>how_to_add_signature_in_quickbooks_online</t>
  </si>
  <si>
    <t>https://grow.method.me/crm-quickbooks/?trc=86&amp;trk=how to add signature in quickbooks online&amp;trs=USA-G-QB-Bing&amp;msclkid=557a0cff02eb14d3c64065d2caeb7896&amp;utm_source=bing&amp;utm_medium=cpc&amp;utm_campaign=US - Generic 2020&amp;utm_term=how to add signature in quickbooks online&amp;utm_content=Generic</t>
  </si>
  <si>
    <t>Mozilla/5.0 (Windows NT 10.0; Win64; x64) AppleWebKit/537.36 (KHTML, like Gecko) Chrome/138.0.0.0 Safari/537.36 Edg/138.0.0.0</t>
  </si>
  <si>
    <t>142.79.74.157</t>
  </si>
  <si>
    <t>-</t>
  </si>
  <si>
    <t>AdWords</t>
  </si>
  <si>
    <t>US-QBInt</t>
  </si>
  <si>
    <t>crm_integrates_with_quickbooks</t>
  </si>
  <si>
    <t>https://grow.method.me/crm-quickbooks/?trc=81&amp;trk=crm integrates with quickbooks&amp;trs=US-QBInt&amp;campaignid=1543381580&amp;adgroupid=100383660218&amp;adid=424373886646&amp;gad_source=1&amp;gad_campaignid=1543381580&amp;gclid=Cj0KCQjw64jDBhDXARIsABkk8J7ukkus1kvinzQTfDBa9T3cwLPvsAUFxay55glRRXyqwvQ1Qif88XkaAgwwEALw_wcB</t>
  </si>
  <si>
    <t>Mozilla/5.0 (Windows NT 10.0; Win64; x64) AppleWebKit/537.36 (KHTML, like Gecko) Chrome/134.0.0.0 Safari/537.36 OPR/119.0.0.0</t>
  </si>
  <si>
    <t>76.166.152.133</t>
  </si>
  <si>
    <t>Jun</t>
  </si>
  <si>
    <t>Intuit App Card Traffic</t>
  </si>
  <si>
    <t>OPN - Other Peoples Networks</t>
  </si>
  <si>
    <t>Intuit</t>
  </si>
  <si>
    <t>https://appcenter.intuit.com/</t>
  </si>
  <si>
    <t>https://signup.method.me/QBOAppstoreSignup?offering=methodcrm</t>
  </si>
  <si>
    <t>65.184.140.156</t>
  </si>
  <si>
    <t>179-ReferralLink: intuit (OPN) - App center</t>
  </si>
  <si>
    <t>USA-QB-G_Ex</t>
  </si>
  <si>
    <t>quickbooks_crm</t>
  </si>
  <si>
    <t>https://grow.method.me/crm-quickbooks/?trc=81&amp;trk=quickbooks crm&amp;trs=USA-QB-G_Ex&amp;campaignid=22265826203&amp;adgroupid=176758613473&amp;adid=734012603510&amp;gad_source=1&amp;gad_campaignid=22265826203&amp;gbraid=0AAAAAD3ItnbQ-scslMn1OtVxbVSWxN2mJ&amp;gclid=CjwKCAiAlrXJBhBAEiwA-5pgwvitKEc_ApMEwccMJJ-0vo8UrY40YDAv2UXM6GNodmORrMYKZy6gOhoC3A0QAvD_BwE</t>
  </si>
  <si>
    <t>174.162.141.142</t>
  </si>
  <si>
    <t>https://candhcraneservices.method.me/</t>
  </si>
  <si>
    <t>https://signin.method.me/error?errorCode=165&amp;returnUrl=https%3A%2F%2Fcandhcraneservices.method.me%2Fapps%2FDefault.aspx%23%2Ff71e8a16-2653-4e1e-89d3-37753dce28a2</t>
  </si>
  <si>
    <t>139.94.200.69</t>
  </si>
  <si>
    <t>10-Ignore Referrer https method.me</t>
  </si>
  <si>
    <t>http://signup.method.me/methodcrm?_gl=1*16dqon3*_gcl_au*NjAzNTg3NTQzLjE3NjQ2MDk3Mjc.*_ga*MjEyOTUxMjU4MC4xNzY0NjA5NzM0*_ga_L2HEZNW53E*czE3NjQ2MDk3MzQkbzEkZzAkdDE3NjQ2MDk3MzUkajU5JGwwJGgxNjczNjM2NjYx&amp;_ga=2.54480033.848033626.1764609734-2129512580.1764609734</t>
  </si>
  <si>
    <t>205.250.238.119, 52.9.26.127</t>
  </si>
  <si>
    <t>https://signin.method.me/?returnUrl=https%3A%2F%2Fumjca.methodportal.com%2Fapps%2F</t>
  </si>
  <si>
    <t>Mozilla/5.0 (iPhone; CPU iPhone OS 18_6_2 like Mac OS X) AppleWebKit/605.1.15 (KHTML, like Gecko) Version/18.6 Mobile/15E148 Safari/604.1</t>
  </si>
  <si>
    <t>100.2.9.141</t>
  </si>
  <si>
    <t>US-Multi-entity</t>
  </si>
  <si>
    <t>multi-account_crm</t>
  </si>
  <si>
    <t>https://grow.method.me/multi-entity/?trc=81&amp;trk=multi-account crm&amp;trs=US-Multi-entity&amp;campaignid=22836319657&amp;adgroupid=183992915458&amp;adid=765768443211&amp;gad_source=1&amp;gad_campaignid=22836319657&amp;gbraid=0AAAAAD3ItnZcCORda2sETHQ4nib78uZ3B&amp;gclid=Cj0KCQiArOvIBhDLARIsAPwJXOaKqhQhO0cz3xMBJwlL3cEyFuApzdc6oy79yWcGj6HiTsVqGqWRzxkaAhctEALw_wcB</t>
  </si>
  <si>
    <t>107.123.49.25</t>
  </si>
  <si>
    <t>gmb-profile</t>
  </si>
  <si>
    <t>contact-us</t>
  </si>
  <si>
    <t>https://www.method.me/contact-us/?trc=180&amp;trk=contact-us&amp;trs=gmb-profile&amp;utm_source=seo&amp;utm_medium=google&amp;utm_campaign=my-business-profile</t>
  </si>
  <si>
    <t>US-payment</t>
  </si>
  <si>
    <t>quickbooks_online_payment_processing</t>
  </si>
  <si>
    <t>https://grow.method.me/qb-payment/?trc=81&amp;trk=quickbooks online payment processing&amp;trs=US-payment&amp;campaignid=19733246298&amp;adgroupid=146278163933&amp;adid=649435146420&amp;gad_source=1&amp;gad_campaignid=19733246298&amp;gbraid=0AAAAAD3ItnZi9CFAjVhQFCFOFcYmyOWup&amp;gclid=CjwKCAiAlrXJBhBAEiwA-5pgwvgqW2qm5b78Drd4wf59_QQVxH1WepiBjaJvI-eC_MsZ_LDbnGVEVxoC8okQAvD_BwE</t>
  </si>
  <si>
    <t>108.30.191.109</t>
  </si>
  <si>
    <t>https://www.method.me/crm-quickbooks/pricing/</t>
  </si>
  <si>
    <t>Mozilla/5.0 (Macintosh; Intel Mac OS X 10_15_7) AppleWebKit/537.36 (KHTML, like Gecko) Chrome/141.0.0.0 Safari/537.36</t>
  </si>
  <si>
    <t>73.110.192.243</t>
  </si>
  <si>
    <t>Oct</t>
  </si>
  <si>
    <t>ChatGPT</t>
  </si>
  <si>
    <t>Mozilla/5.0 (Macintosh; Intel Mac OS X 10_15_7) AppleWebKit/537.36 (KHTML, like Gecko) Chrome/139.0.0.0 Safari/537.36</t>
  </si>
  <si>
    <t>73.225.249.66</t>
  </si>
  <si>
    <t>194-ChatGPT</t>
  </si>
  <si>
    <t>Black Friday Promo 2025</t>
  </si>
  <si>
    <t>Email1</t>
  </si>
  <si>
    <t>Email</t>
  </si>
  <si>
    <t>1stCTA</t>
  </si>
  <si>
    <t>https://grow.method.me/black-friday-cyber-monday-2025/?trc=711&amp;trk=1stCTA&amp;trs=Email1&amp;utm_campaign=%5B6733%5D%3A 1 0 Black Friday Promo - Leads&amp;utm_content=Get 25  off when you try Method  👀&amp;utm_medium=email&amp;utm_source=ActiveCampaign&amp;vgo_ee=Z0ps0FPGAtFs8OHBt9PXFq5NIxcU2ckrsJ55U2pZESzV%2FXxjB6Q%3D%3Ap4Q%2FALYhLUwI%2FrUkhqoAdhSvhe%2BvXIjN</t>
  </si>
  <si>
    <t>Email2</t>
  </si>
  <si>
    <t>CTA</t>
  </si>
  <si>
    <t>https://grow.method.me/black-friday-cyber-monday-2025/?trc=711&amp;trk=CTA&amp;trs=Email2&amp;utm_campaign=%5B6733%5D%3A 2 0 Black Friday Promo - Leads&amp;utm_content=Plan ahead and get 25  off Method⏳&amp;utm_medium=email&amp;utm_source=ActiveCampaign&amp;vgo_ee=vk5aT1LI90B1mzMXZIu%2BWYHi9%2F9iWcf%2Bbs%2FvwFZXJx6MfSoRwms%3D%3Ae7nmmW231fLgmZmblgcOC8TtoljUInFi</t>
  </si>
  <si>
    <t>Banner</t>
  </si>
  <si>
    <t>https://grow.method.me/black-friday-cyber-monday-2025/?trc=711&amp;trk=Banner&amp;trs=Email2&amp;utm_campaign=%5B6733%5D%3A 2 5 Black Friday Promo - Leads&amp;utm_content=Our Black Friday Sale is HERE - 25  off First 3 Months&amp;utm_medium=email&amp;utm_source=ActiveCampaign&amp;vgo_ee=hVwUn5s3L7Gp1d3V4Jx3NDFIk3TRy0MsLtjL15jSXB2NINOgM%2Fw%3D%3AMT%2FmlrhuFoilZ%2FMWLPtUoBcCec65dQlu</t>
  </si>
  <si>
    <t>108.85.198.23</t>
  </si>
  <si>
    <t>73.225.165.140</t>
  </si>
  <si>
    <t>https://grow.method.me/black-friday-cyber-monday-2025/?trc=711&amp;trk=Banner&amp;trs=Email2&amp;utm_campaign=[6733]: 2 5 Black Friday Promo - Leads&amp;utm_content=Our Black Friday Sale is HERE - 25  off First 3 Months&amp;utm_medium=email&amp;utm_source=ActiveCampaign&amp;vgo_ee=hVwUn5s3L7Gp1d3V4Jx3NDFIk3TRy0MsLtjL15jSXB2NINOgM%2Fw%3D:MT%2FmlrhuFoilZ%2FMWLPtUoBcCec65dQlu</t>
  </si>
  <si>
    <t>http://signup.method.me/methodcrm?trc=711&amp;trk=Banner&amp;trs=Email2&amp;utm_campaign=%5B6733%5D%3A 2 5 Black Friday Promo - Leads&amp;utm_content=Our Black Friday Sale is HERE - 25  off First 3 Months&amp;utm_medium=email&amp;utm_source=ActiveCampaign&amp;vgo_ee=hVwUn5s3L7Gp1d3V4Jx3NDFIk3TRy0MsLtjL15jSXB2NINOgM%2Fw%3D%3AMT%2FmlrhuFoilZ%2FMWLPtUoBcCec65dQlu</t>
  </si>
  <si>
    <t>73.225.249.66, 52.9.26.127</t>
  </si>
  <si>
    <t>104.219.198.108</t>
  </si>
  <si>
    <t>US-QBInt-Ex</t>
  </si>
  <si>
    <t>integrate_with_quickbooks_desktop</t>
  </si>
  <si>
    <t>https://grow.method.me/crm-quickbooks/?trc=81&amp;trk=integrate with quickbooks desktop&amp;trs=US-QBInt-Ex&amp;campaignid=22265826203&amp;adgroupid=186545727779&amp;adid=777091446185&amp;gad_source=1&amp;gad_campaignid=22265826203&amp;gbraid=0AAAAAD3ItnbZS3z8l6nzYVFFMJ1qRT6ol&amp;gclid=CjwKCAiAlrXJBhBAEiwA-5pgwg5H7_tUfZbou9Ws2xcWC0V1Nx5aBgxKaqQPG4rw9C-WDJ7SeUTnuRoCBvkQAvD_BwE</t>
  </si>
  <si>
    <t>http://signup.method.me/donor/</t>
  </si>
  <si>
    <t>Mozilla/5.0 (Windows NT 10.0; Win64; x64) AppleWebKit/537.36 (KHTML, like Gecko) Chrome/141.0.0.0 Safari/537.36</t>
  </si>
  <si>
    <t>162.120.188.234, 52.9.26.127</t>
  </si>
  <si>
    <t>http://signup.method.me/methodcrm?_gl=1*35xga*_gcl_au*OTA4NzE2NzI5LjE3NjQ2NDU2NTg.*_ga*MTI1ODgwNDgzOS4xNzY0NjQ1NjU4*_ga_L2HEZNW53E*czE3NjQ2NDU2NTgkbzEkZzAkdDE3NjQ2NDU2NTgkajYwJGwwJGgzNDc2MjkzNDg.&amp;_ga=2.76960469.1538964529.1764645658-1258804839.1764645658</t>
  </si>
  <si>
    <t>76.98.201.194, 52.9.26.127</t>
  </si>
  <si>
    <t>100.14.235.70</t>
  </si>
  <si>
    <t>Email3</t>
  </si>
  <si>
    <t>https://grow.method.me/black-friday-cyber-monday-2025/?trc=711&amp;trk=CTA&amp;trs=Email3&amp;utm_campaign=%5B6733%5D%3A 3 0 Black Friday Promo - Leads&amp;utm_content=Cyber Day Sale🚨25  off with Method&amp;utm_medium=email&amp;utm_source=ActiveCampaign&amp;vgo_ee=9DHzJExT2v2%2B1fvKVqgmBPyk2%2BvHpawFSje428pKXH2lllbfzV4%3D%3ATDPn6K9B6n1q%2FPnYBJI%2F4Nae7Op30XVj</t>
  </si>
  <si>
    <t>PMax-FS</t>
  </si>
  <si>
    <t>PMax</t>
  </si>
  <si>
    <t>https://syndicatedsearch.goog/</t>
  </si>
  <si>
    <t>https://www.method.me/?trc=81&amp;trk=PMax&amp;trs=PMax-FS&amp;campaignid=21074820200&amp;adgroupid&amp;adid&amp;gad_source=5&amp;gad_campaignid=21077580125</t>
  </si>
  <si>
    <t>Mozilla/5.0 (Linux; Android 16; SM-S166V Build/BP2A.250605.031.A3; wv) AppleWebKit/537.36 (KHTML, like Gecko) Version/4.0 Chrome/142.0.0.0 Mobile Safari/537.36 [FB_IAB/FB4A;FBAV/540.0.0.49.148;IABMV/1;]</t>
  </si>
  <si>
    <t>66.26.67.225</t>
  </si>
  <si>
    <t>http://signup.method.me/methodcrm/</t>
  </si>
  <si>
    <t>Mozilla/5.0 (iPhone; CPU iPhone OS 17_6_1 like Mac OS X) AppleWebKit/605.1.15 (KHTML, like Gecko) Version/17.6 Mobile/15E148 Safari/604.1</t>
  </si>
  <si>
    <t>204.153.3.52, 52.9.26.127</t>
  </si>
  <si>
    <t>quickbook_estimate</t>
  </si>
  <si>
    <t>https://grow.method.me/crm-quickbooks/?trc=86&amp;trk=quickbook estimate&amp;trs=USA-G-QB-Bing&amp;msclkid=9d5a77cb2b2b167e1c921ee5569f174b&amp;utm_source=bing&amp;utm_medium=cpc&amp;utm_campaign=US - Generic 2020&amp;utm_term=quickbook estimate&amp;utm_content=Generic</t>
  </si>
  <si>
    <t>71.205.40.179</t>
  </si>
  <si>
    <t>212.113.204.34</t>
  </si>
  <si>
    <t>Mozilla/5.0 (iPhone; CPU iPhone OS 18_7 like Mac OS X) AppleWebKit/605.1.15 (KHTML, like Gecko) Version/26.1 Mobile/15E148 Safari/604.1</t>
  </si>
  <si>
    <t>108.46.49.34</t>
  </si>
  <si>
    <t>50.243.171.77</t>
  </si>
  <si>
    <t>https://www.method.me/industries/field-service-management-software/?utm_source=chatgpt.com</t>
  </si>
  <si>
    <t>76.183.149.90</t>
  </si>
  <si>
    <t>US-WorkOrder</t>
  </si>
  <si>
    <t>quickbooks_work_order_management</t>
  </si>
  <si>
    <t>https://grow.method.me/quickbooks-fsm/?trc=81&amp;trk=quickbooks work order management&amp;trs=US-WorkOrder&amp;campaignid=12406628869&amp;adgroupid=118144098877&amp;adid=500417359916&amp;gad_source=1&amp;gad_campaignid=12406628869&amp;gbraid=0AAAAAD3Itnbb-v0p7Dw7Bhdk7OpsQaId8&amp;gclid=Cj0KCQiAubrJBhCbARIsAHIdxD9PhuzgzFx4d3Oeatq_oulj9ZdbZgTzuwu80IJCqEK0UFsHKWmAAL4aAnntEALw_wcB</t>
  </si>
  <si>
    <t>104.193.160.11</t>
  </si>
  <si>
    <t>https://grow.method.me/crm-quickbooks/?trc=81&amp;trk=quickbooks crm&amp;trs=USA-QB-G_Ex&amp;campaignid=22265826203&amp;adgroupid=176758613473&amp;adid=734012603510&amp;gad_source=1&amp;gad_campaignid=22265826203&amp;gbraid=0AAAAAD3ItnbZS3z8l6nzYVFFMJ1qRT6ol&amp;gclid=Cj0KCQiAubrJBhCbARIsAHIdxD91Aj2WQqPOZpBBh09mY5kWzXBsLLrHYQVGPGApxr6fWSq1XW-0KsgaAk0GEALw_wcB</t>
  </si>
  <si>
    <t>40.134.88.182</t>
  </si>
  <si>
    <t>70.51.164.183</t>
  </si>
  <si>
    <t>12.21.105.202</t>
  </si>
  <si>
    <t>https://grow.method.me/crm-quickbooks/?trc=81&amp;trk=quickbooks crm&amp;trs=USA-QB-G_Ex&amp;campaignid=22265826203&amp;adgroupid=176758613473&amp;adid=734012603510&amp;gad_source=1&amp;gad_campaignid=22265826203&amp;gbraid=0AAAAAD3ItnbZS3z8l6nzYVFFMJ1qRT6ol&amp;gclid=Cj0KCQiAubrJBhCbARIsAHIdxD9TJfHqIbvGNWgRIlJBUeVw2pz6Co67n1sZyTh7dICR2olwrmUWYYYaAty5EALw_wcB</t>
  </si>
  <si>
    <t>97.210.22.226</t>
  </si>
  <si>
    <t>Capterra</t>
  </si>
  <si>
    <t>Capterra_destinationURL</t>
  </si>
  <si>
    <t>capterra</t>
  </si>
  <si>
    <t>https://www.capterra.com/</t>
  </si>
  <si>
    <t>https://grow.method.me/crm-quickbooks/?trk=capterra&amp;trc=78&amp;trs=Capterra_destinationURL&amp;utm_source=capterra&amp;utm_medium=cpc&amp;utm_campaign=destinationURL&amp;gdmcid=c29c73e3-2013-4457-9593-8e7a2867d847</t>
  </si>
  <si>
    <t>216.213.195.61</t>
  </si>
  <si>
    <t>130.15.33.200</t>
  </si>
  <si>
    <t>Mozilla/5.0 (Windows NT 10.0; Win64; x64; rv:145.0) Gecko/20100101 Firefox/145.0</t>
  </si>
  <si>
    <t>42.110.173.75</t>
  </si>
  <si>
    <t>24.122.128.241</t>
  </si>
  <si>
    <t>207.102.105.104</t>
  </si>
  <si>
    <t>64.180.251.212</t>
  </si>
  <si>
    <t>https://grow.method.me/black-friday-cyber-monday-2025/?trc=711&amp;trk=1stCTA&amp;trs=Email1&amp;utm_campaign=%5B6733%5D%3A 1 0 Black Friday Promo - Leads&amp;utm_content=Get 25  off when you try Method  👀&amp;utm_medium=email&amp;utm_source=ActiveCampaign&amp;vgo_ee=gxt4z3o9pqZEg%2BIRMqgChfnzMnF21ZGi%2F6DRsGdfHGPs81A2fg%3D%3D%3ApUCm0ECfZZsqtJneIsnk9OFfEZ98T0Fq</t>
  </si>
  <si>
    <t>https://grow.method.me/black-friday-cyber-monday-2025/?trc=711&amp;trk=CTA&amp;trs=Email2&amp;utm_campaign=%5B6733%5D%3A 2 0 Black Friday Promo - Leads&amp;utm_content=Plan ahead and get 25  off Method⏳&amp;utm_medium=email&amp;utm_source=ActiveCampaign&amp;vgo_ee=%2BBHYfDULsEzC0PyInKFQms9g%2FnC2w9PPnsetVzaqvdazsP%2FGSw%3D%3D%3Aao%2B7qsSeem0PlSdj3jJB4FliIdk52cou</t>
  </si>
  <si>
    <t>https://grow.method.me/black-friday-cyber-monday-2025/?trc=711&amp;trk=CTA&amp;trs=Email2&amp;utm_campaign=%5B6733%5D%3A 2 5 Black Friday Promo - Leads&amp;utm_content=Our Black Friday Sale is HERE - 25  off First 3 Months&amp;utm_medium=email&amp;utm_source=ActiveCampaign&amp;vgo_ee=PQnjYH%2Bw0pQfypkJL9MipMYi9EbG37nRZnaCAirLf9o7VVZI5Q%3D%3D%3A%2B%2FxGO1t9%2BY68Ps%2BfRG94qGDBip6Xu5b4</t>
  </si>
  <si>
    <t>Mozilla/5.0 (Windows NT 10.0; Win64; x64) AppleWebKit/537.36 (KHTML, like Gecko) Chrome/143.0.0.0 Safari/537.36</t>
  </si>
  <si>
    <t>Newsletter</t>
  </si>
  <si>
    <t>customization-awards</t>
  </si>
  <si>
    <t>Content</t>
  </si>
  <si>
    <t>https://grow.method.me/2025-customization-awards-register/?trc=699&amp;&amp;trs=customization-awards&amp;utm_source=ActiveCampaign&amp;utm_medium=email&amp;utm_content=📆 Best Method CRM customizations of 2025 %28Webinar%29&amp;utm_campaign=Customization Awards - Email %231 %28Copy%29&amp;vgo_ee=KW%2F%2Byyk%2Bqpqsz46SHqydUN918uLSZ7FIaqKEGEEvFu5Pxg%3D%3D%3AM4f8C6WOYMl4Yo593bil9CsIW6N8px3W</t>
  </si>
  <si>
    <t>https://grow.method.me/2025-customization-awards-register/?trc=699&amp;&amp;trs=customization-awards&amp;utm_source=ActiveCampaign&amp;utm_medium=email&amp;utm_content=%F0%9F%93%86%20Best%20Method%20CRM%20customizations%20of%202025%20%28Webinar%29&amp;utm_campaign=Customization%20Awards%20-%20Email%20%231%20%28Copy%29&amp;vgo_ee=KW%2F%2Byyk%2Bqpqsz46SHqydUN918uLSZ7FIaqKEGEEvFu5Pxg%3D%3D%3AM4f8C6WOYMl4Yo593bil9CsIW6N8px3W</t>
  </si>
  <si>
    <t>https://grow.method.me/2025-customization-awards-confirmation/?first_name=Subhash&amp;last_name=Sharma&amp;work_email=info%40brontebay.com&amp;country=Canada&amp;accounting_software=Xero&amp;phone_number=4163158635&amp;utm_source=ActiveCampaign&amp;utm_medium=email&amp;utm_campaign=Customization Awards - Email %231 (Copy)&amp;trc=699&amp;trs=customization-awards</t>
  </si>
  <si>
    <t>https://www.method.me/crm-quickbooks/integrations/</t>
  </si>
  <si>
    <t>83.77.122.88</t>
  </si>
  <si>
    <t>https://signin.method.me/</t>
  </si>
  <si>
    <t>Mozilla/5.0 (Macintosh; Intel Mac OS X 10_15_7) AppleWebKit/605.1.15 (KHTML, like Gecko) Version/18.6 Safari/605.1.15</t>
  </si>
  <si>
    <t>104.188.123.30</t>
  </si>
  <si>
    <t>66.207.210.42</t>
  </si>
  <si>
    <t>Bing-PMax</t>
  </si>
  <si>
    <t>growmethodme</t>
  </si>
  <si>
    <t>https://grow.method.me/best-quickbooks-crm/?trc=86&amp;trk=grow.method.me&amp;trs=Bing-PMax&amp;msclkid=9f4239fb50c21fa5297050d40275a688&amp;utm_source=bing&amp;utm_medium=cpc&amp;utm_campaign=Bing - PMAX&amp;utm_term=grow.method.me&amp;utm_content=US - retargeting</t>
  </si>
  <si>
    <t>108.94.23.4</t>
  </si>
  <si>
    <t>192.80.186.170</t>
  </si>
  <si>
    <t>184.75.16.122</t>
  </si>
  <si>
    <t>http://signup.method.me/?offering=methodcrm</t>
  </si>
  <si>
    <t>Mozilla/5.0 (Windows NT 10.0; Win64; x64) AppleWebKit/537.36 (KHTML, like Gecko) Chrome/130.0.0.0 Safari/537.36</t>
  </si>
  <si>
    <t>74.179.67.143, 52.9.26.127</t>
  </si>
  <si>
    <t>custom_invoice_quickbooks</t>
  </si>
  <si>
    <t>https://grow.method.me/crm-quickbooks/?trc=86&amp;trk=custom invoice quickbooks&amp;trs=USA-G-QB-Bing&amp;msclkid=6baba474e41013e1c2edcd5b81029a7c&amp;utm_source=bing&amp;utm_medium=cpc&amp;utm_campaign=US - Generic 2020&amp;utm_term=custom invoice quickbooks&amp;utm_content=Generic</t>
  </si>
  <si>
    <t>98.97.84.36</t>
  </si>
  <si>
    <t>216.24.59.41</t>
  </si>
  <si>
    <t>US-New-Proposal</t>
  </si>
  <si>
    <t>does_quickbooks_have_electronic_signature</t>
  </si>
  <si>
    <t>https://grow.method.me/method-proposals/?trc=81&amp;trk=does quickbooks have electronic signature&amp;trs=US-New-Proposal&amp;campaignid=19733246298&amp;adgroupid=156304156777&amp;adid=689695736138&amp;gad_source=1&amp;gad_campaignid=19733246298&amp;gbraid=0AAAAAD3ItnZXkcsk3X30-UxERaLriQVb0&amp;gclid=Cj0KCQiAubrJBhCbARIsAHIdxD8mdMJmjJVbZ_BWxW7YMo9ODVTBFR4STHKB7z1Cck3QDYhPCahKr-gaAtk4EALw_wcB</t>
  </si>
  <si>
    <t>170.151.146.174</t>
  </si>
  <si>
    <t>crm_works_with_quickbooks</t>
  </si>
  <si>
    <t>https://grow.method.me/crm-quickbooks/?trc=81&amp;trk=crm works with quickbooks&amp;trs=USA-QB-G_Ex&amp;campaignid=22265826203&amp;adgroupid=176758613473&amp;adid=734012603510&amp;gad_source=1&amp;gad_campaignid=22265826203&amp;gbraid=0AAAAAD3ItnY8dYj6EgtzuDGCW8YS03VZf&amp;gclid=CjwKCAjwp_LDBhBCEiwAK7FnkurcoCbN_VHZKoD3F3-xeGHISK-ND6ZLXrhGH384yLRCm7EqUXDdVBoCtFYQAvD_BwE</t>
  </si>
  <si>
    <t>104.136.164.24</t>
  </si>
  <si>
    <t>Jul</t>
  </si>
  <si>
    <t>https://grow.method.me/crm-quickbooks/?trc=81&amp;trk=crm integrates with quickbooks&amp;trs=US-QBInt-Ex&amp;campaignid=22265826203&amp;adgroupid=186545727779&amp;adid=777091446185&amp;gad_source=1&amp;gad_campaignid=22265826203&amp;gbraid=0AAAAAD3Itnam2j5nHWVuXmJuoGB4QHUV1&amp;gclid=Cj0KCQiAubrJBhCbARIsAHIdxD8sT4zpzABpZFGx3n1JzaoHNFaaUsR3ntg8deFRNjmBN_2jm3OixmsaApvvEALw_wcB</t>
  </si>
  <si>
    <t>Mozilla/5.0 (iPhone; CPU iPhone OS 18_7_1 like Mac OS X) AppleWebKit/605.1.15 (KHTML, like Gecko) Version/18.7 Mobile/15E148 Safari/604.1</t>
  </si>
  <si>
    <t>24.101.237.23</t>
  </si>
  <si>
    <t>131.241.101.55</t>
  </si>
  <si>
    <t>184.148.207.31</t>
  </si>
  <si>
    <t>Mozilla/5.0 (Linux; Android 10; K) AppleWebKit/537.36 (KHTML, like Gecko) Chrome/142.0.0.0 Mobile Safari/537.36</t>
  </si>
  <si>
    <t>223.184.133.232</t>
  </si>
  <si>
    <t>117.20.68.255</t>
  </si>
  <si>
    <t>107.133.215.248</t>
  </si>
  <si>
    <t>Mozilla/5.0 (iPhone; CPU iPhone OS 26_1_0 like Mac OS X) AppleWebKit/605.1.15 (KHTML, like Gecko) EdgiOS/142.0.3595.95 Version/26.0 Mobile/15E148 Safari/604.1</t>
  </si>
  <si>
    <t>74.70.251.222</t>
  </si>
  <si>
    <t>120-SEO: bing (DirectSEO)</t>
  </si>
  <si>
    <t>217.165.17.226</t>
  </si>
  <si>
    <t>171.224.51.29</t>
  </si>
  <si>
    <t>42.200.69.157, 52.9.26.127</t>
  </si>
  <si>
    <t>118.160.192.126</t>
  </si>
  <si>
    <t>Facebook Ads</t>
  </si>
  <si>
    <t>FB-Lookalike</t>
  </si>
  <si>
    <t>BOF</t>
  </si>
  <si>
    <t>https://l.facebook.com/</t>
  </si>
  <si>
    <t>https://grow.method.me/quickbooks-crm-fb/?trc=517&amp;trk=BOF&amp;trs=FB-Lookalike&amp;utm_source=Facebook&amp;utm_medium=PPC&amp;utm_campaign=Banner_trial&amp;utm_id=120213444289450307&amp;utm_content=120215433569050307&amp;utm_term=120215433408020307&amp;fbclid=IwY2xjawOdA8ZleHRuA2FlbQEwAGFkaWQBqykbuk3ag3NydGMGYXBwX2lkEDIyMjAzOTE3ODgyMDA4OTIAAR5hGI96W_1h-NzXKvyCvL68GkcHGJA2cqXPhAZWGhdtTeaKDSdhk36cRrgImg_aem_H2VsKu2fQVsISvAguSn5BA&amp;campaign_id=120213444289450307&amp;ad_id=120215433569050307</t>
  </si>
  <si>
    <t>172.59.216.34</t>
  </si>
  <si>
    <t>CAN-QB-G</t>
  </si>
  <si>
    <t>crm_with_quickbooks</t>
  </si>
  <si>
    <t>https://grow.method.me/quickbooks-method-cad/?trc=81&amp;trk=crm with quickbooks&amp;trs=CAN-QB-G&amp;campaignid=1543604353&amp;adgroupid=61438895000&amp;adid=704657828091&amp;gad_source=1&amp;gad_campaignid=1543604353&amp;gbraid=0AAAAAD3ItnaMundn4Up-tYMPWfU3dxz9g&amp;gclid=Cj0KCQiAubrJBhCbARIsAHIdxD-glMYsYOyvG25S4CG0ZiIQTwVJ7RjEV29E7JMM3sIvI1E_Ch4_c9kaAswBEALw_wcB</t>
  </si>
  <si>
    <t>174.0.17.156</t>
  </si>
  <si>
    <t>50.254.198.41</t>
  </si>
  <si>
    <t>50.89.36.184</t>
  </si>
  <si>
    <t>http://signup.method.me/methodcrm?_gl=1*a0vgwo*_gcl_au*MTgzNzE4NjA2MS4xNzY0NzcyOTQ1*_ga*MTkyNjc2OTE3MS4xNzY0NzcyOTQ1*_ga_L2HEZNW53E*czE3NjQ3NzI5NDQkbzEkZzAkdDE3NjQ3NzI5NDUkajU5JGwwJGg4NzA4NjEyMDk.&amp;_ga=2.145381616.577777304.1764772945-1926769171.1764772945</t>
  </si>
  <si>
    <t>185.67.177.77, 52.9.26.127</t>
  </si>
  <si>
    <t>99.243.57.158</t>
  </si>
  <si>
    <t>174.16.148.240</t>
  </si>
  <si>
    <t>105.155.255.126, 52.9.26.127</t>
  </si>
  <si>
    <t>https://grow.method.me/crm-quickbooks/?trc=81&amp;trk=quickbooks crm&amp;trs=USA-QB-G_Ex&amp;campaignid=22265826203&amp;adgroupid=176758613473&amp;adid=734012603510&amp;gad_source=1&amp;gad_campaignid=22265826203&amp;gbraid=0AAAAAD3ItnbQ-scslMn1OtVxbVSWxN2mJ&amp;gclid=CjwKCAiAlrXJBhBAEiwA-5pgwnLR64YdpwU2sV9YesE_12PLfc5YAT_XruCnd4kJ7DgaBfFYBL8wkxoCFP8QAvD_BwE</t>
  </si>
  <si>
    <t>75.82.219.166</t>
  </si>
  <si>
    <t>46.110.130.21</t>
  </si>
  <si>
    <t>https://grow.method.me/best-quickbooks-crm/?trc=86&amp;trk=grow.method.me&amp;trs=Bing-PMax&amp;msclkid=06d9e66ac1db136da9858f5aa7a5a1e8&amp;utm_source=bing&amp;utm_medium=cpc&amp;utm_campaign=Bing - PMAX&amp;utm_term=grow.method.me&amp;utm_content=US - retargeting</t>
  </si>
  <si>
    <t>73.104.22.2</t>
  </si>
  <si>
    <t>69.42.140.133</t>
  </si>
  <si>
    <t>45.30.145.216</t>
  </si>
  <si>
    <t>184.147.1.169</t>
  </si>
  <si>
    <t>G2</t>
  </si>
  <si>
    <t>freetrial</t>
  </si>
  <si>
    <t>https://www.g2.com/</t>
  </si>
  <si>
    <t>http://signup.method.me/methodcrm?trc=81&amp;trk=freetrial&amp;trs=G2&amp;utm_source=G2&amp;utm_medium=cpc&amp;utm_campaign=G2-profile</t>
  </si>
  <si>
    <t>73.239.202.62, 52.9.26.127</t>
  </si>
  <si>
    <t>185.103.110.235</t>
  </si>
  <si>
    <t>193.186.4.215, 52.9.26.127</t>
  </si>
  <si>
    <t>USA-DSA-QB</t>
  </si>
  <si>
    <t>https://www.method.me/quickbooks-crm/?trc=81&amp;trk=&amp;trs=USA-DSA-QB&amp;campaignid=13038312612&amp;adgroupid=128764620688&amp;adid=776781070272&amp;gad_source=1&amp;gad_campaignid=13038312612&amp;gbraid=0AAAAAD3ItnZKpzd3lODAba8pKfFEjv0PS&amp;gclid=CjwKCAiA3L_JBhAlEiwAlcWO586sd9uwlYeuVd1KVMq1XHVUHWwm6OOs-7KHnncKPjvfxDnbUun8hhoCK3AQAvD_BwE</t>
  </si>
  <si>
    <t>97.210.195.83</t>
  </si>
  <si>
    <t>https://grow.method.me/black-friday-cyber-monday-2025/?trc=711&amp;trk=1stCTA&amp;trs=Email1&amp;utm_campaign=%5B6733%5D%3A 1 0 Black Friday Promo - Leads&amp;utm_content=Get 25  off when you try Method  👀&amp;utm_medium=email&amp;utm_source=ActiveCampaign&amp;vgo_ee=GNoBeZ5kARjN7xAGDE%2Bf2s86Eg9QQAE%2F3CtjXsGf5xnDFijrT18Dug%3D%3D%3A2ymmcwqtXVxwvFjkq06pmpOm7onfJhbi</t>
  </si>
  <si>
    <t>66.227.206.64</t>
  </si>
  <si>
    <t>Email4_Opened</t>
  </si>
  <si>
    <t>https://grow.method.me/black-friday-cyber-monday-2025/?trc=711&amp;trk=CTA&amp;trs=Email4_Opened&amp;utm_campaign=%5B6732%5D%3A 4 0 Black Friday Promo - Leads - %28Opened%29&amp;utm_content=Last chance%21 Cyber Monday offer ends tonight ⏰&amp;utm_medium=email&amp;utm_source=ActiveCampaign&amp;vgo_ee=Wnp7VCvqHxDd7IKWZ%2FspOx2fmOBjWHmAh7R4PlUybz4caS6215splA%3D%3D%3AAS93WZ0g3pUz5XrhePUNziXIjRxHYjbx</t>
  </si>
  <si>
    <t>https://grow.method.me/black-friday-cyber-monday-2025/?trc=711&amp;trk=CTA&amp;trs=Email4_Opened&amp;utm_campaign=[6732]: 4 0 Black Friday Promo - Leads - (Opened)&amp;utm_content=Last chance! Cyber Monday offer ends tonight ⏰&amp;utm_medium=email&amp;utm_source=ActiveCampaign&amp;vgo_ee=Wnp7VCvqHxDd7IKWZ%2FspOx2fmOBjWHmAh7R4PlUybz4caS6215splA%3D%3D:AS93WZ0g3pUz5XrhePUNziXIjRxHYjbx</t>
  </si>
  <si>
    <t>http://signup.method.me/methodcrm?trc=711&amp;trk=CTA&amp;trs=Email4_Opened&amp;utm_campaign=%5B6732%5D: 4 0 Black Friday Promo - Leads - (Opened)&amp;utm_content=Last chance! Cyber Monday offer ends tonight ⏰&amp;utm_medium=email&amp;utm_source=ActiveCampaign&amp;vgo_ee=Wnp7VCvqHxDd7IKWZ%2FspOx2fmOBjWHmAh7R4PlUybz4caS6215splA%3D%3D:AS93WZ0g3pUz5XrhePUNziXIjRxHYjbx</t>
  </si>
  <si>
    <t>66.227.206.64, 52.9.26.127</t>
  </si>
  <si>
    <t>Mozilla/5.0 (Windows NT 10.0; Win64; x64) AppleWebKit/537.36 (KHTML, like Gecko) Chrome/141.0.0.0 Safari/537.36 Edg/141.0.0.0</t>
  </si>
  <si>
    <t>103.166.215.20</t>
  </si>
  <si>
    <t>https://www.method.me/features/mobile-app/</t>
  </si>
  <si>
    <t>154.247.182.204</t>
  </si>
  <si>
    <t>https://www.method.me/blog/how-to-build-a-crm-system/</t>
  </si>
  <si>
    <t>100.8.46.211</t>
  </si>
  <si>
    <t>https://www.method.me/quickbooks-crm/?trc=81&amp;trk=&amp;trs=USA-DSA-QB&amp;campaignid=13038312612&amp;adgroupid=128764620688&amp;adid=776781070272&amp;gad_source=1&amp;gad_campaignid=13038312612&amp;gbraid=0AAAAAD3ItnZKpzd3lODAba8pKfFEjv0PS&amp;gclid=CjwKCAiA3L_JBhAlEiwAlcWO57IzoZ1HEwnwQhVxa17_tNYdp87cXV9u6Sf7d73T_-jvkxRHAKJ4FhoC1sUQAvD_BwE</t>
  </si>
  <si>
    <t>172.4.53.249</t>
  </si>
  <si>
    <t>70.83.138.199</t>
  </si>
  <si>
    <t>https://www.method.me/blog/invoice-as-a-contractor/</t>
  </si>
  <si>
    <t>99.233.59.206</t>
  </si>
  <si>
    <t>quickbooks_integration_apps</t>
  </si>
  <si>
    <t>https://grow.method.me/direct-su/?trc=81&amp;trk=quickbooks integration apps&amp;trs=US-QBInt-Ex&amp;campaignid=22265826203&amp;adgroupid=186545727779&amp;adid=777003326845&amp;gad_source=1&amp;gad_campaignid=22265826203&amp;gbraid=0AAAAAD3ItnZgDnAgUtllny9Jaz3XIKgWf&amp;gclid=CjwKCAiA24XJBhBXEiwAXElO30FXfKRweD8-jWimcTRSnKQskAm5a_0VOCAEX1Q96IP2isPxgq1iDBoCxusQAvD_BwE</t>
  </si>
  <si>
    <t>24.208.25.176</t>
  </si>
  <si>
    <t>best_crm_for_quickbooks</t>
  </si>
  <si>
    <t>https://grow.method.me/crm-quickbooks/?trc=81&amp;trk=best crm for quickbooks&amp;trs=USA-QB-G_Ex&amp;campaignid=22265826203&amp;adgroupid=176758613473&amp;adid=734012603510&amp;gad_source=1&amp;gad_campaignid=22265826203&amp;gbraid=0AAAAAD3ItnYwo4_PXv6BoXXoMVIKT_2ni&amp;gclid=CjwKCAiA3L_JBhAlEiwAlcWO5wIR3gG9lzfVhQckFmdtzBJLNb4yQXiY4f-moseqyr1eZrRt7SAouxoC370QAvD_BwE</t>
  </si>
  <si>
    <t>165.166.130.230</t>
  </si>
  <si>
    <t>Mozilla/5.0 (Macintosh; Intel Mac OS X 10_15_7) AppleWebKit/537.36 (KHTML, like Gecko) Chrome/137.0.0.0 Safari/537.36</t>
  </si>
  <si>
    <t>73.251.138.25</t>
  </si>
  <si>
    <t>https://www.method.me/crm-quickbooks/pricing/field-service/</t>
  </si>
  <si>
    <t>67.172.186.11</t>
  </si>
  <si>
    <t>182.74.243.51</t>
  </si>
  <si>
    <t>quickbooks_crm_integrations</t>
  </si>
  <si>
    <t>https://grow.method.me/direct-su/?trc=81&amp;trk=quickbooks crm integrations&amp;trs=USA-QB-G_Ex&amp;campaignid=22265826203&amp;adgroupid=176758613473&amp;adid=776774035818&amp;gad_source=1&amp;gad_campaignid=22265826203&amp;gbraid=0AAAAAD3Itnb4w7dkGBMCKYB0IWq9_ilk-&amp;gclid=CjwKCAiAt8bIBhBpEiwAzH1w6b2wVMmLrkot6f7wbE-gLM3zhJqxyaiVfdz2k8kGVqyWXddgG5u6cBoCQwoQAvD_BwE</t>
  </si>
  <si>
    <t>67.191.30.135</t>
  </si>
  <si>
    <t>181.188.28.146</t>
  </si>
  <si>
    <t>https://grow.method.me/crm-quickbooks/?trc=81&amp;trk=quickbooks crm&amp;trs=USA-QB-G_Ex&amp;campaignid=22265826203&amp;adgroupid=176758613473&amp;adid=734012603510&amp;gad_source=1&amp;gad_campaignid=22265826203&amp;gbraid=0AAAAAD3ItnYwo4_PXv6BoXXoMVIKT_2ni&amp;gclid=Cj0KCQiA_8TJBhDNARIsAPX5qxQamITQ58Vnx_6whzkl5PGSDldNHevYE_3CioyshOxdPvoy3C_w63saAp49EALw_wcB</t>
  </si>
  <si>
    <t>96.84.174.185</t>
  </si>
  <si>
    <t>99.233.250.228, 52.9.26.127</t>
  </si>
  <si>
    <t>Mozilla/5.0 (Windows NT 10.0; Win64; x64) AppleWebKit/537.36 (KHTML, like Gecko) QuickBooksOnline/3.9.5 Chrome/132.0.6834.210 Electron/34.5.6 Safari/537.36 QBOT-WIN/3.9.5 newTango</t>
  </si>
  <si>
    <t>38.29.34.61</t>
  </si>
  <si>
    <t>186.151.97.202</t>
  </si>
  <si>
    <t>US-QBInt-Bing</t>
  </si>
  <si>
    <t>CRM_compatible_with_QuickBooks</t>
  </si>
  <si>
    <t>https://grow.method.me/crm-quickbooks/?trc=86&amp;trk=CRM compatible with QuickBooks&amp;trs=US-QBInt-Bing&amp;msclkid=a6a55b0bfc931aba04e3321cc514b652&amp;utm_source=bing&amp;utm_medium=cpc&amp;utm_campaign=US - Generic 2020&amp;utm_term=CRM compatible with QuickBooks&amp;utm_content=Integrations</t>
  </si>
  <si>
    <t>98.163.38.5</t>
  </si>
  <si>
    <t>https://grow.method.me/best-quickbooks-crm/?trc=86&amp;trk=grow.method.me&amp;trs=Bing-PMax&amp;msclkid=b36a56d50fbe1e3517993fc255fe9496&amp;utm_source=bing&amp;utm_medium=cpc&amp;utm_campaign=Bing - PMAX&amp;utm_term=grow.method.me&amp;utm_content=US - retargeting</t>
  </si>
  <si>
    <t>https://grow.method.me/best-quickbooks-crm/?trc=86&amp;trk=grow.method.me&amp;trs=Bing-PMax&amp;msclkid=a650ac1ba2c5169f12c3c535a6351925&amp;utm_source=bing&amp;utm_medium=cpc&amp;utm_campaign=Bing - PMAX&amp;utm_term=grow.method.me&amp;utm_content=US - retargeting</t>
  </si>
  <si>
    <t>https://grow.method.me/best-quickbooks-crm/?trc=86&amp;trk=grow.method.me&amp;trs=Bing-PMax&amp;msclkid=17e7e90db79719739858803c6d9ccf02&amp;utm_source=bing&amp;utm_medium=cpc&amp;utm_campaign=Bing - PMAX&amp;utm_term=grow.method.me&amp;utm_content=US - retargeting</t>
  </si>
  <si>
    <t>crm_compatible_with_quickbooks</t>
  </si>
  <si>
    <t>https://grow.method.me/crm-quickbooks/?trc=81&amp;trk=crm compatible with quickbooks&amp;trs=USA-QB-G_Ex&amp;campaignid=22265826203&amp;adgroupid=176758613473&amp;adid=734012603510&amp;gad_source=1&amp;gad_campaignid=22265826203&amp;gbraid=0AAAAAD3ItnbZCmbFkwWSvTDTojf78iY5I&amp;gclid=Cj0KCQjw5JXFBhCrARIsAL1ckPtbBuObmGAKXuGZxpcgz27Tm1-HHJnghChdLtz-o0OsAfGLYcdNeW8aAhJ5EALw_wcB</t>
  </si>
  <si>
    <t>68.47.230.255</t>
  </si>
  <si>
    <t>Aug</t>
  </si>
  <si>
    <t>Mozilla/5.0 (Macintosh; Intel Mac OS X 10_15_7) AppleWebKit/605.1.15 (KHTML, like Gecko) Version/17.5 Safari/605.1.15</t>
  </si>
  <si>
    <t>97.171.80.176</t>
  </si>
  <si>
    <t>50.37.114.22</t>
  </si>
  <si>
    <t>146.75.154.141</t>
  </si>
  <si>
    <t>Partner Referrals</t>
  </si>
  <si>
    <t>Partners</t>
  </si>
  <si>
    <t>99.246.90.137</t>
  </si>
  <si>
    <t>Sitelink</t>
  </si>
  <si>
    <t>WHSale</t>
  </si>
  <si>
    <t>https://www.method.me/crm-quickbooks/pricing/?trc=81&amp;trk=WHSale&amp;trs=Sitelink&amp;campaignid=1543381580&amp;adgroupid=61437797000&amp;adid=704678754673&amp;gad_source=1&amp;gad_campaignid=1543381580&amp;gbraid=0AAAAAD3ItnZHs8f7ds-tYOpVpnQ7D69pn&amp;gclid=Cj0KCQiA_8TJBhDNARIsAPX5qxQqHPtMxFJS3I5jio9qsNI_Kp2KIlu70zsr-ZQFnPQwb9eo3YMfyssaAiYnEALw_wcB</t>
  </si>
  <si>
    <t>107.219.27.90</t>
  </si>
  <si>
    <t>USA-QB-G</t>
  </si>
  <si>
    <t>https://grow.method.me/crm-quickbooks/?trc=81&amp;trk=crm with quickbooks&amp;trs=USA-QB-G&amp;campaignid=1543381580&amp;adgroupid=61437797000&amp;adid=704678754673&amp;gad_source=1&amp;gad_campaignid=1543381580&amp;gbraid=0AAAAAD3ItnZHs8f7ds-tYOpVpnQ7D69pn&amp;gclid=Cj0KCQiA_8TJBhDNARIsAPX5qxTgUCgMkYsTkA9-pnMy4w7g4r1OpBl3Zh5EUSzCbD9-47D5Pe5WC84aAmf8EALw_wcB</t>
  </si>
  <si>
    <t>98.222.116.161</t>
  </si>
  <si>
    <t>https://www.method.me/blog/how-much-does-hubspot-cost/</t>
  </si>
  <si>
    <t>50.92.116.173</t>
  </si>
  <si>
    <t>https://blog.taxdome.com/</t>
  </si>
  <si>
    <t>https://www.method.me/industries/accounting-crm-software/</t>
  </si>
  <si>
    <t>179.42.197.203</t>
  </si>
  <si>
    <t>73.66.139.30</t>
  </si>
  <si>
    <t>Mozilla/5.0 (Macintosh; Intel Mac OS X 10_15_7) AppleWebKit/537.36 (KHTML, like Gecko) Chrome/142.0.0.0 Safari/537.36 Edg/142.0.0.0</t>
  </si>
  <si>
    <t>98.29.87.241</t>
  </si>
  <si>
    <t>104.28.132.137</t>
  </si>
  <si>
    <t>https://grow.method.me/crm-quickbooks/?trk=capterra&amp;trc=78&amp;trs=Capterra_destinationURL&amp;utm_source=capterra&amp;utm_medium=cpc&amp;utm_campaign=destinationURL&amp;gdmcid=0ece4754-aac5-4c16-938e-13e322dd4455</t>
  </si>
  <si>
    <t>Mozilla/5.0 (Macintosh; Intel Mac OS X 10_15_7) AppleWebKit/605.1.15 (KHTML, like Gecko) Version/26.1 Safari/605.1.15</t>
  </si>
  <si>
    <t>140.248.0.185</t>
  </si>
  <si>
    <t>68.108.178.166</t>
  </si>
  <si>
    <t>https://grow.method.me/crm-quickbooks/?trc=81&amp;trk=crm with quickbooks&amp;trs=USA-QB-G&amp;campaignid=1543381580&amp;adgroupid=61437797000&amp;adid=704678754673&amp;gad_source=1&amp;gad_campaignid=1543381580&amp;gbraid=0AAAAAD3ItnbI52bMAH0qRhtrXy98oCsFz&amp;gclid=Cj0KCQiA_8TJBhDNARIsAPX5qxQwhQDC2thFr1Ic7jnKMObI9BRhQ4z5Bv7CM1SRBSvYhHfoG6CGXzwaAswEEALw_wcB</t>
  </si>
  <si>
    <t>Mozilla/5.0 (iPhone; CPU iPhone OS 18_6_2 like Mac OS X) AppleWebKit/605.1.15 (KHTML, like Gecko) GSA/397.0.836500703 Mobile/15E148 Safari/604.1</t>
  </si>
  <si>
    <t>35.145.126.8</t>
  </si>
  <si>
    <t>https://www.method.me/blog/cloud-erp-small-business/</t>
  </si>
  <si>
    <t>117.216.118.135</t>
  </si>
  <si>
    <t>https://www.method.me/resources/best-pool-service-software/</t>
  </si>
  <si>
    <t>79.110.54.211</t>
  </si>
  <si>
    <t>168.167.230.80</t>
  </si>
  <si>
    <t>104.28.104.65</t>
  </si>
  <si>
    <t>https://www.method.me/crm-quickbooks/desktop/</t>
  </si>
  <si>
    <t>184.149.54.54</t>
  </si>
  <si>
    <t>Mozilla/5.0 (Macintosh; Intel Mac OS X 10_15_7) AppleWebKit/537.36 (KHTML, like Gecko) Chrome/138.0.0.0 Safari/537.36</t>
  </si>
  <si>
    <t>71.62.60.171</t>
  </si>
  <si>
    <t>200.12.215.98</t>
  </si>
  <si>
    <t>https://www.method.me/blog/electronic-signature-quickbooks-online-capture/</t>
  </si>
  <si>
    <t>75.68.212.51</t>
  </si>
  <si>
    <t>96.88.239.177</t>
  </si>
  <si>
    <t>86.132.184.228</t>
  </si>
  <si>
    <t>https://www.method.me/resources/auto-repair-work-order-template-download/</t>
  </si>
  <si>
    <t>35.147.87.11</t>
  </si>
  <si>
    <t>64.223.204.38, 52.9.26.127</t>
  </si>
  <si>
    <t>178.238.82.41, 52.9.26.127</t>
  </si>
  <si>
    <t>Mozilla/5.0 (X11; Linux x86_64) AppleWebKit/537.36 (KHTML, like Gecko) Chrome/138.0.0.0 Safari/537.36 OPR/122.0.0.0</t>
  </si>
  <si>
    <t>188.230.235.21</t>
  </si>
  <si>
    <t>100.37.240.89</t>
  </si>
  <si>
    <t>136.38.42.177</t>
  </si>
  <si>
    <t>Direct and SEO</t>
  </si>
  <si>
    <t>70.181.126.101</t>
  </si>
  <si>
    <t>http://signup.method.me/methodcrm/?_gl=1*1jbvp5k*_gcl_au*NTc1NTM1MDk4LjE3MzkyODg4NjM.*_ga*OTU5MDkwMjUxLjE2Nzc1OTk2NTU.*_ga_L2HEZNW53E*MTc0MzQ3MDUwMC40LjEuMTc0MzQ3MDUyOC4zMi4wLjE3MDQ4NDc5MzM.&amp;_ga=2.199247150.1827644277.1743456497-959090251.1677599655</t>
  </si>
  <si>
    <t>213.244.114.227, 52.9.26.127</t>
  </si>
  <si>
    <t>US-Scheduling</t>
  </si>
  <si>
    <t>scheduling_software_that_works_with_quickbooks</t>
  </si>
  <si>
    <t>https://www.method.me/crm-quickbooks/job-scheduling-software/?trc=81&amp;trk=scheduling software that works with quickbooks&amp;trs=US-Scheduling&amp;campaignid=12406628869&amp;adgroupid=118144098717&amp;adid=500417359904&amp;gad_source=1&amp;gad_campaignid=12406628869&amp;gbraid=0AAAAAD3ItnZcRE1Y4MWdQKY24_nJcjH3j&amp;gclid=EAIaIQobChMI9KPu-c6pkQMV6U1HAR09fhtlEAAYAyAAEgLvWPD_BwE</t>
  </si>
  <si>
    <t>73.174.137.216</t>
  </si>
  <si>
    <t>104.181.74.252</t>
  </si>
  <si>
    <t>142.127.142.48</t>
  </si>
  <si>
    <t>http://m.facebook.com/</t>
  </si>
  <si>
    <t>https://grow.method.me/quickbooks-crm-fb/?trc=517&amp;trk=BOF&amp;trs=FB-Lookalike&amp;utm_source=Facebook&amp;utm_medium=PPC&amp;utm_campaign=Banner_trial&amp;fbclid=IwZXh0bgNhZW0BMABhZGlkAaspG7m7EGNzcnRjBmFwcF9pZAo2NjI4NTY4Mzc5AAEezpLOts8LrMZEL1ourUll5nPIK_bJvHoqI8b72uknZ0Vv4vJQqIlADICcKZU_aem_ZOYlwLhnevMHj0U2aOkrmA&amp;campaign_id=120213444289450307&amp;ad_id=120215433569050307&amp;utm_id=120213444289450307&amp;utm_content=120215433569050307&amp;utm_term=120215433408020307</t>
  </si>
  <si>
    <t>Mozilla/5.0 (iPhone; CPU iPhone OS 18_5 like Mac OS X) AppleWebKit/605.1.15 (KHTML, like Gecko) Mobile/22F76 Safari/604.1 [FBAN/FBIOS;FBAV/540.0.0.44.68;FBBV/828638047;FBDV/iPhone15,3;FBMD/iPhone;FBSN/iOS;FBSV/18.5;FBSS/3;FBID/phone;FBLC/en_US;FBOP/5;FBRV/837704895;IABMV/1]</t>
  </si>
  <si>
    <t>166.199.242.122</t>
  </si>
  <si>
    <t>70.224.227.14</t>
  </si>
  <si>
    <t>45.85.145.166</t>
  </si>
  <si>
    <t>https://www.method.me/crm-quickbooks/job-scheduling-software/?trc=81&amp;trk=&amp;trs=USA-DSA&amp;campaignid=13038312612&amp;adgroupid=127756898611&amp;adid=771467139249&amp;gad_source=1&amp;gad_campaignid=13038312612&amp;gbraid=0AAAAAD3ItnaHk4_Oy0KBm2UFhYcYjNHD_&amp;gclid=EAIaIQobChMI1KjOveaqkQMV3qpaBR2uwibvEAAYASAAEgKsEvD_BwE</t>
  </si>
  <si>
    <t>http://signup.method.me/fieldservices/</t>
  </si>
  <si>
    <t>146.75.232.1, 52.9.26.127</t>
  </si>
  <si>
    <t>https://www.method.me/features/gmail/</t>
  </si>
  <si>
    <t>37.111.230.63</t>
  </si>
  <si>
    <t>69.74.58.99</t>
  </si>
  <si>
    <t>Mozilla/5.0 (Windows NT 10.0; Win64; x64) AppleWebKit/537.36 (KHTML, like Gecko) Chrome/143.0.0.0 Safari/537.36 Edg/143.0.0.0</t>
  </si>
  <si>
    <t>35.139.162.127</t>
  </si>
  <si>
    <t>RLSA-Bing</t>
  </si>
  <si>
    <t>https://grow.method.me/best-quickbooks-crm/?trc=86&amp;trk=quickbooks crm&amp;trs=RLSA-Bing&amp;msclkid=6493ece72ed01ac0c5b085d28f9702c4&amp;utm_source=bing&amp;utm_medium=cpc&amp;utm_campaign=RLSA - Bing&amp;utm_term=quickbooks crm&amp;utm_content=QB Generic</t>
  </si>
  <si>
    <t>https://signin.method.me/accounts/identitynotfound?Code=nbP7Tcy7HKzSDTbQsHnHLMosJYCt9Xshv3NbD1m1EZodo7z2wiq%2FMpw5TjQuiNIpa8Y%2BIkgYcGFjC2259VLDZaS6bklzOw693gWe8I1w6%2FxE3ny6wnxa4ib5v2MstFoeFzVvZbTLNJtGLyiwUoac1lmiWzEPuwrsugZwju9l62Z6ir3sYT%2BRgPLUYztmowZSMrrW7wi4kmFQ1QFJbvPsC5tFotYt6xIuRM2oMLJ9bTJId%2BOhUv91X7Ez0ZZrtYH3Av9LdRcRtvstxS6qZ1Anm%2B1GPegi7afsSUFjvhhAUG2t%2FpXwkCCBMBnaZwWpBA%2BJBgEJE1oIF0nsEWaBWnh3iQ%3D%3D&amp;Email=duostar.group%40gmail.com&amp;Provider=Intuit&amp;Offering=methodcrm</t>
  </si>
  <si>
    <t>180.75.47.192</t>
  </si>
  <si>
    <t>72.251.142.30</t>
  </si>
  <si>
    <t>Mozilla/5.0 (Windows NT 10.0; Win64; x64) AppleWebKit/537.36 (KHTML, like Gecko) Chrome/141.0.0.0 Safari/537.36 OPR/125.0.0.0</t>
  </si>
  <si>
    <t>125.7.21.13</t>
  </si>
  <si>
    <t>68.62.125.105</t>
  </si>
  <si>
    <t>Mozilla/5.0 (Linux; Android 10; K) AppleWebKit/537.36 (KHTML, like Gecko) Chrome/140.0.0.0 Mobile Safari/537.36</t>
  </si>
  <si>
    <t>197.242.130.140</t>
  </si>
  <si>
    <t>164-Referrer: YouTube</t>
  </si>
  <si>
    <t>USA-DSA</t>
  </si>
  <si>
    <t>https://www.method.me/crm-quickbooks/job-scheduling-software/?trc=81&amp;trk=&amp;trs=USA-DSA&amp;campaignid=13038312612&amp;adgroupid=127756898611&amp;adid=771467139249&amp;gad_source=1&amp;gad_campaignid=13038312612&amp;gclid=Cj0KCQiA6NTJBhDEARIsAB7QHD37sDDk_-jbQfSubQ2BT2PGynYeYCzRcQFH0jVqR41sNDnntWzqVzoaAuFMEALw_wcB</t>
  </si>
  <si>
    <t>65.185.91.30</t>
  </si>
  <si>
    <t>185.222.243.41</t>
  </si>
  <si>
    <t>quickbooks_online_payment</t>
  </si>
  <si>
    <t>https://grow.method.me/qb-payment/?trc=81&amp;trk=quickbooks online payment&amp;trs=US-payment&amp;campaignid=19733246298&amp;adgroupid=146278163933&amp;adid=649435146420&amp;gad_source=1&amp;gad_campaignid=19733246298&amp;gbraid=0AAAAAD3ItnYGQL7x1n3-WZNXzE83wRH-Z&amp;gclid=Cj0KCQiAi9rJBhCYARIsALyPDtuLeVDX5qx2_vorNMq0UsNWPgRZL3Sp9hEmMl1p5BGuI9DkWYjsdtQaAk2xEALw_wcB</t>
  </si>
  <si>
    <t>162.247.202.118</t>
  </si>
  <si>
    <t>129.222.167.102</t>
  </si>
  <si>
    <t>162.229.157.210</t>
  </si>
  <si>
    <t>https://www.method.me/blog/process-ach-payments-quickbooks-online/</t>
  </si>
  <si>
    <t>45.49.80.174</t>
  </si>
  <si>
    <t>https://www.method.me/industries/construction-crm-software/</t>
  </si>
  <si>
    <t>187.205.150.143</t>
  </si>
  <si>
    <t>quickbooks_payment_processor</t>
  </si>
  <si>
    <t>https://grow.method.me/qb-payment/?trc=81&amp;trk=quickbooks payment processor&amp;trs=US-payment&amp;campaignid=19733246298&amp;adgroupid=146278163933&amp;adid=649435146420&amp;gad_source=1&amp;gad_campaignid=19733246298&amp;gclid=Cj0KCQiAi9rJBhCYARIsALyPDtt7UJYIWORyaqzSU9TBL_SWgMwZy7NHCz__WR5cA-4R-XyYomzuFz0aAmiEEALw_wcB</t>
  </si>
  <si>
    <t>172.59.227.191</t>
  </si>
  <si>
    <t>https://grow.method.me/black-friday-cyber-monday-2025/?trc=711&amp;trk=CTA&amp;trs=Email2&amp;utm_campaign=%5B6733%5D%3A 2 5 Black Friday Promo - Leads&amp;utm_content=Our Black Friday Sale is HERE - 25  off First 3 Months&amp;utm_medium=email&amp;utm_source=ActiveCampaign&amp;vgo_ee=tt7nmnPHu5ys6J8d3IZgXPPOsZ2nSZuZSRnqg6FKX%2BkiP54%3D%3A0m%2FZ8gEgnf0hVbZBbcrUx7bzNe2LchQh</t>
  </si>
  <si>
    <t>216.227.255.150</t>
  </si>
  <si>
    <t>https://grow.method.me/crm-quickbooks/?trc=81&amp;trk=crm with quickbooks&amp;trs=USA-QB-G&amp;campaignid=1543381580&amp;adgroupid=61437797000&amp;adid=704678754673&amp;gad_source=1&amp;gad_campaignid=1543381580&amp;gbraid=0AAAAAD3Itnbw1EiYK0OtaCjUxAIHtoaFP&amp;gclid=Cj0KCQiAi9rJBhCYARIsALyPDtsqt88s8wS99FipAzv9-pTLVR8pPljWrG8XH-sgsngZ_4MB0QD8N4QaAnhmEALw_wcB</t>
  </si>
  <si>
    <t>75.31.21.70</t>
  </si>
  <si>
    <t>1CRM</t>
  </si>
  <si>
    <t>https://grow.method.me/best-quickbooks-crm/?trc=517&amp;trk=1CRM&amp;trs=FB-Lookalike&amp;utm_source=Facebook&amp;utm_medium=PPC&amp;utm_campaign=Banner_trial&amp;utm_id=120213444289450307&amp;utm_content=120232952122110307&amp;utm_term=120215433068320307&amp;fbclid=PAZXh0bgNhZW0BMABhZGlkAasqO0I3zLNzcnRjBmFwcF9pZA8xMjQwMjQ1NzQyODc0MTQAAafa2ppve6jQgeTibA7yyDqe2mStcvrlb9HBgbN4hHkBSuiHi9fBswbTkElpBQ_aem_WAtdlQHpnPv-x7p1QIERLA&amp;campaign_id=120213444289450307&amp;ad_id=120232952122110307</t>
  </si>
  <si>
    <t>Mozilla/5.0 (iPhone; CPU iPhone OS 18_6_2 like Mac OS X) AppleWebKit/605.1.15 (KHTML, like Gecko) Mobile/22G100 Instagram 408.1.0.45.70 (iPhone15,3; iOS 18_6_2; en_US; en; scale=3.00; 1290x2796; IABMV/1; 833451024) NW/3 Safari/604.1</t>
  </si>
  <si>
    <t>107.205.234.83</t>
  </si>
  <si>
    <t>https://grow.method.me/best-quickbooks-crm/?trc=517&amp;trk=1CRM&amp;trs=FB-Lookalike&amp;utm_source=Facebook&amp;utm_medium=PPC&amp;utm_campaign=Banner_trial&amp;utm_id=120213444289450307&amp;utm_content=120232952122110307&amp;utm_term=120215433068320307&amp;fbclid=PAZXh0bgNhZW0BMABhZGlkAasqO0I3zLNzcnRjBmFwcF9pZA8xMjQwMjQ1NzQyODc0MTQAAafqcoG7ZjZ5gOJdLmjiNErBnOlGb2Zy-szR2WAZRrYSbhd9mVfknrwIpArb3g_aem_8cGAY4bcSlRmagK5Vna67w&amp;campaign_id=120213444289450307&amp;ad_id=120232952122110307</t>
  </si>
  <si>
    <t>172.56.180.79</t>
  </si>
  <si>
    <t>207.104.43.58</t>
  </si>
  <si>
    <t>https://grow.method.me/crm-quickbooks/?trc=81&amp;trk=crm with quickbooks&amp;trs=USA-QB-G&amp;campaignid=1543381580&amp;adgroupid=61437797000&amp;adid=704678754673&amp;gad_source=1&amp;gad_campaignid=1543381580&amp;gbraid=0AAAAAD3Itnb_QgxDyuEzdcsTOVFXeP3gV&amp;gclid=CjwKCAiAz_DIBhBJEiwAVH2XwEtF0OxKbpmFG6OmGR7NdJAhSRp8vKrSUgTBF22gf7OPuth03jZzVRoCjCIQAvD_BwE</t>
  </si>
  <si>
    <t>Mozilla/5.0 (Macintosh; Intel Mac OS X 10_15_7) AppleWebKit/605.1.15 (KHTML, like Gecko) Version/26.0.1 Safari/605.1.15</t>
  </si>
  <si>
    <t>72.222.201.125</t>
  </si>
  <si>
    <t>MSP Referral Program</t>
  </si>
  <si>
    <t>referral</t>
  </si>
  <si>
    <t>1447</t>
  </si>
  <si>
    <t>Mozilla/5.0 (Windows NT 10.0; Win64; x64) AppleWebKit/537.36 (KHTML, like Gecko) Chrome/137.0.0.0 Safari/537.36</t>
  </si>
  <si>
    <t>68.199.52.198</t>
  </si>
  <si>
    <t>436</t>
  </si>
  <si>
    <t>Mozilla/5.0 (Windows NT 10.0; Win64; x64) AppleWebKit/537.36 (KHTML, like Gecko) Chrome/138.0.0.0 Safari/537.36</t>
  </si>
  <si>
    <t>97.202.105.191</t>
  </si>
  <si>
    <t>https://www.method.me/blog/how-to-delete-multiple-transactions-in-quickbooks-desktop-and-online/</t>
  </si>
  <si>
    <t>156.155.14.207</t>
  </si>
  <si>
    <t>https://grow.method.me/crm-quickbooks/?trc=81&amp;trk=crm integrates with quickbooks&amp;trs=US-QBInt-Ex&amp;campaignid=22265826203&amp;adgroupid=186545727779&amp;adid=777091446185&amp;gad_source=1&amp;gad_campaignid=22265826203&amp;gbraid=0AAAAAD3Itnakt5W0ExNkHAnsH3CZy4us-&amp;gclid=CjwKCAiA3L_JBhAlEiwAlcWO54odTX0XnDgAQ6VVn1GPYMmhfrXHl-lwz1SNLy33XpU2ITcqlJyh8xoCDb0QAvD_BwE</t>
  </si>
  <si>
    <t>46.110.121.208</t>
  </si>
  <si>
    <t>https://grow.method.me/crm-quickbooks/?trc=81&amp;trk=crm with quickbooks&amp;trs=USA-QB-G&amp;campaignid=1543381580&amp;adgroupid=61437797000&amp;adid=704678754673&amp;gad_source=1&amp;gad_campaignid=1543381580&amp;gbraid=0AAAAAD3Itnbw1EiYK0OtaCjUxAIHtoaFP&amp;gclid=Cj0KCQiAi9rJBhCYARIsALyPDtu4Lp2aa1zpIkgvfCTgtmdIgaFldb1vz7gHXHwBbbUrSd7Kf-FCrEgaAlGzEALw_wcB</t>
  </si>
  <si>
    <t>Duckduckgo</t>
  </si>
  <si>
    <t>https://www.method.me/blog/quickbooks-work-order/</t>
  </si>
  <si>
    <t>50.71.234.108</t>
  </si>
  <si>
    <t>150-SEO: duckduckgo (DirectSEO)</t>
  </si>
  <si>
    <t>74.109.183.167</t>
  </si>
  <si>
    <t>https://www.method.me/blog/price-a-job-as-a-contractor/</t>
  </si>
  <si>
    <t>119.73.101.101</t>
  </si>
  <si>
    <t>104.28.124.166</t>
  </si>
  <si>
    <t>US-PMax</t>
  </si>
  <si>
    <t>https://grow.method.me/quickbooks-crm/?trc=81&amp;trk=&amp;trs=US-PMax&amp;campaignid=20681425566&amp;adgroupid=&amp;adid=&amp;gad_source=5&amp;gad_campaignid=20687584292&amp;gclid=EAIaIQobChMI-rqlgKWvkQMV7U7_AR2kiR-oEAAYASAAEgJbB_D_BwE</t>
  </si>
  <si>
    <t>Mozilla/5.0 (Linux; Android 14; vivo Y66i A Build/N2G47H release-keys; wv) AppleWebKit/537.36 (KHTML, like Gecko) Version/4.0 Chrome/137.0.0.0 Mobile Safari/537.36 [FB_IAB/FB4A;FBAV/524.0.0.52.44;]</t>
  </si>
  <si>
    <t>172.56.16.208</t>
  </si>
  <si>
    <t>US-ERP</t>
  </si>
  <si>
    <t>https://grow.method.me/no-erp/?trc=81&amp;trk=&amp;trs=US-ERP&amp;campaignid=20938141894&amp;adgroupid=&amp;adid=&amp;gad_source=5&amp;gad_campaignid=20938142383&amp;gclid=EAIaIQobChMI-KvGyKmvkQMVz1NHAR1piAKBEAAYASAAEgK-DPD_BwE</t>
  </si>
  <si>
    <t>Mozilla/5.0 (Linux; Android 14; moto g 5G - 2024 Build/U1UFN34.41-63-1; wv) AppleWebKit/537.36 (KHTML, like Gecko) Version/4.0 Chrome/139.0.0.0 Mobile Safari/537.36 [FB_IAB/FB4A;FBAV/510.0.0.25.41;IABMV/1;]</t>
  </si>
  <si>
    <t>68.194.135.177</t>
  </si>
  <si>
    <t>https://www.method.me/blog/crm-for-logistics/</t>
  </si>
  <si>
    <t>172.56.82.119</t>
  </si>
  <si>
    <t>38.141.157.10</t>
  </si>
  <si>
    <t>172.56.212.64</t>
  </si>
  <si>
    <t>180.74.69.223</t>
  </si>
  <si>
    <t>https://www.method.me/blog/create-quote-in-quickbooks/</t>
  </si>
  <si>
    <t>Mozilla/5.0 (Linux; Android 10; K) AppleWebKit/537.36 (KHTML, like Gecko) Chrome/143.0.0.0 Mobile Safari/537.36</t>
  </si>
  <si>
    <t>168.167.26.240</t>
  </si>
  <si>
    <t>134.41.80.14, 52.9.26.127</t>
  </si>
  <si>
    <t>27.61.209.5</t>
  </si>
  <si>
    <t>https://www.method.me/blog/crm-for-multiple-businesses/</t>
  </si>
  <si>
    <t>192.166.139.39</t>
  </si>
  <si>
    <t>182.176.92.196</t>
  </si>
  <si>
    <t>73.244.131.7</t>
  </si>
  <si>
    <t>https://www.method.me/crm-quickbooks/job-scheduling-software/</t>
  </si>
  <si>
    <t>71.120.29.228</t>
  </si>
  <si>
    <t>186.189.18.192</t>
  </si>
  <si>
    <t>12.156.172.4</t>
  </si>
  <si>
    <t>97.85.255.160</t>
  </si>
  <si>
    <t>Mozilla/5.0 (iPhone; CPU iPhone OS 18_6_2 like Mac OS X) AppleWebKit/605.1.15 (KHTML, like Gecko) CriOS/143.0.7499.92 Mobile/15E148 Safari/604.1</t>
  </si>
  <si>
    <t>72.76.86.13</t>
  </si>
  <si>
    <t>https://grow.method.me/</t>
  </si>
  <si>
    <t>67.233.150.133</t>
  </si>
  <si>
    <t>51.190.91.235</t>
  </si>
  <si>
    <t>182.177.11.57</t>
  </si>
  <si>
    <t>https://grow.method.me/qb-payment/?trc=81&amp;trk=quickbooks online payment processing&amp;trs=US-payment&amp;campaignid=19733246298&amp;adgroupid=146278163933&amp;adid=649435146420&amp;gad_source=1&amp;gad_campaignid=19733246298&amp;gclid=Cj0KCQiArt_JBhCTARIsADQZaykcF5zb16RMxLoT0ocB6otVymtpuptYwJ98A3g31tKqtYEgKMfqu4EaAkI6EALw_wcB</t>
  </si>
  <si>
    <t>174.233.167.13</t>
  </si>
  <si>
    <t>Mozilla/5.0 (Windows NT 10.0; Win64; x64) AppleWebKit/537.36 (KHTML, like Gecko) Chrome/140.0.0.0 Safari/537.36 Edg/140.0.0.0</t>
  </si>
  <si>
    <t>174.239.117.120</t>
  </si>
  <si>
    <t>Sep</t>
  </si>
  <si>
    <t>https://www.method.me/crm-quickbooks/pricing/?trc=81&amp;trk=crm integrates with quickbooks&amp;trs=US-QBInt-Ex&amp;campaignid=22265826203&amp;adgroupid=186545727779&amp;adid=777091446185&amp;gad_source=1&amp;gad_campaignid=22265826203&amp;gbraid=0AAAAAD3Itnb0dVbRk-F8zdXkf5UYH6t_6&amp;gclid=Cj0KCQiArt_JBhCTARIsADQZaym2Q13x7kNuza8EULNXSyeBJVP5nYmgVpL6DmOKQ3-DTngBoCcdM88aAvgrEALw_wcB</t>
  </si>
  <si>
    <t>65.32.234.118</t>
  </si>
  <si>
    <t>https://www.method.me/nonprofit-crm/</t>
  </si>
  <si>
    <t>212.102.44.121</t>
  </si>
  <si>
    <t>https://www.method.me/quickbooks-crm/</t>
  </si>
  <si>
    <t>96.48.89.105</t>
  </si>
  <si>
    <t>https://www.method.me/crm-quickbooks/job-scheduling-software/?trc=81&amp;trk=&amp;trs=USA-DSA&amp;campaignid=13038312612&amp;adgroupid=127756898611&amp;adid=771467139249&amp;gad_source=1&amp;gad_campaignid=13038312612&amp;gbraid=0AAAAAD3ItnZocmAdmM1dKXwf4GyZlfCck&amp;gclid=Cj0KCQiArt_JBhCTARIsADQZaymvmEJjD9kE_S83Qntdgh4Z9ZDe5u9oIUtJw4X-0-cmCeBFA3CGmBwaAuJVEALw_wcB</t>
  </si>
  <si>
    <t>23.242.169.84</t>
  </si>
  <si>
    <t>76.82.78.232</t>
  </si>
  <si>
    <t>170.203.114.160</t>
  </si>
  <si>
    <t>189.141.241.152</t>
  </si>
  <si>
    <t>Mozilla/5.0 (Macintosh; Intel Mac OS X 10_15_7) AppleWebKit/537.36 (KHTML, like Gecko) Chrome/128.0.0.0 Safari/537.36</t>
  </si>
  <si>
    <t>68.53.40.139</t>
  </si>
  <si>
    <t>73.206.144.34</t>
  </si>
  <si>
    <t>https://grow.method.me/crm-quickbooks/?trc=81&amp;trk=crm with quickbooks&amp;trs=USA-QB-G&amp;campaignid=1543381580&amp;adgroupid=61437797000&amp;adid=704678754673&amp;gad_source=1&amp;gad_campaignid=1543381580&amp;gbraid=0AAAAAD3ItnY1omoLpV4oKTEORfLaVI0Gp&amp;gclid=CjwKCAiA0eTJBhBaEiwA-Pa-hUqK8Wh3Nf0HfPMwdB-gzaOOi8QdQ7bePO5xxKB-S_BHptRLhqjTCxoCzIwQAvD_BwE</t>
  </si>
  <si>
    <t>Mozilla/5.0 (Macintosh; Intel Mac OS X 10_15_7) AppleWebKit/605.1.15 (KHTML, like Gecko) Version/16.6.1 Safari/605.1.15</t>
  </si>
  <si>
    <t>73.247.101.87</t>
  </si>
  <si>
    <t>https://www.method.me/crm-quickbooks/pricing/?trc=81&amp;trk=WHSale&amp;trs=Sitelink&amp;campaignid=1543381580&amp;adgroupid=61437797000&amp;adid=704678754673&amp;gad_source=1&amp;gad_campaignid=1543381580&amp;gbraid=0AAAAAD3ItnY1omoLpV4oKTEORfLaVI0Gp&amp;gclid=CjwKCAiA0eTJBhBaEiwA-Pa-hRE_56NGMMGRYyMDk1n4soUADKb6ZYI7P5Ahff_-q82SdWOyBsndSRoCT40QAvD_BwE</t>
  </si>
  <si>
    <t>71.202.139.150</t>
  </si>
  <si>
    <t>https://forums.method.me/</t>
  </si>
  <si>
    <t>103.178.155.3</t>
  </si>
  <si>
    <t>https://grow.method.me/crm-quickbooks/?trc=86&amp;trk=CRM compatible with QuickBooks&amp;trs=US-QBInt-Bing&amp;msclkid=9411e595d00614f60fed8cacbc9b5a79&amp;utm_source=bing&amp;utm_medium=cpc&amp;utm_campaign=US - Generic 2020&amp;utm_term=CRM compatible with QuickBooks&amp;utm_content=Integrations</t>
  </si>
  <si>
    <t>23.28.249.70</t>
  </si>
  <si>
    <t>https://grow.method.me/quickbooks-crm/?trc=81&amp;trk=&amp;trs=US-PMax&amp;campaignid=20681425566&amp;adgroupid=&amp;adid=&amp;gad_source=5&amp;gad_campaignid=20687584292&amp;gclid=EAIaIQobChMIp9XwuIyzkQMVGEpHAR1l6QhoEAAYASAAEgJ61PD_BwE</t>
  </si>
  <si>
    <t>172.56.0.156</t>
  </si>
  <si>
    <t>174.60.225.43</t>
  </si>
  <si>
    <t>https://signin.method.me/accounts/identitynotfound?Code=uu0qaqxzaeLI%2BeUbVdX9O5XZm41Fp055y24MP34tcPXzLs0j2m3RxwMDzE936IrZh6uZtULmvgONFVaoGvyM6nnoXJDOy5KhQPqfxtb337UHPWKwAVwE1c2haCIV4VNuANA62JpP96MG%2BQuyjIeggo%2F7NZbVgQCMaO8sTje0T704Rdk%2BEKBW%2BzKwn4r1LwvRqx2eD1B2SbQ5izICzcrIVh76r9NAEPhFn8Eas6FGdQLozXZqyH4OVv%2B6ddDINTqVBzLXRHuuhrFIE9kPusCcHq1RgwIbnJv6onvXkCGUoCAjGTZihsuVRmQKfXad4v3mgJd5erequp5EYmCM6vRdCA%3D%3D&amp;Email=alexandercabrera2002%40hotmail.com&amp;Provider=Intuit&amp;Offering=methodcrm</t>
  </si>
  <si>
    <t>104.49.248.149</t>
  </si>
  <si>
    <t>https://signin.method.me/?returnUrl=https%3a%2f%2fm11errolqbo20250618.method.me%2fapps%2fDefault.aspx%3faccountName%3dm11errolqbo20250618</t>
  </si>
  <si>
    <t>https://grow.method.me/crm-quickbooks/?trc=81&amp;trk=crm integrates with quickbooks&amp;trs=US-QBInt-Ex&amp;campaignid=22265826203&amp;adgroupid=186545727779&amp;adid=777091446185&amp;gad_source=1&amp;gad_campaignid=22265826203&amp;gclid=CjwKCAiA0eTJBhBaEiwA-Pa-hUNN_h4GIVSpY_sHWzFV4tndcYkAcIZo6sEaLMZaH0_xV7IVTferNBoC5xUQAvD_BwE</t>
  </si>
  <si>
    <t>174.255.177.115</t>
  </si>
  <si>
    <t>119.73.112.85</t>
  </si>
  <si>
    <t>Mozilla/5.0 (Linux; Android 10; K) AppleWebKit/537.36 (KHTML, like Gecko) Chrome/138.0.0.0 Mobile Safari/537.36</t>
  </si>
  <si>
    <t>103.148.115.17</t>
  </si>
  <si>
    <t>23.251.200.194</t>
  </si>
  <si>
    <t>47.15.114.225</t>
  </si>
  <si>
    <t>94.14.49.175</t>
  </si>
  <si>
    <t>https://signin.method.me/?_gl=1*j5dgwj*_gcl_au*MTM4MzM4MzA2OC4xNzY1Mzg3MTQ2*_ga*MTkxNTQ4OTMzMy4xNzY1Mzg3MTQ2*_ga_L2HEZNW53E*czE3NjUzODcxNDYkbzEkZzAkdDE3NjUzODcxNDYkajYwJGwwJGgzMTQ4MzI4ODk.&amp;_ga=2.227213659.734989618.1765387146-1915489333.1765387146</t>
  </si>
  <si>
    <t>73.133.238.192</t>
  </si>
  <si>
    <t>197.239.9.82</t>
  </si>
  <si>
    <t>129.222.125.22</t>
  </si>
  <si>
    <t>35.143.134.89</t>
  </si>
  <si>
    <t>Summer Promo Aug 2025</t>
  </si>
  <si>
    <t>Summer-Winback-Promo</t>
  </si>
  <si>
    <t>https://grow.method.me/sale-promo-lead/?trc=706&amp;trk=Summer-Winback-Promo&amp;trs=Email1&amp;utm_source=ActiveCampaign&amp;utm_medium=email&amp;utm_content=Get 50  off when you try Method  👀&amp;utm_campaign=%5B6731%5D%3A 1 0 Summer Promo - Leads&amp;vgo_ee=Y9Eddnk1FC8wxgSmfOzhrT%2BwfpgxGzwmhW8SLL1TlCkMgP9MyiWMZset9UVx%3AzkWscfrNW5ySxca0syhvyBudkxVGKt6b</t>
  </si>
  <si>
    <t>35.143.128.6</t>
  </si>
  <si>
    <t>https://grow.method.me/sale-promo-lead/?trc=706&amp;trk=Summer-Winback-Promo&amp;trs=Email1&amp;utm_source=ActiveCampaign&amp;utm_medium=email&amp;utm_content=Get 50  off when you try Method  👀&amp;utm_campaign=%5B6731%5D%3A 1 0 Summer Promo - Leads&amp;vgo_ee=1XeTO98KIrgpleq5xamxKc2YYZoHCXsMLDyDZjtVPhc9GQrb3wBTl4Sb4SHv%3AU44ZBcA%2Ba%2BLnDyiSjiihiO40jTw%2Fgbj0</t>
  </si>
  <si>
    <t>https://grow.method.me/black-friday-cyber-monday-2025/?trc=711&amp;trk=CTA&amp;trs=Email2&amp;utm_campaign=%5B6733%5D%3A 2 0 Black Friday Promo - Leads&amp;utm_content=Plan ahead and get 25  off Method⏳&amp;utm_medium=email&amp;utm_source=ActiveCampaign&amp;vgo_ee=tikU1Xaa5frI6%2BESpMEpjQgAIrr13nxrRAaQo1Xy55w4CmrKEEdSLVbyW%2BH%2F%3AxtGqjdVX6RgdWubx4tBdRzewReITJZZw</t>
  </si>
  <si>
    <t>https://grow.method.me/black-friday-cyber-monday-2025/?trc=711&amp;trk=CTA&amp;trs=Email2&amp;utm_campaign=%5B6733%5D%3A 2 0 Black Friday Promo - Leads&amp;utm_content=Plan ahead and get 25  off Method⏳&amp;utm_medium=email&amp;utm_source=ActiveCampaign&amp;vgo_ee=ev54JqwrcGwNzJhgs8Plz2DvZfMAT%2FGXtR4WEWU0LZ4f0NAqX31%2FCji8WWrI%3A%2BuE6XAvCtOwm0mcuDjFahjx%2FSWARuNrC</t>
  </si>
  <si>
    <t>https://grow.method.me/sale-promo-lead/?trc=706&amp;trk=Summer-Winback-Promo&amp;trs=Email1&amp;utm_source=ActiveCampaign&amp;utm_medium=email&amp;utm_content=Get 50  off when you try Method  👀&amp;utm_campaign=%5B6731%5D%3A 1 0 Summer Promo - Leads&amp;vgo_ee=D%2FZnougj7Qi3JVP0D9mS2dofSw18SrRRDhxzymSThmeyNFpQoI%2FuqFnITIqH%3AB8XO0FzuccVWo991%2Fa7olKKcZ%2FMh9kjn</t>
  </si>
  <si>
    <t>https://grow.method.me/sale-promo-lead/?trc=706&amp;trk=Summer-Winback-Promo&amp;trs=Email1&amp;utm_source=ActiveCampaign&amp;utm_medium=email&amp;utm_content=Get 50  off when you try Method  👀&amp;utm_campaign=%5B6731%5D%3A 1 0 Summer Promo - Leads&amp;vgo_ee=OTqNJh0gNX9q2FhaPXmrv%2BVdroj4Glu204MQ%2FYHGKRpD587TexnyKrpvXFQc%3AjvQ7uEYuE1Tidtkt%2B0bHZKr0Ip8adBo4</t>
  </si>
  <si>
    <t>https://grow.method.me/black-friday-cyber-monday-2025/?trc=711&amp;trk=CTA&amp;trs=Email2&amp;utm_campaign=%5B6733%5D%3A 2 0 Black Friday Promo - Leads&amp;utm_content=Plan ahead and get 25  off Method⏳&amp;utm_medium=email&amp;utm_source=ActiveCampaign&amp;vgo_ee=T8NGP77XlNuBy4ikG8riPytWggbMVnDnbLhK8y42RMgGjDq8Xa%2Fag5niaNZ2%3AM2mZg%2B%2BYbtKqzpz0sLWNCYken9qLNC8e</t>
  </si>
  <si>
    <t>https://grow.method.me/black-friday-cyber-monday-2025/?trc=711&amp;trk=CTA&amp;trs=Email2&amp;utm_campaign=[6733]: 2 0 Black Friday Promo - Leads&amp;utm_content=Plan ahead and get 25  off Method⏳&amp;utm_medium=email&amp;utm_source=ActiveCampaign&amp;vgo_ee=T8NGP77XlNuBy4ikG8riPytWggbMVnDnbLhK8y42RMgGjDq8Xa%2Fag5niaNZ2:M2mZg%2B%2BYbtKqzpz0sLWNCYken9qLNC8e</t>
  </si>
  <si>
    <t>http://signup.method.me/methodcrm?trc=711&amp;trk=CTA&amp;trs=Email2&amp;utm_campaign=%5B6733%5D: 2 0 Black Friday Promo - Leads&amp;utm_content=Plan ahead and get 25  off Method⏳&amp;utm_medium=email&amp;utm_source=ActiveCampaign&amp;vgo_ee=T8NGP77XlNuBy4ikG8riPytWggbMVnDnbLhK8y42RMgGjDq8Xa%2Fag5niaNZ2:M2mZg%2B%2BYbtKqzpz0sLWNCYken9qLNC8e</t>
  </si>
  <si>
    <t>35.143.128.6, 52.9.26.127</t>
  </si>
  <si>
    <t>http://signup.method.me/proposals</t>
  </si>
  <si>
    <t>Mozilla/5.0 (Macintosh; Intel Mac OS X 10_15_7) AppleWebKit/537.36 (KHTML, like Gecko) Chrome/143.0.0.0 Safari/537.36</t>
  </si>
  <si>
    <t>165.140.76.126, 52.9.26.127</t>
  </si>
  <si>
    <t>45.132.159.245</t>
  </si>
  <si>
    <t>96.237.117.200</t>
  </si>
  <si>
    <t>23.121.33.87</t>
  </si>
  <si>
    <t>184.146.43.105</t>
  </si>
  <si>
    <t>crm_for_quickbooks</t>
  </si>
  <si>
    <t>https://grow.method.me/crm-quickbooks/?trc=81&amp;trk=crm for quickbooks&amp;trs=USA-QB-G_Ex&amp;campaignid=22265826203&amp;adgroupid=176758613473&amp;adid=734012603510&amp;gad_source=1&amp;gad_campaignid=22265826203&amp;gbraid=0AAAAAD3ItnYC8oT8LWWHiiCZKGPL-K87x&amp;gclid=CjwKCAiA0eTJBhBaEiwA-Pa-hX4DG1Y2PxXFi1G6R6PGNAP8FtSfQUDqW7NbT23N8ubRnfHKscfzchoCA-UQAvD_BwE</t>
  </si>
  <si>
    <t>50.58.99.184</t>
  </si>
  <si>
    <t>96.234.203.62</t>
  </si>
  <si>
    <t>45.17.67.87</t>
  </si>
  <si>
    <t>97.165.238.183</t>
  </si>
  <si>
    <t>https://signin.method.me/?_gl=1*f1vdpe*_gcl_au*MTIyNzcwOTg4NC4xNzY1NDA0NDg3*_ga*MzEyNDEzODg4LjE3NjU0MDQ0ODc.*_ga_L2HEZNW53E*czE3NjU0MDQ0ODYkbzEkZzAkdDE3NjU0MDQ0ODckajU5JGwwJGgxNjUyMDQ1NjA0&amp;_ga=2.237458944.163206904.1765404487-312413888.1765404487</t>
  </si>
  <si>
    <t>66.31.220.174</t>
  </si>
  <si>
    <t>https://signin.method.me/?_gl=1*fjpukq*_gcl_au*MTYzMzM0NTAxNy4xNzY1NDA1MTM5*_ga*MTg4OTc5NzQwMC4xNzY1NDA1MTM5*_ga_L2HEZNW53E*czE3NjU0MDUxMzgkbzEkZzAkdDE3NjU0MDUxMzkkajU5JGwwJGg1MTQwNzgzNDA.&amp;_ga=2.178638308.1182192690.1765405139-1889797400.1765405139</t>
  </si>
  <si>
    <t>176.165.78.155</t>
  </si>
  <si>
    <t>82.13.210.49</t>
  </si>
  <si>
    <t>https://www.method.me/industries/field-service-management-software/</t>
  </si>
  <si>
    <t>104.9.103.252</t>
  </si>
  <si>
    <t>Yahoo</t>
  </si>
  <si>
    <t>97.217.191.114</t>
  </si>
  <si>
    <t>140-SEO: yahoo (DirectSEO)</t>
  </si>
  <si>
    <t>174.44.167.29</t>
  </si>
  <si>
    <t>203.109.246.82</t>
  </si>
  <si>
    <t>https://www.method.me/resources/how-to-create-an-invoice-in-quickbooks/</t>
  </si>
  <si>
    <t>104.28.32.191</t>
  </si>
  <si>
    <t>99.245.223.197, 52.9.26.127</t>
  </si>
  <si>
    <t>https://www.method.me/features/xero/estimates/?trc=81&amp;trk=&amp;trs=USA-DSA-QB&amp;campaignid=13038312612&amp;adgroupid=128764620688&amp;adid=776781070272&amp;gad_source=1&amp;gad_campaignid=13038312612&amp;gbraid=0AAAAAD3ItnYw1GLY5ikz-2em7Ug-tAiSm&amp;gclid=CjwKCAiA0eTJBhBaEiwA-Pa-hZ6HKNY_YqB9ceOWzfFvXWOH9VvuDC0owEQsCRk6In0l91LiD9wTwxoCGjwQAvD_BwE</t>
  </si>
  <si>
    <t>95.143.33.61</t>
  </si>
  <si>
    <t>https://go-powertrain.method.me/</t>
  </si>
  <si>
    <t>https://signin.method.me/?returnUrl=https%3A%2F%2Fgo-powertrain.method.me%2Fapps%2FDefault.aspx%23%2Faccountsettings%2Ftables</t>
  </si>
  <si>
    <t>49.43.111.163</t>
  </si>
  <si>
    <t>Mozilla/5.0 (Macintosh; Intel Mac OS X 10_15_7) AppleWebKit/605.1.15 (KHTML, like Gecko) Version/26.2 Safari/605.1.15</t>
  </si>
  <si>
    <t>172.225.72.41</t>
  </si>
  <si>
    <t>74.93.16.217, 52.9.26.127</t>
  </si>
  <si>
    <t>134.41.80.14</t>
  </si>
  <si>
    <t>166.199.242.95</t>
  </si>
  <si>
    <t>RLSA-Bing-Dyn</t>
  </si>
  <si>
    <t>features</t>
  </si>
  <si>
    <t>https://www.method.me/features/xero/gmail/?trc=86&amp;trk=%2Ffeatures%2F&amp;trs=RLSA-Bing-Dyn&amp;msclkid=524ba61652eb1da4c391cf1d2eeacd27&amp;utm_source=bing&amp;utm_medium=cpc&amp;utm_campaign=RLSA - Bing&amp;utm_term=%2Ffeatures%2F&amp;utm_content=RLSA - Dynamic</t>
  </si>
  <si>
    <t>https://www.method.me/blog/xero-crm-integrations/</t>
  </si>
  <si>
    <t>74.220.81.205</t>
  </si>
  <si>
    <t>98.97.154.116</t>
  </si>
  <si>
    <t>https://signin.method.me/Password/Reset?rpcode=X16BNTzLU7qN8YQP3SnJ3QgX1!X16BNvhUPPflEp0qEXign1TV_pQX16BNTz&amp;invite=1&amp;accountName=alocetsystem</t>
  </si>
  <si>
    <t>http://signup.method.me/methodcrm?_gl=1*127xhwj*_gcl_au*MTk3NTE1ODI2Mi4xNzY1NDcwMTE4*_ga*MTU2NzM2NzI2OC4xNzY1NDcwMTE5*_ga_L2HEZNW53E*czE3NjU0NzAxMTkkbzEkZzAkdDE3NjU0NzAxMjAkajU5JGwwJGg0MTA1NDAyNTE.&amp;_ga=2.57394730.180150792.1765470119-1567367268.1765470119</t>
  </si>
  <si>
    <t>176.205.227.139, 52.9.26.127</t>
  </si>
  <si>
    <t>152.58.36.128</t>
  </si>
  <si>
    <t>http://signup.method.me/methodcrm?_gl=1*1788g1d*_gcl_au*MTc3OTQ3ODUwNC4xNzY1NDcxNDg5*_ga*MTM1NTkxMjYyLjE3NjU0NzE0ODk.*_ga_L2HEZNW53E*czE3NjU0NzE0ODkkbzEkZzAkdDE3NjU0NzE0ODkkajYwJGwwJGgxMjMwMTExNzU1&amp;_ga=2.178388836.153331075.1765471489-135591262.1765471489</t>
  </si>
  <si>
    <t>107.116.185.62, 52.9.26.127</t>
  </si>
  <si>
    <t>https://grow.method.me/crm-quickbooks/?trc=81&amp;trk=crm with quickbooks&amp;trs=USA-QB-G&amp;campaignid=1543381580&amp;adgroupid=61437797000&amp;adid=704678754673&amp;gad_source=1&amp;gad_campaignid=1543381580&amp;gbraid=0AAAAAD3Itna4HjCrL3nFp814JpSQ1a-64&amp;gclid=EAIaIQobChMI4Z2VtIC2kQMVHm5_AB2unw3IEAAYASAAEgIkN_D_BwE</t>
  </si>
  <si>
    <t>166.194.200.86</t>
  </si>
  <si>
    <t>24.218.12.214</t>
  </si>
  <si>
    <t>http://signup.method.me/methodcrm?_gl=1*er5d4y*_gcl_au*MTU2OTUwNTkzNC4xNzU4MDUwMjA5LjE0OTE2NTI0NjcuMTc2NDI1Mjg3My4xNzY0MjUyOTk0*_ga*MTU4MjgwMTAyNC4xNzU4MDI4MTI1*_ga_L2HEZNW53E*czE3NjQyNTE4ODIkbzEwOCRnMSR0MTc2NDI2MzQ1NyRqNjAkbDAkaDIyODU5NzQ5Mg..&amp;_ga=2.96290332.1448085966.1763996340-1582801024.1758028125</t>
  </si>
  <si>
    <t>76.198.155.157, 52.9.26.127</t>
  </si>
  <si>
    <t>https://www.method.me/blog/start-a-cleaning-business-with-no-money/</t>
  </si>
  <si>
    <t>68.106.204.107</t>
  </si>
  <si>
    <t>64.137.159.59</t>
  </si>
  <si>
    <t>23.84.61.59</t>
  </si>
  <si>
    <t>YouTube</t>
  </si>
  <si>
    <t>qbo-esig</t>
  </si>
  <si>
    <t>description-cta</t>
  </si>
  <si>
    <t>https://www.method.me/blog/how-to-add-signature-in-quickbooks-online/?trc=90&amp;trk=description-cta&amp;trs=qbo-esig&amp;utm_source=yt&amp;utm_medium=description-cta&amp;utm_campaign=qbo-esig</t>
  </si>
  <si>
    <t>76.108.5.196</t>
  </si>
  <si>
    <t>72.203.175.97</t>
  </si>
  <si>
    <t>https://www.method.me/blog/quickbooks-desktop-discontinued/</t>
  </si>
  <si>
    <t>73.14.71.228</t>
  </si>
  <si>
    <t>https://grow.method.me/method-proposals/?trc=81&amp;trk=how to add signature in quickbooks online&amp;trs=US-New-Proposal&amp;campaignid=19733246298&amp;adgroupid=156304156777&amp;adid=689695736138&amp;gad_source=1&amp;gad_campaignid=19733246298&amp;gbraid=0AAAAAD3ItnZ2Z_oX2x_IIp0igbvt3GjSJ&amp;gclid=Cj0KCQiA9OnJBhD-ARIsAPV51xMXCcFFgQyIxwv7kDSG0icbPr5_vNiFkJJN0LhaBq2sGAVHKPKSh1EaAk9jEALw_wcB</t>
  </si>
  <si>
    <t>104.181.157.245</t>
  </si>
  <si>
    <t>172.59.226.211</t>
  </si>
  <si>
    <t>76.242.171.1</t>
  </si>
  <si>
    <t>Mozilla/5.0 (Linux; Android 10; K) AppleWebKit/537.36 (KHTML, like Gecko) Chrome/141.0.0.0 Mobile Safari/537.36</t>
  </si>
  <si>
    <t>105.78.18.239</t>
  </si>
  <si>
    <t>http://signup.method.me/methodcrm/?_gl=1*kzfd5o*_gcl_au*MTY3MzQyMzg5Ni4xNzY1NTE0Mjk4*_ga*MTA4NTY5ODY2NC4xNzY1NTE0Mjk4*_ga_L2HEZNW53E*czE3NjU1MTQyOTgkbzEkZzAkdDE3NjU1MTQyOTgkajYwJGwwJGgxMTU1MTYxMDIz&amp;_ga=2.86973393.819242378.1765514298-1085698664.1765514298</t>
  </si>
  <si>
    <t>99.159.253.37, 52.9.26.127</t>
  </si>
  <si>
    <t>104.166.189.180</t>
  </si>
  <si>
    <t>103.91.128.106</t>
  </si>
  <si>
    <t>Mozilla/5.0 (Macintosh; Intel Mac OS X 10_15_7) AppleWebKit/605.1.15 (KHTML, like Gecko) Version/17.6 Safari/605.1.15</t>
  </si>
  <si>
    <t>5.31.149.195</t>
  </si>
  <si>
    <t>Mozilla/5.0 (iPad; CPU OS 26_1_0 like Mac OS X) AppleWebKit/605.1.15 (KHTML, like Gecko) GSA/398.0.839721620 Mobile/15E148 Safari/604.1</t>
  </si>
  <si>
    <t>70.133.175.242</t>
  </si>
  <si>
    <t>https://www.method.me/crm-quickbooks/job-scheduling-software/?trc=81&amp;trk=&amp;trs=USA-DSA&amp;campaignid=13038312612&amp;adgroupid=127756898611&amp;adid=771467139249&amp;gad_source=1&amp;gad_campaignid=13038312612&amp;gbraid=0AAAAAD3ItnaIcAaRI2ScMRJVcCO_gFWMd&amp;gclid=EAIaIQobChMIp9S1r9-3kQMVPC5ECB1QuCszEAAYAiAAEgJSNPD_BwE</t>
  </si>
  <si>
    <t>128.120.235.30</t>
  </si>
  <si>
    <t>US-Bing-QB</t>
  </si>
  <si>
    <t>crm_that_works_with_quickbooks</t>
  </si>
  <si>
    <t>https://grow.method.me/crm-quickbooks/?trc=86&amp;trk=crm that works with quickbooks&amp;trs=US-Bing-QB&amp;msclkid=6a866ac532ad15ccd6f303fc49994f77&amp;utm_source=bing&amp;utm_medium=cpc&amp;utm_campaign=US - Bing QB Broad&amp;utm_term=crm that works with quickbooks&amp;utm_content=Ad Group 1</t>
  </si>
  <si>
    <t>3.98.54.73</t>
  </si>
  <si>
    <t>216.234.215.23</t>
  </si>
  <si>
    <t>custom_invoices_for_quickbooks</t>
  </si>
  <si>
    <t>https://grow.method.me/crm-quickbooks/?trc=86&amp;trk=custom invoices for quickbooks&amp;trs=USA-G-QB-Bing&amp;msclkid=6bee187685e81295fbe8714ab7c5b9d5&amp;utm_source=bing&amp;utm_medium=cpc&amp;utm_campaign=US - Generic 2020&amp;utm_term=custom invoices for quickbooks&amp;utm_content=Generic</t>
  </si>
  <si>
    <t>107.115.163.9</t>
  </si>
  <si>
    <t>24.173.64.250</t>
  </si>
  <si>
    <t>197.147.119.246</t>
  </si>
  <si>
    <t>quickbooks_online_invoice_management</t>
  </si>
  <si>
    <t>https://grow.method.me/crm-quickbooks/?trc=86&amp;trk=quickbooks online invoice management&amp;trs=USA-G-QB-Bing&amp;msclkid=197e650fcd5f107ba3600c338d7aaf18&amp;utm_source=bing&amp;utm_medium=cpc&amp;utm_campaign=US - Generic 2020&amp;utm_term=quickbooks online invoice management&amp;utm_content=Generic</t>
  </si>
  <si>
    <t>75.63.92.9</t>
  </si>
  <si>
    <t>24.180.181.131</t>
  </si>
  <si>
    <t>50.192.92.201</t>
  </si>
  <si>
    <t>96.68.224.218</t>
  </si>
  <si>
    <t>https://signin.method.me/?_gl=1*badh72*_gcl_au*MTA0NzE3NjEzOS4xNzYyMjkzNjQw*_ga*MTI5NzkzMDU5Mi4xNzYyMjkzNjQw*_ga_L2HEZNW53E*czE3NjIyOTM2MzkkbzEkZzAkdDE3NjIyOTM2NDAkajU5JGwwJGgyNzUwMDUzMzc.&amp;_ga=2.244139781.1226969095.1762293640-1297930592.1762293640</t>
  </si>
  <si>
    <t>71.239.181.46</t>
  </si>
  <si>
    <t>https://grow.method.me/crm-quickbooks/?trc=81&amp;trk=crm with quickbooks&amp;trs=USA-QB-G&amp;campaignid=1543381580&amp;adgroupid=61437797000&amp;adid=704678754673&amp;gad_source=1&amp;gad_campaignid=1543381580&amp;gbraid=0AAAAAD3ItnayciSsm9mOKlYQqr6bMw9fw&amp;gclid=CjwKCAiAl-_JBhBjEiwAn3rN7YpbIS-oxkGvbUwwTPOcPcEnanhbVQ-_7x6xqE2v8G36QwTHs9iJZxoCX0kQAvD_BwE</t>
  </si>
  <si>
    <t>Mozilla/5.0 (Macintosh; Intel Mac OS X 10_15_7) AppleWebKit/537.36 (KHTML, like Gecko) Chrome/140.0.0.0 Safari/537.36</t>
  </si>
  <si>
    <t>76.37.198.141</t>
  </si>
  <si>
    <t>Mozilla/5.0 (iPhone; CPU iPhone OS 18_6_2 like Mac OS X) AppleWebKit/605.1.15 (KHTML, like Gecko) Version/18.6 Mobile/15E148 Safari/604.1 Ddg/18.6</t>
  </si>
  <si>
    <t>107.122.189.50</t>
  </si>
  <si>
    <t>138.84.36.225</t>
  </si>
  <si>
    <t>appcard</t>
  </si>
  <si>
    <t>https://www.method.me/quickbooks-crm/?trc=69&amp;trk=appcard&amp;trs=US_CompanyURL</t>
  </si>
  <si>
    <t>http://signup.method.me/methodcrm/?_gl=1*1l1lywd*_gcl_au*MTY1Nzc1ODI3OC4xNzY1NTY3NjAw*_ga*Nzg1OTA3NzEyLjE3NjU1Njc2MDA.*_ga_L2HEZNW53E*czE3NjU1Njc2MDAkbzEkZzAkdDE3NjU1Njc2MDAkajYwJGwwJGgxOTM0OTEwMzEy&amp;_ga=2.47438887.1879154521.1765567600-785907712.1765567600</t>
  </si>
  <si>
    <t>100.14.11.202, 52.9.26.127</t>
  </si>
  <si>
    <t>https://www.method.me/en/</t>
  </si>
  <si>
    <t>75.6.216.24</t>
  </si>
  <si>
    <t>Mozilla/5.0 (Windows NT 10.0; Win64; x64) AppleWebKit/537.36 (KHTML, like Gecko) Chrome/139.0.0.0 Safari/537.36</t>
  </si>
  <si>
    <t>76.130.194.11</t>
  </si>
  <si>
    <t>https://www.method.me/quickbooks-crm/?trc=81&amp;trk=&amp;trs=USA-DSA-QB&amp;campaignid=13038312612&amp;adgroupid=128764620688&amp;adid=769486387383&amp;gad_source=1&amp;gad_campaignid=13038312612&amp;gbraid=0AAAAAD3Itna8irCZCZ7Yy9b8uF-LZ0Js7&amp;gclid=CjwKCAjw7_DEBhAeEiwAWKiCC7Z1-kFIlXPyJqiiUvwkjefBbWJwdYbaSBFTBZUe2wC475AXkEXqEhoCxzAQAvD_BwE</t>
  </si>
  <si>
    <t>76.25.196.154</t>
  </si>
  <si>
    <t>12.125.88.122</t>
  </si>
  <si>
    <t>Mozilla/5.0 (Macintosh; Intel Mac OS X 10.15; rv:145.0) Gecko/20100101 Firefox/145.0</t>
  </si>
  <si>
    <t>152.208.107.185</t>
  </si>
  <si>
    <t>129.222.193.118</t>
  </si>
  <si>
    <t>https://www.method.me/resources/mechanic-work-order-forms/</t>
  </si>
  <si>
    <t>69.121.75.78</t>
  </si>
  <si>
    <t>69.230.153.38</t>
  </si>
  <si>
    <t>https://grow.method.me/no-erp/?trc=81&amp;trk=&amp;trs=US-ERP&amp;campaignid=20938141894&amp;adgroupid=&amp;adid=&amp;gad_source=5&amp;gad_campaignid=20938142383&amp;gclid=EAIaIQobChMIu7aCg7S5kQMVYjdECB0xLAiUEAAYASAAEgJk6_D_BwE</t>
  </si>
  <si>
    <t>Mozilla/5.0 (Linux; Android 12; M2102J20SG Build/SKQ1.211006.001; wv) AppleWebKit/537.36 (KHTML, like Gecko) Version/4.0 Chrome/139.0.0.0 Mobile Safari/537.36 [FB_IAB/FB4A;FBAV/505.0.0.0.38;]</t>
  </si>
  <si>
    <t>24.10.10.195</t>
  </si>
  <si>
    <t>PMax-ERP</t>
  </si>
  <si>
    <t>https://www.method.me/crm-quickbooks/customer-management-software/?trc=81&amp;trk=&amp;trs=PMax-ERP&amp;campaignid=20938141894&amp;adgroupid=&amp;adid=&amp;gad_source=5&amp;gad_campaignid=20938142383&amp;gclid=EAIaIQobChMIwMr31sW5kQMVtElHAR24PgsGEAEYASABEgIvmPD_BwE</t>
  </si>
  <si>
    <t>Mozilla/5.0 (Linux; Android 14; SCG13 Build/UP1A.231005.007; wv) AppleWebKit/537.36 (KHTML, like Gecko) Version/4.0 Chrome/135.0.0.0 Mobile Safari/537.36 [FB_IAB/FB4A;FBAV/499.0.0.31.60;]</t>
  </si>
  <si>
    <t>99.8.81.244</t>
  </si>
  <si>
    <t>https://auth.method.me/Account/login?returnUrl=%2Fconnect%2Fauthorize%2Fcallback%3Fclient_id%3Dzapier%26state%3Dn7eUgcoPRggOQuybMV_lqigabBKy8ZT4VvLLJCX1Bjo%26redirect_uri%3Dhttps%253A%252F%252Fzapier.com%252Fdashboard%252Fauth%252Foauth%252Freturn%252FMethodCRMCLIAPI%252F%26response_type%3Dcode%26scope%3Dopenid%2520profile%2520email%2520api%2520offline_access&amp;error=no_mapping_found</t>
  </si>
  <si>
    <t>31.187.78.120, 52.9.26.127</t>
  </si>
  <si>
    <t>https://grow.method.me/no-erp/?trc=81&amp;trk=&amp;trs=US-ERP&amp;campaignid=20938141894&amp;adgroupid=&amp;adid=&amp;gad_source=5&amp;gad_campaignid=20938142383&amp;gclid=EAIaIQobChMIwLvpqce5kQMV6AtECB1ggyt2EAAYASAAEgL3YfD_BwE</t>
  </si>
  <si>
    <t>Mozilla/5.0 (Linux; Android 13; SM-A136U Build/TP1A.220624.014; wv) AppleWebKit/537.36 (KHTML, like Gecko) Version/4.0 Chrome/139.0.0.0 Mobile Safari/537.36 [FB_IAB/FB4A;FBAV/534.0.0.56.76;IABMV/1;]</t>
  </si>
  <si>
    <t>142.129.159.22</t>
  </si>
  <si>
    <t>47.133.104.58</t>
  </si>
  <si>
    <t>https://signin.method.me/?_ga=2.162661820.1827644277.1743456497-959090251.1677599655&amp;_gl=1*jpkzev*_gcl_au*MjY0ODE4Njk1LjE3NjU1OTY4MjQ.*_ga*MzYwOTI3NTcwLjE3NjU1OTY4MjQ.*_ga_L2HEZNW53E*czE3NjU1OTY4MjQkbzEkZzAkdDE3NjU1OTY4MjQkajYwJGwwJGgxNTYwNTIzODQ0</t>
  </si>
  <si>
    <t>80.249.6.255</t>
  </si>
  <si>
    <t>https://grow.method.me/no-erp/?trc=81&amp;trk=&amp;trs=US-ERP&amp;campaignid=20938141894&amp;adgroupid=&amp;adid=&amp;gad_source=5&amp;gad_campaignid=20938142383&amp;gclid=EAIaIQobChMIhJuHg9u5kQMV5V3_AR1FfSi5EAAYASAAEgKGGvD_BwE</t>
  </si>
  <si>
    <t>Mozilla/5.0 (iPhone; CPU iPhone OS 16_1 like Mac OS X) AppleWebKit/605.1.15 (KHTML, like Gecko) FxiOS/123.3 Mobile/15E148 Safari/605.1.15</t>
  </si>
  <si>
    <t>76.39.220.150</t>
  </si>
  <si>
    <t>https://www.method.me/crm-quickbooks/job-scheduling-software/?trc=81&amp;trk=&amp;trs=USA-DSA&amp;campaignid=13038312612&amp;adgroupid=127756898611&amp;adid=771467139249&amp;gad_source=1&amp;gad_campaignid=13038312612&amp;gbraid=0AAAAAD3Itna_QUa4HPpRiouV8y1gZUsoE&amp;gclid=EAIaIQobChMIoPCusOC5kQMVhyvUAR2SoxRZEAAYASAAEgJxivD_BwE</t>
  </si>
  <si>
    <t>Mozilla/5.0 (iPhone; CPU iPhone OS 18_7 like Mac OS X) AppleWebKit/605.1.15 (KHTML, like Gecko) Version/18.7.3 Mobile/15E148 Safari/604.1</t>
  </si>
  <si>
    <t>75.11.206.197</t>
  </si>
  <si>
    <t>76.9.51.14</t>
  </si>
  <si>
    <t>https://www.method.me/crm-quickbooks/customer-management-software/?trc=81&amp;trk=&amp;trs=PMax-ERP&amp;campaignid=20938141894&amp;adgroupid=&amp;adid=&amp;gad_source=5&amp;gad_campaignid=20938142383&amp;gclid=EAIaIQobChMI5bG8s4C6kQMVXmRHAR0MMBGPEAAYAiABEgKWnvD_BwE</t>
  </si>
  <si>
    <t>Mozilla/5.0 (Linux; Android 14; SM-S711U Build/UP1A.231005.007; wv) AppleWebKit/537.36 (KHTML, like Gecko) Version/4.0 Chrome/140.0.0.0 Mobile Safari/537.36 [FB_IAB/FB4A;FBAV/531.0.0.47.70;]</t>
  </si>
  <si>
    <t>69.121.59.189</t>
  </si>
  <si>
    <t>https://fiftyquestions.com/</t>
  </si>
  <si>
    <t>https://www.method.me/crm-quickbooks/customer-management-software/?trc=81&amp;trk=&amp;trs=PMax-ERP&amp;campaignid=20938141894&amp;adgroupid=&amp;adid=&amp;gad_source=5&amp;gad_campaignid=20938142383&amp;gclid=EAIaIQobChMIj5vY-6O6kQMVZEb_AR1pOzziEAAYASABEgJeW_D_BwE</t>
  </si>
  <si>
    <t>Mozilla/5.0 (Linux; Android 13; SM-A525M Build/TP1A.220624.014; wv) AppleWebKit/537.36 (KHTML, like Gecko) Version/4.0 Chrome/130.0.6723.107 Mobile Safari/537.36 [FB_IAB/FB4A;FBAV/532.0.0.55.71;IABMV/1;]</t>
  </si>
  <si>
    <t>172.56.69.112</t>
  </si>
  <si>
    <t>vimeo</t>
  </si>
  <si>
    <t>win-more-biz-qb-crm</t>
  </si>
  <si>
    <t>https://player.vimeo.com/</t>
  </si>
  <si>
    <t>http://signup.method.me/methodcrm?trc=69&amp;trk=win-more-biz-qb-crm&amp;trs=vimeo&amp;utm_source=Intuit&amp;utm_medium=vimeo&amp;utm_campaign=cta&amp;dc=638724609380700000</t>
  </si>
  <si>
    <t>102.135.170.58, 52.9.26.127</t>
  </si>
  <si>
    <t>how_to_use_quickbooks_online_with_a_sales_crm</t>
  </si>
  <si>
    <t>https://grow.method.me/crm-quickbooks/?trc=86&amp;trk=how to use quickbooks online with a sales crm&amp;trs=US-QBInt-Bing&amp;msclkid=e82977076c541f064eda1e3a1aa97596&amp;utm_source=bing&amp;utm_medium=cpc&amp;utm_campaign=US - Generic 2020&amp;utm_term=how to use quickbooks online with a sales crm&amp;utm_content=Integrations</t>
  </si>
  <si>
    <t>24.181.169.158</t>
  </si>
  <si>
    <t>https://grow.method.me/best-quickbooks-crm/?trc=86&amp;trk=grow.method.me&amp;trs=Bing-PMax&amp;msclkid=6df8489e2cda1274daa0206e3a2228f2&amp;utm_source=bing&amp;utm_medium=cpc&amp;utm_campaign=Bing - PMAX&amp;utm_term=grow.method.me&amp;utm_content=US - retargeting</t>
  </si>
  <si>
    <t>96.56.111.34</t>
  </si>
  <si>
    <t>crm_that_integrates_with_quickbooks</t>
  </si>
  <si>
    <t>https://grow.method.me/crm-quickbooks/?trc=86&amp;trk=crm that integrates with quickbooks&amp;trs=US-Bing-QB&amp;msclkid=d456073b61ee1ac44cee6e06edc57e6e&amp;utm_source=bing&amp;utm_medium=cpc&amp;utm_campaign=US - Bing QB Broad&amp;utm_term=crm that integrates with quickbooks&amp;utm_content=Ad Group 1</t>
  </si>
  <si>
    <t>https://grow.method.me/quickbooks-crm-fb/?trc=517&amp;trk=BOF&amp;trs=FB-Lookalike&amp;utm_source=Facebook&amp;utm_medium=PPC&amp;utm_campaign=Banner_trial&amp;utm_id=120213444289450307&amp;utm_content=120215433569050307&amp;utm_term=120215433408020307&amp;fbclid=IwY2xjawOqg4JleHRuA2FlbQEwAGFkaWQBqyqL-KxFI3NydGMGYXBwX2lkDzE2NTkwNzQ3Njg1NDYyNgABHgzQeZ5SELNElQgIcSJeMBfxE7JrBRtJjMUuQyzGCVWHJZaIqo6nk7z4pSvn_aem_ZvvWN3DMqTvNxGGXO0p35w&amp;campaign_id=120213444289450307&amp;ad_id=120215433569050307</t>
  </si>
  <si>
    <t>Mozilla/5.0 (X11; CrOS x86_64 14541.0.0) AppleWebKit/537.36 (KHTML, like Gecko) Chrome/141.0.0.0 Safari/537.36</t>
  </si>
  <si>
    <t>73.134.227.38</t>
  </si>
  <si>
    <t>103.229.86.148, 52.9.26.127</t>
  </si>
  <si>
    <t>CA-Customization</t>
  </si>
  <si>
    <t>quickbooks_invoice_customization</t>
  </si>
  <si>
    <t>https://grow.method.me/quickbooks-customization/?trc=81&amp;trk=quickbooks invoice customization&amp;trs=CA-Customization&amp;campaignid=1543604353&amp;adgroupid=187747789113&amp;adid=776764616790&amp;gad_source=1&amp;gad_campaignid=1543604353&amp;gbraid=0AAAAAD3ItnagJZrvK3YnHuuaXZGRTXlwd&amp;gclid=Cj0KCQiAuvTJBhCwARIsAL6Demj165IabiVitof104u42jT7HTrXNATdx-YHokPKhct7qvJAInSd1QkaAgavEALw_wcB</t>
  </si>
  <si>
    <t>144.217.211.225</t>
  </si>
  <si>
    <t>76.106.223.5</t>
  </si>
  <si>
    <t>https://www.method.me/crm-quickbooks/enterprise/</t>
  </si>
  <si>
    <t>172.56.98.147</t>
  </si>
  <si>
    <t>https://grow.method.me/crm-quickbooks/?trc=81&amp;trk=crm with quickbooks&amp;trs=USA-QB-G&amp;campaignid=1543381580&amp;adgroupid=61437797000&amp;adid=704678754673&amp;gad_source=1&amp;gad_campaignid=1543381580&amp;gbraid=0AAAAAD3ItnZdAF9mJUnGhEFfDuRZpRw26&amp;gclid=Cj0KCQiAuvTJBhCwARIsAL6DemhuMTSjJvlPn7GB4mzs2SnRJrvGZ0x6IJq2GtoHAZZRfi7gFTiE1skaAtNuEALw_wcB</t>
  </si>
  <si>
    <t>172.59.187.18</t>
  </si>
  <si>
    <t>https://www.method.me/blog/quickbooks-online-invoice-templates/</t>
  </si>
  <si>
    <t>47.205.162.107</t>
  </si>
  <si>
    <t>192.197.122.163</t>
  </si>
  <si>
    <t>162.120.184.57, 52.9.26.127</t>
  </si>
  <si>
    <t>172.7.160.107</t>
  </si>
  <si>
    <t>https://www.method.me/features/mobile-app/?utm_source=chatgpt.com</t>
  </si>
  <si>
    <t>Mozilla/5.0 (iPhone; CPU iPhone OS 18_7 like Mac OS X) AppleWebKit/605.1.15 (KHTML, like Gecko) Version/26.0.1 Mobile/15E148 Safari/604.1</t>
  </si>
  <si>
    <t>146.75.146.79</t>
  </si>
  <si>
    <t>https://www.method.me/blog/how-to-import-transactions-into-quickbooks-online-from-excel/</t>
  </si>
  <si>
    <t>129.222.245.229</t>
  </si>
  <si>
    <t>159.196.80.193</t>
  </si>
  <si>
    <t>https://www.method.me/blog/checklist-for-starting-a-cleaning-business/</t>
  </si>
  <si>
    <t>174.234.8.8</t>
  </si>
  <si>
    <t>http://signup.method.me/methodcrm/?_gl=1*1c1ker2*_gcl_au*MTg0NDc1NDM4Ni4xNzY1NzExMDkx*_ga*MTAwMTA1ODMwMC4xNzY1NzExMDkx*_ga_L2HEZNW53E*czE3NjU3MTEwOTEkbzEkZzAkdDE3NjU3MTEwOTEkajYwJGwwJGgxODQyMDI5ODM0&amp;_ga=2.104325568.1146954089.1765711091-1001058300.1765711091</t>
  </si>
  <si>
    <t>107.201.90.223, 52.9.26.127</t>
  </si>
  <si>
    <t>1.39.128.132, 52.9.26.127</t>
  </si>
  <si>
    <t>FB-Retargeting</t>
  </si>
  <si>
    <t>DoThis</t>
  </si>
  <si>
    <t>https://grow.method.me/quickbooks-crm-fb/?trc=517&amp;trk=DoThis&amp;trs=FB-Retargeting&amp;utm_source=Facebook&amp;utm_medium=PPC&amp;utm_campaign=Trial-Q42024&amp;fbclid=IwZXh0bgNhZW0BMABhZGlkAasqjAyLjONzcnRjBmFwcF9pZAo2NjI4NTY4Mzc5AAEe317QqwOx2CP7zHBXCcClGQJghQuxKAcBUr9T5pxWJ52zJJyXVS2M00OBiUk_aem_GvRmokYYPp_jdpUoH70hjA&amp;campaign_id=120213444289450307&amp;ad_id=120223209344020307&amp;utm_id=120213444289450307&amp;utm_content=120223209344020307&amp;utm_term=120223209344030307</t>
  </si>
  <si>
    <t>Mozilla/5.0 (iPhone; CPU iPhone OS 18_7_1 like Mac OS X) AppleWebKit/605.1.15 (KHTML, like Gecko) Mobile/22H31 [FBAN/FBIOS;FBAV/542.0.0.37.140;FBBV/840410395;FBDV/iPhone15,4;FBMD/iPhone;FBSN/iOS;FBSV/18.7.1;FBSS/3;FBID/phone;FBLC/en_US;FBOP/5;FBRV/0;IABMV/1]</t>
  </si>
  <si>
    <t>75.144.7.58</t>
  </si>
  <si>
    <t>Mozilla/5.0 (Windows NT 6.1; Win64; x64) AppleWebKit/537.36 (KHTML, like Gecko) Chrome/109.0.0.0 Safari/537.36 Edg/109.0.1518.140</t>
  </si>
  <si>
    <t>47.11.113.128</t>
  </si>
  <si>
    <t>https://grow.method.me/crm-quickbooks/?trc=81&amp;trk=crm with quickbooks&amp;trs=USA-QB-G&amp;campaignid=1543381580&amp;adgroupid=61437797000&amp;adid=704678754673&amp;gad_source=1&amp;gad_campaignid=1543381580&amp;gbraid=0AAAAAD3ItnZNMn31Mc4lcykjapq4w1c2y&amp;gclid=CjwKCAiA3fnJBhAgEiwAyqmY5a3z2oa4e6z39qvLFfhg3yx71LDrPAUqrpjXV_AGDb348YZlAdKszBoC8EUQAvD_BwE</t>
  </si>
  <si>
    <t>76.128.175.190</t>
  </si>
  <si>
    <t>best_crm_quickbooks_integration</t>
  </si>
  <si>
    <t>https://grow.method.me/crm-quickbooks/?trc=86&amp;trk=best crm quickbooks integration&amp;trs=US-QBInt-Bing&amp;msclkid=2c066c0b5c94172aa0090535b322c1bd&amp;utm_source=bing&amp;utm_medium=cpc&amp;utm_campaign=US - Generic 2020&amp;utm_term=best crm quickbooks integration&amp;utm_content=Integrations</t>
  </si>
  <si>
    <t>99.135.10.72</t>
  </si>
  <si>
    <t>https://grow.method.me/crm-quickbooks/?trc=81&amp;trk=crm with quickbooks&amp;trs=USA-QB-G&amp;campaignid=1543381580&amp;adgroupid=61437797000&amp;adid=704678754673&amp;gad_source=1&amp;gad_campaignid=1543381580&amp;gbraid=0AAAAAD3ItnZNMn31Mc4lcykjapq4w1c2y&amp;gclid=CjwKCAiA3fnJBhAgEiwAyqmY5R5E5ZOrPRY-E8E1Cu3NTq80M27ts7SY_55Cx6pXawTq89jMPOrCEBoCVbsQAvD_BwE</t>
  </si>
  <si>
    <t>73.28.170.52</t>
  </si>
  <si>
    <t>https://grow.method.me/quickbooks-crm-fb/?trc=517&amp;trk=BOF&amp;trs=FB-Lookalike&amp;utm_source=Facebook&amp;utm_medium=PPC&amp;utm_campaign=Banner_trial&amp;fbclid=IwZXh0bgNhZW0BMABhZGlkAasqi_isRSNzcnRjBmFwcF9pZAo2NjI4NTY4Mzc5AAEepiZrCDtl3qAyjy2Y36kTwHriGxyox36mSzGnd_SPkDwhqsr9Ca8cA_d-yAw_aem_9NCwsqVNdgYf1pOnD1YlZw&amp;brid=9NCwsqVNdgYf1pOnD1YlZw&amp;campaign_id=120213444289450307&amp;ad_id=120215433569050307&amp;utm_id=120213444289450307&amp;utm_content=120215433569050307&amp;utm_term=120215433408020307</t>
  </si>
  <si>
    <t>Mozilla/5.0 (iPhone; CPU iPhone OS 18_6_2 like Mac OS X) AppleWebKit/605.1.15 (KHTML, like Gecko) Mobile/22G100 Safari/604.1 [FBAN/FBIOS;FBAV/542.0.0.37.140;FBBV/840410395;FBDV/iPhone17,2;FBMD/iPhone;FBSN/iOS;FBSV/18.6.2;FBSS/3;FBID/phone;FBLC/en_US;FBOP/5;FBRV/843355353;IABMV/1]</t>
  </si>
  <si>
    <t>173.61.20.118</t>
  </si>
  <si>
    <t>https://grow.method.me/see-in-action/?SOURCE=Meta&amp;ad_id=120215433569050307&amp;brid=9NCwsqVNdgYf1pOnD1YlZw&amp;campaign_id=120213444289450307&amp;fbclid=IwZXh0bgNhZW0BMABhZGlkAasqi_isRSNzcnRjBmFwcF9pZAo2NjI4NTY4Mzc5AAEepiZrCDtl3qAyjy2Y36kTwHriGxyox36mSzGnd_SPkDwhqsr9Ca8cA_d-yAw_aem_9NCwsqVNdgYf1pOnD1YlZw&amp;trc=517&amp;trk=BOF&amp;trs=FB-Lookalike&amp;utm_campaign=Banner_trial&amp;utm_content=120215433569050307&amp;utm_id=120213444289450307&amp;utm_medium=PPC&amp;utm_source=Facebook&amp;utm_term=120215433408020307</t>
  </si>
  <si>
    <t>https://grow.method.me/quickbooks-crm-fb/?trc=517&amp;trk=BOF&amp;trs=FB-Lookalike&amp;utm_source=Facebook&amp;utm_medium=PPC&amp;utm_campaign=Banner_trial&amp;fbclid=IwZXh0bgNhZW0BMABhZGlkAasqi_isRSNzcnRjBmFwcF9pZAo2NjI4NTY4Mzc5AAEegziLaMog7W8vowbZj70lEOg-wLaB49BEUl8N6TvZZ68DHs9-0xrVZxlAAJ4_aem_qw94eCOurR3kRXphkIbGOA&amp;brid=qw94eCOurR3kRXphkIbGOA&amp;campaign_id=120213444289450307&amp;ad_id=120215433569050307&amp;utm_id=120213444289450307&amp;utm_content=120215433569050307&amp;utm_term=120215433408020307</t>
  </si>
  <si>
    <t>Mozilla/5.0 (iPhone; CPU iPhone OS 18_6_2 like Mac OS X) AppleWebKit/605.1.15 (KHTML, like Gecko) Mobile/22G100 Safari/604.1 [FBAN/FBIOS;FBAV/542.0.0.37.140;FBBV/840410395;FBDV/iPhone17,2;FBMD/iPhone;FBSN/iOS;FBSV/18.6.2;FBSS/3;FBID/phone;FBLC/en_US;FBOP/5;FBRV/844091214;IABMV/1]</t>
  </si>
  <si>
    <t>https://www.method.me/quickbooks-crm/?trc=81&amp;trk=&amp;trs=USA-DSA-QB&amp;campaignid=13038312612&amp;adgroupid=128764620688&amp;adid=776781070272&amp;gad_source=1&amp;gad_campaignid=13038312612&amp;gbraid=0AAAAAD3ItnZ7eMf13ooxTjuxmRbe6HMoy&amp;gclid=CjwKCAiA3fnJBhAgEiwAyqmY5fn0Z9KcZ3X2ujSAkgENJkwkcsGwTvuLRoP9iLuM_5QestAzczFPDRoCLp0QAvD_BwE</t>
  </si>
  <si>
    <t>169.197.143.50</t>
  </si>
  <si>
    <t>PMax-weekend</t>
  </si>
  <si>
    <t>https://grow.method.me/quickbooks-crm/?trc=81&amp;trk=&amp;trs=PMax-weekend&amp;campaignid=21009929726&amp;adgroupid=&amp;adid=&amp;gad_source=5&amp;gad_campaignid=21012967633&amp;gclid=EAIaIQobChMI4ZGFmMC-kQMVsGBHAR2Ftw2REAAYASAAEgLym_D_BwE</t>
  </si>
  <si>
    <t>Mozilla/5.0 (Linux; Android 13; V1813T Build/P00610 release-keys; wv) AppleWebKit/537.36 (KHTML, like Gecko) Version/4.0 Chrome/140.0.0.0 Mobile Safari/537.36 [FB_IAB/FB4A;FBAV/513.0.0.61.91;IABMV/1;]</t>
  </si>
  <si>
    <t>96.184.189.6</t>
  </si>
  <si>
    <t>https://grow.method.me/no-erp/?trc=81&amp;trk=&amp;trs=US-ERP&amp;campaignid=20938141894&amp;adgroupid=&amp;adid=&amp;gad_source=5&amp;gad_campaignid=20938142383&amp;gclid=EAIaIQobChMIpY_g1MS-kQMVukJHAR29GiA1EAAYASAAEgLzwPD_BwE</t>
  </si>
  <si>
    <t>Mozilla/5.0 (Linux; Android 13; SM-G781U Build/TP1A.220624.014; wv) AppleWebKit/537.36 (KHTML, like Gecko) Version/4.0 Chrome/135.0.0.0 Mobile Safari/537.36 [FB_IAB/FB4A;FBAV/504.1.0.72.107;]</t>
  </si>
  <si>
    <t>204.96.221.207</t>
  </si>
  <si>
    <t>https://grow.method.me/no-erp/?trc=81&amp;trk=&amp;trs=US-ERP&amp;campaignid=20938141894&amp;adgroupid=&amp;adid=&amp;gad_source=5&amp;gad_campaignid=20938142383&amp;gclid=EAIaIQobChMIhtuv-M--kQMVribUAR3dbzjQEAAYASAAEgIRrPD_BwE</t>
  </si>
  <si>
    <t>Mozilla/5.0 (Linux; Android 12; HD1901 Build/SKQ1.211113.001; wv) AppleWebKit/537.36 (KHTML, like Gecko) Version/4.0 Chrome/138.0.0.0 Mobile Safari/537.36 [FB_IAB/FB4A;FBAV/534.0.0.24.76;IABMV/1;]</t>
  </si>
  <si>
    <t>174.246.128.46</t>
  </si>
  <si>
    <t>https://www.method.me/pricing-guides/carpet-cleaning-estimate-template/</t>
  </si>
  <si>
    <t>106.192.35.146</t>
  </si>
  <si>
    <t>49.184.204.111, 52.9.26.127</t>
  </si>
  <si>
    <t>qbo_customize_invoice</t>
  </si>
  <si>
    <t>https://grow.method.me/quickbooks-customization/?trc=81&amp;trk=qbo customize invoice&amp;trs=CA-Customization&amp;campaignid=1543604353&amp;adgroupid=187747789113&amp;adid=776764616790&amp;gad_source=1&amp;gad_campaignid=1543604353&amp;gbraid=0AAAAAD3ItnYF4pfRNzcyxOzqJ8ZZPKgl_&amp;gclid=CjwKCAiA3fnJBhAgEiwAyqmY5Ste06JQS4xlymZtuVyI_9-8kD3nDum3BpBEl2QBQCby8rI7vd9OFBoC1kIQAvD_BwE</t>
  </si>
  <si>
    <t>142.59.85.23</t>
  </si>
  <si>
    <t>https://www.method.me/features/xero/payment-gateways/</t>
  </si>
  <si>
    <t>149.22.88.71</t>
  </si>
  <si>
    <t>https://grow.method.me/no-erp/?trc=81&amp;trk=&amp;trs=US-ERP&amp;campaignid=20938141894&amp;adgroupid=&amp;adid=&amp;gad_source=5&amp;gad_campaignid=20938142383&amp;gclid=EAIaIQobChMIjafA5O--kQMVczcIBR29yR7CEAAYAiAAEgJIJfD_BwE</t>
  </si>
  <si>
    <t>Mozilla/5.0 (Linux; Android 14; 23090RA98G Build/UP1A.231005.007; wv) AppleWebKit/537.36 (KHTML, like Gecko) Version/4.0 Chrome/134.0.0.0 Mobile Safari/537.36 [FB_IAB/FB4A;FBAV/500.0.0.57.50;IABMV/1;]</t>
  </si>
  <si>
    <t>67.209.23.117</t>
  </si>
  <si>
    <t>https://grow.method.me/no-erp/?trc=81&amp;trk=&amp;trs=US-ERP&amp;campaignid=20938141894&amp;adgroupid=&amp;adid=&amp;gad_source=5&amp;gad_campaignid=20938142383&amp;gclid=EAIaIQobChMIp7_A_ve-kQMV1idECB163yfIEAAYASAAEgKvePD_BwE</t>
  </si>
  <si>
    <t>Mozilla/5.0 (Linux; Android 13; Redmi 6 Pro Build/ZQL1715-sakura-build-20200728120204; wv) AppleWebKit/537.36 (KHTML, like Gecko) Version/4.0 Chrome/135.0.0.0 Mobile Safari/537.36 [FB_IAB/FB4A;FBAV/527.0.0.13.76;IABMV/1;]</t>
  </si>
  <si>
    <t>76.32.41.32</t>
  </si>
  <si>
    <t>Mozilla/5.0 (iPhone; CPU iPhone OS 18_6_2 like Mac OS X) AppleWebKit/605.1.15 (KHTML, like Gecko) CriOS/143.0.7499.108 Mobile/15E148 Safari/604.1</t>
  </si>
  <si>
    <t>86.48.11.200</t>
  </si>
  <si>
    <t>197.221.251.177</t>
  </si>
  <si>
    <t>166.137.115.60</t>
  </si>
  <si>
    <t>136.144.43.6</t>
  </si>
  <si>
    <t>49.206.8.247</t>
  </si>
  <si>
    <t>https://intuit50.method.me/</t>
  </si>
  <si>
    <t>97.68.165.254</t>
  </si>
  <si>
    <t>76.113.142.30</t>
  </si>
  <si>
    <t>http://signup.method.me/methodcrm/?_gl=1*j0egxn*_gcl_au*MTcyOTYxMDIuMTc2NTgxOTIyNg..*_ga*MTUzMzczNjMxLjE3NjU4MTkyMjY.*_ga_L2HEZNW53E*czE3NjU4MTkyMjYkbzEkZzAkdDE3NjU4MTkyMjYkajYwJGwwJGg0Mjg3MjIwMg..&amp;_ga=2.45122727.268718578.1765819226-153373631.1765819226</t>
  </si>
  <si>
    <t>99.246.132.209, 52.9.26.127</t>
  </si>
  <si>
    <t>https://www.method.me/blog/wholesale-price-calculator/</t>
  </si>
  <si>
    <t>Mozilla/5.0 (X11; CrOS x86_64 14541.0.0) AppleWebKit/537.36 (KHTML, like Gecko) Chrome/142.0.0.0 Safari/537.36</t>
  </si>
  <si>
    <t>216.248.73.26</t>
  </si>
  <si>
    <t>24.160.150.101</t>
  </si>
  <si>
    <t>https://www.method.me/blog/lead-follow-up-system/</t>
  </si>
  <si>
    <t>32.217.56.202</t>
  </si>
  <si>
    <t>Partner Lead Nurture</t>
  </si>
  <si>
    <t xml:space="preserve">invitation </t>
  </si>
  <si>
    <t>partner-lead-nurture</t>
  </si>
  <si>
    <t>https://grow.method.me/method-proposals/?trc=549&amp;trk=partner-lead-nurture&amp;trs=invitation &amp;utm_source=ac&amp;utm_medium=email&amp;utm_campaign=549&amp;vgo_ee=%2FqDgvRvGYg5FUTnQqD7rNA%3D%3D%3AA2qFM1BTYSVwyZGrpczte24UJMYLlF6E</t>
  </si>
  <si>
    <t>Mozilla/5.0 (Windows NT 10.0; Win64; x64; rv:146.0) Gecko/20100101 Firefox/146.0</t>
  </si>
  <si>
    <t>35.145.40.136</t>
  </si>
  <si>
    <t>https://grow.method.me/crm-quickbooks/?trc=81&amp;trk=crm with quickbooks&amp;trs=USA-QB-G&amp;campaignid=1543381580&amp;adgroupid=61437797000&amp;adid=704678754673&amp;gad_source=1&amp;gad_campaignid=1543381580&amp;gbraid=0AAAAAD3ItnaCWDbEeqVIBGzQyuhhsZOsx&amp;gclid=Cj0KCQiAgP_JBhD-ARIsANpEMxzIkTUaQxRjffQ0JN13ZJy0RazkaIl6gs16j8ZIpB9jhaTMli4erwMaAjoJEALw_wcB</t>
  </si>
  <si>
    <t>73.51.191.86</t>
  </si>
  <si>
    <t>https://signin.method.me/?App=</t>
  </si>
  <si>
    <t>Mozilla/5.0 (Windows NT 10.0; Win64; x64) AppleWebKit/537.36 (KHTML, like Gecko) Chrome/135.0.0.0 Safari/537.36</t>
  </si>
  <si>
    <t>73.182.91.73</t>
  </si>
  <si>
    <t>Apr</t>
  </si>
  <si>
    <t>Referral from Partner</t>
  </si>
  <si>
    <t>website</t>
  </si>
  <si>
    <t>sbsassociates</t>
  </si>
  <si>
    <t>https://sbsassociates.com/</t>
  </si>
  <si>
    <t>https://www.method.me/?trc=132&amp;trk=sbsassociates&amp;trs=website</t>
  </si>
  <si>
    <t>May</t>
  </si>
  <si>
    <t>Mozilla/5.0 (Windows NT 10.0; Win64; x64) AppleWebKit/537.36 (KHTML, like Gecko) Chrome/136.0.0.0 Safari/537.36</t>
  </si>
  <si>
    <t>216.53.139.131</t>
  </si>
  <si>
    <t>69.141.104.222</t>
  </si>
  <si>
    <t>131</t>
  </si>
  <si>
    <t>66.42.86.113</t>
  </si>
  <si>
    <t>https://www.method.me/?trc=132&amp;trk=sbsassociates&amp;trs=website&amp;fbclid=IwY2xjawOWjs9leHRuA2FlbQIxMABicmlkETFQS2E4MzIxZDJ3YWN4SGJLc3J0YwZhcHBfaWQPNTE0NzcxNTY5MjI4MDYxAAEec2WSMa4EZMXlQrLuKaYzl8Rym3q-55UAtRqHFhJKuQwgg9a-USw56FojNds_aem_M9FxsFpz8MqKeJkUliSOFQ</t>
  </si>
  <si>
    <t>https://bit.ly/3BE2m3g</t>
  </si>
  <si>
    <t>https://bit.ly/3UUnJF4</t>
  </si>
  <si>
    <t>https://grow.method.me/crm-quickbooks/?trc=86&amp;trk=crm that integrates with quickbooks&amp;trs=US-Bing-QB&amp;msclkid=27fe092f07eb1ae19b70606f62b87ab4&amp;utm_source=bing&amp;utm_medium=cpc&amp;utm_campaign=US - Bing QB Broad&amp;utm_term=crm that integrates with quickbooks&amp;utm_content=Ad Group 1</t>
  </si>
  <si>
    <t>35.150.14.135</t>
  </si>
  <si>
    <t>https://www.method.me/crm-quickbooks/work-order-software/</t>
  </si>
  <si>
    <t>50.168.44.242</t>
  </si>
  <si>
    <t>73.186.162.81</t>
  </si>
  <si>
    <t>https://grow.method.me/method-fs-demo/</t>
  </si>
  <si>
    <t>208.83.225.114</t>
  </si>
  <si>
    <t>24.245.98.26</t>
  </si>
  <si>
    <t>https://www.method.me/quickbooks-crm/?utm_source=chatgpt.com</t>
  </si>
  <si>
    <t>76.24.171.159</t>
  </si>
  <si>
    <t>76.24.171.159, 52.9.26.127</t>
  </si>
  <si>
    <t>107.222.237.47</t>
  </si>
  <si>
    <t>https://www.method.me/blog/revamp-vendor-relationship-management/</t>
  </si>
  <si>
    <t>107.2.187.229</t>
  </si>
  <si>
    <t>https://www.method.me/crm-quickbooks/invoice-software/?utm_source=chatgpt.com</t>
  </si>
  <si>
    <t>70.186.103.28</t>
  </si>
  <si>
    <t>115.130.81.129</t>
  </si>
  <si>
    <t>Mozilla/5.0 (Macintosh; Intel Mac OS X 10_15_7) AppleWebKit/605.1.15 (KHTML, like Gecko) Version/18.3 Safari/605.1.15</t>
  </si>
  <si>
    <t>173.172.207.220, 52.9.26.127</t>
  </si>
  <si>
    <t>Saasphalt</t>
  </si>
  <si>
    <t>https://www.saasphalt.com/</t>
  </si>
  <si>
    <t>http://signup.method.me/saasphalt?domain=qbo</t>
  </si>
  <si>
    <t>142.79.120.44, 52.9.26.127</t>
  </si>
  <si>
    <t>45-Partner: saasphalt</t>
  </si>
  <si>
    <t>https://www.method.me/crm-quickbooks/job-scheduling-software/?trc=81&amp;trk=&amp;trs=USA-DSA&amp;campaignid=13038312612&amp;adgroupid=127756898611&amp;adid=771467139249&amp;gad_source=1&amp;gad_campaignid=13038312612&amp;gbraid=0AAAAAD3ItnajvKh05Mp7yqNnDLGUdH42t&amp;gclid=Cj0KCQiAgP_JBhD-ARIsANpEMxwQGNmNKhm_eW5fMHlLX4chcqYUflDyOa3r_jKzobAK6BmrUpc-LQoaAnvDEALw_wcB</t>
  </si>
  <si>
    <t>73.192.92.182</t>
  </si>
  <si>
    <t>http://signup.method.me/methodcrm/?_gl=1*4l95nm*_gcl_au*MTAwOTE2OTk4NC4xNzY1ODUwMTE4*_ga*MTUxODA5NTAzNC4xNzY1ODUwMTE5*_ga_L2HEZNW53E*czE3NjU4NTAxMTkkbzEkZzAkdDE3NjU4NTAxMTkkajYwJGwwJGgyMzA3ODI2NTk.&amp;_ga=2.100648797.212022393.1765850119-1518095034.1765850119</t>
  </si>
  <si>
    <t>223.25.254.18, 52.9.26.127</t>
  </si>
  <si>
    <t>https://www.method.me/features/estimates/?trc=81&amp;trk=&amp;trs=USA-DSA-QB&amp;campaignid=13038312612&amp;adgroupid=128764620688&amp;adid=776781070272&amp;gad_source=1&amp;gad_campaignid=13038312612&amp;gbraid=0AAAAAD3Itnaj9F545a06J7Utcs-HYQwUw&amp;gclid=EAIaIQobChMIneK6m4DBkQMVF6VaBR1Jrh7KEAAYASAAEgIR6PD_BwE</t>
  </si>
  <si>
    <t>Mozilla/5.0 (iPhone; CPU iPhone OS 17_7 like Mac OS X) AppleWebKit/605.1.15 (KHTML, like Gecko) Version/17.7 Mobile/15E148 Safari/604.1</t>
  </si>
  <si>
    <t>174.211.169.223</t>
  </si>
  <si>
    <t>https://signin.method.me/accounts/identitynotfound?Code=3V1Z5rD2xcXNlfdtKWN%2BR5uHUhCrWiBle1Lx%2FCGnNQOtzx11WIB7Q7bOpLo2LRrueDgbjTSWjY5R%2BWQH4%2FSHQDr8wavjdtyenEocl8ovLIsnXDqv5zSahE6LeA39AAaEytdH%2BN%2FdfBvs2sVsgXnBZd3Bq6mpG13011mN9HauMdmzzl43t499gYBMF0jz4shCfjRIouE8a8Rsmb%2Bf6FKZioGjhaD2pBUbf08SBcOo6R3udqU9aKLWBijU00dsIQfUtzsTK3sMsj4P33bw032uBiGJxrcsguis3cQ9sv7ifXJfVdsfJ5st9JuDWu4RDhtfiTJbqj7Bogt%2FkjHlKV7P1w%3D%3D&amp;Email=salesas.pakarcctv%40gmail.com&amp;Provider=Intuit&amp;Offering=methodcrm</t>
  </si>
  <si>
    <t>60.52.109.13</t>
  </si>
  <si>
    <t>https://signin.methodportal.com/</t>
  </si>
  <si>
    <t>67.186.224.36</t>
  </si>
  <si>
    <t>https://signin.method.me/accounts/identitynotfound?Code=qXFA%2BtVtuaUH3SkMmaAEcyZfLuAO9YMh05O8S6AGlwILJzq9BZrAwkk3wbVDUWORZ9L2RhGyF36ewyapVnvUxuscOrLZy%2B6V83k%2BrpXK7EQ1Ql%2BAbHad7bnL0Gkscu1FUbt4yTcT47cF33FLngr%2BawK1mraSitJzeFpq4mFBHzShhv3FqfI1yCha5imdJndL8sQ%2BX9fdkuNfTqRPQJfRWnjDPILVczfPPA17Lik3A1bGapTvUNrCgMZED4wnC4uUPQRXas6gi6fc2tJBTxVM%2BuEYIXTRgObkB%2BpO%2F%2F0NQKl%2B9BpghdWHTObMMPzW%2Busr&amp;Email=geew310%40gmail.com&amp;Provider=Intuit&amp;Offering=methodcrm</t>
  </si>
  <si>
    <t>Mozilla/5.0 (Linux; Android 10; K) AppleWebKit/537.36 (KHTML, like Gecko) Chrome/111.0.0.0 Mobile Safari/537.36</t>
  </si>
  <si>
    <t>99.63.214.213</t>
  </si>
  <si>
    <t>72.217.78.184</t>
  </si>
  <si>
    <t>67.167.197.189</t>
  </si>
  <si>
    <t>Mozilla/5.0 (X11; Ubuntu; Linux x86_64; rv:136.0) Gecko/20100101 Firefox/136.0</t>
  </si>
  <si>
    <t>182.186.46.182</t>
  </si>
  <si>
    <t>https://signin.method.me/error?Errorcode=166&amp;details=provider=Intuit</t>
  </si>
  <si>
    <t>102.185.50.112</t>
  </si>
  <si>
    <t>https://grow.method.me/crm-quickbooks/?trc=81&amp;trk=crm with quickbooks&amp;trs=USA-QB-G&amp;campaignid=1543381580&amp;adgroupid=61437797000&amp;adid=704678754673&amp;gad_source=1&amp;gad_campaignid=1543381580&amp;gbraid=0AAAAAD3ItnZpWdQbCLRR6WaxnjVMSQQW9&amp;gclid=Cj0KCQiAo4TKBhDRARIsAGW29be3NeF3jKXBLSlXBUqTZnPk0NEMwGU3fvu5NvqKl7KUlFlL5acGKn4aAp-KEALw_wcB</t>
  </si>
  <si>
    <t>68.189.156.155</t>
  </si>
  <si>
    <t>47.49.35.42</t>
  </si>
  <si>
    <t>https://grow.method.me/crm-quickbooks/?trc=81&amp;trk=crm with quickbooks&amp;trs=USA-QB-G&amp;campaignid=1543381580&amp;adgroupid=61437797000&amp;adid=704678754673&amp;gad_source=1&amp;gad_campaignid=1543381580&amp;gbraid=0AAAAAD3ItnZpWdQbCLRR6WaxnjVMSQQW9&amp;gclid=EAIaIQobChMIvJLYh8HCkQMVrnR_AB32fDE6EAAYASAAEgInFvD_BwE</t>
  </si>
  <si>
    <t>Mozilla/5.0 (Macintosh; Intel Mac OS X 10_15_7) AppleWebKit/605.1.15 (KHTML, like Gecko) Version/17.0 Safari/605.1.15</t>
  </si>
  <si>
    <t>23.114.60.191</t>
  </si>
  <si>
    <t>108.52.163.138</t>
  </si>
  <si>
    <t>142.190.60.134</t>
  </si>
  <si>
    <t>https://signin.method.me/?_gl=1*18rune6*_gcl_au*MTM2MzI2MTczMC4xNzY1OTA4ODYy*_ga*MTQwMTU3ODg3Ny4xNzY1OTA4ODYy*_ga_L2HEZNW53E*czE3NjU5MDg4NjEkbzEkZzAkdDE3NjU5MDg4NjEkajYwJGwwJGgxODM3NTQxMTI4&amp;_ga=2.4847155.1877664154.1765908862-1401578877.1765908862</t>
  </si>
  <si>
    <t>24.117.234.54</t>
  </si>
  <si>
    <t>75.239.156.112</t>
  </si>
  <si>
    <t>https://grow.method.me/best-quickbooks-crm/?trc=86&amp;trk=grow.method.me&amp;trs=Bing-PMax&amp;msclkid=06e945540d7313589d582c633672bc12&amp;utm_source=bing&amp;utm_medium=cpc&amp;utm_campaign=Bing - PMAX&amp;utm_term=grow.method.me&amp;utm_content=US - retargeting</t>
  </si>
  <si>
    <t>best_crm_for_quickbooks_desktop</t>
  </si>
  <si>
    <t>https://grow.method.me/crm-quickbooks/?trc=86&amp;trk=best crm for quickbooks desktop&amp;trs=US-QBInt-Bing&amp;msclkid=cb07cc5fcd391436544ea567f16df07c&amp;utm_source=bing&amp;utm_medium=cpc&amp;utm_campaign=US - Generic 2020&amp;utm_term=best crm for quickbooks desktop&amp;utm_content=Integrations</t>
  </si>
  <si>
    <t>https://grow.method.me/method-proposals/?trc=549&amp;trk=partner-lead-nurture&amp;trs=invitation &amp;utm_source=ac&amp;utm_medium=email&amp;utm_campaign=549&amp;vgo_ee=8j05V8ppTnlAwSRaGXUcyw%3D%3D%3AOjeIP%2FEApIzOH08oI35QLvULtRl0sQND</t>
  </si>
  <si>
    <t>1762</t>
  </si>
  <si>
    <t>https://ercsolutionsinc.method.me/</t>
  </si>
  <si>
    <t>https://signin.method.me/?returnUrl=https%3A%2F%2Fercsolutionsinc.method.me%2Fapps%2FDefault.aspx%23%2F</t>
  </si>
  <si>
    <t>38.128.125.54</t>
  </si>
  <si>
    <t>49.204.145.55, 52.9.26.127</t>
  </si>
  <si>
    <t>98.116.171.32</t>
  </si>
  <si>
    <t>47.198.86.33</t>
  </si>
  <si>
    <t>US-QB-sitelink</t>
  </si>
  <si>
    <t>https://www.method.me/features/portals/?trc=81&amp;trk=crm with quickbooks&amp;trs=US-QB-sitelink&amp;campaignid=1543381580&amp;adgroupid=61437797000&amp;adid=704678754673&amp;gad_source=1&amp;gad_campaignid=1543381580&amp;gbraid=0AAAAAD3ItnZpWdQbCLRR6WaxnjVMSQQW9&amp;gclid=Cj0KCQiAo4TKBhDRARIsAGW29bcDPEWkUqWCytjPLMK8hkrMNCokqfu_iqX2D8k7Wugzy1elSqoCwO8aArrhEALw_wcB</t>
  </si>
  <si>
    <t>107.222.237.47, 52.9.26.127</t>
  </si>
  <si>
    <t>https://grow.method.me/qb-payment/?trc=81&amp;trk=quickbooks online payment processing&amp;trs=US-payment&amp;campaignid=19733246298&amp;adgroupid=146278163933&amp;adid=649435146420&amp;gad_source=1&amp;gad_campaignid=19733246298&amp;gclid=Cj0KCQiAo4TKBhDRARIsAGW29bcHUqcHf7Lf1-doaGgCBuELD2YZcoJ6KGciaZXkPsuWyykQBhYUXOcaAtytEALw_wcB</t>
  </si>
  <si>
    <t>Mozilla/5.0 (Linux; Android 10; K) AppleWebKit/537.36 (KHTML, like Gecko) Chrome/134.0.0.0 Mobile Safari/537.36</t>
  </si>
  <si>
    <t>172.56.161.7</t>
  </si>
  <si>
    <t>140.248.10.9, 52.9.26.127</t>
  </si>
  <si>
    <t>http://signup.method.me/methodcrm?_gl=1*3bfdok*_gcl_au*ODQ2NTk4NjY2LjE3NjU5MzI3NzQ.*_ga*NzI2NjAwODYzLjE3NjU5MzI3NzU.*_ga_L2HEZNW53E*czE3NjU5MzI3NzQkbzEkZzAkdDE3NjU5MzI3NzQkajYwJGwwJGgyMTk0MTk1OTk.&amp;_ga=2.114474181.391558479.1765932775-726600863.1765932775</t>
  </si>
  <si>
    <t>181.87.123.46, 52.9.26.127</t>
  </si>
  <si>
    <t>invoice_template_in_quickbooks_online</t>
  </si>
  <si>
    <t>https://grow.method.me/quickbooks-customization/?trc=81&amp;trk=invoice template in quickbooks online&amp;trs=CA-Customization&amp;campaignid=1543604353&amp;adgroupid=187747789113&amp;adid=776764616790&amp;gad_source=1&amp;gad_campaignid=1543604353&amp;gbraid=0AAAAAD3Itnb_oqKE1dRFyJua9Yk-b7AxO&amp;gclid=Cj0KCQiAo4TKBhDRARIsAGW29bdyt5oKKvcxqOcguhUFi7h9etfJXJCXRq8XSIJJniG7M_o9g1-R1UoaAp2fEALw_wcB</t>
  </si>
  <si>
    <t>209.216.103.110</t>
  </si>
  <si>
    <t>https://grow.method.me/quickbooks-customization/?trc=81&amp;trk=invoice template in quickbooks online&amp;trs=CA-Customization&amp;campaignid=1543604353&amp;adgroupid=187747789113&amp;adid=776764616790&amp;gad_source=1&amp;gad_campaignid=1543604353&amp;gbraid=0AAAAAD3Itnb_oqKE1dRFyJua9Yk-b7AxO&amp;gclid=Cj0KCQiAo4TKBhDRARIsAGW29bcaf6L8bBuubo8brx_XLZA3xXA2qS3UHhOZW2tzxrnt-IyBZqgZKtcaAuKwEALw_wcB</t>
  </si>
  <si>
    <t>216.106.54.230</t>
  </si>
  <si>
    <t>https://www.method.me/blog/what-is-opportunity-in-crm/</t>
  </si>
  <si>
    <t>14.232.138.192</t>
  </si>
  <si>
    <t>https://www.method.me/blog/how-much-does-crm-cost/</t>
  </si>
  <si>
    <t>49.43.110.193</t>
  </si>
  <si>
    <t>106.215.153.166</t>
  </si>
  <si>
    <t>https://grow.method.me/crm-quickbooks/?trc=81&amp;trk=best crm for quickbooks&amp;trs=USA-QB-G_Ex&amp;campaignid=22265826203&amp;adgroupid=176758613473&amp;adid=734012603510&amp;gad_source=1&amp;gad_campaignid=22265826203&amp;gbraid=0AAAAAD3ItnYQZjcjYjdvFEQbM1ZMSWN42&amp;gclid=Cj0KCQiAo4TKBhDRARIsAGW29bcxqchDUOnIqLtlXSaiL7aPgD8FY6GYRWQv1Cuf-vAreyJmHxGAcyYaAoTCEALw_wcB</t>
  </si>
  <si>
    <t>47.165.90.49</t>
  </si>
  <si>
    <t>76.131.204.233</t>
  </si>
  <si>
    <t>67.212.36.216</t>
  </si>
  <si>
    <t>68.84.82.8</t>
  </si>
  <si>
    <t>172.87.177.53, 52.9.26.127</t>
  </si>
  <si>
    <t>136.62.160.199</t>
  </si>
  <si>
    <t>24.131.38.252</t>
  </si>
  <si>
    <t>174.174.189.252</t>
  </si>
  <si>
    <t>https://grow.method.me/qb-payment/?trc=81&amp;trk=quickbooks online payment&amp;trs=US-payment&amp;campaignid=19733246298&amp;adgroupid=146278163933&amp;adid=649435146420&amp;gad_source=1&amp;gad_campaignid=19733246298&amp;gbraid=0AAAAAD3ItnYJHlNFwX_7CWRCRbGG6cPlr&amp;gclid=Cj0KCQiAxonKBhC1ARIsAIHq_ltNiGpVouNi88xXMrMtkX19XxtZC9GBogdZ_Xs4nGEusXiqzbwd0VAaApZkEALw_wcB</t>
  </si>
  <si>
    <t>129.222.131.233</t>
  </si>
  <si>
    <t>200.7.150.246</t>
  </si>
  <si>
    <t>70.106.28.120</t>
  </si>
  <si>
    <t>81.156.242.131</t>
  </si>
  <si>
    <t>https://www.method.me/crm-quickbooks/job-scheduling-software/?trc=81&amp;trk=&amp;trs=USA-DSA&amp;campaignid=13038312612&amp;adgroupid=127756898611&amp;adid=771467139249&amp;gad_source=1&amp;gad_campaignid=13038312612&amp;gbraid=0AAAAAD3ItnaXlWclXbbm93lGIheIZ32W_&amp;gclid=Cj0KCQiAxonKBhC1ARIsAIHq_lunHA3L52ir3TuPA_T2klhZrDkzSeoWMXRUET2v14p90ImNoNBfXnsaAj1uEALw_wcB</t>
  </si>
  <si>
    <t>76.139.24.188</t>
  </si>
  <si>
    <t>24.85.202.26</t>
  </si>
  <si>
    <t>45.181.84.31</t>
  </si>
  <si>
    <t>216.51.171.100</t>
  </si>
  <si>
    <t>47.21.31.54</t>
  </si>
  <si>
    <t>https://www.method.me/proposals/</t>
  </si>
  <si>
    <t>67.150.132.52</t>
  </si>
  <si>
    <t>Mozilla/5.0 (Linux; Android 10; K) AppleWebKit/537.36 (KHTML, like Gecko) SamsungBrowser/29.0 Chrome/136.0.0.0 Mobile Safari/537.36</t>
  </si>
  <si>
    <t>64.114.211.84</t>
  </si>
  <si>
    <t>CA-PMax-SL</t>
  </si>
  <si>
    <t>https://www.method.me/crm-quickbooks/customer-management-software/?trc=81&amp;trk=&amp;trs=CA-PMax-SL&amp;campaignid=20681425566&amp;adgroupid=&amp;adid=&amp;gad_source=5&amp;gad_campaignid=20687584292&amp;gclid=EAIaIQobChMInuucpObFkQMVqgitBh1YmiXwEAAYASABEgIf5fD_BwE</t>
  </si>
  <si>
    <t>Mozilla/5.0 (Linux; Android 11; SM-A505FN Build/RP1A.200720.012; wv) AppleWebKit/537.36 (KHTML, like Gecko) Version/4.0 Chrome/138.0.0.0 Mobile Safari/537.36 [FB_IAB/FB4A;FBAV/528.0.0.62.107;]</t>
  </si>
  <si>
    <t>98.97.49.7</t>
  </si>
  <si>
    <t>https://www.method.me/features/google-calendar/?trc=81&amp;trk=&amp;trs=USA-DSA-QB&amp;campaignid=13038312612&amp;adgroupid=128764620688&amp;adid=776781070272&amp;gad_source=1&amp;gad_campaignid=13038312612&amp;gbraid=0AAAAAD3ItnZBnzYQ6A4kpiU2ymM25jMc5&amp;gclid=Cj0KCQiAxonKBhC1ARIsAIHq_lv5h7ocPoMNismBO7TvXt3J2PYUUHKtJQRlZo-CRPtjiajTsrUyk0QaAsIcEALw_wcB</t>
  </si>
  <si>
    <t>Mozilla/5.0 (iPhone; CPU iPhone OS 26_1_0 like Mac OS X) AppleWebKit/605.1.15 (KHTML, like Gecko) GSA/398.0.839721620 Mobile/15E148 Safari/604.1</t>
  </si>
  <si>
    <t>174.193.198.7</t>
  </si>
  <si>
    <t>https://grow.method.me/crm-quickbooks/?trc=81&amp;trk=quickbooks crm&amp;trs=USA-QB-G_Ex&amp;campaignid=22265826203&amp;adgroupid=176758613473&amp;adid=734012603510&amp;gad_source=1&amp;gad_campaignid=22265826203&amp;gbraid=0AAAAAD3ItnZQsUvPlwtZ5suS68TE6UKZh&amp;gclid=Cj0KCQiAxonKBhC1ARIsAIHq_ltttcGPiFY870CiyGlR-yud42w0AGjawVGEqdo-1Z__w9b4Tr7dDtIaAkJvEALw_wcB</t>
  </si>
  <si>
    <t>35.153.60.40</t>
  </si>
  <si>
    <t>https://grow.method.me/qb-payment/?trc=81&amp;trk=quickbooks online payment processing&amp;trs=US-payment&amp;campaignid=19733246298&amp;adgroupid=146278163933&amp;adid=649435146420&amp;gad_source=1&amp;gad_campaignid=19733246298&amp;gbraid=0AAAAAD3Itna-xtqaCkwxRg0ug2grdLT-S&amp;gclid=EAIaIQobChMIn7nJ2PvFkQMVJIVaBR3vnCnTEAAYASAAEgIokPD_BwE</t>
  </si>
  <si>
    <t>172.58.129.161</t>
  </si>
  <si>
    <t>https://www.method.me/features/google-calendar/?trc=81&amp;trk=&amp;trs=USA-DSA-QB&amp;campaignid=13038312612&amp;adgroupid=128764620688&amp;adid=776781070272&amp;gad_source=1&amp;gad_campaignid=13038312612&amp;gbraid=0AAAAAD3ItnZBnzYQ6A4kpiU2ymM25jMc5&amp;gclid=Cj0KCQiAxonKBhC1ARIsAIHq_lsIrTqLPes-8Ja98ZBHszf8z4irV69VhNXYbbKeKzyIDggG-QtS1pgaArROEALw_wcB</t>
  </si>
  <si>
    <t>Mozilla/5.0 (iPhone; CPU iPhone OS 26_1_0 like Mac OS X) AppleWebKit/605.1.15 (KHTML, like Gecko) CriOS/143.0.7499.108 Mobile/15E148 Safari/604.1</t>
  </si>
  <si>
    <t>172.59.216.80</t>
  </si>
  <si>
    <t>integrate_with_quickbooks</t>
  </si>
  <si>
    <t>https://grow.method.me/crm-quickbooks/?trc=81&amp;trk=integrate with quickbooks&amp;trs=USA-QB-G_Ex&amp;campaignid=22265826203&amp;adgroupid=176758613473&amp;adid=734012603510&amp;gad_source=1&amp;gad_campaignid=22265826203&amp;gbraid=0AAAAAD3ItnZQsUvPlwtZ5suS68TE6UKZh&amp;gclid=Cj0KCQiAxonKBhC1ARIsAIHq_luZXyeE_LNHu588Oz-m8Ts23ted-KpruwttjJRgESKmG8uw-smyfRIaAiiuEALw_wcB</t>
  </si>
  <si>
    <t>74.244.21.163</t>
  </si>
  <si>
    <t>US-QBEstimates</t>
  </si>
  <si>
    <t>estimates_in_quickbooks</t>
  </si>
  <si>
    <t>https://grow.method.me/feature-estimate/?trc=81&amp;trk=estimates in quickbooks&amp;trs=US-QBEstimates&amp;campaignid=19733246298&amp;adgroupid=160184660571&amp;adid=676701373566&amp;gad_source=1&amp;gad_campaignid=19733246298&amp;gclid=Cj0KCQiAxonKBhC1ARIsAIHq_ls_L4cEBvVMS4nMvoieszuNYXlVjdLSMqsTResiFudTyZ3ZJ_1A3U4aAsRzEALw_wcB</t>
  </si>
  <si>
    <t>104.62.169.252</t>
  </si>
  <si>
    <t>https://signin.method.me/accounts/noaccountsfound</t>
  </si>
  <si>
    <t>66.159.204.61</t>
  </si>
  <si>
    <t>https://auth.method.me/Account/Login?ReturnUrl=%2Fconnect%2Fauthorize%2Fcallback%3Fclient_id%3Dzapier%26state%3DPG5XmcOrFt4SkEIU11CaSslg_W6ZVitPd8vtpjROVfo%26redirect_uri%3Dhttps%253A%252F%252Fzapier.com%252Fdashboard%252Fauth%252Foauth%252Freturn%252FMethodCRMCLIAPI%252F%26response_type%3Dcode%26scope%3Dopenid%2520profile%2520email%2520api%2520offline_access</t>
  </si>
  <si>
    <t>103.39.129.205, 52.9.26.127</t>
  </si>
  <si>
    <t>1764</t>
  </si>
  <si>
    <t>69.118.27.66</t>
  </si>
  <si>
    <t>223.181.21.55</t>
  </si>
  <si>
    <t>https://grow.method.me/crm-quickbooks/?trc=81&amp;trk=crm with quickbooks&amp;trs=USA-QB-G&amp;campaignid=1543381580&amp;adgroupid=61437797000&amp;adid=704678754673&amp;gad_source=1&amp;gad_campaignid=1543381580&amp;gbraid=0AAAAAD3ItnZ4BdyL4-H36ueuL3ExieHng&amp;gclid=Cj0KCQiA6Y7KBhCkARIsAOxhqtNRo5mupe76ca6LjBgm-ZkFsj6uGk2UwObDe3oDfVQ1S-ZvEleRlWQaApKJEALw_wcB</t>
  </si>
  <si>
    <t>Mozilla/5.0 (iPhone; CPU iPhone OS 26_2_0 like Mac OS X) AppleWebKit/605.1.15 (KHTML, like Gecko) CriOS/143.0.7499.92 Mobile/15E148 Safari/604.1</t>
  </si>
  <si>
    <t>35.150.201.39</t>
  </si>
  <si>
    <t>https://grow.method.me/crm-quickbooks/?trc=81&amp;trk=best crm for quickbooks&amp;trs=USA-QB-G_Ex&amp;campaignid=22265826203&amp;adgroupid=176758613473&amp;adid=734012603510&amp;gad_source=1&amp;gad_campaignid=22265826203&amp;gbraid=0AAAAAD3ItnZPuOvuoclYkJyIiXwVIPY1G&amp;gclid=EAIaIQobChMIkYny49_FkQMVKSrUAR2sYiTMEAAYASAAEgK4a_D_BwE</t>
  </si>
  <si>
    <t>184.105.33.30</t>
  </si>
  <si>
    <t>https://grow.method.me/qb-payment/?trc=81&amp;trk=quickbooks online payment&amp;trs=US-payment&amp;campaignid=19733246298&amp;adgroupid=146278163933&amp;adid=649435146420&amp;gad_source=1&amp;gad_campaignid=19733246298&amp;gbraid=0AAAAAD3ItnZGiws4gymifVwCSbaOP8_l6&amp;gclid=Cj0KCQiA6Y7KBhCkARIsAOxhqtOcuet_krP2u04vsEt7I8zAeC7DJOtjdfF6exUVGswwzpBIoKQT24oaAv8gEALw_wcB</t>
  </si>
  <si>
    <t>67.161.96.73</t>
  </si>
  <si>
    <t>https://grow.method.me/crm-quickbooks/?trc=81&amp;trk=crm with quickbooks&amp;trs=USA-QB-G&amp;campaignid=1543381580&amp;adgroupid=61437797000&amp;adid=704678754673&amp;gad_source=1&amp;gad_campaignid=1543381580&amp;gbraid=0AAAAAD3ItnZVPzeI1hZXOrdGTrUOMmeG9&amp;gclid=Cj0KCQiA6Y7KBhCkARIsAOxhqtNYt_NXISmhX5nItc86AUhCDJAYHLh_x_Be4FI-sZ8uTBffw6_YmN0aAsLtEALw_wcB</t>
  </si>
  <si>
    <t>71.73.15.207</t>
  </si>
  <si>
    <t>98.227.76.88</t>
  </si>
  <si>
    <t>24.2.231.71</t>
  </si>
  <si>
    <t>24.210.91.32</t>
  </si>
  <si>
    <t>https://www.method.me/videos/customization-awards-2025/?trc=699&amp;&amp;trs=customization-awards&amp;utm_source=ActiveCampaign&amp;utm_medium=email&amp;utm_content=%5BRecording 🎥%5D 2025 Method Customization Awards&amp;utm_campaign=Customization Awards - Email %235 %28Copy%29</t>
  </si>
  <si>
    <t>Mozilla/5.0 (X11; Linux x86_64) AppleWebKit/537.36 (KHTML, like Gecko) Chrome/143.0.0.0 Safari/537.36</t>
  </si>
  <si>
    <t>139.138.9.156</t>
  </si>
  <si>
    <t>42.0.6.248</t>
  </si>
  <si>
    <t>45.16.82.60</t>
  </si>
  <si>
    <t>173.12.26.21</t>
  </si>
  <si>
    <t>https://www.method.me/crm-quickbooks/pricing/full-feature/</t>
  </si>
  <si>
    <t>129.222.163.155</t>
  </si>
  <si>
    <t>https://grow.method.me/crm-quickbooks/?trc=81&amp;trk=crm with quickbooks&amp;trs=USA-QB-G&amp;campaignid=1543381580&amp;adgroupid=61437797000&amp;adid=704678754673&amp;gad_source=1&amp;gad_campaignid=1543381580&amp;gbraid=0AAAAAD3ItnZVPzeI1hZXOrdGTrUOMmeG9&amp;gclid=Cj0KCQiA6Y7KBhCkARIsAOxhqtPi-7Adfq5EbltMQjCivoOqyfQJctRTuSalQ0kfIYW0bt14rH9hO1waAstaEALw_wcB</t>
  </si>
  <si>
    <t>96.95.254.177</t>
  </si>
  <si>
    <t>71.67.61.6</t>
  </si>
  <si>
    <t>https://grow.method.me/crm-quickbooks/?trc=81&amp;trk=crm with quickbooks&amp;trs=USA-QB-G&amp;campaignid=1543381580&amp;adgroupid=61437797000&amp;adid=704678754673&amp;gad_source=1&amp;gad_campaignid=1543381580&amp;gbraid=0AAAAAD3ItnZVPzeI1hZXOrdGTrUOMmeG9&amp;gclid=Cj0KCQiA6Y7KBhCkARIsAOxhqtMFDfVh8Hh14sq7N_N59-xzPreDMk8Nng9D_ym5rxJJU44DkpALFX8aAvYvEALw_wcB</t>
  </si>
  <si>
    <t>64.185.3.197</t>
  </si>
  <si>
    <t>https://grow.method.me/crm-quickbooks/?trc=81&amp;trk=crm with quickbooks&amp;trs=USA-QB-G&amp;campaignid=1543381580&amp;adgroupid=61437797000&amp;adid=704678754673&amp;gad_source=1&amp;gad_campaignid=1543381580&amp;gbraid=0AAAAAD3ItnZVPzeI1hZXOrdGTrUOMmeG9&amp;gclid=Cj0KCQiA6Y7KBhCkARIsAOxhqtPeEU23KShMEAn_C-MGG38OG8kpBzjpIfApm3VlE96eHd4NBCYooVcaAo4ZEALw_wcB</t>
  </si>
  <si>
    <t>71.235.161.109, 52.9.26.127</t>
  </si>
  <si>
    <t>https://grow.method.me/crm-quickbooks/?trc=81&amp;trk=crm with quickbooks&amp;trs=USA-QB-G&amp;campaignid=1543381580&amp;adgroupid=61437797000&amp;adid=704678754673&amp;gad_source=1&amp;gad_campaignid=1543381580&amp;gbraid=0AAAAAD3ItnZVPzeI1hZXOrdGTrUOMmeG9&amp;gclid=Cj0KCQiA6Y7KBhCkARIsAOxhqtOm2eILuO2E7PJO9nixR2VrAUzUvJorSeirFaCoZvM1a7PNB8K0kdMaAv6XEALw_wcB</t>
  </si>
  <si>
    <t>9.138.70.234</t>
  </si>
  <si>
    <t>129.222.78.212</t>
  </si>
  <si>
    <t>168.93.43.167</t>
  </si>
  <si>
    <t>https://www.method.me/blog/small-business-crm-canada/</t>
  </si>
  <si>
    <t>70.29.166.250</t>
  </si>
  <si>
    <t>99.148.70.34</t>
  </si>
  <si>
    <t>97.164.203.33</t>
  </si>
  <si>
    <t>https://grow.method.me/crm-quickbooks/?trc=81&amp;trk=integrate with quickbooks desktop&amp;trs=US-QBInt-Ex&amp;campaignid=22265826203&amp;adgroupid=186545727779&amp;adid=777091446185&amp;gad_source=1&amp;gad_campaignid=22265826203&amp;gbraid=0AAAAAD3ItnZQsUvPlwtZ5suS68TE6UKZh&amp;gclid=Cj0KCQiA6Y7KBhCkARIsAOxhqtMPXVgWA6N1L5us7wJo5kQfeiTdZmi4adMelUbVrR0cTfbq685UFwYaAuoVEALw_wcB</t>
  </si>
  <si>
    <t>174.128.251.99</t>
  </si>
  <si>
    <t>US-FS</t>
  </si>
  <si>
    <t>field_service_quickbooks_crm</t>
  </si>
  <si>
    <t>https://grow.method.me/quickbooks-fsm/?trc=81&amp;trk=field service quickbooks crm&amp;trs=US-FS&amp;campaignid=12406628869&amp;adgroupid=118144098677&amp;adid=500417359889&amp;gad_source=1&amp;gad_campaignid=12406628869&amp;gbraid=0AAAAAD3ItnZzJQo_ZF-c-v65DgZbca31m&amp;gclid=Cj0KCQiA6Y7KBhCkARIsAOxhqtPd13hOVqBj3353sdfOZ7EUQ8SYdOFv6S-EzLnlbLAW9jKI2Q93GBsaAjEYEALw_wcB</t>
  </si>
  <si>
    <t>71.58.71.92</t>
  </si>
  <si>
    <t>112.216.170.106</t>
  </si>
  <si>
    <t>FSIndustry</t>
  </si>
  <si>
    <t>https://www.method.me/industries/field-service-management-software/?trc=78&amp;trk=FSIndustry&amp;trs=capterra&amp;utm_source=capterra&amp;utm_medium=cpc&amp;utm_campaign=FS&amp;gdmcid=77e81625-bd5b-4ac5-b2c4-93c3b94374cf</t>
  </si>
  <si>
    <t>168.91.155.59</t>
  </si>
  <si>
    <t>111.118.250.235</t>
  </si>
  <si>
    <t>http://signup.method.me/methodcrm/?_gl=1*1dc85x3*_gcl_au*NTAwNjI4NjAzLjE3NjYxMjU5NTQ.*_ga*MzAxODIxNDk2LjE3NjYxMjU5NTQ.*_ga_L2HEZNW53E*czE3NjYxMjU5NTQkbzEkZzAkdDE3NjYxMjU5NTUkajU5JGwwJGgxMjYxMzYyNjQ.&amp;_ga=2.76788181.1319755423.1766125954-301821496.1766125954</t>
  </si>
  <si>
    <t>111.118.250.235, 52.9.26.127</t>
  </si>
  <si>
    <t>https://www.method.me/features/payment-gateways/</t>
  </si>
  <si>
    <t>99.93.244.24</t>
  </si>
  <si>
    <t>72.14.201.226, 52.9.26.127</t>
  </si>
  <si>
    <t>https://www.method.me/features/estimates/?trc=81&amp;trk=&amp;trs=USA-DSA-QB&amp;campaignid=13038312612&amp;adgroupid=128764620688&amp;adid=776781070272&amp;gad_source=1&amp;gad_campaignid=13038312612&amp;gbraid=0AAAAAD3ItnaQ2DQyUeuYUlCbYb1aMX_xt&amp;gclid=Cj0KCQiAjJTKBhCjARIsAIMC44_uxtHM-F097m9vjmiPGXqixIP5twuNA71xhfcYPeyWkzbMICn5RNMaAjMuEALw_wcB</t>
  </si>
  <si>
    <t>24.45.168.115</t>
  </si>
  <si>
    <t>Mozilla/5.0 (Macintosh; Intel Mac OS X 10_15_7) AppleWebKit/537.36 (KHTML, like Gecko) Chrome/143.0.0.0 Safari/537.36 Edg/143.0.0.0</t>
  </si>
  <si>
    <t>67.223.125.109</t>
  </si>
  <si>
    <t>https://www.method.me/blog/how-to-import-transactions-into-quickbooks-desktop-from-excel/</t>
  </si>
  <si>
    <t>174.207.96.84</t>
  </si>
  <si>
    <t>quickbooks_online_invoices</t>
  </si>
  <si>
    <t>https://grow.method.me/crm-quickbooks/?trc=86&amp;trk=quickbooks online invoices&amp;trs=USA-G-QB-Bing&amp;msclkid=533a323d28d91a2ed4b85b78465418d7&amp;utm_source=bing&amp;utm_medium=cpc&amp;utm_campaign=US - Generic 2020&amp;utm_term=quickbooks online invoices&amp;utm_content=Generic</t>
  </si>
  <si>
    <t>174.207.99.39</t>
  </si>
  <si>
    <t>216.75.126.226</t>
  </si>
  <si>
    <t>68.132.51.218</t>
  </si>
  <si>
    <t>162.210.7.59</t>
  </si>
  <si>
    <t>Proposals</t>
  </si>
  <si>
    <t>LP</t>
  </si>
  <si>
    <t>https://grow.method.me/method-proposals/?trc=78&amp;trs=Proposals&amp;trk=LP&amp;utm_source=capterra&amp;utm_medium=cpc&amp;utm_campaign=destinationURL&amp;gdmcid=95eeceb2-1599-4f6b-aa38-ee722156b866</t>
  </si>
  <si>
    <t>158.62.168.171</t>
  </si>
  <si>
    <t>https://grow.method.me/crm-quickbooks/?trc=81&amp;trk=crm with quickbooks&amp;trs=USA-QB-G&amp;campaignid=1543381580&amp;adgroupid=61437797000&amp;adid=704678754673&amp;gad_source=1&amp;gad_campaignid=1543381580&amp;gbraid=0AAAAAD3ItnayciSsm9mOKlYQqr6bMw9fw&amp;gclid=CjwKCAiAl-_JBhBjEiwAn3rN7Vo5w-heQNgwRxi3sw0ytSnxqg7Sle3PCXUbN9tuzcacR3Dr8FojtBoC_AgQAvD_BwE</t>
  </si>
  <si>
    <t>Mozilla/5.0 (Macintosh; Intel Mac OS X 10_15_7) AppleWebKit/537.36 (KHTML, like Gecko) Chrome/135.0.0.0 Safari/537.36</t>
  </si>
  <si>
    <t>100.34.100.221</t>
  </si>
  <si>
    <t>67.69.69.81</t>
  </si>
  <si>
    <t>https://signup.method.me/QBOAppstoreSignup?offering=donor</t>
  </si>
  <si>
    <t>64.186.74.22</t>
  </si>
  <si>
    <t>100.36.162.236</t>
  </si>
  <si>
    <t>https://grow.method.me/crm-quickbooks/?trc=81&amp;trk=crm with quickbooks&amp;trs=USA-QB-G&amp;campaignid=1543381580&amp;adgroupid=61437797000&amp;adid=704678754673&amp;gad_source=1&amp;gad_campaignid=1543381580&amp;gbraid=0AAAAAD3ItnYnR21ROlG5_lbiPqM57rc4Y&amp;gclid=EAIaIQobChMIgtSA7aDKkQMVwEB_AB3n-wFXEAAYASAAEgLulvD_BwE</t>
  </si>
  <si>
    <t>99.51.164.230</t>
  </si>
  <si>
    <t>https://www.method.me/features/estimates/</t>
  </si>
  <si>
    <t>166.70.217.193</t>
  </si>
  <si>
    <t>credit_card_processing_that_works_with_quickbooks</t>
  </si>
  <si>
    <t>https://grow.method.me/qb-payment/?trc=81&amp;trk=credit card processing that works with quickbooks&amp;trs=US-payment&amp;campaignid=19733246298&amp;adgroupid=146278163933&amp;adid=649435146420&amp;gad_source=1&amp;gad_campaignid=19733246298&amp;gbraid=0AAAAAD3ItnYWasD2c3WRKE5fPxo2FMegK&amp;gclid=Cj0KCQiAjJTKBhCjARIsAIMC449_n-Rmjge9rH3Ev0nSdOuD5OpImVJUs7FJl3I4xRGFCTsLQaERRmEaAilrEALw_wcB</t>
  </si>
  <si>
    <t>71.90.250.11</t>
  </si>
  <si>
    <t>https://grow.method.me/crm-quickbooks/?trc=81&amp;trk=integrate with quickbooks desktop&amp;trs=USA-QB-G_Ex&amp;campaignid=22265826203&amp;adgroupid=176758613473&amp;adid=734012603510&amp;gad_source=1&amp;gad_campaignid=22265826203&amp;gbraid=0AAAAAD3ItnY7Nxsb2jAXbeAtoYJHNwhN1&amp;gclid=Cj0KCQiAjJTKBhCjARIsAIMC44_rnlaJI01L7lhbdQBpqsS6ugPnJWDfDmpGcuQv1N3DJE253rn68a0aAtwwEALw_wcB</t>
  </si>
  <si>
    <t>172.59.71.9</t>
  </si>
  <si>
    <t>https://www.method.me/blog/customer-convenience-customer-portal/</t>
  </si>
  <si>
    <t>76.164.139.112</t>
  </si>
  <si>
    <t>https://signin.method.me/?utm_source=chatgpt.com</t>
  </si>
  <si>
    <t>73.170.216.174</t>
  </si>
  <si>
    <t>217.114.38.12, 52.9.26.127</t>
  </si>
  <si>
    <t>https://grow.method.me/quickbooks-method-cad/?trc=81&amp;trk=crm with quickbooks&amp;trs=CAN-QB-G&amp;campaignid=1543604353&amp;adgroupid=61438895000&amp;adid=704657828091&amp;gad_source=1&amp;gad_campaignid=1543604353&amp;gbraid=0AAAAAD3Itnav0byMOltrGrKIcSWprrhWi&amp;gclid=Cj0KCQiAjJTKBhCjARIsAIMC4488tNPfkXzmRvLau6lgbxmUlsFY1LGKqgR-Hpz_jNW3inlY4jCQBVwaAhpTEALw_wcB</t>
  </si>
  <si>
    <t>107.171.148.196</t>
  </si>
  <si>
    <t>209.53.54.26</t>
  </si>
  <si>
    <t>https://grow.method.me/crm-quickbooks/?trc=81&amp;trk=crm with quickbooks&amp;trs=USA-QB-G&amp;campaignid=1543381580&amp;adgroupid=61437797000&amp;adid=704678754673&amp;gad_source=1&amp;gad_campaignid=1543381580&amp;gbraid=0AAAAAD3ItnYf74VUkGH7GD_NKTDD4c7Tm&amp;gclid=Cj0KCQiAjJTKBhCjARIsAIMC448rZtQBS7f5rZUkOTANxFvrjcyIQc46uh0cNwqrjUbX8jFMuC35Dk4aAlewEALw_wcB</t>
  </si>
  <si>
    <t>Mozilla/5.0 (Macintosh; Intel Mac OS X 10_15_7) AppleWebKit/605.1.15 (KHTML, like Gecko) Version/16.5 Safari/605.1.15</t>
  </si>
  <si>
    <t>98.50.153.40</t>
  </si>
  <si>
    <t>https://grow.method.me/crm-quickbooks/?trc=81&amp;trk=crm with quickbooks&amp;trs=USA-QB-G&amp;campaignid=1543381580&amp;adgroupid=61437797000&amp;adid=704678754673&amp;gad_source=1&amp;gad_campaignid=1543381580&amp;gbraid=0AAAAAD3ItnYf74VUkGH7GD_NKTDD4c7Tm&amp;gclid=Cj0KCQiAjJTKBhCjARIsAIMC449Fi7DSD62tRkNOFq5bweUCuLCz15ju74EsaHYY3VR7D9PSLHrGlq8aAmAIEALw_wcB</t>
  </si>
  <si>
    <t>https://www.method.me/crm-quickbooks/job-scheduling-software/?trc=81&amp;trk=&amp;trs=USA-DSA&amp;campaignid=13038312612&amp;adgroupid=127756898611&amp;adid=771467139249&amp;gad_source=1&amp;gad_campaignid=13038312612&amp;gclid=Cj0KCQiAjJTKBhCjARIsAIMC448pX2W7Ag8wtUCsKXEQJYoET2I0lkr22DDHhbZ9fgzNESJKZ6ER8JMaAsS0EALw_wcB</t>
  </si>
  <si>
    <t>138.88.197.230</t>
  </si>
  <si>
    <t>https://grow.method.me/2025-customization-awards-register/?trc=699&amp;&amp;trs=customization-awards&amp;utm_source=ActiveCampaign&amp;utm_medium=email&amp;utm_content=🏆 Today at 1pm ET%3A Method Customization Awards&amp;utm_campaign=Customization Awards - Email %234 %28Copy%29&amp;vgo_ee=JxsX646T3cDyWLRuw0bw61LsR41TrXkznBTeLbQklFU%3D%3AilXIsOJZiNJiYzQJUItj2qKtskPr8Ia4</t>
  </si>
  <si>
    <t>74.90.59.225</t>
  </si>
  <si>
    <t>https://www.respectedcare.com/</t>
  </si>
  <si>
    <t>https://grow.method.me/best-quickbooks-crm/?trc=86&amp;trk=grow.method.me&amp;trs=Bing-PMax&amp;msclkid=6f9394df9cc8176fff78fd9987e03783&amp;utm_source=bing&amp;utm_medium=cpc&amp;utm_campaign=Bing - PMAX&amp;utm_term=grow.method.me&amp;utm_content=US - retargeting</t>
  </si>
  <si>
    <t>108.233.149.129</t>
  </si>
  <si>
    <t>202.59.211.159</t>
  </si>
  <si>
    <t>https://grow.method.me/demo/?SOURCE=TOPNAV</t>
  </si>
  <si>
    <t>152.59.37.10</t>
  </si>
  <si>
    <t>https://grow.method.me/qb-payment/?trc=81&amp;trk=quickbooks online payment&amp;trs=US-payment&amp;campaignid=19733246298&amp;adgroupid=146278163933&amp;adid=649435146420&amp;gad_source=1&amp;gad_campaignid=19733246298&amp;gbraid=0AAAAAD3ItnbmlLILOhQdCZFS2MwBcoIzo&amp;gclid=Cj0KCQiAr5nKBhCpARIsACa_NiMbgRhCCPdQcvx7-raUo7ZyyXgFe25Ib3jE7KnlSdVqUKOiULQMcpQaAvOAEALw_wcB</t>
  </si>
  <si>
    <t>Mozilla/5.0 (iPhone; CPU iPhone OS 26_2_0 like Mac OS X) AppleWebKit/605.1.15 (KHTML, like Gecko) CriOS/143.0.7499.151 Mobile/15E148 Safari/604.1</t>
  </si>
  <si>
    <t>174.104.214.48</t>
  </si>
  <si>
    <t>US-Features-SL</t>
  </si>
  <si>
    <t>https://www.method.me/features/portals/?trc=81&amp;trk=quickbooks online payment&amp;trs=US-Features-SL&amp;campaignid=19733246298&amp;adgroupid=146278163933&amp;adid=649435146420&amp;gad_source=1&amp;gad_campaignid=19733246298&amp;gbraid=0AAAAAD3ItnbmlLILOhQdCZFS2MwBcoIzo&amp;gclid=Cj0KCQiAr5nKBhCpARIsACa_NiNsK7d0YArCRIARViYPMD5XkYE7nIvh5IkAGCft6ul-kc-_g8wtgS0aAlqLEALw_wcB</t>
  </si>
  <si>
    <t>24.73.46.119</t>
  </si>
  <si>
    <t>47.225.5.113</t>
  </si>
  <si>
    <t>Mozilla/5.0 (Windows NT 10.0; Win64; x64) AppleWebKit/537.36 (KHTML, like Gecko) Chrome/140.0.0.0 Safari/537.36 OPR/124.0.0.0</t>
  </si>
  <si>
    <t>102.129.152.26</t>
  </si>
  <si>
    <t>crm_integration_with_quickbooks</t>
  </si>
  <si>
    <t>https://grow.method.me/crm-quickbooks/?trc=81&amp;trk=crm integration with quickbooks&amp;trs=US-QBInt-Ex&amp;campaignid=22265826203&amp;adgroupid=186545727779&amp;adid=777091446185&amp;gad_source=1&amp;gad_campaignid=22265826203&amp;gbraid=0AAAAAD3ItnbYltZlbIrZEvWRBD5YfnIme&amp;gclid=Cj0KCQiAr5nKBhCpARIsACa_NiOq_spt-7gPALK2AI7E2edjjlVOwA-R3CtTLnXnSDJvugB2M4v0BnAaAuKhEALw_wcB</t>
  </si>
  <si>
    <t>67.177.176.46</t>
  </si>
  <si>
    <t>https://haseeb212.method.me/</t>
  </si>
  <si>
    <t>https://signin.method.me/?returnUrl=https%3A%2F%2Fhaseeb212.method.me%2Fapps%2FDefault.aspx%23%2Fsubscription</t>
  </si>
  <si>
    <t>Mozilla/5.0 (iPhone; CPU iPhone OS 18_7_0 like Mac OS X) AppleWebKit/605.1.15 (KHTML, like Gecko) CriOS/135.0.7049.83 Mobile/15E148 Safari/604.1</t>
  </si>
  <si>
    <t>118.103.229.82</t>
  </si>
  <si>
    <t>197.23.245.169, 52.9.26.127</t>
  </si>
  <si>
    <t>https://grow.method.me/crm-quickbooks/?trc=81&amp;trk=crm with quickbooks&amp;trs=USA-QB-G&amp;campaignid=1543381580&amp;adgroupid=61437797000&amp;adid=704678754673&amp;gad_source=1&amp;gad_campaignid=1543381580&amp;gbraid=0AAAAAD3ItnYf74VUkGH7GD_NKTDD4c7Tm&amp;gclid=Cj0KCQiAr5nKBhCpARIsACa_NiOagDcqj88zCfYxAcUXQSd6yX8DUYFHO3TPaRIHdIk_iZ0Nq-6L3_4aAt4VEALw_wcB</t>
  </si>
  <si>
    <t>64.127.191.239</t>
  </si>
  <si>
    <t>https://grow.method.me/crm-quickbooks/?trc=81&amp;trk=crm with quickbooks&amp;trs=USA-QB-G&amp;campaignid=1543381580&amp;adgroupid=61437797000&amp;adid=704678754673&amp;gad_source=1&amp;gad_campaignid=1543381580&amp;gbraid=0AAAAAD3ItnYf74VUkGH7GD_NKTDD4c7Tm&amp;gclid=EAIaIQobChMIosPu2YnNkQMVeUtHAR37_yvfEAAYAiAAEgJpG_D_BwE</t>
  </si>
  <si>
    <t>73.167.42.137</t>
  </si>
  <si>
    <t>https://grow.method.me/qb-payment/?trc=81&amp;trk=credit card processing that works with quickbooks&amp;trs=US-payment&amp;campaignid=19733246298&amp;adgroupid=146278163933&amp;adid=649435146420&amp;gad_source=1&amp;gad_campaignid=19733246298&amp;gbraid=0AAAAAD3ItnZEITFkTeOuWMFsiQt_yQmnQ&amp;gclid=Cj0KCQiAr5nKBhCpARIsACa_NiPgs4sjWvKD1sY4li-lGstfmYC2UtiLn98MyuBkCaGRaGvrQEzMVcoaAkTeEALw_wcB</t>
  </si>
  <si>
    <t>216.147.162.117</t>
  </si>
  <si>
    <t>http://signup.method.me/methodcrm/?_gl=1*mfrs3d*_gcl_au*MTE5Mzk1ODcwNS4xNzY2MjYzMTc5*_ga*OTA3NzM5NjE1LjE3NjYyNjMxNzk.*_ga_L2HEZNW53E*czE3NjYyNjMxNzkkbzEkZzAkdDE3NjYyNjMxODAkajU5JGwwJGg0NTkwNzI4Mjc.&amp;_ga=2.257689227.1043663843.1766263179-907739615.1766263179</t>
  </si>
  <si>
    <t>75.40.48.15, 52.9.26.127</t>
  </si>
  <si>
    <t>US-Customization</t>
  </si>
  <si>
    <t>https://grow.method.me/quickbooks-customization/?trc=81&amp;trk=quickbooks invoice customization&amp;trs=US-Customization&amp;campaignid=19733246298&amp;adgroupid=188113609150&amp;adid=770644740142&amp;gad_source=1&amp;gad_campaignid=19733246298&amp;gbraid=0AAAAAD3ItnZEITFkTeOuWMFsiQt_yQmnQ&amp;gclid=Cj0KCQiAr5nKBhCpARIsACa_NiMsclvHL4wiBDa28mVMBIQ5AoX2537XjVpXcDFmFG_ie2y3ZeunSn8aApDaEALw_wcB</t>
  </si>
  <si>
    <t>24.162.56.21</t>
  </si>
  <si>
    <t>Mozilla/5.0 (Linux; Android 10; K) AppleWebKit/537.36 (KHTML, like Gecko) Chrome/142.0.0.0 Safari/537.36</t>
  </si>
  <si>
    <t>73.187.196.21</t>
  </si>
  <si>
    <t>creating_invoices_in_quickbooks_online</t>
  </si>
  <si>
    <t>https://grow.method.me/feature-estimate/?trc=81&amp;trk=creating invoices in quickbooks online&amp;trs=US-QBEstimates&amp;campaignid=19733246298&amp;adgroupid=160184660571&amp;adid=676701373566&amp;gad_source=1&amp;gad_campaignid=19733246298&amp;gbraid=0AAAAAD3ItnbTkgt13QGwYO1sJYcCaJawB&amp;gclid=Cj0KCQiAr5nKBhCpARIsACa_NiNjl6Z5lSEfayGbQy--hZEnnamS6qlIYWqJ9g6nZbPqWTxv8WOesqMaAkNpEALw_wcB</t>
  </si>
  <si>
    <t>Mozilla/5.0 (iPhone; CPU iPhone OS 18_7 like Mac OS X) AppleWebKit/605.1.15 (KHTML, like Gecko) Version/18.7.2 Mobile/15E148 Safari/604.1</t>
  </si>
  <si>
    <t>72.239.76.239</t>
  </si>
  <si>
    <t>https://grow.method.me/crm-quickbooks/?trc=81&amp;trk=crm with quickbooks&amp;trs=USA-QB-G&amp;campaignid=1543381580&amp;adgroupid=61437797000&amp;adid=704678754673&amp;gad_source=1&amp;gad_campaignid=1543381580&amp;gbraid=0AAAAAD3ItnbtPY2BSip46NdhGioYTfn1n&amp;gclid=Cj0KCQiAr5nKBhCpARIsACa_NiPbWzlgLhR-4tXvrgifJpl7bHa3Qmw6ebhgHGDnhV9ttOwVBRysfTcaAqSQEALw_wcB</t>
  </si>
  <si>
    <t>166.196.68.118</t>
  </si>
  <si>
    <t>US_QB_sitelinks</t>
  </si>
  <si>
    <t>https://grow.method.me/request-demo/?adgroupid=61437797000&amp;adid=704678754673&amp;campaignid=1543381580&amp;gad_campaignid=1543381580&amp;gad_source=1&amp;gbraid=0AAAAAD3ItnbtPY2BSip46NdhGioYTfn1n&amp;gclid=Cj0KCQiAr5nKBhCpARIsACa_NiMYB6cn_6rfEm15OhAb4ADrgZfVuBDYso5R0IjMO5cKN5f3p7GGxJQaAjZZEALw_wcB&amp;trc=81&amp;trk=crm with quickbooks&amp;trs=US_QB_sitelinks</t>
  </si>
  <si>
    <t>172.3.168.47</t>
  </si>
  <si>
    <t>https://www.method.me/crm-quickbooks/job-scheduling-software/?trc=81&amp;trk=&amp;trs=USA-DSA&amp;campaignid=13038312612&amp;adgroupid=127756898611&amp;adid=771467139249&amp;gad_source=1&amp;gad_campaignid=13038312612&amp;gclid=Cj0KCQiA0p7KBhCkARIsAE6Xlalz5NFLovnIJwjKMYeJXM7EDC-tKNIaLwgATdbvQYiRYi2cc_tw56caAnyOEALw_wcB</t>
  </si>
  <si>
    <t>quickbooks_credit_card_processing</t>
  </si>
  <si>
    <t>https://grow.method.me/qb-payment/?trc=81&amp;trk=quickbooks credit card processing&amp;trs=US-payment&amp;campaignid=19733246298&amp;adgroupid=146278163933&amp;adid=649435146420&amp;gad_source=1&amp;gad_campaignid=19733246298&amp;gbraid=0AAAAAD3Itnb3XSwC0u3WzNZkqiz6UscaR&amp;gclid=Cj0KCQiA0p7KBhCkARIsAE6Xlam_L2GiBMa-_e2SuZYxQOn2Nv_JHc-x8zjVSsNfAg4PpN4tOru-1yYaAr6mEALw_wcB</t>
  </si>
  <si>
    <t>Mozilla/5.0 (iPhone; CPU iPhone OS 26_3 like Mac OS X) AppleWebKit/605.1.15 (KHTML, like Gecko) FxiOS/146.1  Mobile/15E148 Safari/604.1</t>
  </si>
  <si>
    <t>172.58.52.5</t>
  </si>
  <si>
    <t>24.73.49.237</t>
  </si>
  <si>
    <t>US-Multi-entity-Bing</t>
  </si>
  <si>
    <t>quickbooks_for_multiple_businesses</t>
  </si>
  <si>
    <t>https://grow.method.me/multi-entity/?trc=86&amp;trk=quickbooks for multiple businesses&amp;trs=US-Multi-entity-Bing&amp;msclkid=d5583141928b17356c025808d0586a6a&amp;utm_source=bing&amp;utm_medium=cpc&amp;utm_campaign=US - Multi-entity&amp;utm_term=quickbooks for multiple businesses&amp;utm_content=Phrase Match KWs</t>
  </si>
  <si>
    <t>66.69.65.79</t>
  </si>
  <si>
    <t>Pricing guide template download email nurture</t>
  </si>
  <si>
    <t>AC</t>
  </si>
  <si>
    <t>general-industry</t>
  </si>
  <si>
    <t>https://grow.method.me/quickbooks-fsm/?trc=454&amp;trk=general-industry&amp;trs=AC&amp;utm_source=AC&amp;utm_medium=email&amp;utm_campaign=454&amp;vgo_ee=AyienjcQNCUxX7tshLtzPHC02ZacfQwCIRm60wyKF1r4Pgm9aIaixQ%3D%3D%3AY2wqU%2BHDp1NWwPMctQD2nQiEkdKWTLlw</t>
  </si>
  <si>
    <t>172.56.217.74</t>
  </si>
  <si>
    <t>99.31.198.182</t>
  </si>
  <si>
    <t>https://grow.method.me/crm-quickbooks/?trc=81&amp;trk=crm with quickbooks&amp;trs=USA-QB-G&amp;campaignid=1543381580&amp;adgroupid=61437797000&amp;adid=704678754673&amp;gad_source=1&amp;gad_campaignid=1543381580&amp;gbraid=0AAAAAD3ItnYhx4QVuoDT-qnL0Z6dTzV7j&amp;gclid=CjwKCAiA9aPKBhBhEiwAyz82JzD8fVgcfvPLPYz6z5INg8Rlr1t16vSnVzJ_XzgleqOQd04hDXOL3hoCToAQAvD_BwE</t>
  </si>
  <si>
    <t>24.40.247.74</t>
  </si>
  <si>
    <t>Mozilla/5.0 (Windows NT 10.0; Win64; x64) AppleWebKit/537.36 (KHTML, like Gecko) Chrome/140.0.0.0 Safari/537.36</t>
  </si>
  <si>
    <t>65.221.106.100</t>
  </si>
  <si>
    <t>216</t>
  </si>
  <si>
    <t>http://signup.method.me/fieldservices?referid=vJ8SdW4SCFD%2fD0iQ8skazQ%3d%3d</t>
  </si>
  <si>
    <t>65.221.106.113, 52.9.26.127</t>
  </si>
  <si>
    <t>https://signin.method.me/accounts/identitynotfound?Code=%2FtyWXJRVSgU%2FdzgUKR3wBRQbEjuLQke4Am%2FV4rGD%2FNUnaDfX1tmPg9uGHqZsKLzg%2FYbzPT0OgeQ869UAp0VST7qDor8JzwWmwoh7qjy%2Bmreu4GCCxfuQ35zJmr7yU8IxG0oYNdZUlZq%2BZAe8RgZBAcChcZOlsqAO0EPgfW%2FDq2mP6TqzqwTkMf%2FDidbrdxLyLFANL4w4%2Fxu%2B0i96CK2s7t2%2F1YLHCaMmqwfCetSc3jOKhrjlllIHSdDUTKHwRCuWIrfreatErX4M3qMadYR3iLP6z3BaF%2FQ%2BDQdqeyiPl7TtOi%2B8eYRtpDNgF75RRM5q&amp;Email=marketing%40yyoung.com&amp;Provider=Intuit&amp;Offering=methodcrm</t>
  </si>
  <si>
    <t>64.46.23.2</t>
  </si>
  <si>
    <t>https://grow.method.me/crm-quickbooks/?trc=81&amp;trk=crm with quickbooks&amp;trs=USA-QB-G&amp;campaignid=1543381580&amp;adgroupid=61437797000&amp;adid=704678754673&amp;gad_source=1&amp;gad_campaignid=1543381580&amp;gbraid=0AAAAAD3ItnYhx4QVuoDT-qnL0Z6dTzV7j&amp;gclid=EAIaIQobChMI9NLnzdnRkQMVESvUAR2o5yRLEAAYASAAEgJ-OvD_BwE</t>
  </si>
  <si>
    <t>99.68.64.31</t>
  </si>
  <si>
    <t>163.116.214.33</t>
  </si>
  <si>
    <t>66.30.64.53</t>
  </si>
  <si>
    <t>66.30.64.53, 52.9.26.127</t>
  </si>
  <si>
    <t>https://grow.method.me/crm-quickbooks/?trc=81&amp;trk=integrate with quickbooks&amp;trs=USA-QB-G_Ex&amp;campaignid=22265826203&amp;adgroupid=176758613473&amp;adid=734012603510&amp;gad_source=1&amp;gad_campaignid=22265826203&amp;gbraid=0AAAAAD3ItnZ3m3MycvnglnjN_XvLoigmA&amp;gclid=Cj0KCQjw_L_FBhDmARIsAItqgt4GZ0MtW9MXAWc21VeiY0O4dflILCzSXnj7z-XAdKSwkQGGDSC4xO4aAoyuEALw_wcB</t>
  </si>
  <si>
    <t>162.236.7.170</t>
  </si>
  <si>
    <t>74.69.41.58</t>
  </si>
  <si>
    <t>https://grow.method.me/method-proposals/?trc=81&amp;trk=does quickbooks have electronic signature&amp;trs=US-New-Proposal&amp;campaignid=19733246298&amp;adgroupid=156304156777&amp;adid=689695736138&amp;gad_source=1&amp;gad_campaignid=19733246298&amp;gbraid=0AAAAAD3Itnb3XSwC0u3WzNZkqiz6UscaR&amp;gclid=CjwKCAiA9aPKBhBhEiwAyz82J5HVyCKoLuxx96puO3zFRzgYIPJKEWqGu_wQP9Fhz7UAOy-n7lzYtRoCww4QAvD_BwE</t>
  </si>
  <si>
    <t>172.56.195.223</t>
  </si>
  <si>
    <t>157.131.57.182</t>
  </si>
  <si>
    <t>CA_QBO_sitelink</t>
  </si>
  <si>
    <t>crm_quickbooks_online</t>
  </si>
  <si>
    <t>https://grow.method.me/request-demo/?adgroupid=61438895200&amp;adid=423725469350&amp;campaignid=1543604353&amp;gad_campaignid=1543604353&amp;gad_source=1&amp;gclid=CjwKCAiA9aPKBhBhEiwAyz82J-nhaNjh2JyFMZHP_7S4DqWptrNKiNvvmv9pAtbPBacjsp4pzwi0dhoCIbQQAvD_BwE&amp;trc=81&amp;trk=crm quickbooks online&amp;trs=CA_QBO_sitelink</t>
  </si>
  <si>
    <t>67.216.62.9</t>
  </si>
  <si>
    <t>how_do_estimates_work_in_quickbooks</t>
  </si>
  <si>
    <t>https://grow.method.me/feature-estimate/?trc=81&amp;trk=how do estimates work in quickbooks&amp;trs=US-QBEstimates&amp;campaignid=19733246298&amp;adgroupid=160184660571&amp;adid=676701373566&amp;gad_source=1&amp;gad_campaignid=19733246298&amp;gbraid=0AAAAAD3ItnYV7w2DczF_LOXQAfAbUUdSZ&amp;gclid=EAIaIQobChMI856skbbSkQMVWcrCBB2SsSttEAAYASAAEgK4TfD_BwE</t>
  </si>
  <si>
    <t>Mozilla/5.0 (iPhone; CPU iPhone OS 18_5 like Mac OS X) AppleWebKit/605.1.15 (KHTML, like Gecko) Version/18.5 Mobile/15E148 Safari/604.1</t>
  </si>
  <si>
    <t>73.189.70.62</t>
  </si>
  <si>
    <t>200.50.143.9</t>
  </si>
  <si>
    <t>24.163.33.10</t>
  </si>
  <si>
    <t>https://grow.method.me/crm-quickbooks/?trc=86&amp;trk=crm that integrates with quickbooks&amp;trs=US-Bing-QB&amp;msclkid=e46d84c3731b16cb6457ed895781495a&amp;utm_source=bing&amp;utm_medium=cpc&amp;utm_campaign=US - Bing QB Broad&amp;utm_term=crm that integrates with quickbooks&amp;utm_content=Ad Group 1</t>
  </si>
  <si>
    <t>73.218.86.143</t>
  </si>
  <si>
    <t>https://grow.method.me/qb-payment/?trc=81&amp;trk=quickbooks online payment&amp;trs=US-payment&amp;campaignid=19733246298&amp;adgroupid=146278163933&amp;adid=649435146420&amp;gad_source=1&amp;gad_campaignid=19733246298&amp;gbraid=0AAAAAD3ItnYV7w2DczF_LOXQAfAbUUdSZ&amp;gclid=CjwKCAiA9aPKBhBhEiwAyz82J-FIrIpECxWdrT6RKe099iHx8hHNoLik6-gHgMZKjPGPRtBmBXXGTRoC3nIQAvD_BwE</t>
  </si>
  <si>
    <t>Mozilla/5.0 (iPhone; CPU iPhone OS 26_1_0 like Mac OS X) AppleWebKit/605.1.15 (KHTML, like Gecko) GSA/399.2.845414227 Mobile/15E148 Safari/604.1</t>
  </si>
  <si>
    <t>76.39.143.154</t>
  </si>
  <si>
    <t>71.211.157.220</t>
  </si>
  <si>
    <t>https://www.method.me/pricing-guides/house-cleaning-estimate-form/</t>
  </si>
  <si>
    <t>172.56.67.204</t>
  </si>
  <si>
    <t>47.179.1.174</t>
  </si>
  <si>
    <t>Mozilla/5.0 (iPhone; CPU iPhone OS 18_5_0 like Mac OS X) AppleWebKit/605.1.15 (KHTML, like Gecko) GSA/379.0.786762118 Mobile/15E148 Safari/604.1</t>
  </si>
  <si>
    <t>102.39.90.4</t>
  </si>
  <si>
    <t>64.110.255.217</t>
  </si>
  <si>
    <t>75.188.141.25</t>
  </si>
  <si>
    <t>185.98.171.242</t>
  </si>
  <si>
    <t>https://grow.method.me/qb-payment/?trc=81&amp;trk=quickbooks payment processor&amp;trs=US-payment&amp;campaignid=19733246298&amp;adgroupid=146278163933&amp;adid=649435146420&amp;gad_source=1&amp;gad_campaignid=19733246298&amp;gbraid=0AAAAAD3Itna30BAf5Wk2oRNYxmyK0Ae-v&amp;gclid=EAIaIQobChMI5aXT4YbUkQMVoLMDAB2JDjRjEAAYAiAAEgL42_D_BwE</t>
  </si>
  <si>
    <t>107.122.225.135</t>
  </si>
  <si>
    <t>50.4.238.248</t>
  </si>
  <si>
    <t>37.19.198.98</t>
  </si>
  <si>
    <t>https://www.method.me/legal/terms-of-service/</t>
  </si>
  <si>
    <t>207.104.243.79</t>
  </si>
  <si>
    <t>https://www.method.me/blog/does-google-have-a-free-crm/</t>
  </si>
  <si>
    <t>41.69.116.219</t>
  </si>
  <si>
    <t>149.106.240.179</t>
  </si>
  <si>
    <t>Video content</t>
  </si>
  <si>
    <t>http://signup.method.me/methodcrm?trc=333&amp;trk=win-more-biz-qb-crm&amp;trs=vimeo&amp;utm_source=content&amp;utm_medium=vimeo&amp;utm_campaign=win-more-biz-qb-crm&amp;dc=638732664934400000</t>
  </si>
  <si>
    <t>24.210.91.32, 52.9.26.127</t>
  </si>
  <si>
    <t>CA-QB-O</t>
  </si>
  <si>
    <t>https://grow.method.me/quickbooks-method-cad/?trc=81&amp;trk=crm quickbooks online&amp;trs=CA-QB-O&amp;campaignid=1543604353&amp;adgroupid=61438895200&amp;adid=423725469350&amp;gad_source=1&amp;gad_campaignid=1543604353&amp;gbraid=0AAAAAD3ItnatXinqTlBk9I63OqJ62RYyu&amp;gclid=CjwKCAiAmKnKBhBrEiwAaqAnZ8795e--we7OQqCNU5Yci6gZraTtWo7_4ffi0c1x7g_intBBFyVLIhoCL1wQAvD_BwE</t>
  </si>
  <si>
    <t>142.160.59.133</t>
  </si>
  <si>
    <t>https://www.method.me/pricing-guides/hvac-estimating-spreadsheet/</t>
  </si>
  <si>
    <t>5.31.175.63</t>
  </si>
  <si>
    <t>49.36.183.2</t>
  </si>
  <si>
    <t>https://grow.method.me/quickbooks-fsm/?trc=81&amp;trk=field service quickbooks crm&amp;trs=US-FS&amp;campaignid=12406628869&amp;adgroupid=118144098677&amp;adid=500417359889&amp;gad_source=1&amp;gad_campaignid=12406628869&amp;gbraid=0AAAAAD3Itna0gEglXYLjG8xnCJbQ09ycV&amp;gclid=CjwKCAiAu67KBhAkEiwAY0jAlWWjAoedl5QPNeY4KaRK9idQ3H7BZIOPdQRKQlgKZFyiwGtyWUYGRxoCpUcQAvD_BwE</t>
  </si>
  <si>
    <t>71.41.94.194</t>
  </si>
  <si>
    <t>https://www.method.me/quickbooks-crm/?trc=81&amp;trk=&amp;trs=USA-DSA-QB&amp;campaignid=13038312612&amp;adgroupid=128764620688&amp;adid=776480461340&amp;gad_source=1&amp;gad_campaignid=13038312612&amp;gbraid=0AAAAAD3ItnZ0mgjvUmbEYhOlHYAXqpZym&amp;gclid=Cj0KCQjw3OjGBhDYARIsADd-uX5Rwf5JTar1IlvzIgfKgkOKcKhOczPwfs_BW_N0ESKT3qg51wyJ90waAvPmEALw_wcB</t>
  </si>
  <si>
    <t>50.186.197.33</t>
  </si>
  <si>
    <t>146.75.248.72</t>
  </si>
  <si>
    <t>https://desertarc2.method.me/</t>
  </si>
  <si>
    <t>https://signin.method.me/?returnUrl=https%3A%2F%2Fdesertarc2.method.me%2Fapps%2FDefault.aspx%3Fdobnsjjmhvp7q7a4orwiyi7hci%3DyB0j2W29IbgOcIXyVQjvjYW6AwFy0l4Aq353xmQyFdwW0d9dPgsiUPQ1qQlbhRyXk3ClfzOa%23%2F28573cd2-a490-4bd0-af53-2cf83e4b3e9c</t>
  </si>
  <si>
    <t>173.197.85.162</t>
  </si>
  <si>
    <t>quickbooks_desktop_integration</t>
  </si>
  <si>
    <t>https://grow.method.me/crm-quickbooks/?trc=86&amp;trk=quickbooks desktop integration&amp;trs=USA-G-QB-Bing&amp;msclkid=a0abc68a4fb41ec93f77afc66b9db960&amp;utm_source=bing&amp;utm_medium=cpc&amp;utm_campaign=US - Generic 2020&amp;utm_term=quickbooks desktop integration&amp;utm_content=Generic</t>
  </si>
  <si>
    <t>73.87.72.14</t>
  </si>
  <si>
    <t>how_to_set_up_credit_card_payments_in_quickbooks</t>
  </si>
  <si>
    <t>https://grow.method.me/qb-payment/?trc=81&amp;trk=how to set up credit card payments in quickbooks&amp;trs=US-payment&amp;campaignid=19733246298&amp;adgroupid=146278163933&amp;adid=649435146420&amp;gad_source=1&amp;gad_campaignid=19733246298&amp;gbraid=0AAAAAD3ItnYNcKRT-ES3qDTRU1v3OWFSN&amp;gclid=CjwKCAiAu67KBhAkEiwAY0jAlfWEKG-6aD39X4iZezoT8xVRt7ZTmCNqvEfcQZTgUJ0XacaCLOIA_hoC-OYQAvD_BwE</t>
  </si>
  <si>
    <t>50.172.146.131</t>
  </si>
  <si>
    <t>https://grow.method.me/feature-estimate/?trc=81&amp;trk=creating invoices in quickbooks online&amp;trs=US-QBEstimates&amp;campaignid=19733246298&amp;adgroupid=160184660571&amp;adid=676701373566&amp;gad_source=1&amp;gad_campaignid=19733246298&amp;gbraid=0AAAAAD3ItnblVQxF2jnlcj80pd1Sgm5Gp&amp;gclid=EAIaIQobChMInMjpo_zWkQMVPinUAR1Q1QVYEAAYAiAAEgK6l_D_BwE</t>
  </si>
  <si>
    <t>74.134.189.136</t>
  </si>
  <si>
    <t>166.48.81.202</t>
  </si>
  <si>
    <t>https://grow.method.me/quickbooks-method-cad/?trc=81&amp;trk=crm quickbooks online&amp;trs=CA-QB-O&amp;campaignid=1543604353&amp;adgroupid=61438895200&amp;adid=423725469350&amp;gad_source=1&amp;gad_campaignid=1543604353&amp;gbraid=0AAAAAD3ItnatXinqTlBk9I63OqJ62RYyu&amp;gclid=CjwKCAiAu67KBhAkEiwAY0jAlbzYduV_7CLjyueiqfOjVqmH0YmW34PNfDR75mnofUSGHzKWhhZgpxoCW7cQAvD_BwE</t>
  </si>
  <si>
    <t>184.147.62.8</t>
  </si>
  <si>
    <t>https://grow.method.me/request-demo/?adgroupid=61437797000&amp;adid=704678754673&amp;campaignid=1543381580&amp;gad_campaignid=1543381580&amp;gad_source=1&amp;gbraid=0AAAAAD3ItnbGgdUZ_AHS9vWvhwczWLypq&amp;gclid=CjwKCAiAu67KBhAkEiwAY0jAlcA4yRaPI0bhSEJ9qnb9xntAnm1nUbNpaTmdA_OlJKh1S62iVXuZ4xoCcu4QAvD_BwE&amp;trc=81&amp;trk=crm with quickbooks&amp;trs=US_QB_sitelinks</t>
  </si>
  <si>
    <t>Mozilla/5.0 (X11; CrOS x86_64 14541.0.0) AppleWebKit/537.36 (KHTML, like Gecko) Chrome/143.0.0.0 Safari/537.36</t>
  </si>
  <si>
    <t>73.212.123.59</t>
  </si>
  <si>
    <t>39.46.99.91</t>
  </si>
  <si>
    <t>174.239.115.0</t>
  </si>
  <si>
    <t>88.130.221.152, 52.9.26.127</t>
  </si>
  <si>
    <t>https://grow.method.me/crm-quickbooks/?trc=81&amp;trk=crm with quickbooks&amp;trs=USA-QB-G&amp;campaignid=1543381580&amp;adgroupid=61437797000&amp;adid=704678754673&amp;gad_source=1&amp;gad_campaignid=1543381580&amp;gbraid=0AAAAAD3ItnbGgdUZ_AHS9vWvhwczWLypq&amp;gclid=EAIaIQobChMIlu6bg_7YkQMVWB1ECB3isCjNEAAYASAAEgI-KfD_BwE</t>
  </si>
  <si>
    <t>Mozilla/5.0 (Windows NT 10.0; Win64; x64) AppleWebKit/537.36 (KHTML, like Gecko) Chrome/107.0.0.0 Safari/537.36</t>
  </si>
  <si>
    <t>195.123.240.206, 52.9.26.127</t>
  </si>
  <si>
    <t>Google.com</t>
  </si>
  <si>
    <t>99.240.178.209</t>
  </si>
  <si>
    <t>68.8.6.34</t>
  </si>
  <si>
    <t>multi_entity_management</t>
  </si>
  <si>
    <t>https://grow.method.me/multi-entity/?trc=81&amp;trk=multi entity management&amp;trs=US-Multi-entity&amp;campaignid=22836319657&amp;adgroupid=183992915458&amp;adid=765768443211&amp;gad_source=1&amp;gad_campaignid=22836319657&amp;gbraid=0AAAAAD3ItnYuEHDT1Wr_bG-rETiBz6mKQ&amp;gclid=CjwKCAiA3rPKBhBZEiwAhPNFQNwLxOY-ICnH79nH7oKOOSyDvwG7w5DSUyWjuaRXcJnBbZeX3dcLPhoCCs0QAvD_BwE</t>
  </si>
  <si>
    <t>172.59.221.115</t>
  </si>
  <si>
    <t>March 2025 Winback</t>
  </si>
  <si>
    <t>1st</t>
  </si>
  <si>
    <t>March-Winback</t>
  </si>
  <si>
    <t>https://grow.method.me/march-2025-winback/?trc=669&amp;trk=March-Winback&amp;trs=1st&amp;utm_source=ActiveCampaign&amp;utm_medium=email&amp;utm_content=Get 50  off when you try Method again 👀&amp;utm_campaign=%5B6319%5D%3A 1 0 March Winback Promo&amp;vgo_ee=OyiqwLOxc8ByUEj%2BA8%2Bqy4ItvDkKWVQJ5IG9laF3tPGwC7kcWnwWoFXJ6Rv%2Bbfk%3D%3AFdf0I%2FaItJoc96HGP2IyqzhC4jKJS6jD</t>
  </si>
  <si>
    <t>69.160.125.0</t>
  </si>
  <si>
    <t>Mar</t>
  </si>
  <si>
    <t>https://www.method.me/pricing-guides/estimate-residential-electrical-work/</t>
  </si>
  <si>
    <t>98.115.22.243</t>
  </si>
  <si>
    <t>66.131.159.96</t>
  </si>
  <si>
    <t>70.67.60.178</t>
  </si>
  <si>
    <t>202.143.122.140</t>
  </si>
  <si>
    <t>http://signup.method.me/methodcrm/?_gl=1*1ukatl5*_gcl_au*MTk4OTQ1MzcxMy4xNzY2NzUyNjEz</t>
  </si>
  <si>
    <t>Mozilla/5.0 (Linux; Android 10; K) AppleWebKit/537.36 (KHTML, like Gecko) Chrome/126.0.0.0 Mobile Safari/537.36</t>
  </si>
  <si>
    <t>42.0.5.249, 52.9.26.127</t>
  </si>
  <si>
    <t>98.242.126.157</t>
  </si>
  <si>
    <t>66.183.0.166</t>
  </si>
  <si>
    <t>69.9.141.22</t>
  </si>
  <si>
    <t>Mozilla/5.0 (iPhone; CPU iPhone OS 26_2_0 like Mac OS X) AppleWebKit/605.1.15 (KHTML, like Gecko) GSA/399.2.845414227 Mobile/15E148 Safari/604.1</t>
  </si>
  <si>
    <t>190.166.99.48, 52.9.26.127</t>
  </si>
  <si>
    <t>71.115.14.29</t>
  </si>
  <si>
    <t>https://signin.method.me/accounts/noaccountsfound?Offering=methodcrm</t>
  </si>
  <si>
    <t>174.78.11.86</t>
  </si>
  <si>
    <t>71.80.151.90</t>
  </si>
  <si>
    <t>184.152.172.109</t>
  </si>
  <si>
    <t>67.168.173.196</t>
  </si>
  <si>
    <t>Mozilla/5.0 (iPhone; CPU iPhone OS 18_7_1 like Mac OS X) AppleWebKit/605.1.15 (KHTML, like Gecko) CriOS/139.0.7258.76 Mobile/15E148 Safari/604.1</t>
  </si>
  <si>
    <t>107.123.37.76</t>
  </si>
  <si>
    <t>5.38.0.4</t>
  </si>
  <si>
    <t>Mozilla/5.0 (X11; Linux x86_64) AppleWebKit/537.36 (KHTML, like Gecko) SamsungBrowser/29.0 Chrome/136.0.0.0 Safari/537.36</t>
  </si>
  <si>
    <t>179.56.250.83</t>
  </si>
  <si>
    <t>73.25.114.74</t>
  </si>
  <si>
    <t>https://grow.method.me/crm-quickbooks/?trc=81&amp;trk=crm with quickbooks&amp;trs=USA-QB-G&amp;campaignid=1543381580&amp;adgroupid=61437797000&amp;adid=704678754673&amp;gad_source=1&amp;gad_campaignid=1543381580&amp;gbraid=0AAAAAD3ItnavfXH0F02Rh8bFn6rkQC_05&amp;gclid=Cj0KCQiAx8PKBhD1ARIsAKsmGbftdRB8INnhbWS6LvUnlw_t5IB7g9P3SbJqur6iIDsOsDiIobk4-t8aAimOEALw_wcB</t>
  </si>
  <si>
    <t>172.56.65.201</t>
  </si>
  <si>
    <t>78.189.166.78</t>
  </si>
  <si>
    <t>176.97.154.23</t>
  </si>
  <si>
    <t>103.25.251.217</t>
  </si>
  <si>
    <t>184.18.163.103</t>
  </si>
  <si>
    <t>37.239.133.1, 52.9.26.127</t>
  </si>
  <si>
    <t>https://www.method.me/blog/quickbooks-sync-comparisons/?utm_source=chatgpt.com</t>
  </si>
  <si>
    <t>64.31.36.196</t>
  </si>
  <si>
    <t>98.238.16.165</t>
  </si>
  <si>
    <t>https://grow.method.me/crm-quickbooks/?trc=81&amp;trk=crm integrates with quickbooks&amp;trs=US-QBInt-Ex&amp;campaignid=22265826203&amp;adgroupid=186545727779&amp;adid=777091446185&amp;gad_source=1&amp;gad_campaignid=22265826203&amp;gbraid=0AAAAAD3Itnb_GcGrF8T8CxaqtpyTrWjVg&amp;gclid=Cj0KCQiA6sjKBhCSARIsAJvYcpPLwpAJfN556aJnfi0kU2IY71I1fU2inLyH278J-YbcqoZLTqRgAIkaAko8EALw_wcB</t>
  </si>
  <si>
    <t>47.14.50.179</t>
  </si>
  <si>
    <t>crm-quickbooks</t>
  </si>
  <si>
    <t>https://www.method.me/crm-quickbooks/job-scheduling-software/?trc=86&amp;trk=%2Fcrm-quickbooks%2F&amp;trs=RLSA-Bing-Dyn&amp;msclkid=c7b6b9a137cc114e52a8d0f0816a7627&amp;utm_source=bing&amp;utm_medium=cpc&amp;utm_campaign=RLSA - Bing&amp;utm_term=%2Fcrm-quickbooks%2F&amp;utm_content=RLSA - Dynamic</t>
  </si>
  <si>
    <t>38.85.139.127</t>
  </si>
  <si>
    <t>https://grow.method.me/best-quickbooks-crm/?trc=517&amp;trk=1CRM&amp;trs=FB-Lookalike&amp;utm_source=Facebook&amp;utm_medium=PPC&amp;utm_campaign=Banner_trial&amp;fbclid=IwdGRleAO8pctleHRuA2FlbQEwAGFkaWQBqyo7QjfMs3NydGMGYXBwX2lkCjY2Mjg1NjgzNzkAAR6yCsrmCEJStUy9sAWrDn_NClr0G8cd4Qi38sX5ANUryo7bfHPDwJyuyiR0iA_aem_40jpzLxe9VHxGKtrSRRMPw&amp;campaign_id=120213444289450307&amp;ad_id=120232952122110307&amp;utm_id=120213444289450307&amp;utm_content=120232952122110307&amp;utm_term=120215433068320307</t>
  </si>
  <si>
    <t>71.169.88.21</t>
  </si>
  <si>
    <t>75.215.246.116</t>
  </si>
  <si>
    <t>US-Bing-sitelink</t>
  </si>
  <si>
    <t>https://grow.method.me/request-demo/?trc=86&amp;trk=grow.method.me&amp;trs=US-Bing-sitelink&amp;msclkid=22b9bf8ae43c1629b157d6d83c25ed82&amp;utm_source=bing&amp;utm_medium=cpc&amp;utm_campaign=Bing - PMAX&amp;utm_term=grow.method.me&amp;utm_content=US - retargeting</t>
  </si>
  <si>
    <t>135.134.130.190</t>
  </si>
  <si>
    <t>108.241.211.212</t>
  </si>
  <si>
    <t>76.31.80.186</t>
  </si>
  <si>
    <t>http://signup.method.me/methodcrm?_gl=1*1szqxxv*_gcl_au*NTIyOTI3ODA5LjE3NjcwOTQ2NDU.*_ga*MjExMTk2MTE0NS4xNzY3MDk0NjQ2*_ga_L2HEZNW53E*czE3NjcwOTQ2NDUkbzEkZzAkdDE3NjcwOTQ2NDYkajU5JGwwJGgxODk2MTA5Njk3</t>
  </si>
  <si>
    <t>105.157.171.157, 52.9.26.127</t>
  </si>
  <si>
    <t>188.60.172.169</t>
  </si>
  <si>
    <t>102.182.70.204</t>
  </si>
  <si>
    <t>632</t>
  </si>
  <si>
    <t>Mozilla/5.0 (X11; Linux x86_64) AppleWebKit/537.36 (KHTML, like Gecko) Chrome/141.0.0.0 Safari/537.36 OPR/125.0.0.0</t>
  </si>
  <si>
    <t>https://signin.method.me/?returnUrl=http%3a%2f%2fgrowconstruction.method.me%2fapps%2fDefault.aspx</t>
  </si>
  <si>
    <t>173.239.224.78</t>
  </si>
  <si>
    <t>73.43.41.229</t>
  </si>
  <si>
    <t>https://globalimagingproducts.method.me/</t>
  </si>
  <si>
    <t>https://signin.method.me/?returnUrl=https%3A%2F%2Fglobalimagingproducts.method.me%2Fapps%2FDefault.aspx%23%2F48f7cfa9-bdd4-4759-9f2d-6bb2872dc873%2FZVNIU1pwMHMyckhnM18wZlZDcmZoUS0t</t>
  </si>
  <si>
    <t>47.34.132.123</t>
  </si>
  <si>
    <t>https://www.method.me/crm-quickbooks/custom-crm-software/?trc=86&amp;trk=%2Fcrm-quickbooks%2F&amp;trs=RLSA-Bing-Dyn&amp;msclkid=821f4722382013071f602e761859cbc1&amp;utm_source=bing&amp;utm_medium=cpc&amp;utm_campaign=RLSA - Bing&amp;utm_term=%2Fcrm-quickbooks%2F&amp;utm_content=RLSA - Dynamic</t>
  </si>
  <si>
    <t>35.149.47.141</t>
  </si>
  <si>
    <t>https://grow.method.me/crm-quickbooks/?trc=81&amp;trk=crm with quickbooks&amp;trs=USA-QB-G&amp;campaignid=1543381580&amp;adgroupid=61437797000&amp;adid=704678754673&amp;gad_source=1&amp;gad_campaignid=1543381580&amp;gbraid=0AAAAAD3ItnZ1dMGfVawUtEvSh-BOwPx86&amp;gclid=CjwKCAiAjc7KBhBvEiwAE2BDOTTYiLyCtZ7NAOIoFLAkID7cUYoCvrPpXjY2f32CsvAavmEqMsojXhoC0LIQAvD_BwE</t>
  </si>
  <si>
    <t>69.247.190.56</t>
  </si>
  <si>
    <t>http://signup.method.me/methodcrm?_gl=1*1lqzz76*_gcl_au*MzY2NDM1MzEyLjE3NjcxMjQzMjY.*_ga*MTc4NDI1NDE4My4xNzY3MTI0MzI2*_ga_L2HEZNW53E*czE3NjcxMjQzMjYkbzEkZzAkdDE3NjcxMjQzMjYkajYwJGwwJGgyNzU5MDc3NjM.&amp;_ga=2.266231375.1314862768.1767124326-1784254183.1767124326</t>
  </si>
  <si>
    <t>204.197.156.135, 52.9.26.127</t>
  </si>
  <si>
    <t>98.253.156.97</t>
  </si>
  <si>
    <t>66.85.63.251</t>
  </si>
  <si>
    <t>http://signup.method.me/methodcrm/?_gl=1*1rlh2k6*_gcl_au*MjA2ODA4OTkyMi4xNzUyOTc3MDUwLjIwNjQwMTg1NzUuMTc2MDAzNTgyMC4xNzYwMDM1ODU4*_ga*MTQ4NDAxOTI3My4xNzM3Mzc2NjMw*_ga_L2HEZNW53E*czE3NjAxMDg1MDUkbzIzMCRnMSR0MTc2MDExMTcyMCRqNTkkbDAkaDI1NjIxNDc3MA..&amp;_ga=2.108964354.1266372990.1759645912-1484019273.1737376630</t>
  </si>
  <si>
    <t>71.67.39.33, 52.9.26.127</t>
  </si>
  <si>
    <t>184.162.145.151</t>
  </si>
  <si>
    <t>99.43.137.56</t>
  </si>
  <si>
    <t>Mozilla/5.0 (Linux; Android 14; CPH2773 Build/UP1A.231005.007; ) AppleWebKit/537.36 (KHTML, like Gecko) Version/4.0 Chrome/143.0.7499.115 Mobile Safari/537.36</t>
  </si>
  <si>
    <t>27.125.243.232, 52.9.26.127</t>
  </si>
  <si>
    <t>8.19.238.214</t>
  </si>
  <si>
    <t>166.199.7.64, 52.9.26.127</t>
  </si>
  <si>
    <t>https://www.method.me/blog/manufacturing-business-management-software/</t>
  </si>
  <si>
    <t>http://signup.method.me/methodcrm/?_gl=1*tadn03*_gcl_au*MzI3MjI2NTA0LjE3NjQ1ODE4MzY.*_ga*MTY3MzA1MDk0Ny4xNzY0NTgxODM2*_ga_L2HEZNW53E*czE3NjQ1ODE4MzYkbzEkZzAkdDE3NjQ1ODE4MzYkajYwJGwwJGgxMzI4NDE3NTYx&amp;_ga=2.257828680.2126641555.1764581836-1673050947.1764581836</t>
  </si>
  <si>
    <t>103.78.237.183, 52.9.26.127</t>
  </si>
  <si>
    <t>https://signup.method.me/QBOAppstoreSignup?offering=proposals</t>
  </si>
  <si>
    <t>174.57.94.90</t>
  </si>
  <si>
    <t>196.39.53.236</t>
  </si>
  <si>
    <t>http://signup.method.me/methodcrm/?_gl=1*654evd*_gcl_au*MTE1ODY5MzA2My4xNzY3MTIxMTUx*_ga*MjEzNTQwMjA1Ni4xNzY3MTIxMTUx*_ga_L2HEZNW53E*czE3NjcxMjExNTAkbzEkZzAkdDE3NjcxMjExNTAkajYwJGwwJGgxNzg3NDI0MzMz&amp;_ga=2.111371076.134714501.1767121151-2135402056.1767121151</t>
  </si>
  <si>
    <t>172.56.70.4, 52.9.26.127</t>
  </si>
  <si>
    <t>https://cladform.method.me/</t>
  </si>
  <si>
    <t>https://signin.method.me/?returnUrl=https%3A%2F%2Fcladform.method.me%2Fapps%2FDefault.aspx%3Fvgo_ee%3Dwc2VVinufGwf2X3V7a3Fast2IWuir6E98%252F3xrVqC5tyRoh6hritq%253AouEQa3izuLK6kcdyfG38FmL628NdR2o%252B%23%2Fsetup%2Fchooseversion%3Futm_source%3DActiveCampaign%26utm_medium%3Demail%26utm_content%3DWelcome%2520to%2520Method%2520CRM%2521%26utm_campaign%3D%255B1414%255D%25201%25201%2520new%2520-%2520Welcome%2520to%2520Method%2520CRM%2521</t>
  </si>
  <si>
    <t>136.38.55.216</t>
  </si>
  <si>
    <t>71.66.156.222</t>
  </si>
  <si>
    <t>76.19.137.255</t>
  </si>
  <si>
    <t>98.97.80.121, 52.9.26.127</t>
  </si>
  <si>
    <t>103.133.201.244</t>
  </si>
  <si>
    <t>138.128.237.185</t>
  </si>
  <si>
    <t>Total</t>
  </si>
  <si>
    <t>OPN</t>
  </si>
  <si>
    <t>Pay_Per_Click</t>
  </si>
  <si>
    <t>Help_Center</t>
  </si>
  <si>
    <t>Referral_Program</t>
  </si>
  <si>
    <t>Referral_Link</t>
  </si>
  <si>
    <t>Backlink</t>
  </si>
  <si>
    <t>Social</t>
  </si>
  <si>
    <t>Remarketing</t>
  </si>
  <si>
    <t>Chat_Tool</t>
  </si>
  <si>
    <t>Banner_Ads</t>
  </si>
  <si>
    <t>Seminar_Conference</t>
  </si>
  <si>
    <t>2025-Nov-30 00:00 Total</t>
  </si>
  <si>
    <t>2025-Dec-01 00:00 Total</t>
  </si>
  <si>
    <t>2025-Dec-02 00:00 Total</t>
  </si>
  <si>
    <t>2025-Dec-03 00:00 Total</t>
  </si>
  <si>
    <t>2025-Dec-04 00:00 Total</t>
  </si>
  <si>
    <t>2025-Dec-05 00:00 Total</t>
  </si>
  <si>
    <t>2025-Dec-06 00:00 Total</t>
  </si>
  <si>
    <t>2025-Dec-07 00:00 Total</t>
  </si>
  <si>
    <t>2025-Dec-08 00:00 Total</t>
  </si>
  <si>
    <t>2025-Dec-09 00:00 Total</t>
  </si>
  <si>
    <t>2025-Dec-10 00:00 Total</t>
  </si>
  <si>
    <t>2025-Dec-11 00:00 Total</t>
  </si>
  <si>
    <t>2025-Dec-12 00:00 Total</t>
  </si>
  <si>
    <t>2025-Dec-13 00:00 Total</t>
  </si>
  <si>
    <t>2025-Dec-14 00:00 Total</t>
  </si>
  <si>
    <t>2025-Dec-15 00:00 Total</t>
  </si>
  <si>
    <t>2025-Dec-16 00:00 Total</t>
  </si>
  <si>
    <t>2025-Dec-17 00:00 Total</t>
  </si>
  <si>
    <t>2025-Dec-18 00:00 Total</t>
  </si>
  <si>
    <t>2025-Dec-19 00:00 Total</t>
  </si>
  <si>
    <t>2025-Dec-20 00:00 Total</t>
  </si>
  <si>
    <t>2025-Dec-21 00:00 Total</t>
  </si>
  <si>
    <t>2025-Dec-22 00:00 Total</t>
  </si>
  <si>
    <t>2025-Dec-23 00:00 Total</t>
  </si>
  <si>
    <t>2025-Dec-24 00:00 Total</t>
  </si>
  <si>
    <t>2025-Dec-25 00:00 Total</t>
  </si>
  <si>
    <t>2025-Dec-26 00:00 Total</t>
  </si>
  <si>
    <t>2025-Dec-27 00:00 Total</t>
  </si>
  <si>
    <t>2025-Dec-28 00:00 Total</t>
  </si>
  <si>
    <t>2025-Dec-29 00:00 Total</t>
  </si>
  <si>
    <t>2025-Dec-30 00:00 Total</t>
  </si>
  <si>
    <t>2025-Dec-31 00:00 Total</t>
  </si>
  <si>
    <t>Grand Total</t>
  </si>
  <si>
    <t>47 Total</t>
  </si>
  <si>
    <t>48 Total</t>
  </si>
  <si>
    <t>49 Total</t>
  </si>
  <si>
    <t>50 Total</t>
  </si>
  <si>
    <t>51 Total</t>
  </si>
  <si>
    <t>52 Total</t>
  </si>
  <si>
    <t>2025 Total</t>
  </si>
  <si>
    <t>Dec Total</t>
  </si>
  <si>
    <t>Nov Total</t>
  </si>
  <si>
    <t>SUM of Att_SEO</t>
  </si>
  <si>
    <t>Blog Total</t>
  </si>
  <si>
    <t>Guide Total</t>
  </si>
  <si>
    <t>Other page Total</t>
  </si>
  <si>
    <t>#N/A Total</t>
  </si>
  <si>
    <t>Blog</t>
  </si>
  <si>
    <t>General how-to Total</t>
  </si>
  <si>
    <t>Listicle - CRM Total</t>
  </si>
  <si>
    <t>Listicle - General Total</t>
  </si>
  <si>
    <t>Listicle - Software / Software overview Total</t>
  </si>
  <si>
    <t>Method - Comparison Total</t>
  </si>
  <si>
    <t>QuickBooks - How-to Total</t>
  </si>
  <si>
    <t>Xero Total</t>
  </si>
  <si>
    <t>Other page</t>
  </si>
  <si>
    <t>/crm-quickbooks/ Total</t>
  </si>
  <si>
    <t>Features page Total</t>
  </si>
  <si>
    <t>Homepage Total</t>
  </si>
  <si>
    <t>Industries page Total</t>
  </si>
  <si>
    <t>SUM of Att_Social</t>
  </si>
  <si>
    <t xml:space="preserve"> Total</t>
  </si>
  <si>
    <t>android-app://com.google.android.googlequicksearchbox/ Total</t>
  </si>
  <si>
    <t>https://bit.ly/3PWw6Mj Total</t>
  </si>
  <si>
    <t>https://chatgpt.com/ Total</t>
  </si>
  <si>
    <t>https://duckduckgo.com/ Total</t>
  </si>
  <si>
    <t>https://search.yahoo.com/ Total</t>
  </si>
  <si>
    <t>https://www.bing.com/ Total</t>
  </si>
  <si>
    <t>https://www.google.com/ Total</t>
  </si>
  <si>
    <t>https://www.youtube.com/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</si>
</sst>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-MMM-dd HH:mm"/>
    <numFmt numFmtId="165" formatCode="yyyy\-mmm\-dd\ hh:mm"/>
    <numFmt numFmtId="166" formatCode="yyyy-mm-dd h:mm:ss"/>
    <numFmt numFmtId="167" formatCode="yyyy-mm"/>
    <numFmt numFmtId="168" formatCode="m-d-yyyy"/>
    <numFmt numFmtId="169" formatCode="mm-dd-yyyy"/>
  </numFmts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0" xfId="0" applyFont="1"/>
    <xf borderId="0" fillId="0" fontId="3" numFmtId="0" xfId="0" applyAlignment="1" applyFont="1">
      <alignment vertical="bottom"/>
    </xf>
    <xf borderId="0" fillId="0" fontId="2" numFmtId="22" xfId="0" applyFont="1" applyNumberFormat="1"/>
    <xf borderId="0" fillId="0" fontId="4" numFmtId="0" xfId="0" applyFont="1"/>
    <xf borderId="0" fillId="0" fontId="2" numFmtId="0" xfId="0" applyAlignment="1" applyFont="1">
      <alignment horizontal="center" vertical="bottom"/>
    </xf>
    <xf borderId="1" fillId="2" fontId="2" numFmtId="0" xfId="0" applyBorder="1" applyFill="1" applyFont="1"/>
    <xf borderId="0" fillId="0" fontId="2" numFmtId="14" xfId="0" applyFont="1" applyNumberFormat="1"/>
    <xf borderId="0" fillId="0" fontId="1" numFmtId="164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1" numFmtId="168" xfId="0" applyFont="1" applyNumberFormat="1"/>
    <xf borderId="0" fillId="0" fontId="1" numFmtId="16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2.xml"/><Relationship Id="rId1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F670" sheet="Accounts"/>
  </cacheSource>
  <cacheFields>
    <cacheField name="RecordID" numFmtId="0">
      <sharedItems containsSemiMixedTypes="0" containsString="0" containsNumber="1" containsInteger="1">
        <n v="153108.0"/>
        <n v="153109.0"/>
        <n v="153110.0"/>
        <n v="153111.0"/>
        <n v="153112.0"/>
        <n v="153113.0"/>
        <n v="153114.0"/>
        <n v="153115.0"/>
        <n v="153116.0"/>
        <n v="153119.0"/>
        <n v="153120.0"/>
        <n v="153121.0"/>
        <n v="153122.0"/>
        <n v="153124.0"/>
        <n v="153126.0"/>
        <n v="153127.0"/>
        <n v="153128.0"/>
        <n v="153129.0"/>
        <n v="153130.0"/>
        <n v="153131.0"/>
        <n v="153132.0"/>
        <n v="153134.0"/>
        <n v="153135.0"/>
        <n v="153136.0"/>
        <n v="153138.0"/>
        <n v="153139.0"/>
        <n v="153140.0"/>
        <n v="153141.0"/>
        <n v="153142.0"/>
        <n v="153143.0"/>
        <n v="153144.0"/>
        <n v="153145.0"/>
        <n v="153146.0"/>
        <n v="153147.0"/>
        <n v="153157.0"/>
        <n v="153158.0"/>
        <n v="153159.0"/>
        <n v="153160.0"/>
        <n v="153161.0"/>
        <n v="153162.0"/>
        <n v="153163.0"/>
        <n v="153164.0"/>
        <n v="153165.0"/>
        <n v="153166.0"/>
        <n v="153167.0"/>
        <n v="153169.0"/>
        <n v="153170.0"/>
        <n v="153172.0"/>
        <n v="153173.0"/>
        <n v="153174.0"/>
        <n v="153175.0"/>
        <n v="153176.0"/>
        <n v="153177.0"/>
        <n v="153178.0"/>
        <n v="153179.0"/>
        <n v="153180.0"/>
        <n v="153181.0"/>
        <n v="153182.0"/>
        <n v="153183.0"/>
        <n v="153184.0"/>
        <n v="153185.0"/>
        <n v="153186.0"/>
        <n v="153187.0"/>
        <n v="153188.0"/>
        <n v="153189.0"/>
        <n v="153190.0"/>
        <n v="153191.0"/>
        <n v="153192.0"/>
        <n v="153193.0"/>
        <n v="153196.0"/>
        <n v="153198.0"/>
        <n v="153199.0"/>
        <n v="153202.0"/>
        <n v="153203.0"/>
        <n v="153205.0"/>
        <n v="153207.0"/>
        <n v="153209.0"/>
        <n v="153210.0"/>
        <n v="153211.0"/>
        <n v="153212.0"/>
        <n v="153213.0"/>
        <n v="153214.0"/>
        <n v="153215.0"/>
        <n v="153216.0"/>
        <n v="153217.0"/>
        <n v="153218.0"/>
        <n v="153219.0"/>
        <n v="153220.0"/>
        <n v="153221.0"/>
        <n v="153222.0"/>
        <n v="153223.0"/>
        <n v="153224.0"/>
        <n v="153225.0"/>
        <n v="153226.0"/>
        <n v="153227.0"/>
        <n v="153228.0"/>
        <n v="153229.0"/>
        <n v="153230.0"/>
        <n v="153231.0"/>
        <n v="153234.0"/>
        <n v="153237.0"/>
        <n v="153238.0"/>
        <n v="153239.0"/>
        <n v="153240.0"/>
        <n v="153241.0"/>
        <n v="153242.0"/>
        <n v="153243.0"/>
        <n v="153244.0"/>
        <n v="153245.0"/>
        <n v="153246.0"/>
        <n v="153247.0"/>
        <n v="153248.0"/>
        <n v="153249.0"/>
        <n v="153250.0"/>
        <n v="153251.0"/>
        <n v="153252.0"/>
        <n v="153253.0"/>
        <n v="153254.0"/>
        <n v="153255.0"/>
        <n v="153256.0"/>
        <n v="153257.0"/>
        <n v="153258.0"/>
        <n v="153259.0"/>
        <n v="153260.0"/>
        <n v="153267.0"/>
        <n v="153270.0"/>
        <n v="153271.0"/>
        <n v="153273.0"/>
        <n v="153274.0"/>
        <n v="153275.0"/>
        <n v="153276.0"/>
        <n v="153277.0"/>
        <n v="153278.0"/>
        <n v="153279.0"/>
        <n v="153280.0"/>
        <n v="153281.0"/>
        <n v="153282.0"/>
        <n v="153283.0"/>
        <n v="153284.0"/>
        <n v="153285.0"/>
        <n v="153286.0"/>
        <n v="153287.0"/>
        <n v="153288.0"/>
        <n v="153289.0"/>
        <n v="153290.0"/>
        <n v="153291.0"/>
        <n v="153292.0"/>
        <n v="153293.0"/>
        <n v="153294.0"/>
        <n v="153295.0"/>
        <n v="153296.0"/>
        <n v="153297.0"/>
        <n v="153298.0"/>
        <n v="153299.0"/>
        <n v="153300.0"/>
        <n v="153301.0"/>
        <n v="153302.0"/>
        <n v="153303.0"/>
        <n v="153308.0"/>
        <n v="153312.0"/>
        <n v="153313.0"/>
        <n v="153314.0"/>
        <n v="153315.0"/>
        <n v="153316.0"/>
        <n v="153317.0"/>
        <n v="153318.0"/>
        <n v="153319.0"/>
        <n v="153320.0"/>
        <n v="153321.0"/>
        <n v="153322.0"/>
        <n v="153323.0"/>
        <n v="153324.0"/>
        <n v="153325.0"/>
        <n v="153329.0"/>
        <n v="153330.0"/>
        <n v="153331.0"/>
        <n v="153332.0"/>
        <n v="153334.0"/>
        <n v="153335.0"/>
        <n v="153336.0"/>
        <n v="153337.0"/>
        <n v="153338.0"/>
        <n v="153339.0"/>
        <n v="153340.0"/>
        <n v="153341.0"/>
        <n v="153342.0"/>
        <n v="153343.0"/>
        <n v="153344.0"/>
        <n v="153345.0"/>
        <n v="153346.0"/>
        <n v="153347.0"/>
        <n v="153353.0"/>
        <n v="153355.0"/>
        <n v="153358.0"/>
        <n v="153361.0"/>
        <n v="153363.0"/>
        <n v="153364.0"/>
        <n v="153365.0"/>
        <n v="153366.0"/>
        <n v="153370.0"/>
        <n v="153371.0"/>
        <n v="153372.0"/>
        <n v="153373.0"/>
        <n v="153374.0"/>
        <n v="153376.0"/>
        <n v="153377.0"/>
        <n v="153379.0"/>
        <n v="153380.0"/>
        <n v="153381.0"/>
        <n v="153382.0"/>
        <n v="153383.0"/>
        <n v="153384.0"/>
        <n v="153385.0"/>
        <n v="153386.0"/>
        <n v="153387.0"/>
        <n v="153388.0"/>
        <n v="153389.0"/>
        <n v="153390.0"/>
        <n v="153391.0"/>
        <n v="153392.0"/>
        <n v="153393.0"/>
        <n v="153394.0"/>
        <n v="153395.0"/>
        <n v="153396.0"/>
        <n v="153399.0"/>
        <n v="153401.0"/>
        <n v="153402.0"/>
        <n v="153403.0"/>
        <n v="153404.0"/>
        <n v="153405.0"/>
        <n v="153406.0"/>
        <n v="153407.0"/>
        <n v="153408.0"/>
        <n v="153409.0"/>
        <n v="153410.0"/>
        <n v="153411.0"/>
        <n v="153415.0"/>
        <n v="153417.0"/>
        <n v="153418.0"/>
        <n v="153419.0"/>
        <n v="153420.0"/>
        <n v="153421.0"/>
        <n v="153422.0"/>
        <n v="153423.0"/>
        <n v="153424.0"/>
        <n v="153425.0"/>
        <n v="153426.0"/>
        <n v="153427.0"/>
        <n v="153428.0"/>
        <n v="153429.0"/>
        <n v="153430.0"/>
        <n v="153431.0"/>
        <n v="153432.0"/>
        <n v="153433.0"/>
        <n v="153434.0"/>
        <n v="153435.0"/>
        <n v="153436.0"/>
        <n v="153437.0"/>
        <n v="153438.0"/>
        <n v="153440.0"/>
        <n v="153441.0"/>
        <n v="153443.0"/>
        <n v="153444.0"/>
        <n v="153445.0"/>
        <n v="153446.0"/>
        <n v="153447.0"/>
        <n v="153448.0"/>
        <n v="153450.0"/>
        <n v="153452.0"/>
        <n v="153453.0"/>
        <n v="153454.0"/>
        <n v="153456.0"/>
        <n v="153458.0"/>
        <n v="153459.0"/>
        <n v="153462.0"/>
        <n v="153463.0"/>
        <n v="153464.0"/>
        <n v="153465.0"/>
        <n v="153466.0"/>
        <n v="153467.0"/>
        <n v="153468.0"/>
        <n v="153469.0"/>
        <n v="153470.0"/>
        <n v="153471.0"/>
        <n v="153472.0"/>
        <n v="153473.0"/>
        <n v="153475.0"/>
        <n v="153478.0"/>
        <n v="153479.0"/>
        <n v="153480.0"/>
        <n v="153481.0"/>
        <n v="153482.0"/>
        <n v="153483.0"/>
        <n v="153484.0"/>
        <n v="153485.0"/>
        <n v="153486.0"/>
        <n v="153487.0"/>
        <n v="153488.0"/>
        <n v="153489.0"/>
        <n v="153490.0"/>
        <n v="153491.0"/>
        <n v="153492.0"/>
        <n v="153494.0"/>
        <n v="153496.0"/>
        <n v="153497.0"/>
        <n v="153499.0"/>
        <n v="153500.0"/>
        <n v="153501.0"/>
        <n v="153502.0"/>
        <n v="153503.0"/>
        <n v="153504.0"/>
        <n v="153505.0"/>
        <n v="153506.0"/>
        <n v="153507.0"/>
        <n v="153508.0"/>
        <n v="153509.0"/>
        <n v="153510.0"/>
        <n v="153511.0"/>
        <n v="153512.0"/>
        <n v="153513.0"/>
        <n v="153514.0"/>
        <n v="153515.0"/>
        <n v="153516.0"/>
        <n v="153517.0"/>
        <n v="153518.0"/>
        <n v="153519.0"/>
        <n v="153520.0"/>
        <n v="153521.0"/>
        <n v="153522.0"/>
        <n v="153523.0"/>
        <n v="153524.0"/>
        <n v="153525.0"/>
        <n v="153526.0"/>
        <n v="153527.0"/>
        <n v="153528.0"/>
        <n v="153529.0"/>
        <n v="153530.0"/>
        <n v="153531.0"/>
        <n v="153532.0"/>
        <n v="153533.0"/>
        <n v="153534.0"/>
        <n v="153535.0"/>
        <n v="153536.0"/>
        <n v="153537.0"/>
        <n v="153538.0"/>
        <n v="153539.0"/>
        <n v="153540.0"/>
        <n v="153541.0"/>
        <n v="153542.0"/>
        <n v="153543.0"/>
        <n v="153544.0"/>
        <n v="153545.0"/>
        <n v="153546.0"/>
        <n v="153547.0"/>
        <n v="153548.0"/>
        <n v="153549.0"/>
        <n v="153550.0"/>
        <n v="153551.0"/>
        <n v="153552.0"/>
        <n v="153553.0"/>
        <n v="153554.0"/>
        <n v="153555.0"/>
        <n v="153556.0"/>
        <n v="153557.0"/>
        <n v="153558.0"/>
        <n v="153559.0"/>
        <n v="153560.0"/>
        <n v="153565.0"/>
        <n v="153568.0"/>
        <n v="153571.0"/>
        <n v="153572.0"/>
        <n v="153573.0"/>
        <n v="153574.0"/>
        <n v="153575.0"/>
        <n v="153576.0"/>
        <n v="153577.0"/>
        <n v="153578.0"/>
        <n v="153579.0"/>
        <n v="153580.0"/>
        <n v="153581.0"/>
        <n v="153582.0"/>
        <n v="153584.0"/>
        <n v="153585.0"/>
        <n v="153586.0"/>
        <n v="153587.0"/>
        <n v="153588.0"/>
        <n v="153589.0"/>
        <n v="153590.0"/>
        <n v="153591.0"/>
        <n v="153592.0"/>
        <n v="153593.0"/>
        <n v="153594.0"/>
        <n v="153595.0"/>
        <n v="153596.0"/>
        <n v="153597.0"/>
        <n v="153598.0"/>
        <n v="153599.0"/>
        <n v="153600.0"/>
        <n v="153601.0"/>
        <n v="153602.0"/>
        <n v="153606.0"/>
        <n v="153607.0"/>
        <n v="153608.0"/>
        <n v="153609.0"/>
        <n v="153610.0"/>
        <n v="153612.0"/>
        <n v="153613.0"/>
        <n v="153614.0"/>
        <n v="153615.0"/>
        <n v="153616.0"/>
        <n v="153617.0"/>
        <n v="153618.0"/>
        <n v="153619.0"/>
        <n v="153620.0"/>
        <n v="153621.0"/>
        <n v="153622.0"/>
        <n v="153623.0"/>
        <n v="153624.0"/>
        <n v="153625.0"/>
        <n v="153626.0"/>
        <n v="153627.0"/>
        <n v="153628.0"/>
        <n v="153629.0"/>
        <n v="153633.0"/>
        <n v="153634.0"/>
        <n v="153635.0"/>
        <n v="153637.0"/>
        <n v="153639.0"/>
        <n v="153640.0"/>
        <n v="153641.0"/>
        <n v="153642.0"/>
        <n v="153643.0"/>
        <n v="153644.0"/>
        <n v="153645.0"/>
        <n v="153646.0"/>
        <n v="153648.0"/>
        <n v="153649.0"/>
        <n v="153651.0"/>
        <n v="153655.0"/>
        <n v="153657.0"/>
        <n v="153658.0"/>
        <n v="153662.0"/>
        <n v="153663.0"/>
        <n v="153664.0"/>
        <n v="153665.0"/>
        <n v="153666.0"/>
        <n v="153667.0"/>
        <n v="153668.0"/>
        <n v="153669.0"/>
        <n v="153671.0"/>
        <n v="153672.0"/>
        <n v="153673.0"/>
        <n v="153674.0"/>
        <n v="153675.0"/>
        <n v="153676.0"/>
        <n v="153677.0"/>
        <n v="153678.0"/>
        <n v="153679.0"/>
        <n v="153680.0"/>
        <n v="153681.0"/>
        <n v="153682.0"/>
        <n v="153683.0"/>
        <n v="153684.0"/>
        <n v="153696.0"/>
        <n v="153697.0"/>
        <n v="153698.0"/>
        <n v="153699.0"/>
        <n v="153700.0"/>
        <n v="153701.0"/>
        <n v="153702.0"/>
        <n v="153703.0"/>
        <n v="153704.0"/>
        <n v="153706.0"/>
        <n v="153707.0"/>
        <n v="153708.0"/>
        <n v="153709.0"/>
        <n v="153710.0"/>
        <n v="153711.0"/>
        <n v="153712.0"/>
        <n v="153713.0"/>
        <n v="153714.0"/>
        <n v="153715.0"/>
        <n v="153716.0"/>
        <n v="153717.0"/>
        <n v="153718.0"/>
        <n v="153719.0"/>
        <n v="153720.0"/>
        <n v="153721.0"/>
        <n v="153722.0"/>
        <n v="153723.0"/>
        <n v="153725.0"/>
        <n v="153726.0"/>
        <n v="153729.0"/>
        <n v="153730.0"/>
        <n v="153731.0"/>
        <n v="153732.0"/>
        <n v="153733.0"/>
        <n v="153735.0"/>
        <n v="153742.0"/>
        <n v="153750.0"/>
        <n v="153751.0"/>
        <n v="153752.0"/>
        <n v="153753.0"/>
        <n v="153754.0"/>
        <n v="153755.0"/>
        <n v="153756.0"/>
        <n v="153759.0"/>
        <n v="153760.0"/>
        <n v="153761.0"/>
        <n v="153763.0"/>
        <n v="153764.0"/>
        <n v="153765.0"/>
        <n v="153766.0"/>
        <n v="153767.0"/>
        <n v="153768.0"/>
        <n v="153769.0"/>
        <n v="153770.0"/>
        <n v="153771.0"/>
        <n v="153772.0"/>
        <n v="153773.0"/>
        <n v="153774.0"/>
        <n v="153775.0"/>
        <n v="153776.0"/>
        <n v="153777.0"/>
        <n v="153778.0"/>
        <n v="153779.0"/>
        <n v="153780.0"/>
        <n v="153781.0"/>
        <n v="153782.0"/>
        <n v="153783.0"/>
        <n v="153784.0"/>
        <n v="153785.0"/>
        <n v="153786.0"/>
        <n v="153787.0"/>
        <n v="153788.0"/>
        <n v="153789.0"/>
        <n v="153790.0"/>
        <n v="153791.0"/>
        <n v="153792.0"/>
        <n v="153793.0"/>
        <n v="153795.0"/>
        <n v="153796.0"/>
        <n v="153797.0"/>
        <n v="153806.0"/>
        <n v="153809.0"/>
        <n v="153810.0"/>
        <n v="153812.0"/>
        <n v="153813.0"/>
        <n v="153814.0"/>
        <n v="153815.0"/>
        <n v="153816.0"/>
        <n v="153817.0"/>
        <n v="153818.0"/>
        <n v="153819.0"/>
        <n v="153820.0"/>
        <n v="153821.0"/>
        <n v="153822.0"/>
        <n v="153823.0"/>
        <n v="153824.0"/>
        <n v="153825.0"/>
        <n v="153826.0"/>
        <n v="153827.0"/>
        <n v="153828.0"/>
        <n v="153829.0"/>
        <n v="153830.0"/>
        <n v="153831.0"/>
        <n v="153835.0"/>
        <n v="153836.0"/>
        <n v="153837.0"/>
        <n v="153838.0"/>
        <n v="153840.0"/>
        <n v="153842.0"/>
        <n v="153845.0"/>
        <n v="153849.0"/>
        <n v="153852.0"/>
        <n v="153853.0"/>
        <n v="153854.0"/>
        <n v="153855.0"/>
        <n v="153861.0"/>
        <n v="153864.0"/>
        <n v="153866.0"/>
        <n v="153867.0"/>
        <n v="153868.0"/>
        <n v="153870.0"/>
        <n v="153871.0"/>
        <n v="153872.0"/>
        <n v="153873.0"/>
        <n v="153874.0"/>
        <n v="153875.0"/>
        <n v="153876.0"/>
        <n v="153877.0"/>
        <n v="153878.0"/>
        <n v="153879.0"/>
        <n v="153880.0"/>
        <n v="153881.0"/>
        <n v="153882.0"/>
        <n v="153883.0"/>
        <n v="153884.0"/>
        <n v="153885.0"/>
        <n v="153886.0"/>
        <n v="153887.0"/>
        <n v="153888.0"/>
        <n v="153889.0"/>
        <n v="153890.0"/>
        <n v="153891.0"/>
        <n v="153892.0"/>
        <n v="153893.0"/>
        <n v="153894.0"/>
        <n v="153895.0"/>
        <n v="153896.0"/>
        <n v="153897.0"/>
        <n v="153898.0"/>
        <n v="153899.0"/>
        <n v="153900.0"/>
        <n v="153901.0"/>
        <n v="153902.0"/>
        <n v="153903.0"/>
        <n v="153904.0"/>
        <n v="153905.0"/>
        <n v="153906.0"/>
        <n v="153907.0"/>
        <n v="153912.0"/>
        <n v="153913.0"/>
        <n v="153914.0"/>
        <n v="153915.0"/>
        <n v="153916.0"/>
        <n v="153917.0"/>
        <n v="153918.0"/>
        <n v="153920.0"/>
        <n v="153922.0"/>
        <n v="153923.0"/>
        <n v="153924.0"/>
        <n v="153925.0"/>
        <n v="153926.0"/>
        <n v="153927.0"/>
        <n v="153928.0"/>
        <n v="153929.0"/>
        <n v="153930.0"/>
        <n v="153934.0"/>
        <n v="153936.0"/>
        <n v="153939.0"/>
        <n v="153940.0"/>
        <n v="153941.0"/>
        <n v="153942.0"/>
        <n v="153943.0"/>
        <n v="153944.0"/>
        <n v="153945.0"/>
        <n v="153946.0"/>
        <n v="153947.0"/>
        <n v="153948.0"/>
        <n v="153949.0"/>
        <n v="153950.0"/>
        <n v="153951.0"/>
        <n v="153952.0"/>
        <n v="153953.0"/>
        <n v="153954.0"/>
        <n v="153955.0"/>
        <n v="153956.0"/>
        <n v="153957.0"/>
        <n v="153958.0"/>
        <n v="153959.0"/>
        <n v="153961.0"/>
        <n v="153963.0"/>
        <n v="153966.0"/>
        <n v="153967.0"/>
        <n v="153968.0"/>
        <n v="153971.0"/>
        <n v="153972.0"/>
        <n v="153973.0"/>
      </sharedItems>
    </cacheField>
    <cacheField name="AccountName" numFmtId="0">
      <sharedItems>
        <s v="multdoor"/>
        <s v="alromanimechanicalworkshop6"/>
        <s v="student26"/>
        <s v="healthcaremaintenanceservices"/>
        <s v="customoutdoorkitchens"/>
        <s v="manexusa"/>
        <s v="reddoorpestcontrol2"/>
        <s v="manexusa2"/>
        <s v="jlbcompanies"/>
        <s v="ssisanitary"/>
        <s v="highendcompaniesllc"/>
        <s v="jirehtransmissionsllc"/>
        <s v="waycosalesinc"/>
        <s v="aeromarinebiotechllc"/>
        <s v="whitingdesignandelectric"/>
        <s v="mastercraneandhoist"/>
        <s v="grety"/>
        <s v="danielaziz"/>
        <s v="knightinsurancesolutions"/>
        <s v="joeythecoffeeguy"/>
        <s v="octopusgdn"/>
        <s v="cravenscoffee"/>
        <s v="cosmicvisionairesllc"/>
        <s v="khshopapp"/>
        <s v="servicerankprocommateiucwebcompaniesllc"/>
        <s v="test212"/>
        <s v="butleragway"/>
        <s v="westernheatingandairllc"/>
        <s v="makeready"/>
        <s v="cloudheroes2"/>
        <s v="umjca2"/>
        <s v="fetzerfinancial8"/>
        <s v="platinumplaygrounds"/>
        <s v="rvrepairnearmellc"/>
        <s v="individual6"/>
        <s v="thenesthomeimprovementcentreinc"/>
        <s v="garcyusa"/>
        <s v="vandalenindustries"/>
        <s v="pizzahurt"/>
        <s v="sbc2"/>
        <s v="ashram"/>
        <s v="gestioncobe"/>
        <s v="cotektheamericas"/>
        <s v="brontebaycpaprofessionalcorporation2"/>
        <s v="growtrax2"/>
        <s v="bluewatercas2"/>
        <s v="method113"/>
        <s v="ecoofficewerks"/>
        <s v="wanderwood"/>
        <s v="gflsystems"/>
        <s v="mammothlive2"/>
        <s v="kovarwoodwork"/>
        <s v="ogleheatingandcoolgin"/>
        <s v="westernslopefire"/>
        <s v="hybridelectronics5"/>
        <s v="threepillarsconsulting"/>
        <s v="saniclean2"/>
        <s v="agoradistributioninc"/>
        <s v="joni"/>
        <s v="clearwaterpoolcare"/>
        <s v="verticalelectric4"/>
        <s v="commercialconsultingservicesllc"/>
        <s v="tauruscorp"/>
        <s v="nanh"/>
        <s v="zennohintl"/>
        <s v="wasangshow"/>
        <s v="db4"/>
        <s v="bandbshowroom"/>
        <s v="medpipe2"/>
        <s v="up2codesystems"/>
        <s v="indeed"/>
        <s v="remmgroup"/>
        <s v="redtoothimageryllc"/>
        <s v="emk"/>
        <s v="dragonpowerpromo"/>
        <s v="bluegrasspoolmanagement"/>
        <s v="cornerstoneirrigationservicesinc"/>
        <s v="duttonarchitecturepllc"/>
        <s v="theappliancebarnfl"/>
        <s v="hudsonrestoration"/>
        <s v="pacificmicrosystemsllc"/>
        <s v="bigrodconstruction"/>
        <s v="belangerengineeringcorp"/>
        <s v="completeplumbingservicesinc"/>
        <s v="adoninetworks"/>
        <s v="testorg11"/>
        <s v="yjynjhxfyn"/>
        <s v="speedyseweranddrain"/>
        <s v="marlinzpharma2"/>
        <s v="intelgest2"/>
        <s v="corpcommunications"/>
        <s v="jetglowaviation"/>
        <s v="bametalgraphics"/>
        <s v="resilientfireprotection"/>
        <s v="httpsu"/>
        <s v="intelgest3"/>
        <s v="manexusa3"/>
        <s v="manexusa4"/>
        <s v="allservicessouthfloridaelevator"/>
        <s v="prolasinc"/>
        <s v="seniorlivingsolutionsga"/>
        <s v="ayrtechfleetsolutionsinc"/>
        <s v="johnbroedersmachinecoltd"/>
        <s v="worldnetworksystems"/>
        <s v="sociumsecurity2"/>
        <s v="balanceupaccounting2"/>
        <s v="upgradeelectricllc"/>
        <s v="empirepropanenwllc"/>
        <s v="a1treeredding"/>
        <s v="synergylivinghomesllc"/>
        <s v="sayyasingh"/>
        <s v="spotlightevents2"/>
        <s v="wrhaburnconsulting"/>
        <s v="printasaurus2"/>
        <s v="inspiringdreamsventure"/>
        <s v="primetonellc"/>
        <s v="cajconsultingllc"/>
        <s v="bmdistributorsllc"/>
        <s v="promarkbrandedsolutions"/>
        <s v="hurricanecharlie"/>
        <s v="jmorigintechnosoftprivatelimited"/>
        <s v="subcitylife"/>
        <s v="transitiongroupsa"/>
        <s v="sublimatetechnologiesllc"/>
        <s v="cfuqc"/>
        <s v="marathonmarketingbranding2"/>
        <s v="tecnosistemas"/>
        <s v="intusinteriors"/>
        <s v="studiopartnership"/>
        <s v="fe3manlimited3"/>
        <s v="machanicautomotiverepair"/>
        <s v="rightworks3"/>
        <s v="rightworks4"/>
        <s v="soundestatewatch"/>
        <s v="fabbian"/>
        <s v="ezstreetllc"/>
        <s v="tonygmg"/>
        <s v="neowavehub"/>
        <s v="ipccleaningsolutions"/>
        <s v="staterenewals"/>
        <s v="staterenewals2"/>
        <s v="rivergatedoorsupply"/>
        <s v="granburyappliancerepairatgmailcom"/>
        <s v="threethirteeninc"/>
        <s v="bebeeelectricalservice"/>
        <s v="dg2"/>
        <s v="homedelivery"/>
        <s v="airtechsolutions"/>
        <s v="ginacarver"/>
        <s v="pakarcctvmsdnbhd2"/>
        <s v="paragonlandscape"/>
        <s v="swimshadypools"/>
        <s v="jandgculvertsinc"/>
        <s v="fast"/>
        <s v="esalymechanic"/>
        <s v="jollygl"/>
        <s v="contractornet"/>
        <s v="pivotalmomentuminc"/>
        <s v="zahntechnique"/>
        <s v="isprofessionalservices"/>
        <s v="westseattleelectricandsolar"/>
        <s v="candcremodeling"/>
        <s v="laserway"/>
        <s v="foodheadsinc"/>
        <s v="clearviewpoolsinc"/>
        <s v="evolutionweldingandfabrication"/>
        <s v="schwartzproperties"/>
        <s v="mikalacorp2"/>
        <s v="a1forestrygroupllc"/>
        <s v="a1treeservices"/>
        <s v="a1vegetationmanagementllc"/>
        <s v="prescottgreenwaste"/>
        <s v="tdsprojectsgroup"/>
        <s v="preferpack"/>
        <s v="pmtreliabilityltd"/>
        <s v="nimbuslogic2"/>
        <s v="linkestimation"/>
        <s v="mikalacorporation"/>
        <s v="a1treeservices2"/>
        <s v="a1forestrygroupllc2"/>
        <s v="a1vegetationmanagement"/>
        <s v="nickdavis"/>
        <s v="petraharris"/>
        <s v="onyxlinesllc"/>
        <s v="ninetyfivemillionthreehundredandninetyfour"/>
        <s v="chcnavigationusacorporation"/>
        <s v="nxastudio"/>
        <s v="supremeconceptsproprietarylimited"/>
        <s v="manexusa5"/>
        <s v="maritimegoodfood"/>
        <s v="jahanvi"/>
        <s v="dashboardgenius"/>
        <s v="frispycrispy"/>
        <s v="bfmcontrcatorservices"/>
        <s v="jdminstallationsllc"/>
        <s v="bossisecurityriskmanagment"/>
        <s v="goodenergycollectivellcoilify"/>
        <s v="synova"/>
        <s v="hinc"/>
        <s v="getacquainted"/>
        <s v="corbymechanicalservices"/>
        <s v="codex3"/>
        <s v="timbertakeawaytreecare"/>
        <s v="homersicecream"/>
        <s v="threepillarsconsulting2"/>
        <s v="theemberalliance"/>
        <s v="catherwoodtowing"/>
        <s v="goldcoastpoolandspa"/>
        <s v="egfservicesinc"/>
        <s v="ngi"/>
        <s v="sergioalejandro"/>
        <s v="gotaguy"/>
        <s v="renovvo"/>
        <s v="fofaorganicfarm"/>
        <s v="philsqualityrepairs"/>
        <s v="quickbooksintegrations"/>
        <s v="brannanaluminuminccom"/>
        <s v="eddy2"/>
        <s v="beuta"/>
        <s v="coulombengineeringinc"/>
        <s v="stockman"/>
        <s v="deletethis2"/>
        <s v="azequipmentrepair"/>
        <s v="newtalentadvertising"/>
        <s v="milton"/>
        <s v="zephyrbhs"/>
        <s v="hemlatasharma"/>
        <s v="wlcgroup"/>
        <s v="williamsglassandcompanyllc"/>
        <s v="tweezerdistributors"/>
        <s v="texanmosquitosystems"/>
        <s v="toronaturallabsltd"/>
        <s v="wyacore"/>
        <s v="ginacarver2"/>
        <s v="professionaldoorfixers"/>
        <s v="texassolarsheep"/>
        <s v="ktg"/>
        <s v="pd2"/>
        <s v="acapp"/>
        <s v="marinetechnicalservices"/>
        <s v="appliedmediaus"/>
        <s v="expresscrossdockingllc"/>
        <s v="greendesignslandscaping2"/>
        <s v="vadhjk"/>
        <s v="citizensuk2"/>
        <s v="polocarpetcleaningandflooringllc2"/>
        <s v="kckcpa"/>
        <s v="quickwrapgifts"/>
        <s v="mngfoods"/>
        <s v="countylogisticsllc"/>
        <s v="massi"/>
        <s v="hifresh"/>
        <s v="cpcorp"/>
        <s v="getweys"/>
        <s v="discounp"/>
        <s v="superior5"/>
        <s v="ptharargeneraltrading"/>
        <s v="vespoliusainc"/>
        <s v="maritimegoodfood2"/>
        <s v="regionselectricinc"/>
        <s v="testinggroupllc"/>
        <s v="pipehitterplumbing"/>
        <s v="fareeninttest"/>
        <s v="luxuryharrods"/>
        <s v="nehalbekawala"/>
        <s v="regionselectricinc2"/>
        <s v="none58"/>
        <s v="arsincne"/>
        <s v="ibidmachinery"/>
        <s v="brilliantlypristinecleanersllc"/>
        <s v="williamthomasdigital"/>
        <s v="acemysteryshopping2"/>
        <s v="synergystaffingusa"/>
        <s v="aliteservicesllc"/>
        <s v="apex2"/>
        <s v="socialconcepts"/>
        <s v="thecleaningclub"/>
        <s v="forward2"/>
        <s v="momoka"/>
        <s v="mastertouchpools3"/>
        <s v="westpac"/>
        <s v="md2"/>
        <s v="lucidpay"/>
        <s v="mcmillionpools2"/>
        <s v="mcmillionpoolco2"/>
        <s v="suttermedicalcentersacramento"/>
        <s v="secantpublishingllc2"/>
        <s v="kwakhalabs"/>
        <s v="sesmas"/>
        <s v="axa2"/>
        <s v="deltalogisticsinc"/>
        <s v="bugbash"/>
        <s v="arabasa"/>
        <s v="bullzeyetacosandcatering"/>
        <s v="asfalt"/>
        <s v="superiorwaterproofingandrestorationinc"/>
        <s v="terraboundsolutions"/>
        <s v="intercontinentaltraderinc"/>
        <s v="hhh2"/>
        <s v="twmechanicalservices"/>
        <s v="alld1"/>
        <s v="easterndominicanchristianmission"/>
        <s v="trueupsolutions"/>
        <s v="indigenousimaginationworkshop"/>
        <s v="griffindecksandcovers2"/>
        <s v="criteriummn"/>
        <s v="nervanamedical"/>
        <s v="garagedoorworks2"/>
        <s v="partnersautomotive"/>
        <s v="tropicalroots"/>
        <s v="dell"/>
        <s v="shauna"/>
        <s v="ridah"/>
        <s v="kimberlyroberts"/>
        <s v="obxcertifiedpoolandspaservicesllc4"/>
        <s v="obxcertifiedpoolandspaservicesllc5"/>
        <s v="agtbookkeeping"/>
        <s v="lucymedina"/>
        <s v="rhondavarner"/>
        <s v="lakayseasytransport"/>
        <s v="magicbreezekombucha"/>
        <s v="amgen2"/>
        <s v="josephcrawley"/>
        <s v="brivester"/>
        <s v="pittmanoilcompany"/>
        <s v="xinyujiangxicn"/>
        <s v="none59"/>
        <s v="wasif"/>
        <s v="redmondandcompanyinc"/>
        <s v="zenoutdoor2"/>
        <s v="abcorlandolumberandhardware"/>
        <s v="chicagofirefurniture2"/>
        <s v="millervofsarasota"/>
        <s v="whiteriverblasters"/>
        <s v="firsttimieforeverything"/>
        <s v="gonzalezcarpetsuppliesllc"/>
        <s v="thomsonkuramatsugroupinc"/>
        <s v="waccessoriesnyc"/>
        <s v="stpbakershill"/>
        <s v="treygirlzlilclean"/>
        <s v="treygirlsclean"/>
        <s v="byarcadiacp"/>
        <s v="pavan2"/>
        <s v="turner412"/>
        <s v="ndglobal"/>
        <s v="jjccfinancialexpertsinc"/>
        <s v="umojo4"/>
        <s v="thejumpropestore"/>
        <s v="suite3500"/>
        <s v="whiffinit"/>
        <s v="faychristie"/>
        <s v="anetagiadlav"/>
        <s v="verizon2"/>
        <s v="wowcleancarpets"/>
        <s v="personal22"/>
        <s v="tdaniels"/>
        <s v="creativetilesolutionsllc"/>
        <s v="robinhood"/>
        <s v="axure"/>
        <s v="teammusicpteltd"/>
        <s v="startrackprojects"/>
        <s v="dyebookkeeping"/>
        <s v="optimum"/>
        <s v="intuit50"/>
        <s v="intuit51"/>
        <s v="startrackprojects2"/>
        <s v="graceysglowenergy"/>
        <s v="abcorlandolumberandhardware2"/>
        <s v="skyprogressdigital"/>
        <s v="test194"/>
        <s v="carrolltigers"/>
        <s v="skilledmobility"/>
        <s v="peaceofmindinsurance"/>
        <s v="ercsolutionsinc"/>
        <s v="sai2"/>
        <s v="njiai"/>
        <s v="skyvaultaiallocation"/>
        <s v="calpacificsupply"/>
        <s v="denariustradingcompany"/>
        <s v="calpacificsupplyinc"/>
        <s v="pr2"/>
        <s v="smartapproachdigital"/>
        <s v="preservingmemoriesllc"/>
        <s v="refreshingripplespoolandspallc"/>
        <s v="fcs3"/>
        <s v="powerconstructionllc"/>
        <s v="minfinity888ptyltd2"/>
        <s v="elev8equipment"/>
        <s v="unitedbusinessgroupllc"/>
        <s v="evs2"/>
        <s v="hack2"/>
        <s v="noneya"/>
        <s v="pakarcctvmsdnbhd3"/>
        <s v="isbu"/>
        <s v="localinitiativesupportcorporation"/>
        <s v="thelasourcegroup"/>
        <s v="wholecubesofficefurniture"/>
        <s v="startrackprojects3"/>
        <s v="individual7"/>
        <s v="haithammustafacharteredaccountants2"/>
        <s v="unitedway"/>
        <s v="oakridgefoamandcoatingsystemsinc"/>
        <s v="yvonnepetricka"/>
        <s v="brutusenterprises"/>
        <s v="cse2"/>
        <s v="whiffinitllc"/>
        <s v="larebel"/>
        <s v="ercsolutions"/>
        <s v="masterchefpr"/>
        <s v="joshtech"/>
        <s v="americandoor"/>
        <s v="sfcconstruction"/>
        <s v="refreshingripplespoolandspallc2"/>
        <s v="masterchefpr2"/>
        <s v="onehundredandtwentythreeinnovativesolution"/>
        <s v="maewelldrawindustriesllc2"/>
        <s v="letgracein"/>
        <s v="durl"/>
        <s v="escheloninc"/>
        <s v="testorg12"/>
        <s v="hrmob"/>
        <s v="indeedseo"/>
        <s v="uday"/>
        <s v="ternionelevatorcompany"/>
        <s v="rockymountainelectricandcontrolllc"/>
        <s v="integratedfacilityservices"/>
        <s v="piericompanies"/>
        <s v="baymonservalllp"/>
        <s v="sailsandgrace2"/>
        <s v="erosionmanagementservices"/>
        <s v="mbja"/>
        <s v="everestguttercompany"/>
        <s v="electricalcontrolsandinstrumentationservic"/>
        <s v="cleanslatefinancialservices"/>
        <s v="infernodesignandconsultancylimited"/>
        <s v="twothousandandtwentyfivedecember"/>
        <s v="degreasingengineers"/>
        <s v="degreasingengineers2"/>
        <s v="canadianfinancegal"/>
        <s v="braggnrites"/>
        <s v="zmksolutions"/>
        <s v="weilerbuildersllc"/>
        <s v="evergreenforestproducts"/>
        <s v="buildwithago"/>
        <s v="premiersiteservices"/>
        <s v="ttmtechnologies"/>
        <s v="applianceboss"/>
        <s v="advocatepropertyinspectionsllc"/>
        <s v="bostonwhaler"/>
        <s v="pruittentertainment"/>
        <s v="therepairguyllc"/>
        <s v="cuttingboardsofflorida"/>
        <s v="cyberarkinternal"/>
        <s v="printdeed"/>
        <s v="earthworksnaturalorganics"/>
        <s v="vespoliusainc2"/>
        <s v="umjca3"/>
        <s v="finsol"/>
        <s v="justalittlebookkeeping"/>
        <s v="ironeagle"/>
        <s v="handymanveteran3"/>
        <s v="advsts"/>
        <s v="joshphillipshvac"/>
        <s v="titansportsflooring"/>
        <s v="anylabtestnow3"/>
        <s v="rubaedhassanmahin"/>
        <s v="cmshuster"/>
        <s v="cardinalcomms3"/>
        <s v="mastcontracting"/>
        <s v="punditservices"/>
        <s v="spydersigns"/>
        <s v="halieisconstructionllc"/>
        <s v="ariadnaruiz"/>
        <s v="personal23"/>
        <s v="protronixcontrols3"/>
        <s v="mtsforqb"/>
        <s v="bisonoutdoorproducts"/>
        <s v="williselectricalsalesoftexas"/>
        <s v="cpaexcellence"/>
        <s v="bcacunderground"/>
        <s v="epssignsupply2"/>
        <s v="mf4"/>
        <s v="fifthweaverllc"/>
        <s v="hctns"/>
        <s v="commworldofpa"/>
        <s v="alaskancleaningservice"/>
        <s v="viasocket10"/>
        <s v="plugin"/>
        <s v="tevinlee"/>
        <s v="alli"/>
        <s v="codexsolutions"/>
        <s v="ortegamjhomeimprovemetllc"/>
        <s v="raetechllc"/>
        <s v="chipmunkhillwoodworking"/>
        <s v="greeleyweldcountyairportauthority"/>
        <s v="rizzlemediagroup"/>
        <s v="vahallan3"/>
        <s v="badgerprowash"/>
        <s v="curtistech"/>
        <s v="environmentalequipment"/>
        <s v="mcjsolutions"/>
        <s v="seekingministries"/>
        <s v="environmentalequipment2"/>
        <s v="smartsbyllc"/>
        <s v="bisonoutdoorproducts2"/>
        <s v="kennethgreenllc"/>
        <s v="bisolutions"/>
        <s v="mediasolutionsinc"/>
        <s v="offshoremetals"/>
        <s v="ascendanceproductions"/>
        <s v="terrastonellc3"/>
        <s v="sdfasdf"/>
        <s v="reddox"/>
        <s v="buhlerpainting"/>
        <s v="mahir"/>
        <s v="myroom"/>
        <s v="dummyfmhomewatch"/>
        <s v="lawnsouth"/>
        <s v="qhwj"/>
        <s v="thakornaresh"/>
        <s v="thakornaresh2"/>
        <s v="etallinc"/>
        <s v="apexadvisorsus"/>
        <s v="handicapsign"/>
        <s v="dennisonlubricantsinc"/>
        <s v="impressionav"/>
        <s v="haseebkhan"/>
        <s v="ahlan"/>
        <s v="fmcpreschool"/>
        <s v="stayathomebookkeepingmoms"/>
        <s v="northwestcommunities"/>
        <s v="markhhookerandassociates"/>
        <s v="tomatosales"/>
        <s v="forwardto2"/>
        <s v="tioperfumes"/>
        <s v="kingandqueenofclean2"/>
        <s v="luuhalexx"/>
        <s v="almeidacontbil"/>
        <s v="dipanddowglassworks2"/>
        <s v="scotchtownhills"/>
        <s v="appraisalsandevaluations"/>
        <s v="latinoconsultingandnotarygroupllc"/>
        <s v="beselerconstruction"/>
        <s v="williamsservicesgroup"/>
        <s v="ampedsoftwareusa"/>
        <s v="dallascountyhealthdepartment"/>
        <s v="legacyplumbing26"/>
        <s v="yyoung"/>
        <s v="princemanagement"/>
        <s v="orko"/>
        <s v="truebounce3"/>
        <s v="sweethomeoutdoorsllc"/>
        <s v="williampittsothebysinternationalrealty"/>
        <s v="csw2"/>
        <s v="alfrescoheating2"/>
        <s v="accesscarriercenter"/>
        <s v="swathiindianmarket"/>
        <s v="coolfixapplianceandhvacserviceltd"/>
        <s v="twopeoplecleaning"/>
        <s v="nomadobookkeepingllc"/>
        <s v="starnesservicesllc"/>
        <s v="rhinoroofing"/>
        <s v="cnjscleaningandhandyservices"/>
        <s v="unitedglobaltradingcorp9"/>
        <s v="obeglass"/>
        <s v="prairiecurbsandsurfacesolutions"/>
        <s v="bluebirdretirement"/>
        <s v="tinkercreekcontracting"/>
        <s v="kristyvaughanbookkeeping"/>
        <s v="dessertoasiscoffeeroasters"/>
        <s v="officedeals"/>
        <s v="ameritech"/>
        <s v="momenezzat"/>
        <s v="mtc2"/>
        <s v="a2zautomotivellc2"/>
        <s v="dhanoatransportationservicesltd"/>
        <s v="weida"/>
        <s v="skaklsco"/>
        <s v="precisionmedicalequipment"/>
        <s v="miltonwbosleyandco"/>
        <s v="jrunited3"/>
        <s v="desertarc3"/>
        <s v="menatropicals"/>
        <s v="evitabletransportationagencyllc2"/>
        <s v="daveevans"/>
        <s v="backoffice"/>
        <s v="caroltech"/>
        <s v="galaxycorporation"/>
        <s v="ozi"/>
        <s v="santofir"/>
        <s v="admin4"/>
        <s v="aqbconsultancy"/>
        <s v="dustbunnysbegone"/>
        <s v="aryansaas"/>
        <s v="majdkorj"/>
        <s v="blevinscorporation"/>
        <s v="rlmfinancialservice"/>
        <s v="capturedmomentslimited13"/>
        <s v="techsatcommunications"/>
        <s v="shahfooddistributorsinc"/>
        <s v="pacificgeomaticslimited3"/>
        <s v="blevinsassetmanagement"/>
        <s v="blevinsholdings"/>
        <s v="excelsiouslimited"/>
        <s v="joly"/>
        <s v="capitalsuppliesinc"/>
        <s v="rrplett"/>
        <s v="revivalsolar"/>
        <s v="johan"/>
        <s v="hpiunifiedinc"/>
        <s v="thesecond2day"/>
        <s v="trifieldenergy"/>
        <s v="purekbfinc"/>
        <s v="fletcherquillgroup"/>
        <s v="coldent"/>
        <s v="saeed2"/>
        <s v="trinivamanagementgroup"/>
        <s v="gutierrezservices"/>
        <s v="kerriebradshaw"/>
        <s v="beatneed"/>
        <s v="comfortworkspace"/>
        <s v="naim"/>
        <s v="castlehill"/>
        <s v="adfaengr"/>
        <s v="nordictimbersllc"/>
        <s v="harmonyalexapressllc"/>
        <s v="theneurobridge"/>
        <s v="ameliaservicegroup"/>
        <s v="maidsnthings"/>
        <s v="prestigeelectricllc3"/>
        <s v="rtlinc"/>
        <s v="hylprojectsolutionsinc"/>
        <s v="dvt"/>
        <s v="onestchoicegeneralservicesinc"/>
        <s v="bestelitecleaningservicesinc"/>
        <s v="crawfordmovingandstorage"/>
        <s v="dasaw"/>
        <s v="mpinc"/>
        <s v="javaislandcoffee"/>
        <s v="elderco"/>
        <s v="growconstruction2"/>
        <s v="pakarcctvmsdnbhd4"/>
        <s v="balanceupaccounting3"/>
        <s v="doorsmith"/>
        <s v="aiimagingsupplies"/>
        <s v="saeed3"/>
        <s v="cajunkleenproductsllc"/>
        <s v="biltconstructionllc2"/>
        <s v="chefscarecompany"/>
        <s v="millermobility"/>
        <s v="castlebar2"/>
        <s v="meilechwettenstein"/>
        <s v="thebartoncocarpets"/>
        <s v="shxrlxy"/>
        <s v="mobilitycityoflubbocktx"/>
        <s v="creativeedgephotostudio"/>
        <s v="allcallpaints"/>
        <s v="cladform"/>
        <s v="jmorigintechnosoftpvtltd"/>
        <s v="tilusjeantyconsulting"/>
        <s v="leon"/>
        <s v="embolx"/>
        <s v="cladform2"/>
        <s v="lakeloreleiohio"/>
        <s v="chefscarecompany2"/>
        <s v="woodfieldpress"/>
        <s v="pipeandmetalcenteroftexas"/>
        <s v="rayhan"/>
        <s v="zimco"/>
      </sharedItems>
    </cacheField>
    <cacheField name="SignUpDate" numFmtId="164">
      <sharedItems containsSemiMixedTypes="0" containsDate="1" containsString="0">
        <d v="2025-11-30T23:47:00Z"/>
        <d v="2025-12-01T03:06:00Z"/>
        <d v="2025-12-01T04:13:00Z"/>
        <d v="2025-12-01T07:49:00Z"/>
        <d v="2025-12-01T08:04:00Z"/>
        <d v="2025-12-01T08:12:00Z"/>
        <d v="2025-12-01T08:19:00Z"/>
        <d v="2025-12-01T08:41:00Z"/>
        <d v="2025-12-01T09:59:00Z"/>
        <d v="2025-12-01T11:04:00Z"/>
        <d v="2025-12-01T11:26:00Z"/>
        <d v="2025-12-01T11:56:00Z"/>
        <d v="2025-12-01T12:25:00Z"/>
        <d v="2025-12-01T12:46:00Z"/>
        <d v="2025-12-01T13:26:00Z"/>
        <d v="2025-12-01T14:01:00Z"/>
        <d v="2025-12-01T14:43:00Z"/>
        <d v="2025-12-01T15:06:00Z"/>
        <d v="2025-12-01T15:22:00Z"/>
        <d v="2025-12-01T16:29:00Z"/>
        <d v="2025-12-01T18:27:00Z"/>
        <d v="2025-12-01T19:17:00Z"/>
        <d v="2025-12-01T19:51:00Z"/>
        <d v="2025-12-01T22:21:00Z"/>
        <d v="2025-12-01T22:57:00Z"/>
        <d v="2025-12-01T22:59:00Z"/>
        <d v="2025-12-01T23:20:00Z"/>
        <d v="2025-12-02T00:50:00Z"/>
        <d v="2025-12-02T07:07:00Z"/>
        <d v="2025-12-02T07:20:00Z"/>
        <d v="2025-12-02T08:00:00Z"/>
        <d v="2025-12-02T08:02:00Z"/>
        <d v="2025-12-02T08:38:00Z"/>
        <d v="2025-12-02T10:34:00Z"/>
        <d v="2025-12-02T10:43:00Z"/>
        <d v="2025-12-02T11:07:00Z"/>
        <d v="2025-12-02T11:15:00Z"/>
        <d v="2025-12-02T11:23:00Z"/>
        <d v="2025-12-02T11:37:00Z"/>
        <d v="2025-12-02T11:47:00Z"/>
        <d v="2025-12-02T12:06:00Z"/>
        <d v="2025-12-02T12:40:00Z"/>
        <d v="2025-12-02T12:54:00Z"/>
        <d v="2025-12-02T12:56:00Z"/>
        <d v="2025-12-02T14:50:00Z"/>
        <d v="2025-12-02T14:58:00Z"/>
        <d v="2025-12-02T15:59:00Z"/>
        <d v="2025-12-02T16:14:00Z"/>
        <d v="2025-12-02T16:34:00Z"/>
        <d v="2025-12-02T16:35:00Z"/>
        <d v="2025-12-02T17:17:00Z"/>
        <d v="2025-12-02T17:25:00Z"/>
        <d v="2025-12-02T17:39:00Z"/>
        <d v="2025-12-02T17:57:00Z"/>
        <d v="2025-12-02T19:16:00Z"/>
        <d v="2025-12-02T20:02:00Z"/>
        <d v="2025-12-02T20:47:00Z"/>
        <d v="2025-12-02T21:06:00Z"/>
        <d v="2025-12-02T21:57:00Z"/>
        <d v="2025-12-02T22:40:00Z"/>
        <d v="2025-12-03T00:28:00Z"/>
        <d v="2025-12-03T01:07:00Z"/>
        <d v="2025-12-03T01:18:00Z"/>
        <d v="2025-12-03T03:52:00Z"/>
        <d v="2025-12-03T05:45:00Z"/>
        <d v="2025-12-03T06:53:00Z"/>
        <d v="2025-12-03T07:27:00Z"/>
        <d v="2025-12-03T07:33:00Z"/>
        <d v="2025-12-03T09:21:00Z"/>
        <d v="2025-12-03T09:42:00Z"/>
        <d v="2025-12-03T09:50:00Z"/>
        <d v="2025-12-03T10:18:00Z"/>
        <d v="2025-12-03T10:33:00Z"/>
        <d v="2025-12-03T11:07:00Z"/>
        <d v="2025-12-03T11:17:00Z"/>
        <d v="2025-12-03T11:36:00Z"/>
        <d v="2025-12-03T11:58:00Z"/>
        <d v="2025-12-03T11:59:00Z"/>
        <d v="2025-12-03T12:22:00Z"/>
        <d v="2025-12-03T12:28:00Z"/>
        <d v="2025-12-03T12:31:00Z"/>
        <d v="2025-12-03T12:44:00Z"/>
        <d v="2025-12-03T13:30:00Z"/>
        <d v="2025-12-03T13:34:00Z"/>
        <d v="2025-12-03T14:02:00Z"/>
        <d v="2025-12-03T14:09:00Z"/>
        <d v="2025-12-03T15:11:00Z"/>
        <d v="2025-12-03T15:19:00Z"/>
        <d v="2025-12-03T16:32:00Z"/>
        <d v="2025-12-03T17:23:00Z"/>
        <d v="2025-12-03T20:31:00Z"/>
        <d v="2025-12-03T21:06:00Z"/>
        <d v="2025-12-04T00:42:00Z"/>
        <d v="2025-12-04T05:57:00Z"/>
        <d v="2025-12-04T07:32:00Z"/>
        <d v="2025-12-04T08:07:00Z"/>
        <d v="2025-12-04T08:24:00Z"/>
        <d v="2025-12-04T08:55:00Z"/>
        <d v="2025-12-04T09:47:00Z"/>
        <d v="2025-12-04T12:31:00Z"/>
        <d v="2025-12-04T12:37:00Z"/>
        <d v="2025-12-04T12:46:00Z"/>
        <d v="2025-12-04T13:30:00Z"/>
        <d v="2025-12-04T14:22:00Z"/>
        <d v="2025-12-04T14:24:00Z"/>
        <d v="2025-12-04T14:28:00Z"/>
        <d v="2025-12-04T15:15:00Z"/>
        <d v="2025-12-04T15:35:00Z"/>
        <d v="2025-12-04T16:28:00Z"/>
        <d v="2025-12-04T18:01:00Z"/>
        <d v="2025-12-04T18:42:00Z"/>
        <d v="2025-12-04T19:59:00Z"/>
        <d v="2025-12-04T20:32:00Z"/>
        <d v="2025-12-04T21:36:00Z"/>
        <d v="2025-12-04T21:57:00Z"/>
        <d v="2025-12-04T22:30:00Z"/>
        <d v="2025-12-04T23:13:00Z"/>
        <d v="2025-12-04T23:29:00Z"/>
        <d v="2025-12-04T23:45:00Z"/>
        <d v="2025-12-05T01:01:00Z"/>
        <d v="2025-12-05T03:24:00Z"/>
        <d v="2025-12-05T04:28:00Z"/>
        <d v="2025-12-05T07:49:00Z"/>
        <d v="2025-12-05T09:21:00Z"/>
        <d v="2025-12-05T09:38:00Z"/>
        <d v="2025-12-05T09:47:00Z"/>
        <d v="2025-12-05T11:44:00Z"/>
        <d v="2025-12-05T12:04:00Z"/>
        <d v="2025-12-05T12:30:00Z"/>
        <d v="2025-12-05T13:02:00Z"/>
        <d v="2025-12-05T13:14:00Z"/>
        <d v="2025-12-05T13:56:00Z"/>
        <d v="2025-12-05T14:27:00Z"/>
        <d v="2025-12-05T15:45:00Z"/>
        <d v="2025-12-05T16:36:00Z"/>
        <d v="2025-12-06T04:04:00Z"/>
        <d v="2025-12-06T13:46:00Z"/>
        <d v="2025-12-06T16:15:00Z"/>
        <d v="2025-12-06T16:17:00Z"/>
        <d v="2025-12-06T18:56:00Z"/>
        <d v="2025-12-06T20:36:00Z"/>
        <d v="2025-12-06T22:06:00Z"/>
        <d v="2025-12-06T22:26:00Z"/>
        <d v="2025-12-07T01:01:00Z"/>
        <d v="2025-12-07T03:39:00Z"/>
        <d v="2025-12-07T06:06:00Z"/>
        <d v="2025-12-07T11:21:00Z"/>
        <d v="2025-12-07T11:35:00Z"/>
        <d v="2025-12-07T11:57:00Z"/>
        <d v="2025-12-07T17:14:00Z"/>
        <d v="2025-12-07T18:11:00Z"/>
        <d v="2025-12-07T18:31:00Z"/>
        <d v="2025-12-07T18:38:00Z"/>
        <d v="2025-12-08T00:35:00Z"/>
        <d v="2025-12-08T07:24:00Z"/>
        <d v="2025-12-08T07:54:00Z"/>
        <d v="2025-12-08T09:30:00Z"/>
        <d v="2025-12-08T10:11:00Z"/>
        <d v="2025-12-08T11:02:00Z"/>
        <d v="2025-12-08T11:06:00Z"/>
        <d v="2025-12-08T12:02:00Z"/>
        <d v="2025-12-08T12:52:00Z"/>
        <d v="2025-12-08T13:15:00Z"/>
        <d v="2025-12-08T13:51:00Z"/>
        <d v="2025-12-08T13:54:00Z"/>
        <d v="2025-12-08T14:08:00Z"/>
        <d v="2025-12-08T14:20:00Z"/>
        <d v="2025-12-08T14:21:00Z"/>
        <d v="2025-12-08T14:35:00Z"/>
        <d v="2025-12-08T14:52:00Z"/>
        <d v="2025-12-08T16:00:00Z"/>
        <d v="2025-12-08T16:02:00Z"/>
        <d v="2025-12-08T16:33:00Z"/>
        <d v="2025-12-08T16:52:00Z"/>
        <d v="2025-12-08T19:38:00Z"/>
        <d v="2025-12-08T19:41:00Z"/>
        <d v="2025-12-08T19:45:00Z"/>
        <d v="2025-12-08T19:57:00Z"/>
        <d v="2025-12-08T20:30:00Z"/>
        <d v="2025-12-08T22:55:00Z"/>
        <d v="2025-12-08T23:01:00Z"/>
        <d v="2025-12-08T23:51:00Z"/>
        <d v="2025-12-09T01:46:00Z"/>
        <d v="2025-12-09T04:39:00Z"/>
        <d v="2025-12-09T08:04:00Z"/>
        <d v="2025-12-09T09:14:00Z"/>
        <d v="2025-12-09T09:25:00Z"/>
        <d v="2025-12-09T09:39:00Z"/>
        <d v="2025-12-09T09:53:00Z"/>
        <d v="2025-12-09T10:17:00Z"/>
        <d v="2025-12-09T11:47:00Z"/>
        <d v="2025-12-09T12:17:00Z"/>
        <d v="2025-12-09T12:21:00Z"/>
        <d v="2025-12-09T12:33:00Z"/>
        <d v="2025-12-09T13:13:00Z"/>
        <d v="2025-12-09T14:32:00Z"/>
        <d v="2025-12-09T14:38:00Z"/>
        <d v="2025-12-09T15:25:00Z"/>
        <d v="2025-12-09T15:49:00Z"/>
        <d v="2025-12-09T16:13:00Z"/>
        <d v="2025-12-09T16:40:00Z"/>
        <d v="2025-12-09T16:50:00Z"/>
        <d v="2025-12-09T19:13:00Z"/>
        <d v="2025-12-09T19:29:00Z"/>
        <d v="2025-12-09T19:49:00Z"/>
        <d v="2025-12-09T20:46:00Z"/>
        <d v="2025-12-09T22:56:00Z"/>
        <d v="2025-12-09T23:00:00Z"/>
        <d v="2025-12-10T01:00:00Z"/>
        <d v="2025-12-10T06:12:00Z"/>
        <d v="2025-12-10T07:02:00Z"/>
        <d v="2025-12-10T07:11:00Z"/>
        <d v="2025-12-10T07:52:00Z"/>
        <d v="2025-12-10T08:13:00Z"/>
        <d v="2025-12-10T08:16:00Z"/>
        <d v="2025-12-10T08:22:00Z"/>
        <d v="2025-12-10T08:25:00Z"/>
        <d v="2025-12-10T08:49:00Z"/>
        <d v="2025-12-10T08:53:00Z"/>
        <d v="2025-12-10T09:05:00Z"/>
        <d v="2025-12-10T10:08:00Z"/>
        <d v="2025-12-10T11:38:00Z"/>
        <d v="2025-12-10T11:49:00Z"/>
        <d v="2025-12-10T11:55:00Z"/>
        <d v="2025-12-10T12:20:00Z"/>
        <d v="2025-12-10T12:21:00Z"/>
        <d v="2025-12-10T13:09:00Z"/>
        <d v="2025-12-10T13:23:00Z"/>
        <d v="2025-12-10T13:48:00Z"/>
        <d v="2025-12-10T14:39:00Z"/>
        <d v="2025-12-10T14:41:00Z"/>
        <d v="2025-12-10T14:43:00Z"/>
        <d v="2025-12-10T15:21:00Z"/>
        <d v="2025-12-10T15:47:00Z"/>
        <d v="2025-12-10T15:52:00Z"/>
        <d v="2025-12-10T16:41:00Z"/>
        <d v="2025-12-10T16:57:00Z"/>
        <d v="2025-12-10T17:05:00Z"/>
        <d v="2025-12-10T17:08:00Z"/>
        <d v="2025-12-10T17:22:00Z"/>
        <d v="2025-12-10T17:29:00Z"/>
        <d v="2025-12-10T18:09:00Z"/>
        <d v="2025-12-10T18:19:00Z"/>
        <d v="2025-12-10T19:42:00Z"/>
        <d v="2025-12-10T20:43:00Z"/>
        <d v="2025-12-10T21:04:00Z"/>
        <d v="2025-12-10T21:05:00Z"/>
        <d v="2025-12-10T21:43:00Z"/>
        <d v="2025-12-10T22:56:00Z"/>
        <d v="2025-12-11T02:26:00Z"/>
        <d v="2025-12-11T05:42:00Z"/>
        <d v="2025-12-11T08:28:00Z"/>
        <d v="2025-12-11T09:36:00Z"/>
        <d v="2025-12-11T09:46:00Z"/>
        <d v="2025-12-11T10:04:00Z"/>
        <d v="2025-12-11T10:42:00Z"/>
        <d v="2025-12-11T10:44:00Z"/>
        <d v="2025-12-11T10:52:00Z"/>
        <d v="2025-12-11T11:16:00Z"/>
        <d v="2025-12-11T11:32:00Z"/>
        <d v="2025-12-11T11:42:00Z"/>
        <d v="2025-12-11T11:47:00Z"/>
        <d v="2025-12-11T11:57:00Z"/>
        <d v="2025-12-11T12:35:00Z"/>
        <d v="2025-12-11T13:01:00Z"/>
        <d v="2025-12-11T13:18:00Z"/>
        <d v="2025-12-11T13:32:00Z"/>
        <d v="2025-12-11T14:35:00Z"/>
        <d v="2025-12-11T15:38:00Z"/>
        <d v="2025-12-11T16:18:00Z"/>
        <d v="2025-12-11T18:22:00Z"/>
        <d v="2025-12-11T19:04:00Z"/>
        <d v="2025-12-11T20:01:00Z"/>
        <d v="2025-12-11T21:23:00Z"/>
        <d v="2025-12-11T23:29:00Z"/>
        <d v="2025-12-11T23:38:00Z"/>
        <d v="2025-12-12T00:00:00Z"/>
        <d v="2025-12-12T00:52:00Z"/>
        <d v="2025-12-12T02:23:00Z"/>
        <d v="2025-12-12T03:08:00Z"/>
        <d v="2025-12-12T03:11:00Z"/>
        <d v="2025-12-12T04:37:00Z"/>
        <d v="2025-12-12T09:05:00Z"/>
        <d v="2025-12-12T10:21:00Z"/>
        <d v="2025-12-12T10:33:00Z"/>
        <d v="2025-12-12T10:56:00Z"/>
        <d v="2025-12-12T10:57:00Z"/>
        <d v="2025-12-12T11:07:00Z"/>
        <d v="2025-12-12T11:14:00Z"/>
        <d v="2025-12-12T11:19:00Z"/>
        <d v="2025-12-12T11:24:00Z"/>
        <d v="2025-12-12T11:41:00Z"/>
        <d v="2025-12-12T12:01:00Z"/>
        <d v="2025-12-12T13:24:00Z"/>
        <d v="2025-12-12T13:32:00Z"/>
        <d v="2025-12-12T13:38:00Z"/>
        <d v="2025-12-12T14:08:00Z"/>
        <d v="2025-12-12T14:20:00Z"/>
        <d v="2025-12-12T14:27:00Z"/>
        <d v="2025-12-12T15:35:00Z"/>
        <d v="2025-12-12T15:48:00Z"/>
        <d v="2025-12-12T16:36:00Z"/>
        <d v="2025-12-12T17:02:00Z"/>
        <d v="2025-12-12T17:05:00Z"/>
        <d v="2025-12-12T18:10:00Z"/>
        <d v="2025-12-12T20:11:00Z"/>
        <d v="2025-12-12T20:30:00Z"/>
        <d v="2025-12-12T21:46:00Z"/>
        <d v="2025-12-12T21:58:00Z"/>
        <d v="2025-12-12T22:00:00Z"/>
        <d v="2025-12-12T22:04:00Z"/>
        <d v="2025-12-12T22:36:00Z"/>
        <d v="2025-12-12T22:54:00Z"/>
        <d v="2025-12-12T23:23:00Z"/>
        <d v="2025-12-12T23:45:00Z"/>
        <d v="2025-12-13T01:26:00Z"/>
        <d v="2025-12-13T02:15:00Z"/>
        <d v="2025-12-13T04:48:00Z"/>
        <d v="2025-12-13T06:53:00Z"/>
        <d v="2025-12-13T09:28:00Z"/>
        <d v="2025-12-13T10:58:00Z"/>
        <d v="2025-12-13T12:37:00Z"/>
        <d v="2025-12-13T13:13:00Z"/>
        <d v="2025-12-13T14:53:00Z"/>
        <d v="2025-12-13T15:47:00Z"/>
        <d v="2025-12-13T16:23:00Z"/>
        <d v="2025-12-13T17:03:00Z"/>
        <d v="2025-12-13T17:17:00Z"/>
        <d v="2025-12-13T18:22:00Z"/>
        <d v="2025-12-13T19:24:00Z"/>
        <d v="2025-12-13T21:23:00Z"/>
        <d v="2025-12-13T21:31:00Z"/>
        <d v="2025-12-13T21:52:00Z"/>
        <d v="2025-12-14T01:34:00Z"/>
        <d v="2025-12-14T06:16:00Z"/>
        <d v="2025-12-14T06:18:00Z"/>
        <d v="2025-12-14T06:44:00Z"/>
        <d v="2025-12-14T06:56:00Z"/>
        <d v="2025-12-14T08:54:00Z"/>
        <d v="2025-12-14T09:19:00Z"/>
        <d v="2025-12-14T12:16:00Z"/>
        <d v="2025-12-14T13:42:00Z"/>
        <d v="2025-12-14T19:17:00Z"/>
        <d v="2025-12-14T19:28:00Z"/>
        <d v="2025-12-14T21:03:00Z"/>
        <d v="2025-12-14T21:29:00Z"/>
        <d v="2025-12-14T22:15:00Z"/>
        <d v="2025-12-14T22:47:00Z"/>
        <d v="2025-12-14T22:53:00Z"/>
        <d v="2025-12-15T00:11:00Z"/>
        <d v="2025-12-15T00:22:00Z"/>
        <d v="2025-12-15T00:41:00Z"/>
        <d v="2025-12-15T01:16:00Z"/>
        <d v="2025-12-15T01:34:00Z"/>
        <d v="2025-12-15T03:47:00Z"/>
        <d v="2025-12-15T04:31:00Z"/>
        <d v="2025-12-15T05:48:00Z"/>
        <d v="2025-12-15T06:04:00Z"/>
        <d v="2025-12-15T06:14:00Z"/>
        <d v="2025-12-15T06:24:00Z"/>
        <d v="2025-12-15T08:45:00Z"/>
        <d v="2025-12-15T10:05:00Z"/>
        <d v="2025-12-15T11:08:00Z"/>
        <d v="2025-12-15T12:20:00Z"/>
        <d v="2025-12-15T13:08:00Z"/>
        <d v="2025-12-15T13:09:00Z"/>
        <d v="2025-12-15T13:26:00Z"/>
        <d v="2025-12-15T13:38:00Z"/>
        <d v="2025-12-15T14:28:00Z"/>
        <d v="2025-12-15T14:43:00Z"/>
        <d v="2025-12-15T14:47:00Z"/>
        <d v="2025-12-15T15:00:00Z"/>
        <d v="2025-12-15T15:22:00Z"/>
        <d v="2025-12-15T15:35:00Z"/>
        <d v="2025-12-15T15:51:00Z"/>
        <d v="2025-12-15T15:54:00Z"/>
        <d v="2025-12-15T16:44:00Z"/>
        <d v="2025-12-15T16:50:00Z"/>
        <d v="2025-12-15T16:55:00Z"/>
        <d v="2025-12-15T17:05:00Z"/>
        <d v="2025-12-15T17:41:00Z"/>
        <d v="2025-12-15T17:50:00Z"/>
        <d v="2025-12-15T17:52:00Z"/>
        <d v="2025-12-15T18:28:00Z"/>
        <d v="2025-12-15T20:55:00Z"/>
        <d v="2025-12-15T20:56:00Z"/>
        <d v="2025-12-15T21:37:00Z"/>
        <d v="2025-12-15T22:22:00Z"/>
        <d v="2025-12-15T23:01:00Z"/>
        <d v="2025-12-15T23:13:00Z"/>
        <d v="2025-12-16T00:20:00Z"/>
        <d v="2025-12-16T03:44:00Z"/>
        <d v="2025-12-16T04:16:00Z"/>
        <d v="2025-12-16T06:24:00Z"/>
        <d v="2025-12-16T09:53:00Z"/>
        <d v="2025-12-16T10:36:00Z"/>
        <d v="2025-12-16T11:19:00Z"/>
        <d v="2025-12-16T11:57:00Z"/>
        <d v="2025-12-16T12:39:00Z"/>
        <d v="2025-12-16T13:19:00Z"/>
        <d v="2025-12-16T13:22:00Z"/>
        <d v="2025-12-16T14:06:00Z"/>
        <d v="2025-12-16T14:18:00Z"/>
        <d v="2025-12-16T14:32:00Z"/>
        <d v="2025-12-16T15:38:00Z"/>
        <d v="2025-12-16T16:10:00Z"/>
        <d v="2025-12-16T16:46:00Z"/>
        <d v="2025-12-16T16:52:00Z"/>
        <d v="2025-12-16T17:17:00Z"/>
        <d v="2025-12-16T17:33:00Z"/>
        <d v="2025-12-16T19:20:00Z"/>
        <d v="2025-12-16T19:53:00Z"/>
        <d v="2025-12-16T21:39:00Z"/>
        <d v="2025-12-16T23:57:00Z"/>
        <d v="2025-12-17T04:36:00Z"/>
        <d v="2025-12-17T04:41:00Z"/>
        <d v="2025-12-17T08:12:00Z"/>
        <d v="2025-12-17T09:47:00Z"/>
        <d v="2025-12-17T10:09:00Z"/>
        <d v="2025-12-17T10:50:00Z"/>
        <d v="2025-12-17T10:55:00Z"/>
        <d v="2025-12-17T11:04:00Z"/>
        <d v="2025-12-17T11:16:00Z"/>
        <d v="2025-12-17T11:18:00Z"/>
        <d v="2025-12-17T11:29:00Z"/>
        <d v="2025-12-17T11:59:00Z"/>
        <d v="2025-12-17T12:18:00Z"/>
        <d v="2025-12-17T12:21:00Z"/>
        <d v="2025-12-17T12:24:00Z"/>
        <d v="2025-12-17T13:01:00Z"/>
        <d v="2025-12-17T13:03:00Z"/>
        <d v="2025-12-17T13:18:00Z"/>
        <d v="2025-12-17T14:04:00Z"/>
        <d v="2025-12-17T14:40:00Z"/>
        <d v="2025-12-17T15:08:00Z"/>
        <d v="2025-12-17T15:47:00Z"/>
        <d v="2025-12-17T16:36:00Z"/>
        <d v="2025-12-17T16:39:00Z"/>
        <d v="2025-12-17T17:45:00Z"/>
        <d v="2025-12-17T18:45:00Z"/>
        <d v="2025-12-17T19:07:00Z"/>
        <d v="2025-12-17T19:34:00Z"/>
        <d v="2025-12-17T20:20:00Z"/>
        <d v="2025-12-17T20:53:00Z"/>
        <d v="2025-12-17T20:54:00Z"/>
        <d v="2025-12-17T22:09:00Z"/>
        <d v="2025-12-18T01:01:00Z"/>
        <d v="2025-12-18T06:47:00Z"/>
        <d v="2025-12-18T07:00:00Z"/>
        <d v="2025-12-18T07:26:00Z"/>
        <d v="2025-12-18T07:52:00Z"/>
        <d v="2025-12-18T08:05:00Z"/>
        <d v="2025-12-18T08:10:00Z"/>
        <d v="2025-12-18T08:33:00Z"/>
        <d v="2025-12-18T08:48:00Z"/>
        <d v="2025-12-18T09:11:00Z"/>
        <d v="2025-12-18T09:17:00Z"/>
        <d v="2025-12-18T10:04:00Z"/>
        <d v="2025-12-18T10:16:00Z"/>
        <d v="2025-12-18T10:57:00Z"/>
        <d v="2025-12-18T11:16:00Z"/>
        <d v="2025-12-18T11:21:00Z"/>
        <d v="2025-12-18T11:44:00Z"/>
        <d v="2025-12-18T12:04:00Z"/>
        <d v="2025-12-18T12:20:00Z"/>
        <d v="2025-12-18T12:34:00Z"/>
        <d v="2025-12-18T12:52:00Z"/>
        <d v="2025-12-18T13:00:00Z"/>
        <d v="2025-12-18T14:06:00Z"/>
        <d v="2025-12-18T14:32:00Z"/>
        <d v="2025-12-18T14:47:00Z"/>
        <d v="2025-12-18T15:08:00Z"/>
        <d v="2025-12-18T15:10:00Z"/>
        <d v="2025-12-18T17:44:00Z"/>
        <d v="2025-12-18T18:13:00Z"/>
        <d v="2025-12-18T19:18:00Z"/>
        <d v="2025-12-18T19:48:00Z"/>
        <d v="2025-12-18T21:09:00Z"/>
        <d v="2025-12-18T23:45:00Z"/>
        <d v="2025-12-19T01:23:00Z"/>
        <d v="2025-12-19T01:33:00Z"/>
        <d v="2025-12-19T02:27:00Z"/>
        <d v="2025-12-19T03:28:00Z"/>
        <d v="2025-12-19T06:24:00Z"/>
        <d v="2025-12-19T08:32:00Z"/>
        <d v="2025-12-19T10:43:00Z"/>
        <d v="2025-12-19T10:47:00Z"/>
        <d v="2025-12-19T10:49:00Z"/>
        <d v="2025-12-19T11:08:00Z"/>
        <d v="2025-12-19T11:15:00Z"/>
        <d v="2025-12-19T11:36:00Z"/>
        <d v="2025-12-19T11:49:00Z"/>
        <d v="2025-12-19T12:00:00Z"/>
        <d v="2025-12-19T12:10:00Z"/>
        <d v="2025-12-19T12:23:00Z"/>
        <d v="2025-12-19T12:37:00Z"/>
        <d v="2025-12-19T12:46:00Z"/>
        <d v="2025-12-19T13:14:00Z"/>
        <d v="2025-12-19T13:17:00Z"/>
        <d v="2025-12-19T14:35:00Z"/>
        <d v="2025-12-19T14:42:00Z"/>
        <d v="2025-12-19T15:02:00Z"/>
        <d v="2025-12-19T15:17:00Z"/>
        <d v="2025-12-19T15:32:00Z"/>
        <d v="2025-12-19T15:36:00Z"/>
        <d v="2025-12-19T15:49:00Z"/>
        <d v="2025-12-19T18:08:00Z"/>
        <d v="2025-12-19T20:28:00Z"/>
        <d v="2025-12-19T21:51:00Z"/>
        <d v="2025-12-19T22:40:00Z"/>
        <d v="2025-12-19T22:43:00Z"/>
        <d v="2025-12-20T00:45:00Z"/>
        <d v="2025-12-20T02:34:00Z"/>
        <d v="2025-12-20T02:36:00Z"/>
        <d v="2025-12-20T07:10:00Z"/>
        <d v="2025-12-20T08:20:00Z"/>
        <d v="2025-12-20T08:30:00Z"/>
        <d v="2025-12-20T10:56:00Z"/>
        <d v="2025-12-20T12:04:00Z"/>
        <d v="2025-12-20T12:23:00Z"/>
        <d v="2025-12-20T16:04:00Z"/>
        <d v="2025-12-20T16:05:00Z"/>
        <d v="2025-12-20T16:11:00Z"/>
        <d v="2025-12-20T16:26:00Z"/>
        <d v="2025-12-20T16:29:00Z"/>
        <d v="2025-12-20T16:57:00Z"/>
        <d v="2025-12-20T17:04:00Z"/>
        <d v="2025-12-20T17:17:00Z"/>
        <d v="2025-12-20T18:45:00Z"/>
        <d v="2025-12-20T19:16:00Z"/>
        <d v="2025-12-21T01:16:00Z"/>
        <d v="2025-12-21T04:28:00Z"/>
        <d v="2025-12-21T15:54:00Z"/>
        <d v="2025-12-21T23:08:00Z"/>
        <d v="2025-12-22T01:52:00Z"/>
        <d v="2025-12-22T08:12:00Z"/>
        <d v="2025-12-22T10:32:00Z"/>
        <d v="2025-12-22T11:21:00Z"/>
        <d v="2025-12-22T11:38:00Z"/>
        <d v="2025-12-22T12:07:00Z"/>
        <d v="2025-12-22T12:21:00Z"/>
        <d v="2025-12-22T12:22:00Z"/>
        <d v="2025-12-22T12:46:00Z"/>
        <d v="2025-12-22T13:04:00Z"/>
        <d v="2025-12-22T15:57:00Z"/>
        <d v="2025-12-22T17:28:00Z"/>
        <d v="2025-12-22T17:30:00Z"/>
        <d v="2025-12-22T17:46:00Z"/>
        <d v="2025-12-22T17:51:00Z"/>
        <d v="2025-12-22T19:15:00Z"/>
        <d v="2025-12-22T20:51:00Z"/>
        <d v="2025-12-22T23:12:00Z"/>
        <d v="2025-12-23T00:17:00Z"/>
        <d v="2025-12-23T01:11:00Z"/>
        <d v="2025-12-23T01:12:00Z"/>
        <d v="2025-12-23T05:46:00Z"/>
        <d v="2025-12-23T07:58:00Z"/>
        <d v="2025-12-23T08:30:00Z"/>
        <d v="2025-12-23T09:13:00Z"/>
        <d v="2025-12-23T10:34:00Z"/>
        <d v="2025-12-23T10:36:00Z"/>
        <d v="2025-12-23T10:48:00Z"/>
        <d v="2025-12-23T11:33:00Z"/>
        <d v="2025-12-23T12:26:00Z"/>
        <d v="2025-12-23T12:53:00Z"/>
        <d v="2025-12-23T13:19:00Z"/>
        <d v="2025-12-23T17:20:00Z"/>
        <d v="2025-12-23T20:06:00Z"/>
        <d v="2025-12-24T00:21:00Z"/>
        <d v="2025-12-24T05:45:00Z"/>
        <d v="2025-12-24T06:47:00Z"/>
        <d v="2025-12-24T09:34:00Z"/>
        <d v="2025-12-24T10:13:00Z"/>
        <d v="2025-12-24T11:41:00Z"/>
        <d v="2025-12-24T11:53:00Z"/>
        <d v="2025-12-24T12:39:00Z"/>
        <d v="2025-12-24T14:05:00Z"/>
        <d v="2025-12-24T14:38:00Z"/>
        <d v="2025-12-24T15:01:00Z"/>
        <d v="2025-12-24T16:24:00Z"/>
        <d v="2025-12-24T17:52:00Z"/>
        <d v="2025-12-24T17:53:00Z"/>
        <d v="2025-12-24T18:06:00Z"/>
        <d v="2025-12-24T20:55:00Z"/>
        <d v="2025-12-25T04:21:00Z"/>
        <d v="2025-12-25T04:35:00Z"/>
        <d v="2025-12-25T05:10:00Z"/>
        <d v="2025-12-25T09:54:00Z"/>
        <d v="2025-12-25T10:29:00Z"/>
        <d v="2025-12-25T13:37:00Z"/>
        <d v="2025-12-25T17:46:00Z"/>
        <d v="2025-12-25T19:21:00Z"/>
        <d v="2025-12-25T20:14:00Z"/>
        <d v="2025-12-26T00:55:00Z"/>
        <d v="2025-12-26T03:07:00Z"/>
        <d v="2025-12-26T03:08:00Z"/>
        <d v="2025-12-26T04:56:00Z"/>
        <d v="2025-12-26T07:37:00Z"/>
        <d v="2025-12-26T12:03:00Z"/>
        <d v="2025-12-26T12:54:00Z"/>
        <d v="2025-12-26T18:05:00Z"/>
        <d v="2025-12-26T21:15:00Z"/>
        <d v="2025-12-27T12:39:00Z"/>
        <d v="2025-12-27T14:47:00Z"/>
        <d v="2025-12-27T17:05:00Z"/>
        <d v="2025-12-27T23:25:00Z"/>
        <d v="2025-12-28T00:05:00Z"/>
        <d v="2025-12-28T05:28:00Z"/>
        <d v="2025-12-28T16:23:00Z"/>
        <d v="2025-12-28T19:33:00Z"/>
        <d v="2025-12-28T21:43:00Z"/>
        <d v="2025-12-29T01:43:00Z"/>
        <d v="2025-12-29T05:27:00Z"/>
        <d v="2025-12-29T06:06:00Z"/>
        <d v="2025-12-29T09:41:00Z"/>
        <d v="2025-12-29T09:53:00Z"/>
        <d v="2025-12-29T10:39:00Z"/>
        <d v="2025-12-29T10:55:00Z"/>
        <d v="2025-12-29T11:27:00Z"/>
        <d v="2025-12-29T12:17:00Z"/>
        <d v="2025-12-29T13:14:00Z"/>
        <d v="2025-12-29T14:00:00Z"/>
        <d v="2025-12-29T14:37:00Z"/>
        <d v="2025-12-29T15:08:00Z"/>
        <d v="2025-12-29T15:37:00Z"/>
        <d v="2025-12-29T18:50:00Z"/>
        <d v="2025-12-29T19:39:00Z"/>
        <d v="2025-12-29T22:02:00Z"/>
        <d v="2025-12-30T06:38:00Z"/>
        <d v="2025-12-30T08:31:00Z"/>
        <d v="2025-12-30T09:03:00Z"/>
        <d v="2025-12-30T09:33:00Z"/>
        <d v="2025-12-30T10:32:00Z"/>
        <d v="2025-12-30T11:17:00Z"/>
        <d v="2025-12-30T11:30:00Z"/>
        <d v="2025-12-30T12:28:00Z"/>
        <d v="2025-12-30T13:59:00Z"/>
        <d v="2025-12-30T14:36:00Z"/>
        <d v="2025-12-30T14:52:00Z"/>
        <d v="2025-12-30T15:02:00Z"/>
        <d v="2025-12-30T15:25:00Z"/>
        <d v="2025-12-30T15:37:00Z"/>
        <d v="2025-12-30T15:45:00Z"/>
        <d v="2025-12-30T15:52:00Z"/>
        <d v="2025-12-30T16:23:00Z"/>
        <d v="2025-12-30T17:34:00Z"/>
        <d v="2025-12-30T18:51:00Z"/>
        <d v="2025-12-30T19:54:00Z"/>
        <d v="2025-12-30T21:04:00Z"/>
        <d v="2025-12-31T00:08:00Z"/>
        <d v="2025-12-31T05:46:00Z"/>
        <d v="2025-12-31T08:07:00Z"/>
        <d v="2025-12-31T09:22:00Z"/>
        <d v="2025-12-31T10:01:00Z"/>
        <d v="2025-12-31T10:36:00Z"/>
        <d v="2025-12-31T11:34:00Z"/>
        <d v="2025-12-31T11:58:00Z"/>
        <d v="2025-12-31T17:31:00Z"/>
        <d v="2025-12-31T21:40:00Z"/>
        <d v="2025-12-31T22:16:00Z"/>
      </sharedItems>
    </cacheField>
    <cacheField name="CancellationDate" numFmtId="0">
      <sharedItems containsDate="1" containsString="0" containsBlank="1">
        <m/>
        <d v="2025-12-01T08:45:00Z"/>
        <d v="2025-12-09T09:05:00Z"/>
        <d v="2025-12-01T12:05:00Z"/>
        <d v="2025-12-08T16:10:00Z"/>
        <d v="2025-12-09T10:10:00Z"/>
        <d v="2025-12-09T15:24:00Z"/>
        <d v="2025-12-23T10:07:00Z"/>
        <d v="2025-12-17T18:03:00Z"/>
        <d v="2025-12-09T12:01:00Z"/>
        <d v="2026-01-01T11:34:00Z"/>
        <d v="2025-12-29T10:20:00Z"/>
        <d v="2025-12-17T19:54:00Z"/>
        <d v="2025-12-17T10:03:00Z"/>
        <d v="2025-12-24T09:51:00Z"/>
        <d v="2025-12-19T15:59:00Z"/>
        <d v="2025-12-03T14:59:00Z"/>
        <d v="2025-12-09T16:36:00Z"/>
        <d v="2025-12-04T09:26:00Z"/>
        <d v="2025-12-04T16:28:00Z"/>
        <d v="2025-12-16T18:04:00Z"/>
        <d v="2025-12-09T10:08:00Z"/>
        <d v="2025-12-09T09:06:00Z"/>
        <d v="2025-12-04T09:54:00Z"/>
        <d v="2025-12-22T10:26:00Z"/>
        <d v="2025-12-04T14:26:00Z"/>
        <d v="2025-12-30T11:29:00Z"/>
        <d v="2025-12-04T16:15:00Z"/>
        <d v="2025-12-04T16:47:00Z"/>
        <d v="2025-12-04T18:47:00Z"/>
        <d v="2025-12-08T19:31:00Z"/>
        <d v="2025-12-04T21:11:00Z"/>
        <d v="2025-12-05T13:09:00Z"/>
        <d v="2026-01-02T08:41:00Z"/>
        <d v="2025-12-05T10:24:00Z"/>
        <d v="2025-12-23T14:54:00Z"/>
        <d v="2025-12-16T16:15:00Z"/>
        <d v="2025-12-07T16:13:00Z"/>
        <d v="2025-12-09T09:55:00Z"/>
        <d v="2025-12-24T10:04:00Z"/>
        <d v="2025-12-11T11:49:00Z"/>
        <d v="2025-12-22T12:09:00Z"/>
        <d v="2025-12-12T07:42:00Z"/>
        <d v="2025-12-22T09:34:00Z"/>
        <d v="2025-12-16T14:38:00Z"/>
        <d v="2025-12-11T11:29:00Z"/>
        <d v="2025-12-11T11:55:00Z"/>
        <d v="2025-12-09T22:16:00Z"/>
        <d v="2025-12-12T17:56:00Z"/>
        <d v="2025-12-19T13:12:00Z"/>
        <d v="2025-12-12T09:51:00Z"/>
        <d v="2025-12-12T11:29:00Z"/>
        <d v="2025-12-12T09:50:00Z"/>
        <d v="2025-12-24T19:28:00Z"/>
        <d v="2025-12-18T13:32:00Z"/>
        <d v="2025-12-19T13:19:00Z"/>
        <d v="2025-12-10T17:12:00Z"/>
        <d v="2025-12-31T13:13:00Z"/>
        <d v="2025-12-12T12:00:00Z"/>
        <d v="2025-12-16T09:09:00Z"/>
        <d v="2025-12-18T07:47:00Z"/>
        <d v="2025-12-12T09:43:00Z"/>
        <d v="2025-12-12T09:23:00Z"/>
        <d v="2025-12-12T09:22:00Z"/>
        <d v="2025-12-19T11:46:00Z"/>
        <d v="2025-12-26T11:58:00Z"/>
        <d v="2025-12-24T09:43:00Z"/>
        <d v="2025-12-24T09:50:00Z"/>
        <d v="2025-12-12T09:20:00Z"/>
        <d v="2025-12-12T09:10:00Z"/>
        <d v="2025-12-12T16:14:00Z"/>
        <d v="2025-12-12T11:13:00Z"/>
        <d v="2025-12-12T11:20:00Z"/>
        <d v="2025-12-12T12:47:00Z"/>
        <d v="2025-12-29T08:59:00Z"/>
        <d v="2025-12-22T15:53:00Z"/>
        <d v="2025-12-22T12:02:00Z"/>
        <d v="2025-12-15T12:26:00Z"/>
        <d v="2025-12-15T12:24:00Z"/>
        <d v="2025-12-16T08:31:00Z"/>
        <d v="2025-12-18T01:26:00Z"/>
        <d v="2025-12-15T12:22:00Z"/>
        <d v="2025-12-16T13:18:00Z"/>
        <d v="2025-12-16T08:27:00Z"/>
        <d v="2026-01-01T14:38:00Z"/>
        <d v="2025-12-15T12:21:00Z"/>
        <d v="2025-12-15T12:20:00Z"/>
        <d v="2025-12-17T11:30:00Z"/>
        <d v="2025-12-16T13:31:00Z"/>
        <d v="2025-12-26T13:19:00Z"/>
        <d v="2025-12-16T08:30:00Z"/>
        <d v="2025-12-19T13:17:00Z"/>
        <d v="2025-12-30T00:02:00Z"/>
        <d v="2025-12-17T11:05:00Z"/>
        <d v="2025-12-16T12:04:00Z"/>
        <d v="2025-12-29T12:26:00Z"/>
        <d v="2025-12-31T03:55:00Z"/>
        <d v="2025-12-16T17:16:00Z"/>
        <d v="2025-12-22T11:11:00Z"/>
        <d v="2025-12-31T18:40:00Z"/>
        <d v="2025-12-17T12:08:00Z"/>
        <d v="2025-12-17T14:40:00Z"/>
        <d v="2025-12-18T07:50:00Z"/>
        <d v="2025-12-22T11:47:00Z"/>
        <d v="2025-12-18T09:47:00Z"/>
        <d v="2025-12-18T11:46:00Z"/>
        <d v="2025-12-18T13:00:00Z"/>
        <d v="2025-12-18T13:12:00Z"/>
        <d v="2025-12-19T17:02:00Z"/>
        <d v="2025-12-19T13:14:00Z"/>
        <d v="2026-01-02T08:39:00Z"/>
        <d v="2025-12-19T10:30:00Z"/>
        <d v="2025-12-19T14:10:00Z"/>
        <d v="2025-12-19T12:52:00Z"/>
        <d v="2026-01-02T08:42:00Z"/>
        <d v="2025-12-22T13:35:00Z"/>
        <d v="2025-12-24T09:48:00Z"/>
        <d v="2025-12-22T09:25:00Z"/>
        <d v="2025-12-20T17:34:00Z"/>
        <d v="2025-12-23T11:57:00Z"/>
        <d v="2025-12-24T18:01:00Z"/>
        <d v="2025-12-24T18:16:00Z"/>
        <d v="2025-12-25T20:19:00Z"/>
        <d v="2025-12-26T10:35:00Z"/>
        <d v="2025-12-28T16:48:00Z"/>
        <d v="2025-12-30T11:22:00Z"/>
        <d v="2025-12-31T09:33:00Z"/>
      </sharedItems>
    </cacheField>
    <cacheField name="ConvertPayDate" numFmtId="0">
      <sharedItems containsDate="1" containsString="0" containsBlank="1">
        <m/>
        <d v="2025-12-15T16:30:00Z"/>
        <d v="2025-12-18T11:54:00Z"/>
        <d v="2025-12-15T11:04:00Z"/>
        <d v="2025-12-15T11:40:00Z"/>
        <d v="2025-12-16T14:19:00Z"/>
        <d v="2025-12-15T15:55:00Z"/>
        <d v="2025-12-16T19:00:00Z"/>
        <d v="2025-12-15T12:46:00Z"/>
        <d v="2025-12-19T14:43:00Z"/>
        <d v="2025-12-03T13:03:00Z"/>
        <d v="2025-12-02T15:03:00Z"/>
        <d v="2025-12-04T14:26:00Z"/>
        <d v="2025-12-03T15:55:00Z"/>
        <d v="2025-12-10T16:11:00Z"/>
        <d v="2025-12-30T18:20:00Z"/>
        <d v="2025-12-17T12:46:00Z"/>
        <d v="2025-12-23T11:13:00Z"/>
        <d v="2025-12-10T13:22:00Z"/>
        <d v="2025-12-11T18:53:00Z"/>
        <d v="2025-12-17T11:40:00Z"/>
        <d v="2025-12-22T11:58:00Z"/>
        <d v="2025-12-24T12:07:00Z"/>
        <d v="2025-12-26T10:30:00Z"/>
        <d v="2025-12-15T14:42:00Z"/>
        <d v="2025-12-07T11:01:00Z"/>
        <d v="2025-12-12T10:18:00Z"/>
        <d v="2025-12-27T03:41:00Z"/>
        <d v="2025-12-12T14:50:00Z"/>
        <d v="2025-12-27T00:48:00Z"/>
        <d v="2025-12-15T14:58:00Z"/>
        <d v="2025-12-22T19:38:00Z"/>
        <d v="2025-12-09T11:28:00Z"/>
        <d v="2025-12-11T10:39:00Z"/>
        <d v="2025-12-23T19:50:00Z"/>
        <d v="2025-12-24T12:16:00Z"/>
        <d v="2025-12-10T08:25:00Z"/>
        <d v="2025-12-24T12:48:00Z"/>
        <d v="2025-12-28T13:08:00Z"/>
        <d v="2025-12-11T08:28:00Z"/>
        <d v="2025-12-12T23:00:00Z"/>
        <d v="2025-12-12T00:03:00Z"/>
        <d v="2025-12-12T03:46:00Z"/>
        <d v="2025-12-29T16:14:00Z"/>
        <d v="2025-12-17T12:10:00Z"/>
        <d v="2025-12-22T16:00:00Z"/>
        <d v="2025-12-12T22:43:00Z"/>
        <d v="2025-12-21T02:43:00Z"/>
        <d v="2025-12-19T10:43:00Z"/>
        <d v="2025-12-29T11:38:00Z"/>
        <d v="2025-12-23T12:53:00Z"/>
        <d v="2025-12-29T10:30:00Z"/>
        <d v="2025-12-29T16:54:00Z"/>
        <d v="2025-12-29T18:54:00Z"/>
        <d v="2025-12-29T12:37:00Z"/>
        <d v="2025-12-17T11:59:00Z"/>
        <d v="2025-12-31T13:06:00Z"/>
        <d v="2025-12-31T08:24:00Z"/>
        <d v="2025-12-30T15:44:00Z"/>
        <d v="2025-12-22T09:18:00Z"/>
        <d v="2025-12-23T13:54:00Z"/>
        <d v="2025-12-23T17:11:00Z"/>
        <d v="2025-12-18T15:39:00Z"/>
        <d v="2025-12-25T13:31:00Z"/>
        <d v="2025-12-22T13:12:00Z"/>
        <d v="2025-12-30T17:38:00Z"/>
        <d v="2025-12-30T19:27:00Z"/>
        <d v="2025-12-26T21:22:00Z"/>
        <d v="2025-12-24T09:22:00Z"/>
        <d v="2025-12-24T18:00:00Z"/>
        <d v="2025-12-29T14:11:00Z"/>
        <d v="2025-12-31T03:15:00Z"/>
        <d v="2025-12-30T17:34:00Z"/>
      </sharedItems>
    </cacheField>
    <cacheField name="IsActive" numFmtId="0">
      <sharedItems>
        <b v="1"/>
        <b v="0"/>
      </sharedItems>
    </cacheField>
    <cacheField name="IsConversionException" numFmtId="0">
      <sharedItems>
        <b v="0"/>
        <b v="1"/>
      </sharedItems>
    </cacheField>
    <cacheField name="IsCountedAsChurn" numFmtId="0">
      <sharedItems>
        <b v="0"/>
      </sharedItems>
    </cacheField>
    <cacheField name="IsTrialConverted" numFmtId="0">
      <sharedItems>
        <b v="0"/>
      </sharedItems>
    </cacheField>
    <cacheField name="PayType" numFmtId="0">
      <sharedItems>
        <s v="Monthly"/>
        <s v="Prepay"/>
      </sharedItems>
    </cacheField>
    <cacheField name="AppName" numFmtId="0">
      <sharedItems>
        <s v="Method:CRM For QBO"/>
        <s v="Method:CRM"/>
        <s v="Method:CRM for QBD"/>
        <s v="Method:FieldServices for QBD"/>
        <s v="Method:CRM for Xero"/>
        <s v="Method:FieldServices for QBO"/>
        <s v="Method:FieldServices"/>
        <s v="Method:Donor for QBO"/>
        <s v="Method:Proposals for QBO"/>
        <s v="Method:FieldServices for Xero"/>
        <s v="SaaSphalt for QBO"/>
      </sharedItems>
    </cacheField>
    <cacheField name="AccountingPlatform" numFmtId="0">
      <sharedItems>
        <s v="QBO"/>
        <s v="QuickBooks"/>
        <s v="QBDT"/>
        <s v="None"/>
        <s v="Xero"/>
      </sharedItems>
    </cacheField>
    <cacheField name="PlatformToggle" numFmtId="0">
      <sharedItems>
        <s v="New"/>
        <s v="Both"/>
      </sharedItems>
    </cacheField>
    <cacheField name="CustDatSaaSAmountToDate" numFmtId="0">
      <sharedItems containsSemiMixedTypes="0" containsString="0" containsNumber="1">
        <n v="0.0"/>
        <n v="88.5"/>
        <n v="72.75"/>
        <n v="452.5"/>
        <n v="165.0"/>
        <n v="59.0"/>
        <n v="44.25"/>
        <n v="53.1"/>
        <n v="318.75"/>
        <n v="54.45"/>
        <n v="164.25"/>
        <n v="132.75"/>
        <n v="63.75"/>
        <n v="36.75"/>
        <n v="106.5"/>
        <n v="123.75"/>
        <n v="431.2"/>
        <n v="190.5"/>
        <n v="70.5"/>
        <n v="121.0"/>
        <n v="151.4"/>
        <n v="620.0"/>
        <n v="40.0"/>
        <n v="544.0"/>
        <n v="99.0"/>
        <n v="54.75"/>
        <n v="53.25"/>
        <n v="327.75"/>
        <n v="62.75"/>
        <n v="97.5"/>
        <n v="111.0"/>
        <n v="221.25"/>
        <n v="704.0"/>
        <n v="147.0"/>
        <n v="63.0"/>
        <n v="1088.0"/>
        <n v="128.8"/>
      </sharedItems>
    </cacheField>
    <cacheField name="CustDatLastSaaSAmount" numFmtId="0">
      <sharedItems containsSemiMixedTypes="0" containsString="0" containsNumber="1">
        <n v="63.75"/>
        <n v="53.25"/>
        <n v="44.25"/>
        <n v="70.5"/>
        <n v="0.0"/>
        <n v="72.75"/>
        <n v="127.5"/>
        <n v="116.0"/>
        <n v="186.0"/>
        <n v="59.0"/>
        <n v="109.5"/>
        <n v="62.25"/>
        <n v="26.25"/>
        <n v="81.0"/>
        <n v="236.25"/>
        <n v="54.75"/>
        <n v="150.75"/>
        <n v="318.75"/>
        <n v="145.5"/>
        <n v="164.25"/>
        <n v="132.75"/>
        <n v="105.75"/>
        <n v="186.75"/>
        <n v="298.5"/>
        <n v="36.75"/>
        <n v="177.0"/>
        <n v="88.5"/>
        <n v="106.5"/>
        <n v="255.0"/>
        <n v="97.5"/>
        <n v="118.0"/>
        <n v="107.0"/>
        <n v="170.0"/>
        <n v="40.0"/>
        <n v="383.25"/>
        <n v="295.0"/>
        <n v="228.0"/>
        <n v="191.25"/>
        <n v="96.0"/>
        <n v="99.0"/>
        <n v="266.25"/>
        <n v="87.0"/>
        <n v="311.25"/>
        <n v="141.75"/>
        <n v="384.0"/>
        <n v="62.75"/>
        <n v="78.0"/>
        <n v="111.0"/>
        <n v="57.75"/>
        <n v="213.0"/>
        <n v="219.0"/>
        <n v="221.25"/>
        <n v="704.0"/>
        <n v="117.75"/>
        <n v="147.0"/>
        <n v="201.75"/>
        <n v="70.0"/>
        <n v="272.25"/>
        <n v="644.0"/>
        <n v="144.0"/>
        <n v="218.25"/>
        <n v="260.25"/>
        <n v="257.25"/>
        <n v="35.25"/>
        <n v="159.75"/>
      </sharedItems>
    </cacheField>
    <cacheField name="CustDatPSAmountToDate" numFmtId="0">
      <sharedItems containsSemiMixedTypes="0" containsString="0" containsNumber="1">
        <n v="0.0"/>
        <n v="558.0"/>
        <n v="387.5"/>
        <n v="775.0"/>
        <n v="930.0"/>
      </sharedItems>
    </cacheField>
    <cacheField name="CustDatPSLastMonth" numFmtId="0">
      <sharedItems containsSemiMixedTypes="0" containsString="0" containsNumber="1">
        <n v="0.0"/>
        <n v="558.0"/>
        <n v="387.5"/>
        <n v="775.0"/>
        <n v="77.5"/>
        <n v="930.0"/>
      </sharedItems>
    </cacheField>
    <cacheField name="ExpectedLifetime" numFmtId="0">
      <sharedItems containsSemiMixedTypes="0" containsString="0" containsNumber="1" containsInteger="1">
        <n v="0.0"/>
        <n v="28.0"/>
      </sharedItems>
    </cacheField>
    <cacheField name="MethodDiscount" numFmtId="0">
      <sharedItems containsBlank="1">
        <s v="US-3 Month Promo(25% off)"/>
        <m/>
        <s v="US-Partner 2 Free Users"/>
      </sharedItems>
    </cacheField>
    <cacheField name="Channel" numFmtId="0">
      <sharedItems>
        <s v="Direct"/>
        <s v="Referred"/>
        <s v="Managed"/>
      </sharedItems>
    </cacheField>
    <cacheField name="PartnerName" numFmtId="0">
      <sharedItems containsBlank="1">
        <m/>
        <s v="Altiro Solutions"/>
        <s v="Cloud Consultancy"/>
        <s v="Home Watch IT, LLC"/>
        <s v="Marwan Dajani Business Solutions"/>
        <s v="SBS Associates, Inc."/>
        <s v="Tech In The Field"/>
        <s v="ercsolutionsinc"/>
        <s v="Cleanslate Financial Services"/>
        <s v="John Sandy and Associates Co"/>
        <s v="Brandow Consulting"/>
        <s v="Mobility City Franchises"/>
      </sharedItems>
    </cacheField>
    <cacheField name="CookieID" numFmtId="0">
      <sharedItems containsSemiMixedTypes="0" containsString="0" containsNumber="1" containsInteger="1">
        <n v="7217712.0"/>
        <n v="7218180.0"/>
        <n v="7218307.0"/>
        <n v="7204189.0"/>
        <n v="7171808.0"/>
        <n v="7168930.0"/>
        <n v="7218855.0"/>
        <n v="7210242.0"/>
        <n v="7191321.0"/>
        <n v="7219935.0"/>
        <n v="7220141.0"/>
        <n v="6659644.0"/>
        <n v="7220412.0"/>
        <n v="7220589.0"/>
        <n v="7158239.0"/>
        <n v="7220805.0"/>
        <n v="7221061.0"/>
        <n v="7155332.0"/>
        <n v="7221267.0"/>
        <n v="7034286.0"/>
        <n v="7012113.0"/>
        <n v="7203163.0"/>
        <n v="7222319.0"/>
        <n v="7222778.0"/>
        <n v="7222681.0"/>
        <n v="7222912.0"/>
        <n v="7222975.0"/>
        <n v="7223248.0"/>
        <n v="7224530.0"/>
        <n v="7224570.0"/>
        <n v="7224692.0"/>
        <n v="7148020.0"/>
        <n v="7224805.0"/>
        <n v="7225423.0"/>
        <n v="7225452.0"/>
        <n v="7225548.0"/>
        <n v="7224722.0"/>
        <n v="7225705.0"/>
        <n v="7168038.0"/>
        <n v="7225592.0"/>
        <n v="7225967.0"/>
        <n v="7226145.0"/>
        <n v="7033836.0"/>
        <n v="7171683.0"/>
        <n v="7226908.0"/>
        <n v="7200361.0"/>
        <n v="7227287.0"/>
        <n v="7227385.0"/>
        <n v="7227482.0"/>
        <n v="7227496.0"/>
        <n v="7227716.0"/>
        <n v="7226948.0"/>
        <n v="7227818.0"/>
        <n v="6729572.0"/>
        <n v="7228093.0"/>
        <n v="7228190.0"/>
        <n v="7225937.0"/>
        <n v="7228418.0"/>
        <n v="7214453.0"/>
        <n v="7228602.0"/>
        <n v="7228836.0"/>
        <n v="7228931.0"/>
        <n v="7228947.0"/>
        <n v="7229263.0"/>
        <n v="7229509.0"/>
        <n v="7229653.0"/>
        <n v="7225658.0"/>
        <n v="7189860.0"/>
        <n v="7230330.0"/>
        <n v="7230452.0"/>
        <n v="7196123.0"/>
        <n v="7230630.0"/>
        <n v="7229842.0"/>
        <n v="7220470.0"/>
        <n v="7230971.0"/>
        <n v="7231141.0"/>
        <n v="7129479.0"/>
        <n v="7231310.0"/>
        <n v="7231451.0"/>
        <n v="7231589.0"/>
        <n v="7231606.0"/>
        <n v="7193888.0"/>
        <n v="7231851.0"/>
        <n v="7156504.0"/>
        <n v="7004999.0"/>
        <n v="7232226.0"/>
        <n v="7232539.0"/>
        <n v="7231212.0"/>
        <n v="7197435.0"/>
        <n v="7233303.0"/>
        <n v="7183421.0"/>
        <n v="7234024.0"/>
        <n v="7234633.0"/>
        <n v="7235439.0"/>
        <n v="7120535.0"/>
        <n v="7236563.0"/>
        <n v="7237457.0"/>
        <n v="7237483.0"/>
        <n v="7237545.0"/>
        <n v="7237731.0"/>
        <n v="7146070.0"/>
        <n v="6822630.0"/>
        <n v="7238173.0"/>
        <n v="7238395.0"/>
        <n v="7077601.0"/>
        <n v="7238833.0"/>
        <n v="7239323.0"/>
        <n v="7239055.0"/>
        <n v="7239820.0"/>
        <n v="7238199.0"/>
        <n v="7240251.0"/>
        <n v="7240312.0"/>
        <n v="7240329.0"/>
        <n v="7240652.0"/>
        <n v="7240782.0"/>
        <n v="7241058.0"/>
        <n v="7241576.0"/>
        <n v="6741515.0"/>
        <n v="7242522.0"/>
        <n v="7237240.0"/>
        <n v="7167524.0"/>
        <n v="7243328.0"/>
        <n v="7244129.0"/>
        <n v="7243458.0"/>
        <n v="7244418.0"/>
        <n v="7244437.0"/>
        <n v="7244725.0"/>
        <n v="7244822.0"/>
        <n v="6989049.0"/>
        <n v="7245281.0"/>
        <n v="7245932.0"/>
        <n v="7173666.0"/>
        <n v="7250031.0"/>
        <n v="7253089.0"/>
        <n v="7254048.0"/>
        <n v="7255075.0"/>
        <n v="7255782.0"/>
        <n v="7256372.0"/>
        <n v="7256490.0"/>
        <n v="7257392.0"/>
        <n v="7258384.0"/>
        <n v="7259314.0"/>
        <n v="7254761.0"/>
        <n v="7261719.0"/>
        <n v="7240248.0"/>
        <n v="7264509.0"/>
        <n v="7240059.0"/>
        <n v="7265317.0"/>
        <n v="7265403.0"/>
        <n v="7268249.0"/>
        <n v="7271853.0"/>
        <n v="7230951.0"/>
        <n v="7177412.0"/>
        <n v="7273486.0"/>
        <n v="7201522.0"/>
        <n v="7274020.0"/>
        <n v="7196193.0"/>
        <n v="7275272.0"/>
        <n v="7260101.0"/>
        <n v="7244828.0"/>
        <n v="7165234.0"/>
        <n v="6579359.0"/>
        <n v="0.0"/>
        <n v="7276342.0"/>
        <n v="7045685.0"/>
        <n v="7233302.0"/>
        <n v="7273827.0"/>
        <n v="7166736.0"/>
        <n v="7277976.0"/>
        <n v="7279779.0"/>
        <n v="7280163.0"/>
        <n v="7281303.0"/>
        <n v="7281696.0"/>
        <n v="7282184.0"/>
        <n v="7283340.0"/>
        <n v="7285028.0"/>
        <n v="7288102.0"/>
        <n v="7288268.0"/>
        <n v="7097059.0"/>
        <n v="7288731.0"/>
        <n v="7277947.0"/>
        <n v="7288780.0"/>
        <n v="7245206.0"/>
        <n v="7290569.0"/>
        <n v="7290931.0"/>
        <n v="7291572.0"/>
        <n v="7292733.0"/>
        <n v="7292825.0"/>
        <n v="7293523.0"/>
        <n v="7293900.0"/>
        <n v="6912095.0"/>
        <n v="7294729.0"/>
        <n v="7294914.0"/>
        <n v="7296950.0"/>
        <n v="7297136.0"/>
        <n v="7296773.0"/>
        <n v="7298299.0"/>
        <n v="7300043.0"/>
        <n v="7288135.0"/>
        <n v="7261273.0"/>
        <n v="7305341.0"/>
        <n v="7305251.0"/>
        <n v="7306028.0"/>
        <n v="7306523.0"/>
        <n v="7306779.0"/>
        <n v="7233085.0"/>
        <n v="7306902.0"/>
        <n v="6624131.0"/>
        <n v="7307287.0"/>
        <n v="7307469.0"/>
        <n v="7308251.0"/>
        <n v="7309404.0"/>
        <n v="7309590.0"/>
        <n v="7309669.0"/>
        <n v="7310009.0"/>
        <n v="7310029.0"/>
        <n v="7309087.0"/>
        <n v="6777186.0"/>
        <n v="7311275.0"/>
        <n v="7312083.0"/>
        <n v="7311871.0"/>
        <n v="7312685.0"/>
        <n v="7313079.0"/>
        <n v="7313064.0"/>
        <n v="7292847.0"/>
        <n v="7314056.0"/>
        <n v="7311439.0"/>
        <n v="7314218.0"/>
        <n v="7314376.0"/>
        <n v="7313880.0"/>
        <n v="7315035.0"/>
        <n v="7314310.0"/>
        <n v="7279273.0"/>
        <n v="7317257.0"/>
        <n v="7317606.0"/>
        <n v="7317426.0"/>
        <n v="7318996.0"/>
        <n v="7321521.0"/>
        <n v="7137487.0"/>
        <n v="7325165.0"/>
        <n v="7325235.0"/>
        <n v="7325409.0"/>
        <n v="7072555.0"/>
        <n v="7167566.0"/>
        <n v="7325823.0"/>
        <n v="6734922.0"/>
        <n v="7326137.0"/>
        <n v="7326276.0"/>
        <n v="7326300.0"/>
        <n v="7326407.0"/>
        <n v="7326650.0"/>
        <n v="7324933.0"/>
        <n v="7327090.0"/>
        <n v="6979405.0"/>
        <n v="7327812.0"/>
        <n v="7328360.0"/>
        <n v="7328686.0"/>
        <n v="7326178.0"/>
        <n v="7329807.0"/>
        <n v="7330086.0"/>
        <n v="7094062.0"/>
        <n v="7065897.0"/>
        <n v="7331108.0"/>
        <n v="7331190.0"/>
        <n v="7331401.0"/>
        <n v="7331728.0"/>
        <n v="7331912.0"/>
        <n v="7331931.0"/>
        <n v="7332219.0"/>
        <n v="7307440.0"/>
        <n v="7333647.0"/>
        <n v="7333633.0"/>
        <n v="7333841.0"/>
        <n v="7333901.0"/>
        <n v="7333957.0"/>
        <n v="7334081.0"/>
        <n v="7334193.0"/>
        <n v="7334665.0"/>
        <n v="7094502.0"/>
        <n v="7334629.0"/>
        <n v="7334946.0"/>
        <n v="7335014.0"/>
        <n v="7335079.0"/>
        <n v="7335476.0"/>
        <n v="6798468.0"/>
        <n v="7335776.0"/>
        <n v="7316922.0"/>
        <n v="7335977.0"/>
        <n v="7336304.0"/>
        <n v="7336827.0"/>
        <n v="7336910.0"/>
        <n v="7337316.0"/>
        <n v="7337375.0"/>
        <n v="7337359.0"/>
        <n v="7337348.0"/>
        <n v="7337541.0"/>
        <n v="7337712.0"/>
        <n v="7337789.0"/>
        <n v="7193167.0"/>
        <n v="7338308.0"/>
        <n v="7338781.0"/>
        <n v="7339068.0"/>
        <n v="7339662.0"/>
        <n v="7008148.0"/>
        <n v="7340537.0"/>
        <n v="7340674.0"/>
        <n v="7341148.0"/>
        <n v="7341433.0"/>
        <n v="7340072.0"/>
        <n v="7341136.0"/>
        <n v="7341830.0"/>
        <n v="7333726.0"/>
        <n v="7342377.0"/>
        <n v="7276113.0"/>
        <n v="7342786.0"/>
        <n v="7342948.0"/>
        <n v="7343742.0"/>
        <n v="7344694.0"/>
        <n v="7344705.0"/>
        <n v="7344793.0"/>
        <n v="7344836.0"/>
        <n v="7345219.0"/>
        <n v="7345290.0"/>
        <n v="7345968.0"/>
        <n v="7346355.0"/>
        <n v="7343077.0"/>
        <n v="7347422.0"/>
        <n v="7348243.0"/>
        <n v="7348356.0"/>
        <n v="7348552.0"/>
        <n v="7348708.0"/>
        <n v="7348738.0"/>
        <n v="7349063.0"/>
        <n v="7348940.0"/>
        <n v="7349171.0"/>
        <n v="7349288.0"/>
        <n v="7349341.0"/>
        <n v="7349688.0"/>
        <n v="7348592.0"/>
        <n v="7350158.0"/>
        <n v="7350228.0"/>
        <n v="7350246.0"/>
        <n v="7351322.0"/>
        <n v="7340809.0"/>
        <n v="7352143.0"/>
        <n v="7352409.0"/>
        <n v="7352422.0"/>
        <n v="7352511.0"/>
        <n v="7352582.0"/>
        <n v="7352927.0"/>
        <n v="6431390.0"/>
        <n v="7353060.0"/>
        <n v="7352666.0"/>
        <n v="7351404.0"/>
        <n v="7353351.0"/>
        <n v="7012143.0"/>
        <n v="7324557.0"/>
        <n v="7226569.0"/>
        <n v="7353796.0"/>
        <n v="7353702.0"/>
        <n v="7353965.0"/>
        <n v="7354154.0"/>
        <n v="7354205.0"/>
        <n v="7354221.0"/>
        <n v="7354416.0"/>
        <n v="7355087.0"/>
        <n v="7355084.0"/>
        <n v="7355286.0"/>
        <n v="7355560.0"/>
        <n v="7355771.0"/>
        <n v="7355873.0"/>
        <n v="7355995.0"/>
        <n v="7357104.0"/>
        <n v="7357786.0"/>
        <n v="7359095.0"/>
        <n v="7146953.0"/>
        <n v="7359849.0"/>
        <n v="7360157.0"/>
        <n v="7360566.0"/>
        <n v="7360844.0"/>
        <n v="7360911.0"/>
        <n v="7277373.0"/>
        <n v="7360089.0"/>
        <n v="7311650.0"/>
        <n v="7361997.0"/>
        <n v="7362434.0"/>
        <n v="7363111.0"/>
        <n v="7363938.0"/>
        <n v="7364206.0"/>
        <n v="7364506.0"/>
        <n v="6829553.0"/>
        <n v="7367947.0"/>
        <n v="7332943.0"/>
        <n v="7369644.0"/>
        <n v="7361653.0"/>
        <n v="7370578.0"/>
        <n v="7370940.0"/>
        <n v="7370986.0"/>
        <n v="7371073.0"/>
        <n v="7370730.0"/>
        <n v="7370544.0"/>
        <n v="7371208.0"/>
        <n v="7371618.0"/>
        <n v="7044370.0"/>
        <n v="7371443.0"/>
        <n v="7371953.0"/>
        <n v="7372371.0"/>
        <n v="7372387.0"/>
        <n v="7372832.0"/>
        <n v="7373529.0"/>
        <n v="7373827.0"/>
        <n v="7374439.0"/>
        <n v="7374507.0"/>
        <n v="7375196.0"/>
        <n v="7375678.0"/>
        <n v="7375898.0"/>
        <n v="7376116.0"/>
        <n v="7376541.0"/>
        <n v="7376841.0"/>
        <n v="7376760.0"/>
        <n v="7377481.0"/>
        <n v="7378920.0"/>
        <n v="7381511.0"/>
        <n v="7381585.0"/>
        <n v="7381993.0"/>
        <n v="7378450.0"/>
        <n v="7382048.0"/>
        <n v="7375429.0"/>
        <n v="7381327.0"/>
        <n v="7382898.0"/>
        <n v="7373906.0"/>
        <n v="7230959.0"/>
        <n v="7383456.0"/>
        <n v="7384235.0"/>
        <n v="7384299.0"/>
        <n v="7371588.0"/>
        <n v="7383991.0"/>
        <n v="7384826.0"/>
        <n v="7385048.0"/>
        <n v="7385133.0"/>
        <n v="7385441.0"/>
        <n v="7385590.0"/>
        <n v="7386866.0"/>
        <n v="7373144.0"/>
        <n v="7387290.0"/>
        <n v="7387323.0"/>
        <n v="7328427.0"/>
        <n v="7390045.0"/>
        <n v="7390846.0"/>
        <n v="7169826.0"/>
        <n v="7391961.0"/>
        <n v="7394490.0"/>
        <n v="7394563.0"/>
        <n v="7395054.0"/>
        <n v="7395506.0"/>
        <n v="7399184.0"/>
        <n v="7400650.0"/>
        <n v="7104534.0"/>
        <n v="7400714.0"/>
        <n v="7400927.0"/>
        <n v="7359092.0"/>
        <n v="7401497.0"/>
        <n v="7334314.0"/>
        <n v="7401779.0"/>
        <n v="7401811.0"/>
        <n v="7402242.0"/>
        <n v="7402549.0"/>
        <n v="7192064.0"/>
        <n v="7403507.0"/>
        <n v="7403824.0"/>
        <n v="7403975.0"/>
        <n v="7404050.0"/>
        <n v="7404067.0"/>
        <n v="7404218.0"/>
        <n v="7405733.0"/>
        <n v="7406728.0"/>
        <n v="7407677.0"/>
        <n v="7365397.0"/>
        <n v="7408184.0"/>
        <n v="7409418.0"/>
        <n v="7410879.0"/>
        <n v="7414207.0"/>
        <n v="7414762.0"/>
        <n v="7415120.0"/>
        <n v="7416598.0"/>
        <n v="7416818.0"/>
        <n v="7416913.0"/>
        <n v="7418642.0"/>
        <n v="7418651.0"/>
        <n v="7418745.0"/>
        <n v="7418956.0"/>
        <n v="7419039.0"/>
        <n v="7418388.0"/>
        <n v="7419583.0"/>
        <n v="7419756.0"/>
        <n v="7316090.0"/>
        <n v="7420421.0"/>
        <n v="7425042.0"/>
        <n v="7392695.0"/>
        <n v="7447047.0"/>
        <n v="7450566.0"/>
        <n v="7454404.0"/>
        <n v="7456580.0"/>
        <n v="7400785.0"/>
        <n v="7457140.0"/>
        <n v="6923940.0"/>
        <n v="7457386.0"/>
        <n v="7457395.0"/>
        <n v="7457523.0"/>
        <n v="7457595.0"/>
        <n v="6858904.0"/>
        <n v="7461684.0"/>
        <n v="7461671.0"/>
        <n v="7239387.0"/>
        <n v="7462073.0"/>
        <n v="7463015.0"/>
        <n v="7463459.0"/>
        <n v="7464033.0"/>
        <n v="7464452.0"/>
        <n v="7464685.0"/>
        <n v="7464714.0"/>
        <n v="7466069.0"/>
        <n v="7466227.0"/>
        <n v="7466806.0"/>
        <n v="7467094.0"/>
        <n v="7467584.0"/>
        <n v="7467688.0"/>
        <n v="7467776.0"/>
        <n v="7468068.0"/>
        <n v="7468556.0"/>
        <n v="7466833.0"/>
        <n v="7469016.0"/>
        <n v="7470645.0"/>
        <n v="7473585.0"/>
        <n v="7475754.0"/>
        <n v="7477627.0"/>
        <n v="7481009.0"/>
        <n v="7483343.0"/>
        <n v="6951325.0"/>
        <n v="7484300.0"/>
        <n v="7274989.0"/>
        <n v="7485094.0"/>
        <n v="7487526.0"/>
        <n v="7457343.0"/>
        <n v="7490185.0"/>
        <n v="7493259.0"/>
        <n v="7498568.0"/>
        <n v="7498731.0"/>
        <n v="7499398.0"/>
        <n v="7502873.0"/>
        <n v="7502316.0"/>
        <n v="7505399.0"/>
        <n v="6312958.0"/>
        <n v="7509326.0"/>
        <n v="7509508.0"/>
        <n v="7510482.0"/>
        <n v="7511335.0"/>
        <n v="7511932.0"/>
        <n v="7513096.0"/>
        <n v="7513352.0"/>
        <n v="7514329.0"/>
        <n v="7514568.0"/>
        <n v="7515965.0"/>
        <n v="7516417.0"/>
        <n v="7516601.0"/>
        <n v="7518306.0"/>
        <n v="7509689.0"/>
        <n v="7519590.0"/>
        <n v="7522095.0"/>
        <n v="7522834.0"/>
        <n v="7523342.0"/>
        <n v="7524220.0"/>
        <n v="7525084.0"/>
        <n v="7525186.0"/>
        <n v="7526193.0"/>
        <n v="6685099.0"/>
        <n v="7526267.0"/>
        <n v="7526564.0"/>
        <n v="7209412.0"/>
        <n v="7526709.0"/>
        <n v="7525769.0"/>
        <n v="7516150.0"/>
        <n v="7527359.0"/>
        <n v="7528096.0"/>
        <n v="7528275.0"/>
        <n v="7528412.0"/>
        <n v="7532217.0"/>
        <n v="7400576.0"/>
        <n v="7532929.0"/>
        <n v="6997201.0"/>
        <n v="7534329.0"/>
        <n v="7192756.0"/>
        <n v="7535169.0"/>
        <n v="7535309.0"/>
        <n v="7222082.0"/>
        <n v="7535554.0"/>
        <n v="7535621.0"/>
        <n v="7535678.0"/>
        <n v="7513561.0"/>
        <n v="7535952.0"/>
        <n v="7536811.0"/>
        <n v="7537141.0"/>
        <n v="7218369.0"/>
        <n v="7540010.0"/>
        <n v="7540439.0"/>
        <n v="7534963.0"/>
        <n v="7541300.0"/>
        <n v="7541520.0"/>
        <n v="7386104.0"/>
        <n v="7544590.0"/>
        <n v="7546463.0"/>
        <n v="7546699.0"/>
      </sharedItems>
    </cacheField>
    <cacheField name="Att_Direct_SEO_Referrer" numFmtId="0">
      <sharedItems containsBlank="1">
        <s v="https://www.google.com/"/>
        <m/>
        <s v="https://chatgpt.com/"/>
        <s v="https://www.bing.com/"/>
        <s v="https://www.youtube.com/"/>
        <s v="https://duckduckgo.com/"/>
        <s v="https://search.yahoo.com/"/>
        <s v="https://bit.ly/3PWw6Mj"/>
        <s v="android-app://com.google.android.googlequicksearchbox/"/>
      </sharedItems>
    </cacheField>
    <cacheField name="Att_Direct" numFmtId="0">
      <sharedItems containsSemiMixedTypes="0" containsString="0" containsNumber="1" containsInteger="1">
        <n v="0.0"/>
        <n v="1.0"/>
      </sharedItems>
    </cacheField>
    <cacheField name="Att_SEO" numFmtId="0">
      <sharedItems containsSemiMixedTypes="0" containsString="0" containsNumber="1">
        <n v="1.0"/>
        <n v="0.0"/>
        <n v="0.6"/>
        <n v="0.4"/>
        <n v="0.5"/>
        <n v="0.0071"/>
      </sharedItems>
    </cacheField>
    <cacheField name="Att_OPN_Other_Peoples_Networks" numFmtId="0">
      <sharedItems containsSemiMixedTypes="0" containsString="0" containsNumber="1">
        <n v="0.0"/>
        <n v="1.0"/>
        <n v="0.5"/>
        <n v="0.8"/>
      </sharedItems>
    </cacheField>
    <cacheField name="Att_Pay_Per_Click" numFmtId="0">
      <sharedItems containsSemiMixedTypes="0" containsString="0" containsNumber="1">
        <n v="0.0"/>
        <n v="1.0"/>
        <n v="0.4"/>
        <n v="0.5"/>
        <n v="0.6001"/>
        <n v="0.2"/>
        <n v="0.45"/>
      </sharedItems>
    </cacheField>
    <cacheField name="Att_Partners" numFmtId="0">
      <sharedItems containsSemiMixedTypes="0" containsString="0" containsNumber="1">
        <n v="0.0"/>
        <n v="0.5"/>
        <n v="1.0"/>
        <n v="0.6"/>
        <n v="0.9929"/>
        <n v="0.4"/>
      </sharedItems>
    </cacheField>
    <cacheField name="Att_Email" numFmtId="0">
      <sharedItems containsSemiMixedTypes="0" containsString="0" containsNumber="1">
        <n v="0.0"/>
        <n v="0.6002"/>
        <n v="1.0"/>
        <n v="0.15"/>
        <n v="0.5998"/>
        <n v="0.1"/>
        <n v="0.05"/>
      </sharedItems>
    </cacheField>
    <cacheField name="Att_Remarketing" numFmtId="0">
      <sharedItems containsSemiMixedTypes="0" containsString="0" containsNumber="1" containsInteger="1">
        <n v="0.0"/>
      </sharedItems>
    </cacheField>
    <cacheField name="Att_Social" numFmtId="0">
      <sharedItems containsSemiMixedTypes="0" containsString="0" containsNumber="1" containsInteger="1">
        <n v="0.0"/>
      </sharedItems>
    </cacheField>
    <cacheField name="Att_Help_Center" numFmtId="0">
      <sharedItems containsSemiMixedTypes="0" containsString="0" containsNumber="1" containsInteger="1">
        <n v="0.0"/>
      </sharedItems>
    </cacheField>
    <cacheField name="Att_Online_Chat_Tool" numFmtId="0">
      <sharedItems containsSemiMixedTypes="0" containsString="0" containsNumber="1" containsInteger="1">
        <n v="0.0"/>
      </sharedItems>
    </cacheField>
    <cacheField name="Att_Content" numFmtId="0">
      <sharedItems containsSemiMixedTypes="0" containsString="0" containsNumber="1">
        <n v="0.0"/>
        <n v="0.45"/>
        <n v="1.0"/>
      </sharedItems>
    </cacheField>
    <cacheField name="Att_Banner_Ads" numFmtId="0">
      <sharedItems containsSemiMixedTypes="0" containsString="0" containsNumber="1" containsInteger="1">
        <n v="0.0"/>
      </sharedItems>
    </cacheField>
    <cacheField name="Att_Seminar_Conference" numFmtId="0">
      <sharedItems containsSemiMixedTypes="0" containsString="0" containsNumber="1" containsInteger="1">
        <n v="0.0"/>
      </sharedItems>
    </cacheField>
    <cacheField name="Att_Referral_Program" numFmtId="0">
      <sharedItems containsSemiMixedTypes="0" containsString="0" containsNumber="1" containsInteger="1">
        <n v="0.0"/>
      </sharedItems>
    </cacheField>
    <cacheField name="Att_Referral_Link" numFmtId="0">
      <sharedItems containsSemiMixedTypes="0" containsString="0" containsNumber="1" containsInteger="1">
        <n v="0.0"/>
      </sharedItems>
    </cacheField>
    <cacheField name="Att_Backlinks" numFmtId="0">
      <sharedItems containsSemiMixedTypes="0" containsString="0" containsNumber="1" containsInteger="1">
        <n v="0.0"/>
      </sharedItems>
    </cacheField>
    <cacheField name="Att_Other" numFmtId="0">
      <sharedItems containsSemiMixedTypes="0" containsString="0" containsNumber="1" containsInteger="1">
        <n v="0.0"/>
        <n v="1.0"/>
      </sharedItems>
    </cacheField>
    <cacheField name="Att_Webinar" numFmtId="0">
      <sharedItems containsSemiMixedTypes="0" containsString="0" containsNumber="1" containsInteger="1">
        <n v="0.0"/>
      </sharedItems>
    </cacheField>
    <cacheField name="Att_None" numFmtId="0">
      <sharedItems containsSemiMixedTypes="0" containsString="0" containsNumber="1">
        <n v="0.0"/>
        <n v="1.0"/>
        <n v="-1.9999999999997797E-4"/>
        <n v="1.9999999999997797E-4"/>
        <n v="-9.999999999998899E-5"/>
      </sharedItems>
    </cacheField>
    <cacheField name="SyncTypeRegion" numFmtId="0">
      <sharedItems containsBlank="1">
        <s v="CA"/>
        <s v="KW"/>
        <m/>
        <s v="US"/>
        <s v="GB"/>
        <s v="HK"/>
        <s v="IN"/>
        <s v="TT"/>
        <s v="PA"/>
        <s v="MY"/>
        <s v="AU"/>
        <s v="ZA"/>
        <s v="PK"/>
        <s v="UG"/>
        <s v="NZ"/>
        <s v="ID"/>
        <s v="MA"/>
        <s v="AE"/>
        <s v="ZW"/>
        <s v="KE"/>
        <s v="EG"/>
        <s v="SR"/>
        <s v="HN"/>
        <s v="JM"/>
      </sharedItems>
    </cacheField>
    <cacheField name="Vertical" numFmtId="0">
      <sharedItems containsBlank="1">
        <s v="Other"/>
        <s v="Repair and maintenance"/>
        <m/>
        <s v="Construction"/>
        <s v="Field Services"/>
        <s v="Manufacturing (MWD)"/>
        <s v="Wholesale and distribution services (MWD)"/>
        <s v="Consulting and Professional Services"/>
        <s v="IT and computer related"/>
        <s v="Accounting and Bookkeeping"/>
        <s v="Retail"/>
        <s v="Automotive parts, repair and maintenance"/>
      </sharedItems>
    </cacheField>
    <cacheField name="Sector" numFmtId="0">
      <sharedItems containsBlank="1">
        <s v="other"/>
        <m/>
      </sharedItems>
    </cacheField>
    <cacheField name="CustDatIndustry" numFmtId="0">
      <sharedItems containsBlank="1">
        <s v="Industrial building construction"/>
        <m/>
        <s v="Outdoor Kitchen Design / Build"/>
        <s v="Other"/>
        <s v="All other professional, scientific, and technical services"/>
        <s v="Coffee and tea manufacturing"/>
        <s v="Fish and seafood merchant wholesalers"/>
        <s v="OtherNone"/>
        <s v="Software publishers"/>
        <s v="WholesaleDistributionandSales"/>
        <s v="21"/>
        <s v="Manufacturing"/>
        <s v="retail"/>
        <s v="Other chemical and allied products merchant wholesalers"/>
        <s v="Professional Consulting"/>
        <s v="GeneralServicebasedBusiness"/>
        <s v="Solution Promotionnelle"/>
        <s v="Electrical contractor"/>
        <s v="Recycling"/>
        <s v="Pool Management"/>
        <s v="Architectural services"/>
        <s v="Household appliance stores"/>
        <s v="Plumbing, heating, and air-conditioning contractors"/>
        <s v="Other support activities for air transportation"/>
        <s v="Security"/>
        <s v="Assisted living facilities for the elderly"/>
        <s v="Services"/>
        <s v="general contractor"/>
        <s v="Financial transactions processing, reserve, and clearinghouse activities"/>
        <s v="Other management consulting services"/>
        <s v="Wine and distilled alcoholic beverage merchant wholesalers"/>
        <s v="Other direct selling establishments"/>
        <s v="Other services to buildings and dwellings"/>
        <s v="Interior design services"/>
        <s v="Professional Services – e.g. consultants, designers, tutors &amp; childminders"/>
        <s v="AccountingorBookkeeping"/>
        <s v="Home Watch"/>
        <s v="Other commercial equipment merchant wholesalers"/>
        <s v="Appliance repair and maintenance"/>
        <s v="Surveying"/>
        <s v="Other activities related to real estate"/>
        <s v="Marketing consulting services"/>
        <s v="Service Provider"/>
        <s v="Support activities for forestry"/>
        <s v="Other waste collection"/>
        <s v="4"/>
        <s v="Management, Scientific, and Technical Consulting Services"/>
        <s v="Accommodation and Food Services"/>
        <s v="All other automotive repair and maintenance"/>
        <s v="Residential remodelers"/>
        <s v="Professional Services (e.g. Legal, Accounting, Marketing, Consulting)"/>
        <s v="Conveyor and conveying equipment manufacturing"/>
        <s v="Retail Trade (Food &amp; Beverage)"/>
        <s v="All other business support services"/>
        <s v="Bookkeeping"/>
        <s v="General Service"/>
        <s v="Apparel Manufacturing"/>
        <s v="General warehousing and storage"/>
        <s v="Flooring contractors"/>
        <s v="Other specialized design services"/>
        <s v="Wholesale Trade"/>
        <s v="Plumbing, gas fitting"/>
        <s v="Other Scientific and Technical Consulting Services"/>
        <s v="Other industrial machinery manufacturing"/>
        <s v="Internet Publishing and Broadcasting and Web Search Portals"/>
        <s v="Retail: General"/>
        <s v="Commercial and institutional building construction"/>
        <s v="Religious organizations"/>
        <s v="Graphic design services"/>
        <s v="Builder"/>
        <s v="Medical, dental, and hospital equipment and supplies merchant wholesalers"/>
        <s v="Overhead Doors And Openers"/>
        <s v="Breweries"/>
        <s v="Sandblasting and Painting"/>
        <s v="RetailSummary"/>
        <s v="Other computer related services"/>
        <s v="Commercial banking"/>
        <s v="BFS"/>
        <s v="website design"/>
        <s v="Investigation services"/>
        <s v="Pool and Spa maintenance and service"/>
        <s v="Tax preparation services"/>
        <s v="18"/>
        <s v="Engineering services"/>
        <s v="All other miscellaneous store retailers (except tobacco stores)"/>
        <s v="Oil and gas pipeline and related structures construction"/>
        <s v="Construction"/>
        <s v="Other personal care services"/>
        <s v="Electrical contractors and other wiring installation contractors"/>
        <s v="Sports and Recreation Instruction"/>
        <s v="Environmental consulting services"/>
        <s v="Construction/Builder"/>
        <s v="Wholesale trade agents and brokers"/>
        <s v="Roofing contractors"/>
        <s v="design_arch_eng"/>
        <s v="Telecommunications"/>
        <s v="Exterior Cleaning"/>
        <s v="All other miscellaneous manufacturing"/>
        <s v="Computer systems design services"/>
        <s v="All other personal services"/>
        <s v="Chicken egg production"/>
        <s v="Glass and Glazing Contractors"/>
        <s v="Freight transportation arrangement"/>
        <s v="Offices of notaries"/>
        <s v="ConstructionTradesPlumberElectricianHVAC"/>
        <s v="Bottled water manufacturing"/>
        <s v="All other specialty trade contractors"/>
        <s v="Other accounting services"/>
        <s v="Repair and Maintenance (Automotive &amp; Property)"/>
        <s v="Landscaping services"/>
        <s v="General Service-based Business"/>
        <s v="Other social advocacy organizations"/>
        <s v="Couriers and express delivery services"/>
        <s v="Offices of other holding companies"/>
        <s v="20"/>
        <s v="Solar electric power generation"/>
        <s v="Security guards and patrol services"/>
        <s v="Electrical Services"/>
        <s v="Wholesale &amp; Distribution"/>
        <s v="Application Development/Software, Publishers (packaged)"/>
        <s v="Packaging and labeling services"/>
        <s v="Outdoor advertising"/>
        <s v="Retail bakeries"/>
        <s v="construction_contractor"/>
        <s v="Professional organizations"/>
        <s v="Commercial photography"/>
        <s v="Other building material dealers"/>
      </sharedItems>
    </cacheField>
    <cacheField name="CustDatFirstSyncCompleted" numFmtId="164">
      <sharedItems containsDate="1" containsString="0" containsBlank="1">
        <d v="2025-11-30T00:00:00Z"/>
        <m/>
        <d v="2025-12-01T00:00:00Z"/>
        <d v="2025-12-02T00:00:00Z"/>
        <d v="2025-12-04T00:00:00Z"/>
        <d v="2025-12-05T00:00:00Z"/>
        <d v="2025-12-03T00:00:00Z"/>
        <d v="2025-12-17T00:00:00Z"/>
        <d v="2025-12-21T00:00:00Z"/>
        <d v="2025-12-06T00:00:00Z"/>
        <d v="2025-12-07T00:00:00Z"/>
        <d v="2025-12-12T00:00:00Z"/>
        <d v="2025-12-08T00:00:00Z"/>
        <d v="2025-12-29T00:00:00Z"/>
        <d v="2025-12-10T00:00:00Z"/>
        <d v="2025-12-09T00:00:00Z"/>
        <d v="2025-12-11T00:00:00Z"/>
        <d v="2025-12-18T00:00:00Z"/>
        <d v="2025-12-24T00:00:00Z"/>
        <d v="2025-12-25T00:00:00Z"/>
        <d v="2025-12-13T00:00:00Z"/>
        <d v="2025-12-14T00:00:00Z"/>
        <d v="2025-12-15T00:00:00Z"/>
        <d v="2025-12-16T00:00:00Z"/>
        <d v="2025-12-19T00:00:00Z"/>
        <d v="2026-01-01T00:00:00Z"/>
        <d v="2025-12-22T00:00:00Z"/>
        <d v="2025-12-20T00:00:00Z"/>
        <d v="2025-12-23T00:00:00Z"/>
        <d v="2025-12-26T00:00:00Z"/>
        <d v="2025-12-27T00:00:00Z"/>
        <d v="2025-12-28T00:00:00Z"/>
        <d v="2026-01-02T00:00:00Z"/>
        <d v="2025-12-30T00:00:00Z"/>
        <d v="2025-12-31T00:00:00Z"/>
      </sharedItems>
    </cacheField>
    <cacheField name="CustDatLastRefreshed" numFmtId="164">
      <sharedItems containsDate="1" containsString="0" containsBlank="1">
        <d v="2026-01-02T00:49:00Z"/>
        <d v="2026-01-01T23:34:00Z"/>
        <d v="2026-01-02T00:41:00Z"/>
        <d v="2026-01-02T00:02:00Z"/>
        <d v="2026-01-01T23:45:00Z"/>
        <m/>
        <d v="2026-01-02T00:40:00Z"/>
        <d v="2025-12-09T00:26:00Z"/>
        <d v="2026-01-02T00:05:00Z"/>
        <d v="2026-01-02T00:39:00Z"/>
        <d v="2026-01-02T00:18:00Z"/>
        <d v="2026-01-02T00:51:00Z"/>
        <d v="2026-01-02T00:54:00Z"/>
        <d v="2026-01-02T00:14:00Z"/>
        <d v="2025-12-08T00:09:00Z"/>
        <d v="2026-01-01T23:50:00Z"/>
        <d v="2025-12-09T00:22:00Z"/>
        <d v="2026-01-02T00:25:00Z"/>
        <d v="2026-01-02T00:53:00Z"/>
        <d v="2026-01-01T23:53:00Z"/>
        <d v="2026-01-01T23:52:00Z"/>
        <d v="2026-01-02T00:10:00Z"/>
        <d v="2026-01-02T00:37:00Z"/>
        <d v="2026-01-02T00:43:00Z"/>
        <d v="2026-01-01T23:33:00Z"/>
        <d v="2026-01-02T01:01:00Z"/>
        <d v="2026-01-02T00:15:00Z"/>
        <d v="2025-12-09T01:00:00Z"/>
        <d v="2026-01-01T23:58:00Z"/>
        <d v="2026-01-02T00:55:00Z"/>
        <d v="2026-01-02T00:33:00Z"/>
        <d v="2026-01-02T00:09:00Z"/>
        <d v="2026-01-02T00:58:00Z"/>
        <d v="2026-01-02T00:29:00Z"/>
        <d v="2026-01-01T23:41:00Z"/>
        <d v="2026-01-01T23:57:00Z"/>
        <d v="2026-01-01T23:44:00Z"/>
        <d v="2026-01-01T23:59:00Z"/>
        <d v="2026-01-01T23:43:00Z"/>
        <d v="2026-01-02T00:16:00Z"/>
        <d v="2026-01-01T23:49:00Z"/>
        <d v="2026-01-02T00:52:00Z"/>
        <d v="2026-01-02T00:13:00Z"/>
        <d v="2026-01-02T00:12:00Z"/>
        <d v="2026-01-02T00:26:00Z"/>
        <d v="2026-01-02T00:59:00Z"/>
        <d v="2025-12-23T00:18:00Z"/>
        <d v="2026-01-02T01:02:00Z"/>
        <d v="2026-01-02T00:56:00Z"/>
        <d v="2026-01-01T23:32:00Z"/>
        <d v="2026-01-02T00:04:00Z"/>
        <d v="2025-12-16T23:54:00Z"/>
        <d v="2025-12-09T01:07:00Z"/>
        <d v="2025-12-31T23:49:00Z"/>
        <d v="2025-12-29T00:49:00Z"/>
        <d v="2025-12-17T01:13:00Z"/>
        <d v="2026-01-01T23:38:00Z"/>
        <d v="2026-01-02T00:23:00Z"/>
        <d v="2025-12-17T00:54:00Z"/>
        <d v="2026-01-02T00:32:00Z"/>
        <d v="2025-12-23T23:57:00Z"/>
        <d v="2025-12-18T23:46:00Z"/>
        <d v="2026-01-02T00:08:00Z"/>
        <d v="2025-12-09T00:41:00Z"/>
        <d v="2026-01-02T00:27:00Z"/>
        <d v="2025-12-04T00:06:00Z"/>
        <d v="2026-01-01T23:51:00Z"/>
        <d v="2025-12-04T00:11:00Z"/>
        <d v="2025-12-15T23:40:00Z"/>
        <d v="2025-12-09T00:18:00Z"/>
        <d v="2026-01-01T23:36:00Z"/>
        <d v="2026-01-02T00:36:00Z"/>
        <d v="2026-01-02T00:46:00Z"/>
        <d v="2025-12-21T23:42:00Z"/>
        <d v="2025-12-04T14:16:00Z"/>
        <d v="2026-01-02T01:00:00Z"/>
        <d v="2025-12-29T23:46:00Z"/>
        <d v="2026-01-01T23:31:00Z"/>
        <d v="2025-12-08T00:35:00Z"/>
        <d v="2025-12-05T00:39:00Z"/>
        <d v="2026-01-02T00:06:00Z"/>
        <d v="2026-01-01T23:39:00Z"/>
        <d v="2026-01-01T23:46:00Z"/>
        <d v="2026-01-02T00:28:00Z"/>
        <d v="2026-01-02T00:22:00Z"/>
        <d v="2026-01-02T00:50:00Z"/>
        <d v="2026-01-02T00:45:00Z"/>
        <d v="2026-01-02T00:17:00Z"/>
        <d v="2025-12-23T00:32:00Z"/>
        <d v="2025-12-16T00:47:00Z"/>
        <d v="2026-01-01T23:56:00Z"/>
        <d v="2025-12-06T23:51:00Z"/>
        <d v="2025-12-09T00:54:00Z"/>
        <d v="2026-01-02T00:57:00Z"/>
        <d v="2025-12-23T23:47:00Z"/>
        <d v="2026-01-01T23:35:00Z"/>
        <d v="2025-12-11T00:11:00Z"/>
        <d v="2025-12-22T00:21:00Z"/>
        <d v="2026-01-02T00:24:00Z"/>
        <d v="2025-12-12T00:52:00Z"/>
        <d v="2026-01-02T00:11:00Z"/>
        <d v="2025-12-22T00:35:00Z"/>
        <d v="2025-12-16T01:13:00Z"/>
        <d v="2025-12-11T01:09:00Z"/>
        <d v="2026-01-02T00:30:00Z"/>
        <d v="2025-12-11T00:04:00Z"/>
        <d v="2026-01-02T00:00:00Z"/>
        <d v="2025-12-09T00:37:00Z"/>
        <d v="2026-01-02T00:42:00Z"/>
        <d v="2025-12-12T01:02:00Z"/>
        <d v="2026-01-02T00:34:00Z"/>
        <d v="2026-01-02T00:31:00Z"/>
        <d v="2026-01-02T00:01:00Z"/>
        <d v="2025-12-18T23:52:00Z"/>
        <d v="2025-12-12T01:12:00Z"/>
        <d v="2026-01-02T00:35:00Z"/>
        <d v="2025-12-11T23:35:00Z"/>
        <d v="2025-12-11T23:54:00Z"/>
        <d v="2025-12-24T01:09:00Z"/>
        <d v="2025-12-18T00:46:00Z"/>
        <d v="2026-01-02T00:20:00Z"/>
        <d v="2026-01-01T23:30:00Z"/>
        <d v="2025-12-19T00:24:00Z"/>
        <d v="2026-01-01T23:37:00Z"/>
        <d v="2026-01-01T23:40:00Z"/>
        <d v="2025-12-31T00:26:00Z"/>
        <d v="2025-12-12T01:04:00Z"/>
        <d v="2025-12-16T00:26:00Z"/>
        <d v="2026-01-02T00:03:00Z"/>
        <d v="2025-12-18T01:12:00Z"/>
        <d v="2025-12-12T00:25:00Z"/>
        <d v="2025-12-11T23:55:00Z"/>
        <d v="2026-01-02T00:21:00Z"/>
        <d v="2025-12-12T00:41:00Z"/>
        <d v="2025-12-18T23:33:00Z"/>
        <d v="2025-12-26T00:41:00Z"/>
        <d v="2026-01-02T00:44:00Z"/>
        <d v="2025-12-24T00:08:00Z"/>
        <d v="2025-12-24T00:36:00Z"/>
        <d v="2026-01-02T00:47:00Z"/>
        <d v="2026-01-01T23:47:00Z"/>
        <d v="2026-01-01T23:42:00Z"/>
        <d v="2025-12-29T00:48:00Z"/>
        <d v="2025-12-21T23:53:00Z"/>
        <d v="2025-12-22T00:17:00Z"/>
        <d v="2026-01-01T23:55:00Z"/>
        <d v="2025-12-15T00:20:00Z"/>
        <d v="2026-01-02T01:03:00Z"/>
        <d v="2025-12-15T00:50:00Z"/>
        <d v="2025-12-15T23:33:00Z"/>
        <d v="2026-01-02T00:07:00Z"/>
        <d v="2025-12-18T01:06:00Z"/>
        <d v="2025-12-15T00:51:00Z"/>
        <d v="2025-12-16T00:52:00Z"/>
        <d v="2026-01-01T00:01:00Z"/>
        <d v="2026-01-02T00:38:00Z"/>
        <d v="2025-12-17T00:48:00Z"/>
        <d v="2025-12-16T00:16:00Z"/>
        <d v="2025-12-25T23:57:00Z"/>
        <d v="2025-12-15T23:41:00Z"/>
        <d v="2025-12-19T00:41:00Z"/>
        <d v="2025-12-29T00:21:00Z"/>
        <d v="2025-12-17T00:57:00Z"/>
        <d v="2025-12-29T00:55:00Z"/>
        <d v="2025-12-31T00:24:00Z"/>
        <d v="2025-12-22T00:08:00Z"/>
        <d v="2026-01-01T23:54:00Z"/>
        <d v="2025-12-31T00:10:00Z"/>
        <d v="2026-01-01T23:48:00Z"/>
        <d v="2025-12-17T23:50:00Z"/>
        <d v="2025-12-21T23:43:00Z"/>
        <d v="2025-12-18T09:51:00Z"/>
        <d v="2025-12-18T23:49:00Z"/>
        <d v="2025-12-22T00:37:00Z"/>
        <d v="2025-12-24T00:23:00Z"/>
        <d v="2025-12-22T00:54:00Z"/>
        <d v="2026-01-02T00:48:00Z"/>
        <d v="2025-12-30T23:54:00Z"/>
      </sharedItems>
    </cacheField>
    <cacheField name="CustDatCountOfEmployees" numFmtId="0">
      <sharedItems containsSemiMixedTypes="0" containsString="0" containsNumber="1" containsInteger="1">
        <n v="0.0"/>
        <n v="9.0"/>
        <n v="6.0"/>
        <n v="15.0"/>
        <n v="56.0"/>
        <n v="13.0"/>
        <n v="1.0"/>
        <n v="3.0"/>
        <n v="25.0"/>
        <n v="2.0"/>
        <n v="4.0"/>
        <n v="30.0"/>
        <n v="36.0"/>
        <n v="22.0"/>
        <n v="8.0"/>
        <n v="5.0"/>
        <n v="49.0"/>
        <n v="19.0"/>
        <n v="33.0"/>
        <n v="12.0"/>
        <n v="95.0"/>
        <n v="16.0"/>
        <n v="14.0"/>
        <n v="26.0"/>
        <n v="54.0"/>
        <n v="60.0"/>
        <n v="21.0"/>
        <n v="18.0"/>
        <n v="7.0"/>
        <n v="42.0"/>
        <n v="11.0"/>
        <n v="32.0"/>
        <n v="29.0"/>
        <n v="31.0"/>
        <n v="178.0"/>
        <n v="40.0"/>
        <n v="10.0"/>
        <n v="24.0"/>
        <n v="28.0"/>
        <n v="34.0"/>
        <n v="138.0"/>
        <n v="142.0"/>
        <n v="114.0"/>
        <n v="20.0"/>
        <n v="143.0"/>
        <n v="35.0"/>
        <n v="45.0"/>
        <n v="43.0"/>
      </sharedItems>
    </cacheField>
    <cacheField name="CustDatAnnualSales" numFmtId="0">
      <sharedItems containsSemiMixedTypes="0" containsString="0" containsNumber="1">
        <n v="318369.12"/>
        <n v="0.0"/>
        <n v="4570973.76"/>
        <n v="44332.44"/>
        <n v="933479.16"/>
        <n v="2704501.32"/>
        <n v="2002376.52"/>
        <n v="877018.8"/>
        <n v="8098044.12"/>
        <n v="610920.0"/>
        <n v="117120.0"/>
        <n v="4891.68"/>
        <n v="996361.8"/>
        <n v="404158.8"/>
        <n v="6600.0"/>
        <n v="1943.4"/>
        <n v="1592809.92"/>
        <n v="154369.32"/>
        <n v="183336.0"/>
        <n v="93603.72"/>
        <n v="3509037.0"/>
        <n v="621726.72"/>
        <n v="920222.76"/>
        <n v="1757076.0"/>
        <n v="953108.28"/>
        <n v="457119.0"/>
        <n v="315672.96"/>
        <n v="1404293.04"/>
        <n v="307515.12"/>
        <n v="76824.0"/>
        <n v="3298800.0"/>
        <n v="1832474.16"/>
        <n v="12000.0"/>
        <n v="4173.72"/>
        <n v="62268.0"/>
        <n v="217711.56"/>
        <n v="1135141.44"/>
        <n v="2658050.64"/>
        <n v="11928.0"/>
        <n v="1259388.6"/>
        <n v="1269229.68"/>
        <n v="92940.0"/>
        <n v="880832.04"/>
        <n v="5130000.0"/>
        <n v="7223409.6"/>
        <n v="60480.0"/>
        <n v="710630.4"/>
        <n v="473508.0"/>
        <n v="2144783.4"/>
        <n v="1435320.0"/>
        <n v="1.771297404E7"/>
        <n v="79509.0"/>
        <n v="2338147.8"/>
        <n v="847884.36"/>
        <n v="4584.0"/>
        <n v="578856.72"/>
        <n v="54000.0"/>
        <n v="972367.8"/>
        <n v="60.0"/>
        <n v="60000.0"/>
        <n v="22379.04"/>
        <n v="221542.32"/>
        <n v="78029.76"/>
        <n v="2664641.4"/>
        <n v="87480.0"/>
        <n v="782532.0"/>
        <n v="12960.0"/>
        <n v="100510.08"/>
        <n v="287958.0"/>
        <n v="811368.0"/>
        <n v="666732.0"/>
        <n v="537210.0"/>
        <n v="1866225.48"/>
        <n v="760992.0"/>
        <n v="628404.0"/>
        <n v="852708.6"/>
        <n v="2.6067338448E8"/>
        <n v="4563564.24"/>
        <n v="57369.72"/>
        <n v="7879148.76"/>
        <n v="4897983.6"/>
        <n v="2171979.0"/>
        <n v="66900.0"/>
        <n v="471485.4"/>
        <n v="2.658378E7"/>
        <n v="6073092.0"/>
        <n v="4001316.72"/>
        <n v="896813.64"/>
        <n v="469140.0"/>
        <n v="7800.0"/>
        <n v="7668219.6"/>
        <n v="341820.0"/>
        <n v="88239.24"/>
        <n v="2577702.84"/>
        <n v="679169.04"/>
        <n v="991425.84"/>
        <n v="1947756.84"/>
        <n v="35596.8"/>
        <n v="1160705.52"/>
        <n v="3730428.6"/>
        <n v="3733343.04"/>
        <n v="1640959.2"/>
        <n v="1973829.48"/>
        <n v="1909168.44"/>
        <n v="584252.16"/>
        <n v="174420.0"/>
        <n v="435450.72"/>
        <n v="203891.76"/>
        <n v="1.262284605036E10"/>
        <n v="2829.6"/>
        <n v="36.0"/>
        <n v="298932.0"/>
        <n v="235385.16"/>
        <n v="368759.76"/>
        <n v="2446269.96"/>
        <n v="373007.4"/>
        <n v="4278374.76"/>
        <n v="616958.28"/>
        <n v="63304.8"/>
        <n v="1200.0"/>
        <n v="65427.0"/>
        <n v="51660.0"/>
        <n v="892206.0"/>
        <n v="7084716.24"/>
        <n v="55675.56"/>
        <n v="246868.92"/>
        <n v="229020.0"/>
        <n v="236640.0"/>
        <n v="847236.0"/>
        <n v="1219778.28"/>
        <n v="349320.0"/>
        <n v="1.1395194E7"/>
        <n v="1.832427204E7"/>
        <n v="863618.4"/>
        <n v="72489.6"/>
        <n v="4680.0"/>
        <n v="110760.0"/>
        <n v="1765882.8"/>
        <n v="7046988.84"/>
        <n v="1239.84"/>
        <n v="507245.64"/>
        <n v="440460.0"/>
        <n v="168420.0"/>
        <n v="361871.04"/>
        <n v="36673.08"/>
        <n v="804864.6"/>
        <n v="1391818.68"/>
        <n v="29980.92"/>
        <n v="383952.12"/>
        <n v="1.0217534292E8"/>
        <n v="6850700.4"/>
        <n v="26160.0"/>
        <n v="15600.0"/>
        <n v="4668285.24"/>
        <n v="3333392.4"/>
        <n v="4200.0"/>
        <n v="1210951.2"/>
        <n v="3635424.0"/>
        <n v="4175041.08"/>
        <n v="1089531.48"/>
        <n v="2640.0"/>
        <n v="1.26641478E7"/>
        <n v="50186.28"/>
        <n v="85520.16"/>
        <n v="3725577.84"/>
        <n v="785616.72"/>
        <n v="1586548.68"/>
        <n v="864000.0"/>
        <n v="190356.0"/>
        <n v="125280.0"/>
        <n v="406235.64"/>
        <n v="3390876.96"/>
        <n v="1726936.56"/>
        <n v="142272.0"/>
        <n v="392012.4"/>
        <n v="918519.6"/>
        <n v="22328.16"/>
        <n v="2611672.2"/>
        <n v="1320600.0"/>
        <n v="739415.64"/>
        <n v="701180.04"/>
        <n v="1594336.8"/>
        <n v="7428134.28"/>
        <n v="3206208.24"/>
        <n v="3342000.0"/>
        <n v="384586.2"/>
        <n v="189520.08"/>
        <n v="64614.24"/>
        <n v="62880.0"/>
        <n v="5659800.0"/>
        <n v="223505.28"/>
        <n v="15100.2"/>
        <n v="99442.08"/>
        <n v="120217.08"/>
        <n v="2.5801392E7"/>
        <n v="1150634.4"/>
        <n v="453644.04"/>
        <n v="1911259.08"/>
        <n v="102192.36"/>
        <n v="1378085.4"/>
        <n v="996583.08"/>
        <n v="2725140.24"/>
        <n v="4417469.04"/>
        <n v="19392.0"/>
        <n v="7273612.56"/>
        <n v="417674.52"/>
        <n v="750990.0"/>
        <n v="729373.08"/>
        <n v="2782696.32"/>
        <n v="258720.0"/>
        <n v="47880.0"/>
        <n v="16800.0"/>
        <n v="107381.52"/>
        <n v="198240.0"/>
        <n v="289827.36"/>
        <n v="18828.0"/>
        <n v="184680.12"/>
        <n v="3565920.48"/>
        <n v="254991.6"/>
        <n v="6480.0"/>
        <n v="10500.0"/>
        <n v="1.1634606E7"/>
        <n v="2340.0"/>
        <n v="58602.84"/>
        <n v="2219271.0"/>
        <n v="12240.0"/>
        <n v="727731.24"/>
        <n v="1072463.64"/>
        <n v="57480.0"/>
        <n v="640866.84"/>
        <n v="129608.16"/>
        <n v="6000.0"/>
        <n v="78012.0"/>
        <n v="222256.2"/>
        <n v="6330705.24"/>
        <n v="179436.0"/>
        <n v="6816318.12"/>
        <n v="190850.64"/>
        <n v="1096583.76"/>
        <n v="225847.44"/>
        <n v="1795260.12"/>
        <n v="1078185.72"/>
        <n v="42072.0"/>
        <n v="120000.0"/>
        <n v="1.142615844E8"/>
        <n v="7995800.64"/>
        <n v="1416435.96"/>
        <n v="2.947496088E7"/>
        <n v="118182.48"/>
        <n v="1482158.76"/>
        <n v="598992.48"/>
        <n v="120600.0"/>
        <n v="1202167.32"/>
        <n v="436662.0"/>
        <n v="1800.0"/>
        <n v="861765.84"/>
        <n v="678300.0"/>
        <n v="3295328.16"/>
        <n v="421224.0"/>
        <n v="6051844.56"/>
        <n v="722201.4"/>
        <n v="603780.0"/>
        <n v="4596.0"/>
        <n v="1.246249224E7"/>
        <n v="508134.24"/>
        <n v="638809.56"/>
        <n v="4807609.56"/>
        <n v="2021971.8"/>
        <n v="83088.0"/>
        <n v="29604.0"/>
        <n v="5315183.28"/>
        <n v="2244827.64"/>
        <n v="195828.96"/>
      </sharedItems>
    </cacheField>
    <cacheField name="CustDatCountOfCustomers" numFmtId="0">
      <sharedItems containsSemiMixedTypes="0" containsString="0" containsNumber="1" containsInteger="1">
        <n v="13.0"/>
        <n v="214.0"/>
        <n v="0.0"/>
        <n v="441.0"/>
        <n v="403.0"/>
        <n v="564.0"/>
        <n v="3208.0"/>
        <n v="1178.0"/>
        <n v="1130.0"/>
        <n v="117.0"/>
        <n v="1917.0"/>
        <n v="47.0"/>
        <n v="331.0"/>
        <n v="24.0"/>
        <n v="89.0"/>
        <n v="732.0"/>
        <n v="26.0"/>
        <n v="3.0"/>
        <n v="843.0"/>
        <n v="1305.0"/>
        <n v="1550.0"/>
        <n v="1068.0"/>
        <n v="583.0"/>
        <n v="241.0"/>
        <n v="1.0"/>
        <n v="2882.0"/>
        <n v="178.0"/>
        <n v="405.0"/>
        <n v="429.0"/>
        <n v="176.0"/>
        <n v="398.0"/>
        <n v="92.0"/>
        <n v="690.0"/>
        <n v="67.0"/>
        <n v="1030.0"/>
        <n v="1308.0"/>
        <n v="16.0"/>
        <n v="448.0"/>
        <n v="177.0"/>
        <n v="676.0"/>
        <n v="42.0"/>
        <n v="948.0"/>
        <n v="1497.0"/>
        <n v="40.0"/>
        <n v="707.0"/>
        <n v="60.0"/>
        <n v="8100.0"/>
        <n v="928.0"/>
        <n v="5770.0"/>
        <n v="383.0"/>
        <n v="3867.0"/>
        <n v="2176.0"/>
        <n v="11.0"/>
        <n v="1078.0"/>
        <n v="245.0"/>
        <n v="601.0"/>
        <n v="9.0"/>
        <n v="75.0"/>
        <n v="72.0"/>
        <n v="8.0"/>
        <n v="8420.0"/>
        <n v="365.0"/>
        <n v="7.0"/>
        <n v="257.0"/>
        <n v="146.0"/>
        <n v="2.0"/>
        <n v="50.0"/>
        <n v="356.0"/>
        <n v="35.0"/>
        <n v="437.0"/>
        <n v="70.0"/>
        <n v="1087.0"/>
        <n v="5.0"/>
        <n v="51.0"/>
        <n v="2135.0"/>
        <n v="2409.0"/>
        <n v="378.0"/>
        <n v="2066.0"/>
        <n v="4.0"/>
        <n v="736.0"/>
        <n v="87.0"/>
        <n v="239.0"/>
        <n v="96.0"/>
        <n v="870.0"/>
        <n v="939.0"/>
        <n v="251.0"/>
        <n v="8462.0"/>
        <n v="41.0"/>
        <n v="281.0"/>
        <n v="600.0"/>
        <n v="149.0"/>
        <n v="635.0"/>
        <n v="11943.0"/>
        <n v="602.0"/>
        <n v="15.0"/>
        <n v="18.0"/>
        <n v="17.0"/>
        <n v="926.0"/>
        <n v="644.0"/>
        <n v="376.0"/>
        <n v="136.0"/>
        <n v="204.0"/>
        <n v="152.0"/>
        <n v="123.0"/>
        <n v="200.0"/>
        <n v="452.0"/>
        <n v="1080.0"/>
        <n v="502.0"/>
        <n v="77.0"/>
        <n v="581.0"/>
        <n v="132.0"/>
        <n v="212.0"/>
        <n v="97.0"/>
        <n v="187.0"/>
        <n v="1139.0"/>
        <n v="103.0"/>
        <n v="2068.0"/>
        <n v="415.0"/>
        <n v="34.0"/>
        <n v="14.0"/>
        <n v="529.0"/>
        <n v="22.0"/>
        <n v="134.0"/>
        <n v="401.0"/>
        <n v="45.0"/>
        <n v="13383.0"/>
        <n v="1118.0"/>
        <n v="150.0"/>
        <n v="20.0"/>
        <n v="64.0"/>
        <n v="12794.0"/>
        <n v="1502.0"/>
        <n v="1298.0"/>
        <n v="277.0"/>
        <n v="180.0"/>
        <n v="3488.0"/>
        <n v="1135.0"/>
        <n v="1363.0"/>
        <n v="407.0"/>
        <n v="11298.0"/>
        <n v="65.0"/>
        <n v="198.0"/>
        <n v="2271.0"/>
        <n v="165.0"/>
        <n v="2637.0"/>
        <n v="215.0"/>
        <n v="141.0"/>
        <n v="266.0"/>
        <n v="81.0"/>
        <n v="82.0"/>
        <n v="247.0"/>
        <n v="10.0"/>
        <n v="615.0"/>
        <n v="751.0"/>
        <n v="163.0"/>
        <n v="611.0"/>
        <n v="477.0"/>
        <n v="426.0"/>
        <n v="131.0"/>
        <n v="36.0"/>
        <n v="358.0"/>
        <n v="4120.0"/>
        <n v="1352.0"/>
        <n v="315.0"/>
        <n v="387.0"/>
        <n v="1714.0"/>
        <n v="1524.0"/>
        <n v="653.0"/>
        <n v="61.0"/>
        <n v="2006.0"/>
        <n v="900.0"/>
        <n v="39.0"/>
        <n v="400.0"/>
        <n v="956.0"/>
        <n v="342.0"/>
        <n v="2896.0"/>
        <n v="307.0"/>
        <n v="1580.0"/>
        <n v="804.0"/>
        <n v="120.0"/>
        <n v="3660.0"/>
        <n v="135.0"/>
        <n v="578.0"/>
        <n v="6001.0"/>
        <n v="154.0"/>
        <n v="2040.0"/>
        <n v="1703.0"/>
        <n v="10160.0"/>
        <n v="54.0"/>
        <n v="206.0"/>
        <n v="242.0"/>
        <n v="44.0"/>
        <n v="155.0"/>
        <n v="567.0"/>
        <n v="2526.0"/>
        <n v="417.0"/>
        <n v="273.0"/>
        <n v="122.0"/>
        <n v="1471.0"/>
        <n v="860.0"/>
        <n v="5303.0"/>
        <n v="78.0"/>
        <n v="328.0"/>
        <n v="726.0"/>
        <n v="6.0"/>
        <n v="184.0"/>
        <n v="79.0"/>
        <n v="156.0"/>
        <n v="227.0"/>
        <n v="8548.0"/>
        <n v="2646.0"/>
        <n v="29.0"/>
        <n v="1946.0"/>
        <n v="486.0"/>
        <n v="741.0"/>
        <n v="4534.0"/>
        <n v="832.0"/>
        <n v="2408.0"/>
        <n v="129.0"/>
        <n v="240.0"/>
        <n v="1978.0"/>
        <n v="143.0"/>
        <n v="430.0"/>
        <n v="316.0"/>
        <n v="2411.0"/>
        <n v="5186.0"/>
        <n v="115.0"/>
        <n v="450.0"/>
        <n v="1687.0"/>
        <n v="536.0"/>
        <n v="21.0"/>
        <n v="424.0"/>
        <n v="148.0"/>
        <n v="2817.0"/>
      </sharedItems>
    </cacheField>
    <cacheField name="LicenseCount" numFmtId="0">
      <sharedItems containsSemiMixedTypes="0" containsString="0" containsNumber="1" containsInteger="1">
        <n v="1.0"/>
        <n v="2.0"/>
        <n v="4.0"/>
        <n v="3.0"/>
        <n v="5.0"/>
        <n v="10.0"/>
        <n v="7.0"/>
        <n v="0.0"/>
        <n v="6.0"/>
        <n v="16.0"/>
        <n v="28.0"/>
      </sharedItems>
    </cacheField>
    <cacheField name="CountOfCustomScreens" numFmtId="0">
      <sharedItems containsSemiMixedTypes="0" containsString="0" containsNumber="1" containsInteger="1">
        <n v="0.0"/>
      </sharedItems>
    </cacheField>
    <cacheField name="CountOfCustomScreensMN" numFmtId="0">
      <sharedItems containsSemiMixedTypes="0" containsString="0" containsNumber="1" containsInteger="1">
        <n v="0.0"/>
        <n v="1.0"/>
        <n v="12.0"/>
        <n v="10.0"/>
        <n v="6.0"/>
        <n v="5.0"/>
        <n v="3.0"/>
        <n v="2.0"/>
        <n v="8.0"/>
        <n v="14.0"/>
        <n v="4.0"/>
        <n v="13.0"/>
        <n v="9.0"/>
        <n v="7.0"/>
        <n v="28.0"/>
      </sharedItems>
    </cacheField>
    <cacheField name="Day" numFmtId="164">
      <sharedItems containsSemiMixedTypes="0" containsDate="1" containsString="0">
        <d v="2025-11-30T00:00:00Z"/>
        <d v="2025-12-01T00:00:00Z"/>
        <d v="2025-12-02T00:00:00Z"/>
        <d v="2025-12-03T00:00:00Z"/>
        <d v="2025-12-04T00:00:00Z"/>
        <d v="2025-12-05T00:00:00Z"/>
        <d v="2025-12-06T00:00:00Z"/>
        <d v="2025-12-07T00:00:00Z"/>
        <d v="2025-12-08T00:00:00Z"/>
        <d v="2025-12-09T00:00:00Z"/>
        <d v="2025-12-10T00:00:00Z"/>
        <d v="2025-12-11T00:00:00Z"/>
        <d v="2025-12-12T00:00:00Z"/>
        <d v="2025-12-13T00:00:00Z"/>
        <d v="2025-12-14T00:00:00Z"/>
        <d v="2025-12-15T00:00:00Z"/>
        <d v="2025-12-16T00:00:00Z"/>
        <d v="2025-12-17T00:00:00Z"/>
        <d v="2025-12-18T00:00:00Z"/>
        <d v="2025-12-19T00:00:00Z"/>
        <d v="2025-12-20T00:00:00Z"/>
        <d v="2025-12-21T00:00:00Z"/>
        <d v="2025-12-22T00:00:00Z"/>
        <d v="2025-12-23T00:00:00Z"/>
        <d v="2025-12-24T00:00:00Z"/>
        <d v="2025-12-25T00:00:00Z"/>
        <d v="2025-12-26T00:00:00Z"/>
        <d v="2025-12-27T00:00:00Z"/>
        <d v="2025-12-28T00:00:00Z"/>
        <d v="2025-12-29T00:00:00Z"/>
        <d v="2025-12-30T00:00:00Z"/>
        <d v="2025-12-31T00:00:00Z"/>
      </sharedItems>
    </cacheField>
    <cacheField name="Week" numFmtId="0">
      <sharedItems containsSemiMixedTypes="0" containsString="0" containsNumber="1" containsInteger="1">
        <n v="47.0"/>
        <n v="48.0"/>
        <n v="49.0"/>
        <n v="50.0"/>
        <n v="51.0"/>
        <n v="52.0"/>
      </sharedItems>
    </cacheField>
    <cacheField name="Month" numFmtId="0">
      <sharedItems>
        <s v="Nov"/>
        <s v="Dec"/>
      </sharedItems>
    </cacheField>
    <cacheField name="Year" numFmtId="0">
      <sharedItems containsSemiMixedTypes="0" containsString="0" containsNumber="1" containsInteger="1">
        <n v="2025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J670" sheet="Accounts"/>
  </cacheSource>
  <cacheFields>
    <cacheField name="RecordID" numFmtId="0">
      <sharedItems containsSemiMixedTypes="0" containsString="0" containsNumber="1" containsInteger="1">
        <n v="153108.0"/>
        <n v="153109.0"/>
        <n v="153110.0"/>
        <n v="153111.0"/>
        <n v="153112.0"/>
        <n v="153113.0"/>
        <n v="153114.0"/>
        <n v="153115.0"/>
        <n v="153116.0"/>
        <n v="153119.0"/>
        <n v="153120.0"/>
        <n v="153121.0"/>
        <n v="153122.0"/>
        <n v="153124.0"/>
        <n v="153126.0"/>
        <n v="153127.0"/>
        <n v="153128.0"/>
        <n v="153129.0"/>
        <n v="153130.0"/>
        <n v="153131.0"/>
        <n v="153132.0"/>
        <n v="153134.0"/>
        <n v="153135.0"/>
        <n v="153136.0"/>
        <n v="153138.0"/>
        <n v="153139.0"/>
        <n v="153140.0"/>
        <n v="153141.0"/>
        <n v="153142.0"/>
        <n v="153143.0"/>
        <n v="153144.0"/>
        <n v="153145.0"/>
        <n v="153146.0"/>
        <n v="153147.0"/>
        <n v="153157.0"/>
        <n v="153158.0"/>
        <n v="153159.0"/>
        <n v="153160.0"/>
        <n v="153161.0"/>
        <n v="153162.0"/>
        <n v="153163.0"/>
        <n v="153164.0"/>
        <n v="153165.0"/>
        <n v="153166.0"/>
        <n v="153167.0"/>
        <n v="153169.0"/>
        <n v="153170.0"/>
        <n v="153172.0"/>
        <n v="153173.0"/>
        <n v="153174.0"/>
        <n v="153175.0"/>
        <n v="153176.0"/>
        <n v="153177.0"/>
        <n v="153178.0"/>
        <n v="153179.0"/>
        <n v="153180.0"/>
        <n v="153181.0"/>
        <n v="153182.0"/>
        <n v="153183.0"/>
        <n v="153184.0"/>
        <n v="153185.0"/>
        <n v="153186.0"/>
        <n v="153187.0"/>
        <n v="153188.0"/>
        <n v="153189.0"/>
        <n v="153190.0"/>
        <n v="153191.0"/>
        <n v="153192.0"/>
        <n v="153193.0"/>
        <n v="153196.0"/>
        <n v="153198.0"/>
        <n v="153199.0"/>
        <n v="153202.0"/>
        <n v="153203.0"/>
        <n v="153205.0"/>
        <n v="153207.0"/>
        <n v="153209.0"/>
        <n v="153210.0"/>
        <n v="153211.0"/>
        <n v="153212.0"/>
        <n v="153213.0"/>
        <n v="153214.0"/>
        <n v="153215.0"/>
        <n v="153216.0"/>
        <n v="153217.0"/>
        <n v="153218.0"/>
        <n v="153219.0"/>
        <n v="153220.0"/>
        <n v="153221.0"/>
        <n v="153222.0"/>
        <n v="153223.0"/>
        <n v="153224.0"/>
        <n v="153225.0"/>
        <n v="153226.0"/>
        <n v="153227.0"/>
        <n v="153228.0"/>
        <n v="153229.0"/>
        <n v="153230.0"/>
        <n v="153231.0"/>
        <n v="153234.0"/>
        <n v="153237.0"/>
        <n v="153238.0"/>
        <n v="153239.0"/>
        <n v="153240.0"/>
        <n v="153241.0"/>
        <n v="153242.0"/>
        <n v="153243.0"/>
        <n v="153244.0"/>
        <n v="153245.0"/>
        <n v="153246.0"/>
        <n v="153247.0"/>
        <n v="153248.0"/>
        <n v="153249.0"/>
        <n v="153250.0"/>
        <n v="153251.0"/>
        <n v="153252.0"/>
        <n v="153253.0"/>
        <n v="153254.0"/>
        <n v="153255.0"/>
        <n v="153256.0"/>
        <n v="153257.0"/>
        <n v="153258.0"/>
        <n v="153259.0"/>
        <n v="153260.0"/>
        <n v="153267.0"/>
        <n v="153270.0"/>
        <n v="153271.0"/>
        <n v="153273.0"/>
        <n v="153274.0"/>
        <n v="153275.0"/>
        <n v="153276.0"/>
        <n v="153277.0"/>
        <n v="153278.0"/>
        <n v="153279.0"/>
        <n v="153280.0"/>
        <n v="153281.0"/>
        <n v="153282.0"/>
        <n v="153283.0"/>
        <n v="153284.0"/>
        <n v="153285.0"/>
        <n v="153286.0"/>
        <n v="153287.0"/>
        <n v="153288.0"/>
        <n v="153289.0"/>
        <n v="153290.0"/>
        <n v="153291.0"/>
        <n v="153292.0"/>
        <n v="153293.0"/>
        <n v="153294.0"/>
        <n v="153295.0"/>
        <n v="153296.0"/>
        <n v="153297.0"/>
        <n v="153298.0"/>
        <n v="153299.0"/>
        <n v="153300.0"/>
        <n v="153301.0"/>
        <n v="153302.0"/>
        <n v="153303.0"/>
        <n v="153308.0"/>
        <n v="153312.0"/>
        <n v="153313.0"/>
        <n v="153314.0"/>
        <n v="153315.0"/>
        <n v="153316.0"/>
        <n v="153317.0"/>
        <n v="153318.0"/>
        <n v="153319.0"/>
        <n v="153320.0"/>
        <n v="153321.0"/>
        <n v="153322.0"/>
        <n v="153323.0"/>
        <n v="153324.0"/>
        <n v="153325.0"/>
        <n v="153329.0"/>
        <n v="153330.0"/>
        <n v="153331.0"/>
        <n v="153332.0"/>
        <n v="153334.0"/>
        <n v="153335.0"/>
        <n v="153336.0"/>
        <n v="153337.0"/>
        <n v="153338.0"/>
        <n v="153339.0"/>
        <n v="153340.0"/>
        <n v="153341.0"/>
        <n v="153342.0"/>
        <n v="153343.0"/>
        <n v="153344.0"/>
        <n v="153345.0"/>
        <n v="153346.0"/>
        <n v="153347.0"/>
        <n v="153353.0"/>
        <n v="153355.0"/>
        <n v="153358.0"/>
        <n v="153361.0"/>
        <n v="153363.0"/>
        <n v="153364.0"/>
        <n v="153365.0"/>
        <n v="153366.0"/>
        <n v="153370.0"/>
        <n v="153371.0"/>
        <n v="153372.0"/>
        <n v="153373.0"/>
        <n v="153374.0"/>
        <n v="153376.0"/>
        <n v="153377.0"/>
        <n v="153379.0"/>
        <n v="153380.0"/>
        <n v="153381.0"/>
        <n v="153382.0"/>
        <n v="153383.0"/>
        <n v="153384.0"/>
        <n v="153385.0"/>
        <n v="153386.0"/>
        <n v="153387.0"/>
        <n v="153388.0"/>
        <n v="153389.0"/>
        <n v="153390.0"/>
        <n v="153391.0"/>
        <n v="153392.0"/>
        <n v="153393.0"/>
        <n v="153394.0"/>
        <n v="153395.0"/>
        <n v="153396.0"/>
        <n v="153399.0"/>
        <n v="153401.0"/>
        <n v="153402.0"/>
        <n v="153403.0"/>
        <n v="153404.0"/>
        <n v="153405.0"/>
        <n v="153406.0"/>
        <n v="153407.0"/>
        <n v="153408.0"/>
        <n v="153409.0"/>
        <n v="153410.0"/>
        <n v="153411.0"/>
        <n v="153415.0"/>
        <n v="153417.0"/>
        <n v="153418.0"/>
        <n v="153419.0"/>
        <n v="153420.0"/>
        <n v="153421.0"/>
        <n v="153422.0"/>
        <n v="153423.0"/>
        <n v="153424.0"/>
        <n v="153425.0"/>
        <n v="153426.0"/>
        <n v="153427.0"/>
        <n v="153428.0"/>
        <n v="153429.0"/>
        <n v="153430.0"/>
        <n v="153431.0"/>
        <n v="153432.0"/>
        <n v="153433.0"/>
        <n v="153434.0"/>
        <n v="153435.0"/>
        <n v="153436.0"/>
        <n v="153437.0"/>
        <n v="153438.0"/>
        <n v="153440.0"/>
        <n v="153441.0"/>
        <n v="153443.0"/>
        <n v="153444.0"/>
        <n v="153445.0"/>
        <n v="153446.0"/>
        <n v="153447.0"/>
        <n v="153448.0"/>
        <n v="153450.0"/>
        <n v="153452.0"/>
        <n v="153453.0"/>
        <n v="153454.0"/>
        <n v="153456.0"/>
        <n v="153458.0"/>
        <n v="153459.0"/>
        <n v="153462.0"/>
        <n v="153463.0"/>
        <n v="153464.0"/>
        <n v="153465.0"/>
        <n v="153466.0"/>
        <n v="153467.0"/>
        <n v="153468.0"/>
        <n v="153469.0"/>
        <n v="153470.0"/>
        <n v="153471.0"/>
        <n v="153472.0"/>
        <n v="153473.0"/>
        <n v="153475.0"/>
        <n v="153478.0"/>
        <n v="153479.0"/>
        <n v="153480.0"/>
        <n v="153481.0"/>
        <n v="153482.0"/>
        <n v="153483.0"/>
        <n v="153484.0"/>
        <n v="153485.0"/>
        <n v="153486.0"/>
        <n v="153487.0"/>
        <n v="153488.0"/>
        <n v="153489.0"/>
        <n v="153490.0"/>
        <n v="153491.0"/>
        <n v="153492.0"/>
        <n v="153494.0"/>
        <n v="153496.0"/>
        <n v="153497.0"/>
        <n v="153499.0"/>
        <n v="153500.0"/>
        <n v="153501.0"/>
        <n v="153502.0"/>
        <n v="153503.0"/>
        <n v="153504.0"/>
        <n v="153505.0"/>
        <n v="153506.0"/>
        <n v="153507.0"/>
        <n v="153508.0"/>
        <n v="153509.0"/>
        <n v="153510.0"/>
        <n v="153511.0"/>
        <n v="153512.0"/>
        <n v="153513.0"/>
        <n v="153514.0"/>
        <n v="153515.0"/>
        <n v="153516.0"/>
        <n v="153517.0"/>
        <n v="153518.0"/>
        <n v="153519.0"/>
        <n v="153520.0"/>
        <n v="153521.0"/>
        <n v="153522.0"/>
        <n v="153523.0"/>
        <n v="153524.0"/>
        <n v="153525.0"/>
        <n v="153526.0"/>
        <n v="153527.0"/>
        <n v="153528.0"/>
        <n v="153529.0"/>
        <n v="153530.0"/>
        <n v="153531.0"/>
        <n v="153532.0"/>
        <n v="153533.0"/>
        <n v="153534.0"/>
        <n v="153535.0"/>
        <n v="153536.0"/>
        <n v="153537.0"/>
        <n v="153538.0"/>
        <n v="153539.0"/>
        <n v="153540.0"/>
        <n v="153541.0"/>
        <n v="153542.0"/>
        <n v="153543.0"/>
        <n v="153544.0"/>
        <n v="153545.0"/>
        <n v="153546.0"/>
        <n v="153547.0"/>
        <n v="153548.0"/>
        <n v="153549.0"/>
        <n v="153550.0"/>
        <n v="153551.0"/>
        <n v="153552.0"/>
        <n v="153553.0"/>
        <n v="153554.0"/>
        <n v="153555.0"/>
        <n v="153556.0"/>
        <n v="153557.0"/>
        <n v="153558.0"/>
        <n v="153559.0"/>
        <n v="153560.0"/>
        <n v="153565.0"/>
        <n v="153568.0"/>
        <n v="153571.0"/>
        <n v="153572.0"/>
        <n v="153573.0"/>
        <n v="153574.0"/>
        <n v="153575.0"/>
        <n v="153576.0"/>
        <n v="153577.0"/>
        <n v="153578.0"/>
        <n v="153579.0"/>
        <n v="153580.0"/>
        <n v="153581.0"/>
        <n v="153582.0"/>
        <n v="153584.0"/>
        <n v="153585.0"/>
        <n v="153586.0"/>
        <n v="153587.0"/>
        <n v="153588.0"/>
        <n v="153589.0"/>
        <n v="153590.0"/>
        <n v="153591.0"/>
        <n v="153592.0"/>
        <n v="153593.0"/>
        <n v="153594.0"/>
        <n v="153595.0"/>
        <n v="153596.0"/>
        <n v="153597.0"/>
        <n v="153598.0"/>
        <n v="153599.0"/>
        <n v="153600.0"/>
        <n v="153601.0"/>
        <n v="153602.0"/>
        <n v="153606.0"/>
        <n v="153607.0"/>
        <n v="153608.0"/>
        <n v="153609.0"/>
        <n v="153610.0"/>
        <n v="153612.0"/>
        <n v="153613.0"/>
        <n v="153614.0"/>
        <n v="153615.0"/>
        <n v="153616.0"/>
        <n v="153617.0"/>
        <n v="153618.0"/>
        <n v="153619.0"/>
        <n v="153620.0"/>
        <n v="153621.0"/>
        <n v="153622.0"/>
        <n v="153623.0"/>
        <n v="153624.0"/>
        <n v="153625.0"/>
        <n v="153626.0"/>
        <n v="153627.0"/>
        <n v="153628.0"/>
        <n v="153629.0"/>
        <n v="153633.0"/>
        <n v="153634.0"/>
        <n v="153635.0"/>
        <n v="153637.0"/>
        <n v="153639.0"/>
        <n v="153640.0"/>
        <n v="153641.0"/>
        <n v="153642.0"/>
        <n v="153643.0"/>
        <n v="153644.0"/>
        <n v="153645.0"/>
        <n v="153646.0"/>
        <n v="153648.0"/>
        <n v="153649.0"/>
        <n v="153651.0"/>
        <n v="153655.0"/>
        <n v="153657.0"/>
        <n v="153658.0"/>
        <n v="153662.0"/>
        <n v="153663.0"/>
        <n v="153664.0"/>
        <n v="153665.0"/>
        <n v="153666.0"/>
        <n v="153667.0"/>
        <n v="153668.0"/>
        <n v="153669.0"/>
        <n v="153671.0"/>
        <n v="153672.0"/>
        <n v="153673.0"/>
        <n v="153674.0"/>
        <n v="153675.0"/>
        <n v="153676.0"/>
        <n v="153677.0"/>
        <n v="153678.0"/>
        <n v="153679.0"/>
        <n v="153680.0"/>
        <n v="153681.0"/>
        <n v="153682.0"/>
        <n v="153683.0"/>
        <n v="153684.0"/>
        <n v="153696.0"/>
        <n v="153697.0"/>
        <n v="153698.0"/>
        <n v="153699.0"/>
        <n v="153700.0"/>
        <n v="153701.0"/>
        <n v="153702.0"/>
        <n v="153703.0"/>
        <n v="153704.0"/>
        <n v="153706.0"/>
        <n v="153707.0"/>
        <n v="153708.0"/>
        <n v="153709.0"/>
        <n v="153710.0"/>
        <n v="153711.0"/>
        <n v="153712.0"/>
        <n v="153713.0"/>
        <n v="153714.0"/>
        <n v="153715.0"/>
        <n v="153716.0"/>
        <n v="153717.0"/>
        <n v="153718.0"/>
        <n v="153719.0"/>
        <n v="153720.0"/>
        <n v="153721.0"/>
        <n v="153722.0"/>
        <n v="153723.0"/>
        <n v="153725.0"/>
        <n v="153726.0"/>
        <n v="153729.0"/>
        <n v="153730.0"/>
        <n v="153731.0"/>
        <n v="153732.0"/>
        <n v="153733.0"/>
        <n v="153735.0"/>
        <n v="153742.0"/>
        <n v="153750.0"/>
        <n v="153751.0"/>
        <n v="153752.0"/>
        <n v="153753.0"/>
        <n v="153754.0"/>
        <n v="153755.0"/>
        <n v="153756.0"/>
        <n v="153759.0"/>
        <n v="153760.0"/>
        <n v="153761.0"/>
        <n v="153763.0"/>
        <n v="153764.0"/>
        <n v="153765.0"/>
        <n v="153766.0"/>
        <n v="153767.0"/>
        <n v="153768.0"/>
        <n v="153769.0"/>
        <n v="153770.0"/>
        <n v="153771.0"/>
        <n v="153772.0"/>
        <n v="153773.0"/>
        <n v="153774.0"/>
        <n v="153775.0"/>
        <n v="153776.0"/>
        <n v="153777.0"/>
        <n v="153778.0"/>
        <n v="153779.0"/>
        <n v="153780.0"/>
        <n v="153781.0"/>
        <n v="153782.0"/>
        <n v="153783.0"/>
        <n v="153784.0"/>
        <n v="153785.0"/>
        <n v="153786.0"/>
        <n v="153787.0"/>
        <n v="153788.0"/>
        <n v="153789.0"/>
        <n v="153790.0"/>
        <n v="153791.0"/>
        <n v="153792.0"/>
        <n v="153793.0"/>
        <n v="153795.0"/>
        <n v="153796.0"/>
        <n v="153797.0"/>
        <n v="153806.0"/>
        <n v="153809.0"/>
        <n v="153810.0"/>
        <n v="153812.0"/>
        <n v="153813.0"/>
        <n v="153814.0"/>
        <n v="153815.0"/>
        <n v="153816.0"/>
        <n v="153817.0"/>
        <n v="153818.0"/>
        <n v="153819.0"/>
        <n v="153820.0"/>
        <n v="153821.0"/>
        <n v="153822.0"/>
        <n v="153823.0"/>
        <n v="153824.0"/>
        <n v="153825.0"/>
        <n v="153826.0"/>
        <n v="153827.0"/>
        <n v="153828.0"/>
        <n v="153829.0"/>
        <n v="153830.0"/>
        <n v="153831.0"/>
        <n v="153835.0"/>
        <n v="153836.0"/>
        <n v="153837.0"/>
        <n v="153838.0"/>
        <n v="153840.0"/>
        <n v="153842.0"/>
        <n v="153845.0"/>
        <n v="153849.0"/>
        <n v="153852.0"/>
        <n v="153853.0"/>
        <n v="153854.0"/>
        <n v="153855.0"/>
        <n v="153861.0"/>
        <n v="153864.0"/>
        <n v="153866.0"/>
        <n v="153867.0"/>
        <n v="153868.0"/>
        <n v="153870.0"/>
        <n v="153871.0"/>
        <n v="153872.0"/>
        <n v="153873.0"/>
        <n v="153874.0"/>
        <n v="153875.0"/>
        <n v="153876.0"/>
        <n v="153877.0"/>
        <n v="153878.0"/>
        <n v="153879.0"/>
        <n v="153880.0"/>
        <n v="153881.0"/>
        <n v="153882.0"/>
        <n v="153883.0"/>
        <n v="153884.0"/>
        <n v="153885.0"/>
        <n v="153886.0"/>
        <n v="153887.0"/>
        <n v="153888.0"/>
        <n v="153889.0"/>
        <n v="153890.0"/>
        <n v="153891.0"/>
        <n v="153892.0"/>
        <n v="153893.0"/>
        <n v="153894.0"/>
        <n v="153895.0"/>
        <n v="153896.0"/>
        <n v="153897.0"/>
        <n v="153898.0"/>
        <n v="153899.0"/>
        <n v="153900.0"/>
        <n v="153901.0"/>
        <n v="153902.0"/>
        <n v="153903.0"/>
        <n v="153904.0"/>
        <n v="153905.0"/>
        <n v="153906.0"/>
        <n v="153907.0"/>
        <n v="153912.0"/>
        <n v="153913.0"/>
        <n v="153914.0"/>
        <n v="153915.0"/>
        <n v="153916.0"/>
        <n v="153917.0"/>
        <n v="153918.0"/>
        <n v="153920.0"/>
        <n v="153922.0"/>
        <n v="153923.0"/>
        <n v="153924.0"/>
        <n v="153925.0"/>
        <n v="153926.0"/>
        <n v="153927.0"/>
        <n v="153928.0"/>
        <n v="153929.0"/>
        <n v="153930.0"/>
        <n v="153934.0"/>
        <n v="153936.0"/>
        <n v="153939.0"/>
        <n v="153940.0"/>
        <n v="153941.0"/>
        <n v="153942.0"/>
        <n v="153943.0"/>
        <n v="153944.0"/>
        <n v="153945.0"/>
        <n v="153946.0"/>
        <n v="153947.0"/>
        <n v="153948.0"/>
        <n v="153949.0"/>
        <n v="153950.0"/>
        <n v="153951.0"/>
        <n v="153952.0"/>
        <n v="153953.0"/>
        <n v="153954.0"/>
        <n v="153955.0"/>
        <n v="153956.0"/>
        <n v="153957.0"/>
        <n v="153958.0"/>
        <n v="153959.0"/>
        <n v="153961.0"/>
        <n v="153963.0"/>
        <n v="153966.0"/>
        <n v="153967.0"/>
        <n v="153968.0"/>
        <n v="153971.0"/>
        <n v="153972.0"/>
        <n v="153973.0"/>
      </sharedItems>
    </cacheField>
    <cacheField name="AccountName" numFmtId="0">
      <sharedItems>
        <s v="multdoor"/>
        <s v="alromanimechanicalworkshop6"/>
        <s v="student26"/>
        <s v="healthcaremaintenanceservices"/>
        <s v="customoutdoorkitchens"/>
        <s v="manexusa"/>
        <s v="reddoorpestcontrol2"/>
        <s v="manexusa2"/>
        <s v="jlbcompanies"/>
        <s v="ssisanitary"/>
        <s v="highendcompaniesllc"/>
        <s v="jirehtransmissionsllc"/>
        <s v="waycosalesinc"/>
        <s v="aeromarinebiotechllc"/>
        <s v="whitingdesignandelectric"/>
        <s v="mastercraneandhoist"/>
        <s v="grety"/>
        <s v="danielaziz"/>
        <s v="knightinsurancesolutions"/>
        <s v="joeythecoffeeguy"/>
        <s v="octopusgdn"/>
        <s v="cravenscoffee"/>
        <s v="cosmicvisionairesllc"/>
        <s v="khshopapp"/>
        <s v="servicerankprocommateiucwebcompaniesllc"/>
        <s v="test212"/>
        <s v="butleragway"/>
        <s v="westernheatingandairllc"/>
        <s v="makeready"/>
        <s v="cloudheroes2"/>
        <s v="umjca2"/>
        <s v="fetzerfinancial8"/>
        <s v="platinumplaygrounds"/>
        <s v="rvrepairnearmellc"/>
        <s v="individual6"/>
        <s v="thenesthomeimprovementcentreinc"/>
        <s v="garcyusa"/>
        <s v="vandalenindustries"/>
        <s v="pizzahurt"/>
        <s v="sbc2"/>
        <s v="ashram"/>
        <s v="gestioncobe"/>
        <s v="cotektheamericas"/>
        <s v="brontebaycpaprofessionalcorporation2"/>
        <s v="growtrax2"/>
        <s v="bluewatercas2"/>
        <s v="method113"/>
        <s v="ecoofficewerks"/>
        <s v="wanderwood"/>
        <s v="gflsystems"/>
        <s v="mammothlive2"/>
        <s v="kovarwoodwork"/>
        <s v="ogleheatingandcoolgin"/>
        <s v="westernslopefire"/>
        <s v="hybridelectronics5"/>
        <s v="threepillarsconsulting"/>
        <s v="saniclean2"/>
        <s v="agoradistributioninc"/>
        <s v="joni"/>
        <s v="clearwaterpoolcare"/>
        <s v="verticalelectric4"/>
        <s v="commercialconsultingservicesllc"/>
        <s v="tauruscorp"/>
        <s v="nanh"/>
        <s v="zennohintl"/>
        <s v="wasangshow"/>
        <s v="db4"/>
        <s v="bandbshowroom"/>
        <s v="medpipe2"/>
        <s v="up2codesystems"/>
        <s v="indeed"/>
        <s v="remmgroup"/>
        <s v="redtoothimageryllc"/>
        <s v="emk"/>
        <s v="dragonpowerpromo"/>
        <s v="bluegrasspoolmanagement"/>
        <s v="cornerstoneirrigationservicesinc"/>
        <s v="duttonarchitecturepllc"/>
        <s v="theappliancebarnfl"/>
        <s v="hudsonrestoration"/>
        <s v="pacificmicrosystemsllc"/>
        <s v="bigrodconstruction"/>
        <s v="belangerengineeringcorp"/>
        <s v="completeplumbingservicesinc"/>
        <s v="adoninetworks"/>
        <s v="testorg11"/>
        <s v="yjynjhxfyn"/>
        <s v="speedyseweranddrain"/>
        <s v="marlinzpharma2"/>
        <s v="intelgest2"/>
        <s v="corpcommunications"/>
        <s v="jetglowaviation"/>
        <s v="bametalgraphics"/>
        <s v="resilientfireprotection"/>
        <s v="httpsu"/>
        <s v="intelgest3"/>
        <s v="manexusa3"/>
        <s v="manexusa4"/>
        <s v="allservicessouthfloridaelevator"/>
        <s v="prolasinc"/>
        <s v="seniorlivingsolutionsga"/>
        <s v="ayrtechfleetsolutionsinc"/>
        <s v="johnbroedersmachinecoltd"/>
        <s v="worldnetworksystems"/>
        <s v="sociumsecurity2"/>
        <s v="balanceupaccounting2"/>
        <s v="upgradeelectricllc"/>
        <s v="empirepropanenwllc"/>
        <s v="a1treeredding"/>
        <s v="synergylivinghomesllc"/>
        <s v="sayyasingh"/>
        <s v="spotlightevents2"/>
        <s v="wrhaburnconsulting"/>
        <s v="printasaurus2"/>
        <s v="inspiringdreamsventure"/>
        <s v="primetonellc"/>
        <s v="cajconsultingllc"/>
        <s v="bmdistributorsllc"/>
        <s v="promarkbrandedsolutions"/>
        <s v="hurricanecharlie"/>
        <s v="jmorigintechnosoftprivatelimited"/>
        <s v="subcitylife"/>
        <s v="transitiongroupsa"/>
        <s v="sublimatetechnologiesllc"/>
        <s v="cfuqc"/>
        <s v="marathonmarketingbranding2"/>
        <s v="tecnosistemas"/>
        <s v="intusinteriors"/>
        <s v="studiopartnership"/>
        <s v="fe3manlimited3"/>
        <s v="machanicautomotiverepair"/>
        <s v="rightworks3"/>
        <s v="rightworks4"/>
        <s v="soundestatewatch"/>
        <s v="fabbian"/>
        <s v="ezstreetllc"/>
        <s v="tonygmg"/>
        <s v="neowavehub"/>
        <s v="ipccleaningsolutions"/>
        <s v="staterenewals"/>
        <s v="staterenewals2"/>
        <s v="rivergatedoorsupply"/>
        <s v="granburyappliancerepairatgmailcom"/>
        <s v="threethirteeninc"/>
        <s v="bebeeelectricalservice"/>
        <s v="dg2"/>
        <s v="homedelivery"/>
        <s v="airtechsolutions"/>
        <s v="ginacarver"/>
        <s v="pakarcctvmsdnbhd2"/>
        <s v="paragonlandscape"/>
        <s v="swimshadypools"/>
        <s v="jandgculvertsinc"/>
        <s v="fast"/>
        <s v="esalymechanic"/>
        <s v="jollygl"/>
        <s v="contractornet"/>
        <s v="pivotalmomentuminc"/>
        <s v="zahntechnique"/>
        <s v="isprofessionalservices"/>
        <s v="westseattleelectricandsolar"/>
        <s v="candcremodeling"/>
        <s v="laserway"/>
        <s v="foodheadsinc"/>
        <s v="clearviewpoolsinc"/>
        <s v="evolutionweldingandfabrication"/>
        <s v="schwartzproperties"/>
        <s v="mikalacorp2"/>
        <s v="a1forestrygroupllc"/>
        <s v="a1treeservices"/>
        <s v="a1vegetationmanagementllc"/>
        <s v="prescottgreenwaste"/>
        <s v="tdsprojectsgroup"/>
        <s v="preferpack"/>
        <s v="pmtreliabilityltd"/>
        <s v="nimbuslogic2"/>
        <s v="linkestimation"/>
        <s v="mikalacorporation"/>
        <s v="a1treeservices2"/>
        <s v="a1forestrygroupllc2"/>
        <s v="a1vegetationmanagement"/>
        <s v="nickdavis"/>
        <s v="petraharris"/>
        <s v="onyxlinesllc"/>
        <s v="ninetyfivemillionthreehundredandninetyfour"/>
        <s v="chcnavigationusacorporation"/>
        <s v="nxastudio"/>
        <s v="supremeconceptsproprietarylimited"/>
        <s v="manexusa5"/>
        <s v="maritimegoodfood"/>
        <s v="jahanvi"/>
        <s v="dashboardgenius"/>
        <s v="frispycrispy"/>
        <s v="bfmcontrcatorservices"/>
        <s v="jdminstallationsllc"/>
        <s v="bossisecurityriskmanagment"/>
        <s v="goodenergycollectivellcoilify"/>
        <s v="synova"/>
        <s v="hinc"/>
        <s v="getacquainted"/>
        <s v="corbymechanicalservices"/>
        <s v="codex3"/>
        <s v="timbertakeawaytreecare"/>
        <s v="homersicecream"/>
        <s v="threepillarsconsulting2"/>
        <s v="theemberalliance"/>
        <s v="catherwoodtowing"/>
        <s v="goldcoastpoolandspa"/>
        <s v="egfservicesinc"/>
        <s v="ngi"/>
        <s v="sergioalejandro"/>
        <s v="gotaguy"/>
        <s v="renovvo"/>
        <s v="fofaorganicfarm"/>
        <s v="philsqualityrepairs"/>
        <s v="quickbooksintegrations"/>
        <s v="brannanaluminuminccom"/>
        <s v="eddy2"/>
        <s v="beuta"/>
        <s v="coulombengineeringinc"/>
        <s v="stockman"/>
        <s v="deletethis2"/>
        <s v="azequipmentrepair"/>
        <s v="newtalentadvertising"/>
        <s v="milton"/>
        <s v="zephyrbhs"/>
        <s v="hemlatasharma"/>
        <s v="wlcgroup"/>
        <s v="williamsglassandcompanyllc"/>
        <s v="tweezerdistributors"/>
        <s v="texanmosquitosystems"/>
        <s v="toronaturallabsltd"/>
        <s v="wyacore"/>
        <s v="ginacarver2"/>
        <s v="professionaldoorfixers"/>
        <s v="texassolarsheep"/>
        <s v="ktg"/>
        <s v="pd2"/>
        <s v="acapp"/>
        <s v="marinetechnicalservices"/>
        <s v="appliedmediaus"/>
        <s v="expresscrossdockingllc"/>
        <s v="greendesignslandscaping2"/>
        <s v="vadhjk"/>
        <s v="citizensuk2"/>
        <s v="polocarpetcleaningandflooringllc2"/>
        <s v="kckcpa"/>
        <s v="quickwrapgifts"/>
        <s v="mngfoods"/>
        <s v="countylogisticsllc"/>
        <s v="massi"/>
        <s v="hifresh"/>
        <s v="cpcorp"/>
        <s v="getweys"/>
        <s v="discounp"/>
        <s v="superior5"/>
        <s v="ptharargeneraltrading"/>
        <s v="vespoliusainc"/>
        <s v="maritimegoodfood2"/>
        <s v="regionselectricinc"/>
        <s v="testinggroupllc"/>
        <s v="pipehitterplumbing"/>
        <s v="fareeninttest"/>
        <s v="luxuryharrods"/>
        <s v="nehalbekawala"/>
        <s v="regionselectricinc2"/>
        <s v="none58"/>
        <s v="arsincne"/>
        <s v="ibidmachinery"/>
        <s v="brilliantlypristinecleanersllc"/>
        <s v="williamthomasdigital"/>
        <s v="acemysteryshopping2"/>
        <s v="synergystaffingusa"/>
        <s v="aliteservicesllc"/>
        <s v="apex2"/>
        <s v="socialconcepts"/>
        <s v="thecleaningclub"/>
        <s v="forward2"/>
        <s v="momoka"/>
        <s v="mastertouchpools3"/>
        <s v="westpac"/>
        <s v="md2"/>
        <s v="lucidpay"/>
        <s v="mcmillionpools2"/>
        <s v="mcmillionpoolco2"/>
        <s v="suttermedicalcentersacramento"/>
        <s v="secantpublishingllc2"/>
        <s v="kwakhalabs"/>
        <s v="sesmas"/>
        <s v="axa2"/>
        <s v="deltalogisticsinc"/>
        <s v="bugbash"/>
        <s v="arabasa"/>
        <s v="bullzeyetacosandcatering"/>
        <s v="asfalt"/>
        <s v="superiorwaterproofingandrestorationinc"/>
        <s v="terraboundsolutions"/>
        <s v="intercontinentaltraderinc"/>
        <s v="hhh2"/>
        <s v="twmechanicalservices"/>
        <s v="alld1"/>
        <s v="easterndominicanchristianmission"/>
        <s v="trueupsolutions"/>
        <s v="indigenousimaginationworkshop"/>
        <s v="griffindecksandcovers2"/>
        <s v="criteriummn"/>
        <s v="nervanamedical"/>
        <s v="garagedoorworks2"/>
        <s v="partnersautomotive"/>
        <s v="tropicalroots"/>
        <s v="dell"/>
        <s v="shauna"/>
        <s v="ridah"/>
        <s v="kimberlyroberts"/>
        <s v="obxcertifiedpoolandspaservicesllc4"/>
        <s v="obxcertifiedpoolandspaservicesllc5"/>
        <s v="agtbookkeeping"/>
        <s v="lucymedina"/>
        <s v="rhondavarner"/>
        <s v="lakayseasytransport"/>
        <s v="magicbreezekombucha"/>
        <s v="amgen2"/>
        <s v="josephcrawley"/>
        <s v="brivester"/>
        <s v="pittmanoilcompany"/>
        <s v="xinyujiangxicn"/>
        <s v="none59"/>
        <s v="wasif"/>
        <s v="redmondandcompanyinc"/>
        <s v="zenoutdoor2"/>
        <s v="abcorlandolumberandhardware"/>
        <s v="chicagofirefurniture2"/>
        <s v="millervofsarasota"/>
        <s v="whiteriverblasters"/>
        <s v="firsttimieforeverything"/>
        <s v="gonzalezcarpetsuppliesllc"/>
        <s v="thomsonkuramatsugroupinc"/>
        <s v="waccessoriesnyc"/>
        <s v="stpbakershill"/>
        <s v="treygirlzlilclean"/>
        <s v="treygirlsclean"/>
        <s v="byarcadiacp"/>
        <s v="pavan2"/>
        <s v="turner412"/>
        <s v="ndglobal"/>
        <s v="jjccfinancialexpertsinc"/>
        <s v="umojo4"/>
        <s v="thejumpropestore"/>
        <s v="suite3500"/>
        <s v="whiffinit"/>
        <s v="faychristie"/>
        <s v="anetagiadlav"/>
        <s v="verizon2"/>
        <s v="wowcleancarpets"/>
        <s v="personal22"/>
        <s v="tdaniels"/>
        <s v="creativetilesolutionsllc"/>
        <s v="robinhood"/>
        <s v="axure"/>
        <s v="teammusicpteltd"/>
        <s v="startrackprojects"/>
        <s v="dyebookkeeping"/>
        <s v="optimum"/>
        <s v="intuit50"/>
        <s v="intuit51"/>
        <s v="startrackprojects2"/>
        <s v="graceysglowenergy"/>
        <s v="abcorlandolumberandhardware2"/>
        <s v="skyprogressdigital"/>
        <s v="test194"/>
        <s v="carrolltigers"/>
        <s v="skilledmobility"/>
        <s v="peaceofmindinsurance"/>
        <s v="ercsolutionsinc"/>
        <s v="sai2"/>
        <s v="njiai"/>
        <s v="skyvaultaiallocation"/>
        <s v="calpacificsupply"/>
        <s v="denariustradingcompany"/>
        <s v="calpacificsupplyinc"/>
        <s v="pr2"/>
        <s v="smartapproachdigital"/>
        <s v="preservingmemoriesllc"/>
        <s v="refreshingripplespoolandspallc"/>
        <s v="fcs3"/>
        <s v="powerconstructionllc"/>
        <s v="minfinity888ptyltd2"/>
        <s v="elev8equipment"/>
        <s v="unitedbusinessgroupllc"/>
        <s v="evs2"/>
        <s v="hack2"/>
        <s v="noneya"/>
        <s v="pakarcctvmsdnbhd3"/>
        <s v="isbu"/>
        <s v="localinitiativesupportcorporation"/>
        <s v="thelasourcegroup"/>
        <s v="wholecubesofficefurniture"/>
        <s v="startrackprojects3"/>
        <s v="individual7"/>
        <s v="haithammustafacharteredaccountants2"/>
        <s v="unitedway"/>
        <s v="oakridgefoamandcoatingsystemsinc"/>
        <s v="yvonnepetricka"/>
        <s v="brutusenterprises"/>
        <s v="cse2"/>
        <s v="whiffinitllc"/>
        <s v="larebel"/>
        <s v="ercsolutions"/>
        <s v="masterchefpr"/>
        <s v="joshtech"/>
        <s v="americandoor"/>
        <s v="sfcconstruction"/>
        <s v="refreshingripplespoolandspallc2"/>
        <s v="masterchefpr2"/>
        <s v="onehundredandtwentythreeinnovativesolution"/>
        <s v="maewelldrawindustriesllc2"/>
        <s v="letgracein"/>
        <s v="durl"/>
        <s v="escheloninc"/>
        <s v="testorg12"/>
        <s v="hrmob"/>
        <s v="indeedseo"/>
        <s v="uday"/>
        <s v="ternionelevatorcompany"/>
        <s v="rockymountainelectricandcontrolllc"/>
        <s v="integratedfacilityservices"/>
        <s v="piericompanies"/>
        <s v="baymonservalllp"/>
        <s v="sailsandgrace2"/>
        <s v="erosionmanagementservices"/>
        <s v="mbja"/>
        <s v="everestguttercompany"/>
        <s v="electricalcontrolsandinstrumentationservic"/>
        <s v="cleanslatefinancialservices"/>
        <s v="infernodesignandconsultancylimited"/>
        <s v="twothousandandtwentyfivedecember"/>
        <s v="degreasingengineers"/>
        <s v="degreasingengineers2"/>
        <s v="canadianfinancegal"/>
        <s v="braggnrites"/>
        <s v="zmksolutions"/>
        <s v="weilerbuildersllc"/>
        <s v="evergreenforestproducts"/>
        <s v="buildwithago"/>
        <s v="premiersiteservices"/>
        <s v="ttmtechnologies"/>
        <s v="applianceboss"/>
        <s v="advocatepropertyinspectionsllc"/>
        <s v="bostonwhaler"/>
        <s v="pruittentertainment"/>
        <s v="therepairguyllc"/>
        <s v="cuttingboardsofflorida"/>
        <s v="cyberarkinternal"/>
        <s v="printdeed"/>
        <s v="earthworksnaturalorganics"/>
        <s v="vespoliusainc2"/>
        <s v="umjca3"/>
        <s v="finsol"/>
        <s v="justalittlebookkeeping"/>
        <s v="ironeagle"/>
        <s v="handymanveteran3"/>
        <s v="advsts"/>
        <s v="joshphillipshvac"/>
        <s v="titansportsflooring"/>
        <s v="anylabtestnow3"/>
        <s v="rubaedhassanmahin"/>
        <s v="cmshuster"/>
        <s v="cardinalcomms3"/>
        <s v="mastcontracting"/>
        <s v="punditservices"/>
        <s v="spydersigns"/>
        <s v="halieisconstructionllc"/>
        <s v="ariadnaruiz"/>
        <s v="personal23"/>
        <s v="protronixcontrols3"/>
        <s v="mtsforqb"/>
        <s v="bisonoutdoorproducts"/>
        <s v="williselectricalsalesoftexas"/>
        <s v="cpaexcellence"/>
        <s v="bcacunderground"/>
        <s v="epssignsupply2"/>
        <s v="mf4"/>
        <s v="fifthweaverllc"/>
        <s v="hctns"/>
        <s v="commworldofpa"/>
        <s v="alaskancleaningservice"/>
        <s v="viasocket10"/>
        <s v="plugin"/>
        <s v="tevinlee"/>
        <s v="alli"/>
        <s v="codexsolutions"/>
        <s v="ortegamjhomeimprovemetllc"/>
        <s v="raetechllc"/>
        <s v="chipmunkhillwoodworking"/>
        <s v="greeleyweldcountyairportauthority"/>
        <s v="rizzlemediagroup"/>
        <s v="vahallan3"/>
        <s v="badgerprowash"/>
        <s v="curtistech"/>
        <s v="environmentalequipment"/>
        <s v="mcjsolutions"/>
        <s v="seekingministries"/>
        <s v="environmentalequipment2"/>
        <s v="smartsbyllc"/>
        <s v="bisonoutdoorproducts2"/>
        <s v="kennethgreenllc"/>
        <s v="bisolutions"/>
        <s v="mediasolutionsinc"/>
        <s v="offshoremetals"/>
        <s v="ascendanceproductions"/>
        <s v="terrastonellc3"/>
        <s v="sdfasdf"/>
        <s v="reddox"/>
        <s v="buhlerpainting"/>
        <s v="mahir"/>
        <s v="myroom"/>
        <s v="dummyfmhomewatch"/>
        <s v="lawnsouth"/>
        <s v="qhwj"/>
        <s v="thakornaresh"/>
        <s v="thakornaresh2"/>
        <s v="etallinc"/>
        <s v="apexadvisorsus"/>
        <s v="handicapsign"/>
        <s v="dennisonlubricantsinc"/>
        <s v="impressionav"/>
        <s v="haseebkhan"/>
        <s v="ahlan"/>
        <s v="fmcpreschool"/>
        <s v="stayathomebookkeepingmoms"/>
        <s v="northwestcommunities"/>
        <s v="markhhookerandassociates"/>
        <s v="tomatosales"/>
        <s v="forwardto2"/>
        <s v="tioperfumes"/>
        <s v="kingandqueenofclean2"/>
        <s v="luuhalexx"/>
        <s v="almeidacontbil"/>
        <s v="dipanddowglassworks2"/>
        <s v="scotchtownhills"/>
        <s v="appraisalsandevaluations"/>
        <s v="latinoconsultingandnotarygroupllc"/>
        <s v="beselerconstruction"/>
        <s v="williamsservicesgroup"/>
        <s v="ampedsoftwareusa"/>
        <s v="dallascountyhealthdepartment"/>
        <s v="legacyplumbing26"/>
        <s v="yyoung"/>
        <s v="princemanagement"/>
        <s v="orko"/>
        <s v="truebounce3"/>
        <s v="sweethomeoutdoorsllc"/>
        <s v="williampittsothebysinternationalrealty"/>
        <s v="csw2"/>
        <s v="alfrescoheating2"/>
        <s v="accesscarriercenter"/>
        <s v="swathiindianmarket"/>
        <s v="coolfixapplianceandhvacserviceltd"/>
        <s v="twopeoplecleaning"/>
        <s v="nomadobookkeepingllc"/>
        <s v="starnesservicesllc"/>
        <s v="rhinoroofing"/>
        <s v="cnjscleaningandhandyservices"/>
        <s v="unitedglobaltradingcorp9"/>
        <s v="obeglass"/>
        <s v="prairiecurbsandsurfacesolutions"/>
        <s v="bluebirdretirement"/>
        <s v="tinkercreekcontracting"/>
        <s v="kristyvaughanbookkeeping"/>
        <s v="dessertoasiscoffeeroasters"/>
        <s v="officedeals"/>
        <s v="ameritech"/>
        <s v="momenezzat"/>
        <s v="mtc2"/>
        <s v="a2zautomotivellc2"/>
        <s v="dhanoatransportationservicesltd"/>
        <s v="weida"/>
        <s v="skaklsco"/>
        <s v="precisionmedicalequipment"/>
        <s v="miltonwbosleyandco"/>
        <s v="jrunited3"/>
        <s v="desertarc3"/>
        <s v="menatropicals"/>
        <s v="evitabletransportationagencyllc2"/>
        <s v="daveevans"/>
        <s v="backoffice"/>
        <s v="caroltech"/>
        <s v="galaxycorporation"/>
        <s v="ozi"/>
        <s v="santofir"/>
        <s v="admin4"/>
        <s v="aqbconsultancy"/>
        <s v="dustbunnysbegone"/>
        <s v="aryansaas"/>
        <s v="majdkorj"/>
        <s v="blevinscorporation"/>
        <s v="rlmfinancialservice"/>
        <s v="capturedmomentslimited13"/>
        <s v="techsatcommunications"/>
        <s v="shahfooddistributorsinc"/>
        <s v="pacificgeomaticslimited3"/>
        <s v="blevinsassetmanagement"/>
        <s v="blevinsholdings"/>
        <s v="excelsiouslimited"/>
        <s v="joly"/>
        <s v="capitalsuppliesinc"/>
        <s v="rrplett"/>
        <s v="revivalsolar"/>
        <s v="johan"/>
        <s v="hpiunifiedinc"/>
        <s v="thesecond2day"/>
        <s v="trifieldenergy"/>
        <s v="purekbfinc"/>
        <s v="fletcherquillgroup"/>
        <s v="coldent"/>
        <s v="saeed2"/>
        <s v="trinivamanagementgroup"/>
        <s v="gutierrezservices"/>
        <s v="kerriebradshaw"/>
        <s v="beatneed"/>
        <s v="comfortworkspace"/>
        <s v="naim"/>
        <s v="castlehill"/>
        <s v="adfaengr"/>
        <s v="nordictimbersllc"/>
        <s v="harmonyalexapressllc"/>
        <s v="theneurobridge"/>
        <s v="ameliaservicegroup"/>
        <s v="maidsnthings"/>
        <s v="prestigeelectricllc3"/>
        <s v="rtlinc"/>
        <s v="hylprojectsolutionsinc"/>
        <s v="dvt"/>
        <s v="onestchoicegeneralservicesinc"/>
        <s v="bestelitecleaningservicesinc"/>
        <s v="crawfordmovingandstorage"/>
        <s v="dasaw"/>
        <s v="mpinc"/>
        <s v="javaislandcoffee"/>
        <s v="elderco"/>
        <s v="growconstruction2"/>
        <s v="pakarcctvmsdnbhd4"/>
        <s v="balanceupaccounting3"/>
        <s v="doorsmith"/>
        <s v="aiimagingsupplies"/>
        <s v="saeed3"/>
        <s v="cajunkleenproductsllc"/>
        <s v="biltconstructionllc2"/>
        <s v="chefscarecompany"/>
        <s v="millermobility"/>
        <s v="castlebar2"/>
        <s v="meilechwettenstein"/>
        <s v="thebartoncocarpets"/>
        <s v="shxrlxy"/>
        <s v="mobilitycityoflubbocktx"/>
        <s v="creativeedgephotostudio"/>
        <s v="allcallpaints"/>
        <s v="cladform"/>
        <s v="jmorigintechnosoftpvtltd"/>
        <s v="tilusjeantyconsulting"/>
        <s v="leon"/>
        <s v="embolx"/>
        <s v="cladform2"/>
        <s v="lakeloreleiohio"/>
        <s v="chefscarecompany2"/>
        <s v="woodfieldpress"/>
        <s v="pipeandmetalcenteroftexas"/>
        <s v="rayhan"/>
        <s v="zimco"/>
      </sharedItems>
    </cacheField>
    <cacheField name="SignUpDate" numFmtId="164">
      <sharedItems containsSemiMixedTypes="0" containsDate="1" containsString="0">
        <d v="2025-11-30T23:47:00Z"/>
        <d v="2025-12-01T03:06:00Z"/>
        <d v="2025-12-01T04:13:00Z"/>
        <d v="2025-12-01T07:49:00Z"/>
        <d v="2025-12-01T08:04:00Z"/>
        <d v="2025-12-01T08:12:00Z"/>
        <d v="2025-12-01T08:19:00Z"/>
        <d v="2025-12-01T08:41:00Z"/>
        <d v="2025-12-01T09:59:00Z"/>
        <d v="2025-12-01T11:04:00Z"/>
        <d v="2025-12-01T11:26:00Z"/>
        <d v="2025-12-01T11:56:00Z"/>
        <d v="2025-12-01T12:25:00Z"/>
        <d v="2025-12-01T12:46:00Z"/>
        <d v="2025-12-01T13:26:00Z"/>
        <d v="2025-12-01T14:01:00Z"/>
        <d v="2025-12-01T14:43:00Z"/>
        <d v="2025-12-01T15:06:00Z"/>
        <d v="2025-12-01T15:22:00Z"/>
        <d v="2025-12-01T16:29:00Z"/>
        <d v="2025-12-01T18:27:00Z"/>
        <d v="2025-12-01T19:17:00Z"/>
        <d v="2025-12-01T19:51:00Z"/>
        <d v="2025-12-01T22:21:00Z"/>
        <d v="2025-12-01T22:57:00Z"/>
        <d v="2025-12-01T22:59:00Z"/>
        <d v="2025-12-01T23:20:00Z"/>
        <d v="2025-12-02T00:50:00Z"/>
        <d v="2025-12-02T07:07:00Z"/>
        <d v="2025-12-02T07:20:00Z"/>
        <d v="2025-12-02T08:00:00Z"/>
        <d v="2025-12-02T08:02:00Z"/>
        <d v="2025-12-02T08:38:00Z"/>
        <d v="2025-12-02T10:34:00Z"/>
        <d v="2025-12-02T10:43:00Z"/>
        <d v="2025-12-02T11:07:00Z"/>
        <d v="2025-12-02T11:15:00Z"/>
        <d v="2025-12-02T11:23:00Z"/>
        <d v="2025-12-02T11:37:00Z"/>
        <d v="2025-12-02T11:47:00Z"/>
        <d v="2025-12-02T12:06:00Z"/>
        <d v="2025-12-02T12:40:00Z"/>
        <d v="2025-12-02T12:54:00Z"/>
        <d v="2025-12-02T12:56:00Z"/>
        <d v="2025-12-02T14:50:00Z"/>
        <d v="2025-12-02T14:58:00Z"/>
        <d v="2025-12-02T15:59:00Z"/>
        <d v="2025-12-02T16:14:00Z"/>
        <d v="2025-12-02T16:34:00Z"/>
        <d v="2025-12-02T16:35:00Z"/>
        <d v="2025-12-02T17:17:00Z"/>
        <d v="2025-12-02T17:25:00Z"/>
        <d v="2025-12-02T17:39:00Z"/>
        <d v="2025-12-02T17:57:00Z"/>
        <d v="2025-12-02T19:16:00Z"/>
        <d v="2025-12-02T20:02:00Z"/>
        <d v="2025-12-02T20:47:00Z"/>
        <d v="2025-12-02T21:06:00Z"/>
        <d v="2025-12-02T21:57:00Z"/>
        <d v="2025-12-02T22:40:00Z"/>
        <d v="2025-12-03T00:28:00Z"/>
        <d v="2025-12-03T01:07:00Z"/>
        <d v="2025-12-03T01:18:00Z"/>
        <d v="2025-12-03T03:52:00Z"/>
        <d v="2025-12-03T05:45:00Z"/>
        <d v="2025-12-03T06:53:00Z"/>
        <d v="2025-12-03T07:27:00Z"/>
        <d v="2025-12-03T07:33:00Z"/>
        <d v="2025-12-03T09:21:00Z"/>
        <d v="2025-12-03T09:42:00Z"/>
        <d v="2025-12-03T09:50:00Z"/>
        <d v="2025-12-03T10:18:00Z"/>
        <d v="2025-12-03T10:33:00Z"/>
        <d v="2025-12-03T11:07:00Z"/>
        <d v="2025-12-03T11:17:00Z"/>
        <d v="2025-12-03T11:36:00Z"/>
        <d v="2025-12-03T11:58:00Z"/>
        <d v="2025-12-03T11:59:00Z"/>
        <d v="2025-12-03T12:22:00Z"/>
        <d v="2025-12-03T12:28:00Z"/>
        <d v="2025-12-03T12:31:00Z"/>
        <d v="2025-12-03T12:44:00Z"/>
        <d v="2025-12-03T13:30:00Z"/>
        <d v="2025-12-03T13:34:00Z"/>
        <d v="2025-12-03T14:02:00Z"/>
        <d v="2025-12-03T14:09:00Z"/>
        <d v="2025-12-03T15:11:00Z"/>
        <d v="2025-12-03T15:19:00Z"/>
        <d v="2025-12-03T16:32:00Z"/>
        <d v="2025-12-03T17:23:00Z"/>
        <d v="2025-12-03T20:31:00Z"/>
        <d v="2025-12-03T21:06:00Z"/>
        <d v="2025-12-04T00:42:00Z"/>
        <d v="2025-12-04T05:57:00Z"/>
        <d v="2025-12-04T07:32:00Z"/>
        <d v="2025-12-04T08:07:00Z"/>
        <d v="2025-12-04T08:24:00Z"/>
        <d v="2025-12-04T08:55:00Z"/>
        <d v="2025-12-04T09:47:00Z"/>
        <d v="2025-12-04T12:31:00Z"/>
        <d v="2025-12-04T12:37:00Z"/>
        <d v="2025-12-04T12:46:00Z"/>
        <d v="2025-12-04T13:30:00Z"/>
        <d v="2025-12-04T14:22:00Z"/>
        <d v="2025-12-04T14:24:00Z"/>
        <d v="2025-12-04T14:28:00Z"/>
        <d v="2025-12-04T15:15:00Z"/>
        <d v="2025-12-04T15:35:00Z"/>
        <d v="2025-12-04T16:28:00Z"/>
        <d v="2025-12-04T18:01:00Z"/>
        <d v="2025-12-04T18:42:00Z"/>
        <d v="2025-12-04T19:59:00Z"/>
        <d v="2025-12-04T20:32:00Z"/>
        <d v="2025-12-04T21:36:00Z"/>
        <d v="2025-12-04T21:57:00Z"/>
        <d v="2025-12-04T22:30:00Z"/>
        <d v="2025-12-04T23:13:00Z"/>
        <d v="2025-12-04T23:29:00Z"/>
        <d v="2025-12-04T23:45:00Z"/>
        <d v="2025-12-05T01:01:00Z"/>
        <d v="2025-12-05T03:24:00Z"/>
        <d v="2025-12-05T04:28:00Z"/>
        <d v="2025-12-05T07:49:00Z"/>
        <d v="2025-12-05T09:21:00Z"/>
        <d v="2025-12-05T09:38:00Z"/>
        <d v="2025-12-05T09:47:00Z"/>
        <d v="2025-12-05T11:44:00Z"/>
        <d v="2025-12-05T12:04:00Z"/>
        <d v="2025-12-05T12:30:00Z"/>
        <d v="2025-12-05T13:02:00Z"/>
        <d v="2025-12-05T13:14:00Z"/>
        <d v="2025-12-05T13:56:00Z"/>
        <d v="2025-12-05T14:27:00Z"/>
        <d v="2025-12-05T15:45:00Z"/>
        <d v="2025-12-05T16:36:00Z"/>
        <d v="2025-12-06T04:04:00Z"/>
        <d v="2025-12-06T13:46:00Z"/>
        <d v="2025-12-06T16:15:00Z"/>
        <d v="2025-12-06T16:17:00Z"/>
        <d v="2025-12-06T18:56:00Z"/>
        <d v="2025-12-06T20:36:00Z"/>
        <d v="2025-12-06T22:06:00Z"/>
        <d v="2025-12-06T22:26:00Z"/>
        <d v="2025-12-07T01:01:00Z"/>
        <d v="2025-12-07T03:39:00Z"/>
        <d v="2025-12-07T06:06:00Z"/>
        <d v="2025-12-07T11:21:00Z"/>
        <d v="2025-12-07T11:35:00Z"/>
        <d v="2025-12-07T11:57:00Z"/>
        <d v="2025-12-07T17:14:00Z"/>
        <d v="2025-12-07T18:11:00Z"/>
        <d v="2025-12-07T18:31:00Z"/>
        <d v="2025-12-07T18:38:00Z"/>
        <d v="2025-12-08T00:35:00Z"/>
        <d v="2025-12-08T07:24:00Z"/>
        <d v="2025-12-08T07:54:00Z"/>
        <d v="2025-12-08T09:30:00Z"/>
        <d v="2025-12-08T10:11:00Z"/>
        <d v="2025-12-08T11:02:00Z"/>
        <d v="2025-12-08T11:06:00Z"/>
        <d v="2025-12-08T12:02:00Z"/>
        <d v="2025-12-08T12:52:00Z"/>
        <d v="2025-12-08T13:15:00Z"/>
        <d v="2025-12-08T13:51:00Z"/>
        <d v="2025-12-08T13:54:00Z"/>
        <d v="2025-12-08T14:08:00Z"/>
        <d v="2025-12-08T14:20:00Z"/>
        <d v="2025-12-08T14:21:00Z"/>
        <d v="2025-12-08T14:35:00Z"/>
        <d v="2025-12-08T14:52:00Z"/>
        <d v="2025-12-08T16:00:00Z"/>
        <d v="2025-12-08T16:02:00Z"/>
        <d v="2025-12-08T16:33:00Z"/>
        <d v="2025-12-08T16:52:00Z"/>
        <d v="2025-12-08T19:38:00Z"/>
        <d v="2025-12-08T19:41:00Z"/>
        <d v="2025-12-08T19:45:00Z"/>
        <d v="2025-12-08T19:57:00Z"/>
        <d v="2025-12-08T20:30:00Z"/>
        <d v="2025-12-08T22:55:00Z"/>
        <d v="2025-12-08T23:01:00Z"/>
        <d v="2025-12-08T23:51:00Z"/>
        <d v="2025-12-09T01:46:00Z"/>
        <d v="2025-12-09T04:39:00Z"/>
        <d v="2025-12-09T08:04:00Z"/>
        <d v="2025-12-09T09:14:00Z"/>
        <d v="2025-12-09T09:25:00Z"/>
        <d v="2025-12-09T09:39:00Z"/>
        <d v="2025-12-09T09:53:00Z"/>
        <d v="2025-12-09T10:17:00Z"/>
        <d v="2025-12-09T11:47:00Z"/>
        <d v="2025-12-09T12:17:00Z"/>
        <d v="2025-12-09T12:21:00Z"/>
        <d v="2025-12-09T12:33:00Z"/>
        <d v="2025-12-09T13:13:00Z"/>
        <d v="2025-12-09T14:32:00Z"/>
        <d v="2025-12-09T14:38:00Z"/>
        <d v="2025-12-09T15:25:00Z"/>
        <d v="2025-12-09T15:49:00Z"/>
        <d v="2025-12-09T16:13:00Z"/>
        <d v="2025-12-09T16:40:00Z"/>
        <d v="2025-12-09T16:50:00Z"/>
        <d v="2025-12-09T19:13:00Z"/>
        <d v="2025-12-09T19:29:00Z"/>
        <d v="2025-12-09T19:49:00Z"/>
        <d v="2025-12-09T20:46:00Z"/>
        <d v="2025-12-09T22:56:00Z"/>
        <d v="2025-12-09T23:00:00Z"/>
        <d v="2025-12-10T01:00:00Z"/>
        <d v="2025-12-10T06:12:00Z"/>
        <d v="2025-12-10T07:02:00Z"/>
        <d v="2025-12-10T07:11:00Z"/>
        <d v="2025-12-10T07:52:00Z"/>
        <d v="2025-12-10T08:13:00Z"/>
        <d v="2025-12-10T08:16:00Z"/>
        <d v="2025-12-10T08:22:00Z"/>
        <d v="2025-12-10T08:25:00Z"/>
        <d v="2025-12-10T08:49:00Z"/>
        <d v="2025-12-10T08:53:00Z"/>
        <d v="2025-12-10T09:05:00Z"/>
        <d v="2025-12-10T10:08:00Z"/>
        <d v="2025-12-10T11:38:00Z"/>
        <d v="2025-12-10T11:49:00Z"/>
        <d v="2025-12-10T11:55:00Z"/>
        <d v="2025-12-10T12:20:00Z"/>
        <d v="2025-12-10T12:21:00Z"/>
        <d v="2025-12-10T13:09:00Z"/>
        <d v="2025-12-10T13:23:00Z"/>
        <d v="2025-12-10T13:48:00Z"/>
        <d v="2025-12-10T14:39:00Z"/>
        <d v="2025-12-10T14:41:00Z"/>
        <d v="2025-12-10T14:43:00Z"/>
        <d v="2025-12-10T15:21:00Z"/>
        <d v="2025-12-10T15:47:00Z"/>
        <d v="2025-12-10T15:52:00Z"/>
        <d v="2025-12-10T16:41:00Z"/>
        <d v="2025-12-10T16:57:00Z"/>
        <d v="2025-12-10T17:05:00Z"/>
        <d v="2025-12-10T17:08:00Z"/>
        <d v="2025-12-10T17:22:00Z"/>
        <d v="2025-12-10T17:29:00Z"/>
        <d v="2025-12-10T18:09:00Z"/>
        <d v="2025-12-10T18:19:00Z"/>
        <d v="2025-12-10T19:42:00Z"/>
        <d v="2025-12-10T20:43:00Z"/>
        <d v="2025-12-10T21:04:00Z"/>
        <d v="2025-12-10T21:05:00Z"/>
        <d v="2025-12-10T21:43:00Z"/>
        <d v="2025-12-10T22:56:00Z"/>
        <d v="2025-12-11T02:26:00Z"/>
        <d v="2025-12-11T05:42:00Z"/>
        <d v="2025-12-11T08:28:00Z"/>
        <d v="2025-12-11T09:36:00Z"/>
        <d v="2025-12-11T09:46:00Z"/>
        <d v="2025-12-11T10:04:00Z"/>
        <d v="2025-12-11T10:42:00Z"/>
        <d v="2025-12-11T10:44:00Z"/>
        <d v="2025-12-11T10:52:00Z"/>
        <d v="2025-12-11T11:16:00Z"/>
        <d v="2025-12-11T11:32:00Z"/>
        <d v="2025-12-11T11:42:00Z"/>
        <d v="2025-12-11T11:47:00Z"/>
        <d v="2025-12-11T11:57:00Z"/>
        <d v="2025-12-11T12:35:00Z"/>
        <d v="2025-12-11T13:01:00Z"/>
        <d v="2025-12-11T13:18:00Z"/>
        <d v="2025-12-11T13:32:00Z"/>
        <d v="2025-12-11T14:35:00Z"/>
        <d v="2025-12-11T15:38:00Z"/>
        <d v="2025-12-11T16:18:00Z"/>
        <d v="2025-12-11T18:22:00Z"/>
        <d v="2025-12-11T19:04:00Z"/>
        <d v="2025-12-11T20:01:00Z"/>
        <d v="2025-12-11T21:23:00Z"/>
        <d v="2025-12-11T23:29:00Z"/>
        <d v="2025-12-11T23:38:00Z"/>
        <d v="2025-12-12T00:00:00Z"/>
        <d v="2025-12-12T00:52:00Z"/>
        <d v="2025-12-12T02:23:00Z"/>
        <d v="2025-12-12T03:08:00Z"/>
        <d v="2025-12-12T03:11:00Z"/>
        <d v="2025-12-12T04:37:00Z"/>
        <d v="2025-12-12T09:05:00Z"/>
        <d v="2025-12-12T10:21:00Z"/>
        <d v="2025-12-12T10:33:00Z"/>
        <d v="2025-12-12T10:56:00Z"/>
        <d v="2025-12-12T10:57:00Z"/>
        <d v="2025-12-12T11:07:00Z"/>
        <d v="2025-12-12T11:14:00Z"/>
        <d v="2025-12-12T11:19:00Z"/>
        <d v="2025-12-12T11:24:00Z"/>
        <d v="2025-12-12T11:41:00Z"/>
        <d v="2025-12-12T12:01:00Z"/>
        <d v="2025-12-12T13:24:00Z"/>
        <d v="2025-12-12T13:32:00Z"/>
        <d v="2025-12-12T13:38:00Z"/>
        <d v="2025-12-12T14:08:00Z"/>
        <d v="2025-12-12T14:20:00Z"/>
        <d v="2025-12-12T14:27:00Z"/>
        <d v="2025-12-12T15:35:00Z"/>
        <d v="2025-12-12T15:48:00Z"/>
        <d v="2025-12-12T16:36:00Z"/>
        <d v="2025-12-12T17:02:00Z"/>
        <d v="2025-12-12T17:05:00Z"/>
        <d v="2025-12-12T18:10:00Z"/>
        <d v="2025-12-12T20:11:00Z"/>
        <d v="2025-12-12T20:30:00Z"/>
        <d v="2025-12-12T21:46:00Z"/>
        <d v="2025-12-12T21:58:00Z"/>
        <d v="2025-12-12T22:00:00Z"/>
        <d v="2025-12-12T22:04:00Z"/>
        <d v="2025-12-12T22:36:00Z"/>
        <d v="2025-12-12T22:54:00Z"/>
        <d v="2025-12-12T23:23:00Z"/>
        <d v="2025-12-12T23:45:00Z"/>
        <d v="2025-12-13T01:26:00Z"/>
        <d v="2025-12-13T02:15:00Z"/>
        <d v="2025-12-13T04:48:00Z"/>
        <d v="2025-12-13T06:53:00Z"/>
        <d v="2025-12-13T09:28:00Z"/>
        <d v="2025-12-13T10:58:00Z"/>
        <d v="2025-12-13T12:37:00Z"/>
        <d v="2025-12-13T13:13:00Z"/>
        <d v="2025-12-13T14:53:00Z"/>
        <d v="2025-12-13T15:47:00Z"/>
        <d v="2025-12-13T16:23:00Z"/>
        <d v="2025-12-13T17:03:00Z"/>
        <d v="2025-12-13T17:17:00Z"/>
        <d v="2025-12-13T18:22:00Z"/>
        <d v="2025-12-13T19:24:00Z"/>
        <d v="2025-12-13T21:23:00Z"/>
        <d v="2025-12-13T21:31:00Z"/>
        <d v="2025-12-13T21:52:00Z"/>
        <d v="2025-12-14T01:34:00Z"/>
        <d v="2025-12-14T06:16:00Z"/>
        <d v="2025-12-14T06:18:00Z"/>
        <d v="2025-12-14T06:44:00Z"/>
        <d v="2025-12-14T06:56:00Z"/>
        <d v="2025-12-14T08:54:00Z"/>
        <d v="2025-12-14T09:19:00Z"/>
        <d v="2025-12-14T12:16:00Z"/>
        <d v="2025-12-14T13:42:00Z"/>
        <d v="2025-12-14T19:17:00Z"/>
        <d v="2025-12-14T19:28:00Z"/>
        <d v="2025-12-14T21:03:00Z"/>
        <d v="2025-12-14T21:29:00Z"/>
        <d v="2025-12-14T22:15:00Z"/>
        <d v="2025-12-14T22:47:00Z"/>
        <d v="2025-12-14T22:53:00Z"/>
        <d v="2025-12-15T00:11:00Z"/>
        <d v="2025-12-15T00:22:00Z"/>
        <d v="2025-12-15T00:41:00Z"/>
        <d v="2025-12-15T01:16:00Z"/>
        <d v="2025-12-15T01:34:00Z"/>
        <d v="2025-12-15T03:47:00Z"/>
        <d v="2025-12-15T04:31:00Z"/>
        <d v="2025-12-15T05:48:00Z"/>
        <d v="2025-12-15T06:04:00Z"/>
        <d v="2025-12-15T06:14:00Z"/>
        <d v="2025-12-15T06:24:00Z"/>
        <d v="2025-12-15T08:45:00Z"/>
        <d v="2025-12-15T10:05:00Z"/>
        <d v="2025-12-15T11:08:00Z"/>
        <d v="2025-12-15T12:20:00Z"/>
        <d v="2025-12-15T13:08:00Z"/>
        <d v="2025-12-15T13:09:00Z"/>
        <d v="2025-12-15T13:26:00Z"/>
        <d v="2025-12-15T13:38:00Z"/>
        <d v="2025-12-15T14:28:00Z"/>
        <d v="2025-12-15T14:43:00Z"/>
        <d v="2025-12-15T14:47:00Z"/>
        <d v="2025-12-15T15:00:00Z"/>
        <d v="2025-12-15T15:22:00Z"/>
        <d v="2025-12-15T15:35:00Z"/>
        <d v="2025-12-15T15:51:00Z"/>
        <d v="2025-12-15T15:54:00Z"/>
        <d v="2025-12-15T16:44:00Z"/>
        <d v="2025-12-15T16:50:00Z"/>
        <d v="2025-12-15T16:55:00Z"/>
        <d v="2025-12-15T17:05:00Z"/>
        <d v="2025-12-15T17:41:00Z"/>
        <d v="2025-12-15T17:50:00Z"/>
        <d v="2025-12-15T17:52:00Z"/>
        <d v="2025-12-15T18:28:00Z"/>
        <d v="2025-12-15T20:55:00Z"/>
        <d v="2025-12-15T20:56:00Z"/>
        <d v="2025-12-15T21:37:00Z"/>
        <d v="2025-12-15T22:22:00Z"/>
        <d v="2025-12-15T23:01:00Z"/>
        <d v="2025-12-15T23:13:00Z"/>
        <d v="2025-12-16T00:20:00Z"/>
        <d v="2025-12-16T03:44:00Z"/>
        <d v="2025-12-16T04:16:00Z"/>
        <d v="2025-12-16T06:24:00Z"/>
        <d v="2025-12-16T09:53:00Z"/>
        <d v="2025-12-16T10:36:00Z"/>
        <d v="2025-12-16T11:19:00Z"/>
        <d v="2025-12-16T11:57:00Z"/>
        <d v="2025-12-16T12:39:00Z"/>
        <d v="2025-12-16T13:19:00Z"/>
        <d v="2025-12-16T13:22:00Z"/>
        <d v="2025-12-16T14:06:00Z"/>
        <d v="2025-12-16T14:18:00Z"/>
        <d v="2025-12-16T14:32:00Z"/>
        <d v="2025-12-16T15:38:00Z"/>
        <d v="2025-12-16T16:10:00Z"/>
        <d v="2025-12-16T16:46:00Z"/>
        <d v="2025-12-16T16:52:00Z"/>
        <d v="2025-12-16T17:17:00Z"/>
        <d v="2025-12-16T17:33:00Z"/>
        <d v="2025-12-16T19:20:00Z"/>
        <d v="2025-12-16T19:53:00Z"/>
        <d v="2025-12-16T21:39:00Z"/>
        <d v="2025-12-16T23:57:00Z"/>
        <d v="2025-12-17T04:36:00Z"/>
        <d v="2025-12-17T04:41:00Z"/>
        <d v="2025-12-17T08:12:00Z"/>
        <d v="2025-12-17T09:47:00Z"/>
        <d v="2025-12-17T10:09:00Z"/>
        <d v="2025-12-17T10:50:00Z"/>
        <d v="2025-12-17T10:55:00Z"/>
        <d v="2025-12-17T11:04:00Z"/>
        <d v="2025-12-17T11:16:00Z"/>
        <d v="2025-12-17T11:18:00Z"/>
        <d v="2025-12-17T11:29:00Z"/>
        <d v="2025-12-17T11:59:00Z"/>
        <d v="2025-12-17T12:18:00Z"/>
        <d v="2025-12-17T12:21:00Z"/>
        <d v="2025-12-17T12:24:00Z"/>
        <d v="2025-12-17T13:01:00Z"/>
        <d v="2025-12-17T13:03:00Z"/>
        <d v="2025-12-17T13:18:00Z"/>
        <d v="2025-12-17T14:04:00Z"/>
        <d v="2025-12-17T14:40:00Z"/>
        <d v="2025-12-17T15:08:00Z"/>
        <d v="2025-12-17T15:47:00Z"/>
        <d v="2025-12-17T16:36:00Z"/>
        <d v="2025-12-17T16:39:00Z"/>
        <d v="2025-12-17T17:45:00Z"/>
        <d v="2025-12-17T18:45:00Z"/>
        <d v="2025-12-17T19:07:00Z"/>
        <d v="2025-12-17T19:34:00Z"/>
        <d v="2025-12-17T20:20:00Z"/>
        <d v="2025-12-17T20:53:00Z"/>
        <d v="2025-12-17T20:54:00Z"/>
        <d v="2025-12-17T22:09:00Z"/>
        <d v="2025-12-18T01:01:00Z"/>
        <d v="2025-12-18T06:47:00Z"/>
        <d v="2025-12-18T07:00:00Z"/>
        <d v="2025-12-18T07:26:00Z"/>
        <d v="2025-12-18T07:52:00Z"/>
        <d v="2025-12-18T08:05:00Z"/>
        <d v="2025-12-18T08:10:00Z"/>
        <d v="2025-12-18T08:33:00Z"/>
        <d v="2025-12-18T08:48:00Z"/>
        <d v="2025-12-18T09:11:00Z"/>
        <d v="2025-12-18T09:17:00Z"/>
        <d v="2025-12-18T10:04:00Z"/>
        <d v="2025-12-18T10:16:00Z"/>
        <d v="2025-12-18T10:57:00Z"/>
        <d v="2025-12-18T11:16:00Z"/>
        <d v="2025-12-18T11:21:00Z"/>
        <d v="2025-12-18T11:44:00Z"/>
        <d v="2025-12-18T12:04:00Z"/>
        <d v="2025-12-18T12:20:00Z"/>
        <d v="2025-12-18T12:34:00Z"/>
        <d v="2025-12-18T12:52:00Z"/>
        <d v="2025-12-18T13:00:00Z"/>
        <d v="2025-12-18T14:06:00Z"/>
        <d v="2025-12-18T14:32:00Z"/>
        <d v="2025-12-18T14:47:00Z"/>
        <d v="2025-12-18T15:08:00Z"/>
        <d v="2025-12-18T15:10:00Z"/>
        <d v="2025-12-18T17:44:00Z"/>
        <d v="2025-12-18T18:13:00Z"/>
        <d v="2025-12-18T19:18:00Z"/>
        <d v="2025-12-18T19:48:00Z"/>
        <d v="2025-12-18T21:09:00Z"/>
        <d v="2025-12-18T23:45:00Z"/>
        <d v="2025-12-19T01:23:00Z"/>
        <d v="2025-12-19T01:33:00Z"/>
        <d v="2025-12-19T02:27:00Z"/>
        <d v="2025-12-19T03:28:00Z"/>
        <d v="2025-12-19T06:24:00Z"/>
        <d v="2025-12-19T08:32:00Z"/>
        <d v="2025-12-19T10:43:00Z"/>
        <d v="2025-12-19T10:47:00Z"/>
        <d v="2025-12-19T10:49:00Z"/>
        <d v="2025-12-19T11:08:00Z"/>
        <d v="2025-12-19T11:15:00Z"/>
        <d v="2025-12-19T11:36:00Z"/>
        <d v="2025-12-19T11:49:00Z"/>
        <d v="2025-12-19T12:00:00Z"/>
        <d v="2025-12-19T12:10:00Z"/>
        <d v="2025-12-19T12:23:00Z"/>
        <d v="2025-12-19T12:37:00Z"/>
        <d v="2025-12-19T12:46:00Z"/>
        <d v="2025-12-19T13:14:00Z"/>
        <d v="2025-12-19T13:17:00Z"/>
        <d v="2025-12-19T14:35:00Z"/>
        <d v="2025-12-19T14:42:00Z"/>
        <d v="2025-12-19T15:02:00Z"/>
        <d v="2025-12-19T15:17:00Z"/>
        <d v="2025-12-19T15:32:00Z"/>
        <d v="2025-12-19T15:36:00Z"/>
        <d v="2025-12-19T15:49:00Z"/>
        <d v="2025-12-19T18:08:00Z"/>
        <d v="2025-12-19T20:28:00Z"/>
        <d v="2025-12-19T21:51:00Z"/>
        <d v="2025-12-19T22:40:00Z"/>
        <d v="2025-12-19T22:43:00Z"/>
        <d v="2025-12-20T00:45:00Z"/>
        <d v="2025-12-20T02:34:00Z"/>
        <d v="2025-12-20T02:36:00Z"/>
        <d v="2025-12-20T07:10:00Z"/>
        <d v="2025-12-20T08:20:00Z"/>
        <d v="2025-12-20T08:30:00Z"/>
        <d v="2025-12-20T10:56:00Z"/>
        <d v="2025-12-20T12:04:00Z"/>
        <d v="2025-12-20T12:23:00Z"/>
        <d v="2025-12-20T16:04:00Z"/>
        <d v="2025-12-20T16:05:00Z"/>
        <d v="2025-12-20T16:11:00Z"/>
        <d v="2025-12-20T16:26:00Z"/>
        <d v="2025-12-20T16:29:00Z"/>
        <d v="2025-12-20T16:57:00Z"/>
        <d v="2025-12-20T17:04:00Z"/>
        <d v="2025-12-20T17:17:00Z"/>
        <d v="2025-12-20T18:45:00Z"/>
        <d v="2025-12-20T19:16:00Z"/>
        <d v="2025-12-21T01:16:00Z"/>
        <d v="2025-12-21T04:28:00Z"/>
        <d v="2025-12-21T15:54:00Z"/>
        <d v="2025-12-21T23:08:00Z"/>
        <d v="2025-12-22T01:52:00Z"/>
        <d v="2025-12-22T08:12:00Z"/>
        <d v="2025-12-22T10:32:00Z"/>
        <d v="2025-12-22T11:21:00Z"/>
        <d v="2025-12-22T11:38:00Z"/>
        <d v="2025-12-22T12:07:00Z"/>
        <d v="2025-12-22T12:21:00Z"/>
        <d v="2025-12-22T12:22:00Z"/>
        <d v="2025-12-22T12:46:00Z"/>
        <d v="2025-12-22T13:04:00Z"/>
        <d v="2025-12-22T15:57:00Z"/>
        <d v="2025-12-22T17:28:00Z"/>
        <d v="2025-12-22T17:30:00Z"/>
        <d v="2025-12-22T17:46:00Z"/>
        <d v="2025-12-22T17:51:00Z"/>
        <d v="2025-12-22T19:15:00Z"/>
        <d v="2025-12-22T20:51:00Z"/>
        <d v="2025-12-22T23:12:00Z"/>
        <d v="2025-12-23T00:17:00Z"/>
        <d v="2025-12-23T01:11:00Z"/>
        <d v="2025-12-23T01:12:00Z"/>
        <d v="2025-12-23T05:46:00Z"/>
        <d v="2025-12-23T07:58:00Z"/>
        <d v="2025-12-23T08:30:00Z"/>
        <d v="2025-12-23T09:13:00Z"/>
        <d v="2025-12-23T10:34:00Z"/>
        <d v="2025-12-23T10:36:00Z"/>
        <d v="2025-12-23T10:48:00Z"/>
        <d v="2025-12-23T11:33:00Z"/>
        <d v="2025-12-23T12:26:00Z"/>
        <d v="2025-12-23T12:53:00Z"/>
        <d v="2025-12-23T13:19:00Z"/>
        <d v="2025-12-23T17:20:00Z"/>
        <d v="2025-12-23T20:06:00Z"/>
        <d v="2025-12-24T00:21:00Z"/>
        <d v="2025-12-24T05:45:00Z"/>
        <d v="2025-12-24T06:47:00Z"/>
        <d v="2025-12-24T09:34:00Z"/>
        <d v="2025-12-24T10:13:00Z"/>
        <d v="2025-12-24T11:41:00Z"/>
        <d v="2025-12-24T11:53:00Z"/>
        <d v="2025-12-24T12:39:00Z"/>
        <d v="2025-12-24T14:05:00Z"/>
        <d v="2025-12-24T14:38:00Z"/>
        <d v="2025-12-24T15:01:00Z"/>
        <d v="2025-12-24T16:24:00Z"/>
        <d v="2025-12-24T17:52:00Z"/>
        <d v="2025-12-24T17:53:00Z"/>
        <d v="2025-12-24T18:06:00Z"/>
        <d v="2025-12-24T20:55:00Z"/>
        <d v="2025-12-25T04:21:00Z"/>
        <d v="2025-12-25T04:35:00Z"/>
        <d v="2025-12-25T05:10:00Z"/>
        <d v="2025-12-25T09:54:00Z"/>
        <d v="2025-12-25T10:29:00Z"/>
        <d v="2025-12-25T13:37:00Z"/>
        <d v="2025-12-25T17:46:00Z"/>
        <d v="2025-12-25T19:21:00Z"/>
        <d v="2025-12-25T20:14:00Z"/>
        <d v="2025-12-26T00:55:00Z"/>
        <d v="2025-12-26T03:07:00Z"/>
        <d v="2025-12-26T03:08:00Z"/>
        <d v="2025-12-26T04:56:00Z"/>
        <d v="2025-12-26T07:37:00Z"/>
        <d v="2025-12-26T12:03:00Z"/>
        <d v="2025-12-26T12:54:00Z"/>
        <d v="2025-12-26T18:05:00Z"/>
        <d v="2025-12-26T21:15:00Z"/>
        <d v="2025-12-27T12:39:00Z"/>
        <d v="2025-12-27T14:47:00Z"/>
        <d v="2025-12-27T17:05:00Z"/>
        <d v="2025-12-27T23:25:00Z"/>
        <d v="2025-12-28T00:05:00Z"/>
        <d v="2025-12-28T05:28:00Z"/>
        <d v="2025-12-28T16:23:00Z"/>
        <d v="2025-12-28T19:33:00Z"/>
        <d v="2025-12-28T21:43:00Z"/>
        <d v="2025-12-29T01:43:00Z"/>
        <d v="2025-12-29T05:27:00Z"/>
        <d v="2025-12-29T06:06:00Z"/>
        <d v="2025-12-29T09:41:00Z"/>
        <d v="2025-12-29T09:53:00Z"/>
        <d v="2025-12-29T10:39:00Z"/>
        <d v="2025-12-29T10:55:00Z"/>
        <d v="2025-12-29T11:27:00Z"/>
        <d v="2025-12-29T12:17:00Z"/>
        <d v="2025-12-29T13:14:00Z"/>
        <d v="2025-12-29T14:00:00Z"/>
        <d v="2025-12-29T14:37:00Z"/>
        <d v="2025-12-29T15:08:00Z"/>
        <d v="2025-12-29T15:37:00Z"/>
        <d v="2025-12-29T18:50:00Z"/>
        <d v="2025-12-29T19:39:00Z"/>
        <d v="2025-12-29T22:02:00Z"/>
        <d v="2025-12-30T06:38:00Z"/>
        <d v="2025-12-30T08:31:00Z"/>
        <d v="2025-12-30T09:03:00Z"/>
        <d v="2025-12-30T09:33:00Z"/>
        <d v="2025-12-30T10:32:00Z"/>
        <d v="2025-12-30T11:17:00Z"/>
        <d v="2025-12-30T11:30:00Z"/>
        <d v="2025-12-30T12:28:00Z"/>
        <d v="2025-12-30T13:59:00Z"/>
        <d v="2025-12-30T14:36:00Z"/>
        <d v="2025-12-30T14:52:00Z"/>
        <d v="2025-12-30T15:02:00Z"/>
        <d v="2025-12-30T15:25:00Z"/>
        <d v="2025-12-30T15:37:00Z"/>
        <d v="2025-12-30T15:45:00Z"/>
        <d v="2025-12-30T15:52:00Z"/>
        <d v="2025-12-30T16:23:00Z"/>
        <d v="2025-12-30T17:34:00Z"/>
        <d v="2025-12-30T18:51:00Z"/>
        <d v="2025-12-30T19:54:00Z"/>
        <d v="2025-12-30T21:04:00Z"/>
        <d v="2025-12-31T00:08:00Z"/>
        <d v="2025-12-31T05:46:00Z"/>
        <d v="2025-12-31T08:07:00Z"/>
        <d v="2025-12-31T09:22:00Z"/>
        <d v="2025-12-31T10:01:00Z"/>
        <d v="2025-12-31T10:36:00Z"/>
        <d v="2025-12-31T11:34:00Z"/>
        <d v="2025-12-31T11:58:00Z"/>
        <d v="2025-12-31T17:31:00Z"/>
        <d v="2025-12-31T21:40:00Z"/>
        <d v="2025-12-31T22:16:00Z"/>
      </sharedItems>
    </cacheField>
    <cacheField name="CancellationDate" numFmtId="0">
      <sharedItems containsDate="1" containsString="0" containsBlank="1">
        <m/>
        <d v="2025-12-01T08:45:00Z"/>
        <d v="2025-12-09T09:05:00Z"/>
        <d v="2025-12-01T12:05:00Z"/>
        <d v="2025-12-08T16:10:00Z"/>
        <d v="2025-12-09T10:10:00Z"/>
        <d v="2025-12-09T15:24:00Z"/>
        <d v="2025-12-23T10:07:00Z"/>
        <d v="2025-12-17T18:03:00Z"/>
        <d v="2025-12-09T12:01:00Z"/>
        <d v="2026-01-01T11:34:00Z"/>
        <d v="2025-12-29T10:20:00Z"/>
        <d v="2025-12-17T19:54:00Z"/>
        <d v="2025-12-17T10:03:00Z"/>
        <d v="2025-12-24T09:51:00Z"/>
        <d v="2025-12-19T15:59:00Z"/>
        <d v="2025-12-03T14:59:00Z"/>
        <d v="2025-12-09T16:36:00Z"/>
        <d v="2025-12-04T09:26:00Z"/>
        <d v="2025-12-04T16:28:00Z"/>
        <d v="2025-12-16T18:04:00Z"/>
        <d v="2025-12-09T10:08:00Z"/>
        <d v="2025-12-09T09:06:00Z"/>
        <d v="2025-12-04T09:54:00Z"/>
        <d v="2025-12-22T10:26:00Z"/>
        <d v="2025-12-04T14:26:00Z"/>
        <d v="2025-12-30T11:29:00Z"/>
        <d v="2025-12-04T16:15:00Z"/>
        <d v="2025-12-04T16:47:00Z"/>
        <d v="2025-12-04T18:47:00Z"/>
        <d v="2025-12-08T19:31:00Z"/>
        <d v="2025-12-04T21:11:00Z"/>
        <d v="2025-12-05T13:09:00Z"/>
        <d v="2026-01-02T08:41:00Z"/>
        <d v="2025-12-05T10:24:00Z"/>
        <d v="2025-12-23T14:54:00Z"/>
        <d v="2025-12-16T16:15:00Z"/>
        <d v="2025-12-07T16:13:00Z"/>
        <d v="2025-12-09T09:55:00Z"/>
        <d v="2025-12-24T10:04:00Z"/>
        <d v="2025-12-11T11:49:00Z"/>
        <d v="2025-12-22T12:09:00Z"/>
        <d v="2025-12-12T07:42:00Z"/>
        <d v="2025-12-22T09:34:00Z"/>
        <d v="2025-12-16T14:38:00Z"/>
        <d v="2025-12-11T11:29:00Z"/>
        <d v="2025-12-11T11:55:00Z"/>
        <d v="2025-12-09T22:16:00Z"/>
        <d v="2025-12-12T17:56:00Z"/>
        <d v="2025-12-19T13:12:00Z"/>
        <d v="2025-12-12T09:51:00Z"/>
        <d v="2025-12-12T11:29:00Z"/>
        <d v="2025-12-12T09:50:00Z"/>
        <d v="2025-12-24T19:28:00Z"/>
        <d v="2025-12-18T13:32:00Z"/>
        <d v="2025-12-19T13:19:00Z"/>
        <d v="2025-12-10T17:12:00Z"/>
        <d v="2025-12-31T13:13:00Z"/>
        <d v="2025-12-12T12:00:00Z"/>
        <d v="2025-12-16T09:09:00Z"/>
        <d v="2025-12-18T07:47:00Z"/>
        <d v="2025-12-12T09:43:00Z"/>
        <d v="2025-12-12T09:23:00Z"/>
        <d v="2025-12-12T09:22:00Z"/>
        <d v="2025-12-19T11:46:00Z"/>
        <d v="2025-12-26T11:58:00Z"/>
        <d v="2025-12-24T09:43:00Z"/>
        <d v="2025-12-24T09:50:00Z"/>
        <d v="2025-12-12T09:20:00Z"/>
        <d v="2025-12-12T09:10:00Z"/>
        <d v="2025-12-12T16:14:00Z"/>
        <d v="2025-12-12T11:13:00Z"/>
        <d v="2025-12-12T11:20:00Z"/>
        <d v="2025-12-12T12:47:00Z"/>
        <d v="2025-12-29T08:59:00Z"/>
        <d v="2025-12-22T15:53:00Z"/>
        <d v="2025-12-22T12:02:00Z"/>
        <d v="2025-12-15T12:26:00Z"/>
        <d v="2025-12-15T12:24:00Z"/>
        <d v="2025-12-16T08:31:00Z"/>
        <d v="2025-12-18T01:26:00Z"/>
        <d v="2025-12-15T12:22:00Z"/>
        <d v="2025-12-16T13:18:00Z"/>
        <d v="2025-12-16T08:27:00Z"/>
        <d v="2026-01-01T14:38:00Z"/>
        <d v="2025-12-15T12:21:00Z"/>
        <d v="2025-12-15T12:20:00Z"/>
        <d v="2025-12-17T11:30:00Z"/>
        <d v="2025-12-16T13:31:00Z"/>
        <d v="2025-12-26T13:19:00Z"/>
        <d v="2025-12-16T08:30:00Z"/>
        <d v="2025-12-19T13:17:00Z"/>
        <d v="2025-12-30T00:02:00Z"/>
        <d v="2025-12-17T11:05:00Z"/>
        <d v="2025-12-16T12:04:00Z"/>
        <d v="2025-12-29T12:26:00Z"/>
        <d v="2025-12-31T03:55:00Z"/>
        <d v="2025-12-16T17:16:00Z"/>
        <d v="2025-12-22T11:11:00Z"/>
        <d v="2025-12-31T18:40:00Z"/>
        <d v="2025-12-17T12:08:00Z"/>
        <d v="2025-12-17T14:40:00Z"/>
        <d v="2025-12-18T07:50:00Z"/>
        <d v="2025-12-22T11:47:00Z"/>
        <d v="2025-12-18T09:47:00Z"/>
        <d v="2025-12-18T11:46:00Z"/>
        <d v="2025-12-18T13:00:00Z"/>
        <d v="2025-12-18T13:12:00Z"/>
        <d v="2025-12-19T17:02:00Z"/>
        <d v="2025-12-19T13:14:00Z"/>
        <d v="2026-01-02T08:39:00Z"/>
        <d v="2025-12-19T10:30:00Z"/>
        <d v="2025-12-19T14:10:00Z"/>
        <d v="2025-12-19T12:52:00Z"/>
        <d v="2026-01-02T08:42:00Z"/>
        <d v="2025-12-22T13:35:00Z"/>
        <d v="2025-12-24T09:48:00Z"/>
        <d v="2025-12-22T09:25:00Z"/>
        <d v="2025-12-20T17:34:00Z"/>
        <d v="2025-12-23T11:57:00Z"/>
        <d v="2025-12-24T18:01:00Z"/>
        <d v="2025-12-24T18:16:00Z"/>
        <d v="2025-12-25T20:19:00Z"/>
        <d v="2025-12-26T10:35:00Z"/>
        <d v="2025-12-28T16:48:00Z"/>
        <d v="2025-12-30T11:22:00Z"/>
        <d v="2025-12-31T09:33:00Z"/>
      </sharedItems>
    </cacheField>
    <cacheField name="ConvertPayDate" numFmtId="0">
      <sharedItems containsDate="1" containsString="0" containsBlank="1">
        <m/>
        <d v="2025-12-15T16:30:00Z"/>
        <d v="2025-12-18T11:54:00Z"/>
        <d v="2025-12-15T11:04:00Z"/>
        <d v="2025-12-15T11:40:00Z"/>
        <d v="2025-12-16T14:19:00Z"/>
        <d v="2025-12-15T15:55:00Z"/>
        <d v="2025-12-16T19:00:00Z"/>
        <d v="2025-12-15T12:46:00Z"/>
        <d v="2025-12-19T14:43:00Z"/>
        <d v="2025-12-03T13:03:00Z"/>
        <d v="2025-12-02T15:03:00Z"/>
        <d v="2025-12-04T14:26:00Z"/>
        <d v="2025-12-03T15:55:00Z"/>
        <d v="2025-12-10T16:11:00Z"/>
        <d v="2025-12-30T18:20:00Z"/>
        <d v="2025-12-17T12:46:00Z"/>
        <d v="2025-12-23T11:13:00Z"/>
        <d v="2025-12-10T13:22:00Z"/>
        <d v="2025-12-11T18:53:00Z"/>
        <d v="2025-12-17T11:40:00Z"/>
        <d v="2025-12-22T11:58:00Z"/>
        <d v="2025-12-24T12:07:00Z"/>
        <d v="2025-12-26T10:30:00Z"/>
        <d v="2025-12-15T14:42:00Z"/>
        <d v="2025-12-07T11:01:00Z"/>
        <d v="2025-12-12T10:18:00Z"/>
        <d v="2025-12-27T03:41:00Z"/>
        <d v="2025-12-12T14:50:00Z"/>
        <d v="2025-12-27T00:48:00Z"/>
        <d v="2025-12-15T14:58:00Z"/>
        <d v="2025-12-22T19:38:00Z"/>
        <d v="2025-12-09T11:28:00Z"/>
        <d v="2025-12-11T10:39:00Z"/>
        <d v="2025-12-23T19:50:00Z"/>
        <d v="2025-12-24T12:16:00Z"/>
        <d v="2025-12-10T08:25:00Z"/>
        <d v="2025-12-24T12:48:00Z"/>
        <d v="2025-12-28T13:08:00Z"/>
        <d v="2025-12-11T08:28:00Z"/>
        <d v="2025-12-12T23:00:00Z"/>
        <d v="2025-12-12T00:03:00Z"/>
        <d v="2025-12-12T03:46:00Z"/>
        <d v="2025-12-29T16:14:00Z"/>
        <d v="2025-12-17T12:10:00Z"/>
        <d v="2025-12-22T16:00:00Z"/>
        <d v="2025-12-12T22:43:00Z"/>
        <d v="2025-12-21T02:43:00Z"/>
        <d v="2025-12-19T10:43:00Z"/>
        <d v="2025-12-29T11:38:00Z"/>
        <d v="2025-12-23T12:53:00Z"/>
        <d v="2025-12-29T10:30:00Z"/>
        <d v="2025-12-29T16:54:00Z"/>
        <d v="2025-12-29T18:54:00Z"/>
        <d v="2025-12-29T12:37:00Z"/>
        <d v="2025-12-17T11:59:00Z"/>
        <d v="2025-12-31T13:06:00Z"/>
        <d v="2025-12-31T08:24:00Z"/>
        <d v="2025-12-30T15:44:00Z"/>
        <d v="2025-12-22T09:18:00Z"/>
        <d v="2025-12-23T13:54:00Z"/>
        <d v="2025-12-23T17:11:00Z"/>
        <d v="2025-12-18T15:39:00Z"/>
        <d v="2025-12-25T13:31:00Z"/>
        <d v="2025-12-22T13:12:00Z"/>
        <d v="2025-12-30T17:38:00Z"/>
        <d v="2025-12-30T19:27:00Z"/>
        <d v="2025-12-26T21:22:00Z"/>
        <d v="2025-12-24T09:22:00Z"/>
        <d v="2025-12-24T18:00:00Z"/>
        <d v="2025-12-29T14:11:00Z"/>
        <d v="2025-12-31T03:15:00Z"/>
        <d v="2025-12-30T17:34:00Z"/>
      </sharedItems>
    </cacheField>
    <cacheField name="IsActive" numFmtId="0">
      <sharedItems>
        <b v="1"/>
        <b v="0"/>
      </sharedItems>
    </cacheField>
    <cacheField name="IsConversionException" numFmtId="0">
      <sharedItems>
        <b v="0"/>
        <b v="1"/>
      </sharedItems>
    </cacheField>
    <cacheField name="IsCountedAsChurn" numFmtId="0">
      <sharedItems>
        <b v="0"/>
      </sharedItems>
    </cacheField>
    <cacheField name="IsTrialConverted" numFmtId="0">
      <sharedItems>
        <b v="0"/>
      </sharedItems>
    </cacheField>
    <cacheField name="PayType" numFmtId="0">
      <sharedItems>
        <s v="Monthly"/>
        <s v="Prepay"/>
      </sharedItems>
    </cacheField>
    <cacheField name="AppName" numFmtId="0">
      <sharedItems>
        <s v="Method:CRM For QBO"/>
        <s v="Method:CRM"/>
        <s v="Method:CRM for QBD"/>
        <s v="Method:FieldServices for QBD"/>
        <s v="Method:CRM for Xero"/>
        <s v="Method:FieldServices for QBO"/>
        <s v="Method:FieldServices"/>
        <s v="Method:Donor for QBO"/>
        <s v="Method:Proposals for QBO"/>
        <s v="Method:FieldServices for Xero"/>
        <s v="SaaSphalt for QBO"/>
      </sharedItems>
    </cacheField>
    <cacheField name="AccountingPlatform" numFmtId="0">
      <sharedItems>
        <s v="QBO"/>
        <s v="QuickBooks"/>
        <s v="QBDT"/>
        <s v="None"/>
        <s v="Xero"/>
      </sharedItems>
    </cacheField>
    <cacheField name="PlatformToggle" numFmtId="0">
      <sharedItems>
        <s v="New"/>
        <s v="Both"/>
      </sharedItems>
    </cacheField>
    <cacheField name="CustDatSaaSAmountToDate" numFmtId="0">
      <sharedItems containsSemiMixedTypes="0" containsString="0" containsNumber="1">
        <n v="0.0"/>
        <n v="88.5"/>
        <n v="72.75"/>
        <n v="452.5"/>
        <n v="165.0"/>
        <n v="59.0"/>
        <n v="44.25"/>
        <n v="53.1"/>
        <n v="318.75"/>
        <n v="54.45"/>
        <n v="164.25"/>
        <n v="132.75"/>
        <n v="63.75"/>
        <n v="36.75"/>
        <n v="106.5"/>
        <n v="123.75"/>
        <n v="431.2"/>
        <n v="190.5"/>
        <n v="70.5"/>
        <n v="121.0"/>
        <n v="151.4"/>
        <n v="620.0"/>
        <n v="40.0"/>
        <n v="544.0"/>
        <n v="99.0"/>
        <n v="54.75"/>
        <n v="53.25"/>
        <n v="327.75"/>
        <n v="62.75"/>
        <n v="97.5"/>
        <n v="111.0"/>
        <n v="221.25"/>
        <n v="704.0"/>
        <n v="147.0"/>
        <n v="63.0"/>
        <n v="1088.0"/>
        <n v="128.8"/>
      </sharedItems>
    </cacheField>
    <cacheField name="CustDatLastSaaSAmount" numFmtId="0">
      <sharedItems containsSemiMixedTypes="0" containsString="0" containsNumber="1">
        <n v="63.75"/>
        <n v="53.25"/>
        <n v="44.25"/>
        <n v="70.5"/>
        <n v="0.0"/>
        <n v="72.75"/>
        <n v="127.5"/>
        <n v="116.0"/>
        <n v="186.0"/>
        <n v="59.0"/>
        <n v="109.5"/>
        <n v="62.25"/>
        <n v="26.25"/>
        <n v="81.0"/>
        <n v="236.25"/>
        <n v="54.75"/>
        <n v="150.75"/>
        <n v="318.75"/>
        <n v="145.5"/>
        <n v="164.25"/>
        <n v="132.75"/>
        <n v="105.75"/>
        <n v="186.75"/>
        <n v="298.5"/>
        <n v="36.75"/>
        <n v="177.0"/>
        <n v="88.5"/>
        <n v="106.5"/>
        <n v="255.0"/>
        <n v="97.5"/>
        <n v="118.0"/>
        <n v="107.0"/>
        <n v="170.0"/>
        <n v="40.0"/>
        <n v="383.25"/>
        <n v="295.0"/>
        <n v="228.0"/>
        <n v="191.25"/>
        <n v="96.0"/>
        <n v="99.0"/>
        <n v="266.25"/>
        <n v="87.0"/>
        <n v="311.25"/>
        <n v="141.75"/>
        <n v="384.0"/>
        <n v="62.75"/>
        <n v="78.0"/>
        <n v="111.0"/>
        <n v="57.75"/>
        <n v="213.0"/>
        <n v="219.0"/>
        <n v="221.25"/>
        <n v="704.0"/>
        <n v="117.75"/>
        <n v="147.0"/>
        <n v="201.75"/>
        <n v="70.0"/>
        <n v="272.25"/>
        <n v="644.0"/>
        <n v="144.0"/>
        <n v="218.25"/>
        <n v="260.25"/>
        <n v="257.25"/>
        <n v="35.25"/>
        <n v="159.75"/>
      </sharedItems>
    </cacheField>
    <cacheField name="CustDatPSAmountToDate" numFmtId="0">
      <sharedItems containsSemiMixedTypes="0" containsString="0" containsNumber="1">
        <n v="0.0"/>
        <n v="558.0"/>
        <n v="387.5"/>
        <n v="775.0"/>
        <n v="930.0"/>
      </sharedItems>
    </cacheField>
    <cacheField name="CustDatPSLastMonth" numFmtId="0">
      <sharedItems containsSemiMixedTypes="0" containsString="0" containsNumber="1">
        <n v="0.0"/>
        <n v="558.0"/>
        <n v="387.5"/>
        <n v="775.0"/>
        <n v="77.5"/>
        <n v="930.0"/>
      </sharedItems>
    </cacheField>
    <cacheField name="ExpectedLifetime" numFmtId="0">
      <sharedItems containsSemiMixedTypes="0" containsString="0" containsNumber="1" containsInteger="1">
        <n v="0.0"/>
        <n v="28.0"/>
      </sharedItems>
    </cacheField>
    <cacheField name="MethodDiscount" numFmtId="0">
      <sharedItems containsBlank="1">
        <s v="US-3 Month Promo(25% off)"/>
        <m/>
        <s v="US-Partner 2 Free Users"/>
      </sharedItems>
    </cacheField>
    <cacheField name="Channel" numFmtId="0">
      <sharedItems>
        <s v="Direct"/>
        <s v="Referred"/>
        <s v="Managed"/>
      </sharedItems>
    </cacheField>
    <cacheField name="PartnerName" numFmtId="0">
      <sharedItems containsBlank="1">
        <m/>
        <s v="Altiro Solutions"/>
        <s v="Cloud Consultancy"/>
        <s v="Home Watch IT, LLC"/>
        <s v="Marwan Dajani Business Solutions"/>
        <s v="SBS Associates, Inc."/>
        <s v="Tech In The Field"/>
        <s v="ercsolutionsinc"/>
        <s v="Cleanslate Financial Services"/>
        <s v="John Sandy and Associates Co"/>
        <s v="Brandow Consulting"/>
        <s v="Mobility City Franchises"/>
      </sharedItems>
    </cacheField>
    <cacheField name="CookieID" numFmtId="0">
      <sharedItems containsSemiMixedTypes="0" containsString="0" containsNumber="1" containsInteger="1">
        <n v="7217712.0"/>
        <n v="7218180.0"/>
        <n v="7218307.0"/>
        <n v="7204189.0"/>
        <n v="7171808.0"/>
        <n v="7168930.0"/>
        <n v="7218855.0"/>
        <n v="7210242.0"/>
        <n v="7191321.0"/>
        <n v="7219935.0"/>
        <n v="7220141.0"/>
        <n v="6659644.0"/>
        <n v="7220412.0"/>
        <n v="7220589.0"/>
        <n v="7158239.0"/>
        <n v="7220805.0"/>
        <n v="7221061.0"/>
        <n v="7155332.0"/>
        <n v="7221267.0"/>
        <n v="7034286.0"/>
        <n v="7012113.0"/>
        <n v="7203163.0"/>
        <n v="7222319.0"/>
        <n v="7222778.0"/>
        <n v="7222681.0"/>
        <n v="7222912.0"/>
        <n v="7222975.0"/>
        <n v="7223248.0"/>
        <n v="7224530.0"/>
        <n v="7224570.0"/>
        <n v="7224692.0"/>
        <n v="7148020.0"/>
        <n v="7224805.0"/>
        <n v="7225423.0"/>
        <n v="7225452.0"/>
        <n v="7225548.0"/>
        <n v="7224722.0"/>
        <n v="7225705.0"/>
        <n v="7168038.0"/>
        <n v="7225592.0"/>
        <n v="7225967.0"/>
        <n v="7226145.0"/>
        <n v="7033836.0"/>
        <n v="7171683.0"/>
        <n v="7226908.0"/>
        <n v="7200361.0"/>
        <n v="7227287.0"/>
        <n v="7227385.0"/>
        <n v="7227482.0"/>
        <n v="7227496.0"/>
        <n v="7227716.0"/>
        <n v="7226948.0"/>
        <n v="7227818.0"/>
        <n v="6729572.0"/>
        <n v="7228093.0"/>
        <n v="7228190.0"/>
        <n v="7225937.0"/>
        <n v="7228418.0"/>
        <n v="7214453.0"/>
        <n v="7228602.0"/>
        <n v="7228836.0"/>
        <n v="7228931.0"/>
        <n v="7228947.0"/>
        <n v="7229263.0"/>
        <n v="7229509.0"/>
        <n v="7229653.0"/>
        <n v="7225658.0"/>
        <n v="7189860.0"/>
        <n v="7230330.0"/>
        <n v="7230452.0"/>
        <n v="7196123.0"/>
        <n v="7230630.0"/>
        <n v="7229842.0"/>
        <n v="7220470.0"/>
        <n v="7230971.0"/>
        <n v="7231141.0"/>
        <n v="7129479.0"/>
        <n v="7231310.0"/>
        <n v="7231451.0"/>
        <n v="7231589.0"/>
        <n v="7231606.0"/>
        <n v="7193888.0"/>
        <n v="7231851.0"/>
        <n v="7156504.0"/>
        <n v="7004999.0"/>
        <n v="7232226.0"/>
        <n v="7232539.0"/>
        <n v="7231212.0"/>
        <n v="7197435.0"/>
        <n v="7233303.0"/>
        <n v="7183421.0"/>
        <n v="7234024.0"/>
        <n v="7234633.0"/>
        <n v="7235439.0"/>
        <n v="7120535.0"/>
        <n v="7236563.0"/>
        <n v="7237457.0"/>
        <n v="7237483.0"/>
        <n v="7237545.0"/>
        <n v="7237731.0"/>
        <n v="7146070.0"/>
        <n v="6822630.0"/>
        <n v="7238173.0"/>
        <n v="7238395.0"/>
        <n v="7077601.0"/>
        <n v="7238833.0"/>
        <n v="7239323.0"/>
        <n v="7239055.0"/>
        <n v="7239820.0"/>
        <n v="7238199.0"/>
        <n v="7240251.0"/>
        <n v="7240312.0"/>
        <n v="7240329.0"/>
        <n v="7240652.0"/>
        <n v="7240782.0"/>
        <n v="7241058.0"/>
        <n v="7241576.0"/>
        <n v="6741515.0"/>
        <n v="7242522.0"/>
        <n v="7237240.0"/>
        <n v="7167524.0"/>
        <n v="7243328.0"/>
        <n v="7244129.0"/>
        <n v="7243458.0"/>
        <n v="7244418.0"/>
        <n v="7244437.0"/>
        <n v="7244725.0"/>
        <n v="7244822.0"/>
        <n v="6989049.0"/>
        <n v="7245281.0"/>
        <n v="7245932.0"/>
        <n v="7173666.0"/>
        <n v="7250031.0"/>
        <n v="7253089.0"/>
        <n v="7254048.0"/>
        <n v="7255075.0"/>
        <n v="7255782.0"/>
        <n v="7256372.0"/>
        <n v="7256490.0"/>
        <n v="7257392.0"/>
        <n v="7258384.0"/>
        <n v="7259314.0"/>
        <n v="7254761.0"/>
        <n v="7261719.0"/>
        <n v="7240248.0"/>
        <n v="7264509.0"/>
        <n v="7240059.0"/>
        <n v="7265317.0"/>
        <n v="7265403.0"/>
        <n v="7268249.0"/>
        <n v="7271853.0"/>
        <n v="7230951.0"/>
        <n v="7177412.0"/>
        <n v="7273486.0"/>
        <n v="7201522.0"/>
        <n v="7274020.0"/>
        <n v="7196193.0"/>
        <n v="7275272.0"/>
        <n v="7260101.0"/>
        <n v="7244828.0"/>
        <n v="7165234.0"/>
        <n v="6579359.0"/>
        <n v="0.0"/>
        <n v="7276342.0"/>
        <n v="7045685.0"/>
        <n v="7233302.0"/>
        <n v="7273827.0"/>
        <n v="7166736.0"/>
        <n v="7277976.0"/>
        <n v="7279779.0"/>
        <n v="7280163.0"/>
        <n v="7281303.0"/>
        <n v="7281696.0"/>
        <n v="7282184.0"/>
        <n v="7283340.0"/>
        <n v="7285028.0"/>
        <n v="7288102.0"/>
        <n v="7288268.0"/>
        <n v="7097059.0"/>
        <n v="7288731.0"/>
        <n v="7277947.0"/>
        <n v="7288780.0"/>
        <n v="7245206.0"/>
        <n v="7290569.0"/>
        <n v="7290931.0"/>
        <n v="7291572.0"/>
        <n v="7292733.0"/>
        <n v="7292825.0"/>
        <n v="7293523.0"/>
        <n v="7293900.0"/>
        <n v="6912095.0"/>
        <n v="7294729.0"/>
        <n v="7294914.0"/>
        <n v="7296950.0"/>
        <n v="7297136.0"/>
        <n v="7296773.0"/>
        <n v="7298299.0"/>
        <n v="7300043.0"/>
        <n v="7288135.0"/>
        <n v="7261273.0"/>
        <n v="7305341.0"/>
        <n v="7305251.0"/>
        <n v="7306028.0"/>
        <n v="7306523.0"/>
        <n v="7306779.0"/>
        <n v="7233085.0"/>
        <n v="7306902.0"/>
        <n v="6624131.0"/>
        <n v="7307287.0"/>
        <n v="7307469.0"/>
        <n v="7308251.0"/>
        <n v="7309404.0"/>
        <n v="7309590.0"/>
        <n v="7309669.0"/>
        <n v="7310009.0"/>
        <n v="7310029.0"/>
        <n v="7309087.0"/>
        <n v="6777186.0"/>
        <n v="7311275.0"/>
        <n v="7312083.0"/>
        <n v="7311871.0"/>
        <n v="7312685.0"/>
        <n v="7313079.0"/>
        <n v="7313064.0"/>
        <n v="7292847.0"/>
        <n v="7314056.0"/>
        <n v="7311439.0"/>
        <n v="7314218.0"/>
        <n v="7314376.0"/>
        <n v="7313880.0"/>
        <n v="7315035.0"/>
        <n v="7314310.0"/>
        <n v="7279273.0"/>
        <n v="7317257.0"/>
        <n v="7317606.0"/>
        <n v="7317426.0"/>
        <n v="7318996.0"/>
        <n v="7321521.0"/>
        <n v="7137487.0"/>
        <n v="7325165.0"/>
        <n v="7325235.0"/>
        <n v="7325409.0"/>
        <n v="7072555.0"/>
        <n v="7167566.0"/>
        <n v="7325823.0"/>
        <n v="6734922.0"/>
        <n v="7326137.0"/>
        <n v="7326276.0"/>
        <n v="7326300.0"/>
        <n v="7326407.0"/>
        <n v="7326650.0"/>
        <n v="7324933.0"/>
        <n v="7327090.0"/>
        <n v="6979405.0"/>
        <n v="7327812.0"/>
        <n v="7328360.0"/>
        <n v="7328686.0"/>
        <n v="7326178.0"/>
        <n v="7329807.0"/>
        <n v="7330086.0"/>
        <n v="7094062.0"/>
        <n v="7065897.0"/>
        <n v="7331108.0"/>
        <n v="7331190.0"/>
        <n v="7331401.0"/>
        <n v="7331728.0"/>
        <n v="7331912.0"/>
        <n v="7331931.0"/>
        <n v="7332219.0"/>
        <n v="7307440.0"/>
        <n v="7333647.0"/>
        <n v="7333633.0"/>
        <n v="7333841.0"/>
        <n v="7333901.0"/>
        <n v="7333957.0"/>
        <n v="7334081.0"/>
        <n v="7334193.0"/>
        <n v="7334665.0"/>
        <n v="7094502.0"/>
        <n v="7334629.0"/>
        <n v="7334946.0"/>
        <n v="7335014.0"/>
        <n v="7335079.0"/>
        <n v="7335476.0"/>
        <n v="6798468.0"/>
        <n v="7335776.0"/>
        <n v="7316922.0"/>
        <n v="7335977.0"/>
        <n v="7336304.0"/>
        <n v="7336827.0"/>
        <n v="7336910.0"/>
        <n v="7337316.0"/>
        <n v="7337375.0"/>
        <n v="7337359.0"/>
        <n v="7337348.0"/>
        <n v="7337541.0"/>
        <n v="7337712.0"/>
        <n v="7337789.0"/>
        <n v="7193167.0"/>
        <n v="7338308.0"/>
        <n v="7338781.0"/>
        <n v="7339068.0"/>
        <n v="7339662.0"/>
        <n v="7008148.0"/>
        <n v="7340537.0"/>
        <n v="7340674.0"/>
        <n v="7341148.0"/>
        <n v="7341433.0"/>
        <n v="7340072.0"/>
        <n v="7341136.0"/>
        <n v="7341830.0"/>
        <n v="7333726.0"/>
        <n v="7342377.0"/>
        <n v="7276113.0"/>
        <n v="7342786.0"/>
        <n v="7342948.0"/>
        <n v="7343742.0"/>
        <n v="7344694.0"/>
        <n v="7344705.0"/>
        <n v="7344793.0"/>
        <n v="7344836.0"/>
        <n v="7345219.0"/>
        <n v="7345290.0"/>
        <n v="7345968.0"/>
        <n v="7346355.0"/>
        <n v="7343077.0"/>
        <n v="7347422.0"/>
        <n v="7348243.0"/>
        <n v="7348356.0"/>
        <n v="7348552.0"/>
        <n v="7348708.0"/>
        <n v="7348738.0"/>
        <n v="7349063.0"/>
        <n v="7348940.0"/>
        <n v="7349171.0"/>
        <n v="7349288.0"/>
        <n v="7349341.0"/>
        <n v="7349688.0"/>
        <n v="7348592.0"/>
        <n v="7350158.0"/>
        <n v="7350228.0"/>
        <n v="7350246.0"/>
        <n v="7351322.0"/>
        <n v="7340809.0"/>
        <n v="7352143.0"/>
        <n v="7352409.0"/>
        <n v="7352422.0"/>
        <n v="7352511.0"/>
        <n v="7352582.0"/>
        <n v="7352927.0"/>
        <n v="6431390.0"/>
        <n v="7353060.0"/>
        <n v="7352666.0"/>
        <n v="7351404.0"/>
        <n v="7353351.0"/>
        <n v="7012143.0"/>
        <n v="7324557.0"/>
        <n v="7226569.0"/>
        <n v="7353796.0"/>
        <n v="7353702.0"/>
        <n v="7353965.0"/>
        <n v="7354154.0"/>
        <n v="7354205.0"/>
        <n v="7354221.0"/>
        <n v="7354416.0"/>
        <n v="7355087.0"/>
        <n v="7355084.0"/>
        <n v="7355286.0"/>
        <n v="7355560.0"/>
        <n v="7355771.0"/>
        <n v="7355873.0"/>
        <n v="7355995.0"/>
        <n v="7357104.0"/>
        <n v="7357786.0"/>
        <n v="7359095.0"/>
        <n v="7146953.0"/>
        <n v="7359849.0"/>
        <n v="7360157.0"/>
        <n v="7360566.0"/>
        <n v="7360844.0"/>
        <n v="7360911.0"/>
        <n v="7277373.0"/>
        <n v="7360089.0"/>
        <n v="7311650.0"/>
        <n v="7361997.0"/>
        <n v="7362434.0"/>
        <n v="7363111.0"/>
        <n v="7363938.0"/>
        <n v="7364206.0"/>
        <n v="7364506.0"/>
        <n v="6829553.0"/>
        <n v="7367947.0"/>
        <n v="7332943.0"/>
        <n v="7369644.0"/>
        <n v="7361653.0"/>
        <n v="7370578.0"/>
        <n v="7370940.0"/>
        <n v="7370986.0"/>
        <n v="7371073.0"/>
        <n v="7370730.0"/>
        <n v="7370544.0"/>
        <n v="7371208.0"/>
        <n v="7371618.0"/>
        <n v="7044370.0"/>
        <n v="7371443.0"/>
        <n v="7371953.0"/>
        <n v="7372371.0"/>
        <n v="7372387.0"/>
        <n v="7372832.0"/>
        <n v="7373529.0"/>
        <n v="7373827.0"/>
        <n v="7374439.0"/>
        <n v="7374507.0"/>
        <n v="7375196.0"/>
        <n v="7375678.0"/>
        <n v="7375898.0"/>
        <n v="7376116.0"/>
        <n v="7376541.0"/>
        <n v="7376841.0"/>
        <n v="7376760.0"/>
        <n v="7377481.0"/>
        <n v="7378920.0"/>
        <n v="7381511.0"/>
        <n v="7381585.0"/>
        <n v="7381993.0"/>
        <n v="7378450.0"/>
        <n v="7382048.0"/>
        <n v="7375429.0"/>
        <n v="7381327.0"/>
        <n v="7382898.0"/>
        <n v="7373906.0"/>
        <n v="7230959.0"/>
        <n v="7383456.0"/>
        <n v="7384235.0"/>
        <n v="7384299.0"/>
        <n v="7371588.0"/>
        <n v="7383991.0"/>
        <n v="7384826.0"/>
        <n v="7385048.0"/>
        <n v="7385133.0"/>
        <n v="7385441.0"/>
        <n v="7385590.0"/>
        <n v="7386866.0"/>
        <n v="7373144.0"/>
        <n v="7387290.0"/>
        <n v="7387323.0"/>
        <n v="7328427.0"/>
        <n v="7390045.0"/>
        <n v="7390846.0"/>
        <n v="7169826.0"/>
        <n v="7391961.0"/>
        <n v="7394490.0"/>
        <n v="7394563.0"/>
        <n v="7395054.0"/>
        <n v="7395506.0"/>
        <n v="7399184.0"/>
        <n v="7400650.0"/>
        <n v="7104534.0"/>
        <n v="7400714.0"/>
        <n v="7400927.0"/>
        <n v="7359092.0"/>
        <n v="7401497.0"/>
        <n v="7334314.0"/>
        <n v="7401779.0"/>
        <n v="7401811.0"/>
        <n v="7402242.0"/>
        <n v="7402549.0"/>
        <n v="7192064.0"/>
        <n v="7403507.0"/>
        <n v="7403824.0"/>
        <n v="7403975.0"/>
        <n v="7404050.0"/>
        <n v="7404067.0"/>
        <n v="7404218.0"/>
        <n v="7405733.0"/>
        <n v="7406728.0"/>
        <n v="7407677.0"/>
        <n v="7365397.0"/>
        <n v="7408184.0"/>
        <n v="7409418.0"/>
        <n v="7410879.0"/>
        <n v="7414207.0"/>
        <n v="7414762.0"/>
        <n v="7415120.0"/>
        <n v="7416598.0"/>
        <n v="7416818.0"/>
        <n v="7416913.0"/>
        <n v="7418642.0"/>
        <n v="7418651.0"/>
        <n v="7418745.0"/>
        <n v="7418956.0"/>
        <n v="7419039.0"/>
        <n v="7418388.0"/>
        <n v="7419583.0"/>
        <n v="7419756.0"/>
        <n v="7316090.0"/>
        <n v="7420421.0"/>
        <n v="7425042.0"/>
        <n v="7392695.0"/>
        <n v="7447047.0"/>
        <n v="7450566.0"/>
        <n v="7454404.0"/>
        <n v="7456580.0"/>
        <n v="7400785.0"/>
        <n v="7457140.0"/>
        <n v="6923940.0"/>
        <n v="7457386.0"/>
        <n v="7457395.0"/>
        <n v="7457523.0"/>
        <n v="7457595.0"/>
        <n v="6858904.0"/>
        <n v="7461684.0"/>
        <n v="7461671.0"/>
        <n v="7239387.0"/>
        <n v="7462073.0"/>
        <n v="7463015.0"/>
        <n v="7463459.0"/>
        <n v="7464033.0"/>
        <n v="7464452.0"/>
        <n v="7464685.0"/>
        <n v="7464714.0"/>
        <n v="7466069.0"/>
        <n v="7466227.0"/>
        <n v="7466806.0"/>
        <n v="7467094.0"/>
        <n v="7467584.0"/>
        <n v="7467688.0"/>
        <n v="7467776.0"/>
        <n v="7468068.0"/>
        <n v="7468556.0"/>
        <n v="7466833.0"/>
        <n v="7469016.0"/>
        <n v="7470645.0"/>
        <n v="7473585.0"/>
        <n v="7475754.0"/>
        <n v="7477627.0"/>
        <n v="7481009.0"/>
        <n v="7483343.0"/>
        <n v="6951325.0"/>
        <n v="7484300.0"/>
        <n v="7274989.0"/>
        <n v="7485094.0"/>
        <n v="7487526.0"/>
        <n v="7457343.0"/>
        <n v="7490185.0"/>
        <n v="7493259.0"/>
        <n v="7498568.0"/>
        <n v="7498731.0"/>
        <n v="7499398.0"/>
        <n v="7502873.0"/>
        <n v="7502316.0"/>
        <n v="7505399.0"/>
        <n v="6312958.0"/>
        <n v="7509326.0"/>
        <n v="7509508.0"/>
        <n v="7510482.0"/>
        <n v="7511335.0"/>
        <n v="7511932.0"/>
        <n v="7513096.0"/>
        <n v="7513352.0"/>
        <n v="7514329.0"/>
        <n v="7514568.0"/>
        <n v="7515965.0"/>
        <n v="7516417.0"/>
        <n v="7516601.0"/>
        <n v="7518306.0"/>
        <n v="7509689.0"/>
        <n v="7519590.0"/>
        <n v="7522095.0"/>
        <n v="7522834.0"/>
        <n v="7523342.0"/>
        <n v="7524220.0"/>
        <n v="7525084.0"/>
        <n v="7525186.0"/>
        <n v="7526193.0"/>
        <n v="6685099.0"/>
        <n v="7526267.0"/>
        <n v="7526564.0"/>
        <n v="7209412.0"/>
        <n v="7526709.0"/>
        <n v="7525769.0"/>
        <n v="7516150.0"/>
        <n v="7527359.0"/>
        <n v="7528096.0"/>
        <n v="7528275.0"/>
        <n v="7528412.0"/>
        <n v="7532217.0"/>
        <n v="7400576.0"/>
        <n v="7532929.0"/>
        <n v="6997201.0"/>
        <n v="7534329.0"/>
        <n v="7192756.0"/>
        <n v="7535169.0"/>
        <n v="7535309.0"/>
        <n v="7222082.0"/>
        <n v="7535554.0"/>
        <n v="7535621.0"/>
        <n v="7535678.0"/>
        <n v="7513561.0"/>
        <n v="7535952.0"/>
        <n v="7536811.0"/>
        <n v="7537141.0"/>
        <n v="7218369.0"/>
        <n v="7540010.0"/>
        <n v="7540439.0"/>
        <n v="7534963.0"/>
        <n v="7541300.0"/>
        <n v="7541520.0"/>
        <n v="7386104.0"/>
        <n v="7544590.0"/>
        <n v="7546463.0"/>
        <n v="7546699.0"/>
      </sharedItems>
    </cacheField>
    <cacheField name="Att_Direct_SEO_Referrer" numFmtId="0">
      <sharedItems containsBlank="1">
        <s v="https://www.google.com/"/>
        <m/>
        <s v="https://chatgpt.com/"/>
        <s v="https://www.bing.com/"/>
        <s v="https://www.youtube.com/"/>
        <s v="https://duckduckgo.com/"/>
        <s v="https://search.yahoo.com/"/>
        <s v="https://bit.ly/3PWw6Mj"/>
        <s v="android-app://com.google.android.googlequicksearchbox/"/>
      </sharedItems>
    </cacheField>
    <cacheField name="Att_Direct" numFmtId="0">
      <sharedItems containsSemiMixedTypes="0" containsString="0" containsNumber="1" containsInteger="1">
        <n v="0.0"/>
        <n v="1.0"/>
      </sharedItems>
    </cacheField>
    <cacheField name="Att_SEO" numFmtId="0">
      <sharedItems containsSemiMixedTypes="0" containsString="0" containsNumber="1">
        <n v="1.0"/>
        <n v="0.0"/>
        <n v="0.6"/>
        <n v="0.4"/>
        <n v="0.5"/>
        <n v="0.0071"/>
      </sharedItems>
    </cacheField>
    <cacheField name="Att_OPN_Other_Peoples_Networks" numFmtId="0">
      <sharedItems containsSemiMixedTypes="0" containsString="0" containsNumber="1">
        <n v="0.0"/>
        <n v="1.0"/>
        <n v="0.5"/>
        <n v="0.8"/>
      </sharedItems>
    </cacheField>
    <cacheField name="Att_Pay_Per_Click" numFmtId="0">
      <sharedItems containsSemiMixedTypes="0" containsString="0" containsNumber="1">
        <n v="0.0"/>
        <n v="1.0"/>
        <n v="0.4"/>
        <n v="0.5"/>
        <n v="0.6001"/>
        <n v="0.2"/>
        <n v="0.45"/>
      </sharedItems>
    </cacheField>
    <cacheField name="Att_Partners" numFmtId="0">
      <sharedItems containsSemiMixedTypes="0" containsString="0" containsNumber="1">
        <n v="0.0"/>
        <n v="0.5"/>
        <n v="1.0"/>
        <n v="0.6"/>
        <n v="0.9929"/>
        <n v="0.4"/>
      </sharedItems>
    </cacheField>
    <cacheField name="Att_Email" numFmtId="0">
      <sharedItems containsSemiMixedTypes="0" containsString="0" containsNumber="1">
        <n v="0.0"/>
        <n v="0.6002"/>
        <n v="1.0"/>
        <n v="0.15"/>
        <n v="0.5998"/>
        <n v="0.1"/>
        <n v="0.05"/>
      </sharedItems>
    </cacheField>
    <cacheField name="Att_Remarketing" numFmtId="0">
      <sharedItems containsSemiMixedTypes="0" containsString="0" containsNumber="1" containsInteger="1">
        <n v="0.0"/>
      </sharedItems>
    </cacheField>
    <cacheField name="Att_Social" numFmtId="0">
      <sharedItems containsSemiMixedTypes="0" containsString="0" containsNumber="1" containsInteger="1">
        <n v="0.0"/>
      </sharedItems>
    </cacheField>
    <cacheField name="Att_Help_Center" numFmtId="0">
      <sharedItems containsSemiMixedTypes="0" containsString="0" containsNumber="1" containsInteger="1">
        <n v="0.0"/>
      </sharedItems>
    </cacheField>
    <cacheField name="Att_Online_Chat_Tool" numFmtId="0">
      <sharedItems containsSemiMixedTypes="0" containsString="0" containsNumber="1" containsInteger="1">
        <n v="0.0"/>
      </sharedItems>
    </cacheField>
    <cacheField name="Att_Content" numFmtId="0">
      <sharedItems containsSemiMixedTypes="0" containsString="0" containsNumber="1">
        <n v="0.0"/>
        <n v="0.45"/>
        <n v="1.0"/>
      </sharedItems>
    </cacheField>
    <cacheField name="Att_Banner_Ads" numFmtId="0">
      <sharedItems containsSemiMixedTypes="0" containsString="0" containsNumber="1" containsInteger="1">
        <n v="0.0"/>
      </sharedItems>
    </cacheField>
    <cacheField name="Att_Seminar_Conference" numFmtId="0">
      <sharedItems containsSemiMixedTypes="0" containsString="0" containsNumber="1" containsInteger="1">
        <n v="0.0"/>
      </sharedItems>
    </cacheField>
    <cacheField name="Att_Referral_Program" numFmtId="0">
      <sharedItems containsSemiMixedTypes="0" containsString="0" containsNumber="1" containsInteger="1">
        <n v="0.0"/>
      </sharedItems>
    </cacheField>
    <cacheField name="Att_Referral_Link" numFmtId="0">
      <sharedItems containsSemiMixedTypes="0" containsString="0" containsNumber="1" containsInteger="1">
        <n v="0.0"/>
      </sharedItems>
    </cacheField>
    <cacheField name="Att_Backlinks" numFmtId="0">
      <sharedItems containsSemiMixedTypes="0" containsString="0" containsNumber="1" containsInteger="1">
        <n v="0.0"/>
      </sharedItems>
    </cacheField>
    <cacheField name="Att_Other" numFmtId="0">
      <sharedItems containsSemiMixedTypes="0" containsString="0" containsNumber="1" containsInteger="1">
        <n v="0.0"/>
        <n v="1.0"/>
      </sharedItems>
    </cacheField>
    <cacheField name="Att_Webinar" numFmtId="0">
      <sharedItems containsSemiMixedTypes="0" containsString="0" containsNumber="1" containsInteger="1">
        <n v="0.0"/>
      </sharedItems>
    </cacheField>
    <cacheField name="Att_None" numFmtId="0">
      <sharedItems containsSemiMixedTypes="0" containsString="0" containsNumber="1">
        <n v="0.0"/>
        <n v="1.0"/>
        <n v="-1.9999999999997797E-4"/>
        <n v="1.9999999999997797E-4"/>
        <n v="-9.999999999998899E-5"/>
      </sharedItems>
    </cacheField>
    <cacheField name="SyncTypeRegion" numFmtId="0">
      <sharedItems containsBlank="1">
        <s v="CA"/>
        <s v="KW"/>
        <m/>
        <s v="US"/>
        <s v="GB"/>
        <s v="HK"/>
        <s v="IN"/>
        <s v="TT"/>
        <s v="PA"/>
        <s v="MY"/>
        <s v="AU"/>
        <s v="ZA"/>
        <s v="PK"/>
        <s v="UG"/>
        <s v="NZ"/>
        <s v="ID"/>
        <s v="MA"/>
        <s v="AE"/>
        <s v="ZW"/>
        <s v="KE"/>
        <s v="EG"/>
        <s v="SR"/>
        <s v="HN"/>
        <s v="JM"/>
      </sharedItems>
    </cacheField>
    <cacheField name="Vertical" numFmtId="0">
      <sharedItems containsBlank="1">
        <s v="Other"/>
        <s v="Repair and maintenance"/>
        <m/>
        <s v="Construction"/>
        <s v="Field Services"/>
        <s v="Manufacturing (MWD)"/>
        <s v="Wholesale and distribution services (MWD)"/>
        <s v="Consulting and Professional Services"/>
        <s v="IT and computer related"/>
        <s v="Accounting and Bookkeeping"/>
        <s v="Retail"/>
        <s v="Automotive parts, repair and maintenance"/>
      </sharedItems>
    </cacheField>
    <cacheField name="Sector" numFmtId="0">
      <sharedItems containsBlank="1">
        <s v="other"/>
        <m/>
      </sharedItems>
    </cacheField>
    <cacheField name="CustDatIndustry" numFmtId="0">
      <sharedItems containsBlank="1">
        <s v="Industrial building construction"/>
        <m/>
        <s v="Outdoor Kitchen Design / Build"/>
        <s v="Other"/>
        <s v="All other professional, scientific, and technical services"/>
        <s v="Coffee and tea manufacturing"/>
        <s v="Fish and seafood merchant wholesalers"/>
        <s v="OtherNone"/>
        <s v="Software publishers"/>
        <s v="WholesaleDistributionandSales"/>
        <s v="21"/>
        <s v="Manufacturing"/>
        <s v="retail"/>
        <s v="Other chemical and allied products merchant wholesalers"/>
        <s v="Professional Consulting"/>
        <s v="GeneralServicebasedBusiness"/>
        <s v="Solution Promotionnelle"/>
        <s v="Electrical contractor"/>
        <s v="Recycling"/>
        <s v="Pool Management"/>
        <s v="Architectural services"/>
        <s v="Household appliance stores"/>
        <s v="Plumbing, heating, and air-conditioning contractors"/>
        <s v="Other support activities for air transportation"/>
        <s v="Security"/>
        <s v="Assisted living facilities for the elderly"/>
        <s v="Services"/>
        <s v="general contractor"/>
        <s v="Financial transactions processing, reserve, and clearinghouse activities"/>
        <s v="Other management consulting services"/>
        <s v="Wine and distilled alcoholic beverage merchant wholesalers"/>
        <s v="Other direct selling establishments"/>
        <s v="Other services to buildings and dwellings"/>
        <s v="Interior design services"/>
        <s v="Professional Services – e.g. consultants, designers, tutors &amp; childminders"/>
        <s v="AccountingorBookkeeping"/>
        <s v="Home Watch"/>
        <s v="Other commercial equipment merchant wholesalers"/>
        <s v="Appliance repair and maintenance"/>
        <s v="Surveying"/>
        <s v="Other activities related to real estate"/>
        <s v="Marketing consulting services"/>
        <s v="Service Provider"/>
        <s v="Support activities for forestry"/>
        <s v="Other waste collection"/>
        <s v="4"/>
        <s v="Management, Scientific, and Technical Consulting Services"/>
        <s v="Accommodation and Food Services"/>
        <s v="All other automotive repair and maintenance"/>
        <s v="Residential remodelers"/>
        <s v="Professional Services (e.g. Legal, Accounting, Marketing, Consulting)"/>
        <s v="Conveyor and conveying equipment manufacturing"/>
        <s v="Retail Trade (Food &amp; Beverage)"/>
        <s v="All other business support services"/>
        <s v="Bookkeeping"/>
        <s v="General Service"/>
        <s v="Apparel Manufacturing"/>
        <s v="General warehousing and storage"/>
        <s v="Flooring contractors"/>
        <s v="Other specialized design services"/>
        <s v="Wholesale Trade"/>
        <s v="Plumbing, gas fitting"/>
        <s v="Other Scientific and Technical Consulting Services"/>
        <s v="Other industrial machinery manufacturing"/>
        <s v="Internet Publishing and Broadcasting and Web Search Portals"/>
        <s v="Retail: General"/>
        <s v="Commercial and institutional building construction"/>
        <s v="Religious organizations"/>
        <s v="Graphic design services"/>
        <s v="Builder"/>
        <s v="Medical, dental, and hospital equipment and supplies merchant wholesalers"/>
        <s v="Overhead Doors And Openers"/>
        <s v="Breweries"/>
        <s v="Sandblasting and Painting"/>
        <s v="RetailSummary"/>
        <s v="Other computer related services"/>
        <s v="Commercial banking"/>
        <s v="BFS"/>
        <s v="website design"/>
        <s v="Investigation services"/>
        <s v="Pool and Spa maintenance and service"/>
        <s v="Tax preparation services"/>
        <s v="18"/>
        <s v="Engineering services"/>
        <s v="All other miscellaneous store retailers (except tobacco stores)"/>
        <s v="Oil and gas pipeline and related structures construction"/>
        <s v="Construction"/>
        <s v="Other personal care services"/>
        <s v="Electrical contractors and other wiring installation contractors"/>
        <s v="Sports and Recreation Instruction"/>
        <s v="Environmental consulting services"/>
        <s v="Construction/Builder"/>
        <s v="Wholesale trade agents and brokers"/>
        <s v="Roofing contractors"/>
        <s v="design_arch_eng"/>
        <s v="Telecommunications"/>
        <s v="Exterior Cleaning"/>
        <s v="All other miscellaneous manufacturing"/>
        <s v="Computer systems design services"/>
        <s v="All other personal services"/>
        <s v="Chicken egg production"/>
        <s v="Glass and Glazing Contractors"/>
        <s v="Freight transportation arrangement"/>
        <s v="Offices of notaries"/>
        <s v="ConstructionTradesPlumberElectricianHVAC"/>
        <s v="Bottled water manufacturing"/>
        <s v="All other specialty trade contractors"/>
        <s v="Other accounting services"/>
        <s v="Repair and Maintenance (Automotive &amp; Property)"/>
        <s v="Landscaping services"/>
        <s v="General Service-based Business"/>
        <s v="Other social advocacy organizations"/>
        <s v="Couriers and express delivery services"/>
        <s v="Offices of other holding companies"/>
        <s v="20"/>
        <s v="Solar electric power generation"/>
        <s v="Security guards and patrol services"/>
        <s v="Electrical Services"/>
        <s v="Wholesale &amp; Distribution"/>
        <s v="Application Development/Software, Publishers (packaged)"/>
        <s v="Packaging and labeling services"/>
        <s v="Outdoor advertising"/>
        <s v="Retail bakeries"/>
        <s v="construction_contractor"/>
        <s v="Professional organizations"/>
        <s v="Commercial photography"/>
        <s v="Other building material dealers"/>
      </sharedItems>
    </cacheField>
    <cacheField name="CustDatFirstSyncCompleted" numFmtId="164">
      <sharedItems containsDate="1" containsString="0" containsBlank="1">
        <d v="2025-11-30T00:00:00Z"/>
        <m/>
        <d v="2025-12-01T00:00:00Z"/>
        <d v="2025-12-02T00:00:00Z"/>
        <d v="2025-12-04T00:00:00Z"/>
        <d v="2025-12-05T00:00:00Z"/>
        <d v="2025-12-03T00:00:00Z"/>
        <d v="2025-12-17T00:00:00Z"/>
        <d v="2025-12-21T00:00:00Z"/>
        <d v="2025-12-06T00:00:00Z"/>
        <d v="2025-12-07T00:00:00Z"/>
        <d v="2025-12-12T00:00:00Z"/>
        <d v="2025-12-08T00:00:00Z"/>
        <d v="2025-12-29T00:00:00Z"/>
        <d v="2025-12-10T00:00:00Z"/>
        <d v="2025-12-09T00:00:00Z"/>
        <d v="2025-12-11T00:00:00Z"/>
        <d v="2025-12-18T00:00:00Z"/>
        <d v="2025-12-24T00:00:00Z"/>
        <d v="2025-12-25T00:00:00Z"/>
        <d v="2025-12-13T00:00:00Z"/>
        <d v="2025-12-14T00:00:00Z"/>
        <d v="2025-12-15T00:00:00Z"/>
        <d v="2025-12-16T00:00:00Z"/>
        <d v="2025-12-19T00:00:00Z"/>
        <d v="2026-01-01T00:00:00Z"/>
        <d v="2025-12-22T00:00:00Z"/>
        <d v="2025-12-20T00:00:00Z"/>
        <d v="2025-12-23T00:00:00Z"/>
        <d v="2025-12-26T00:00:00Z"/>
        <d v="2025-12-27T00:00:00Z"/>
        <d v="2025-12-28T00:00:00Z"/>
        <d v="2026-01-02T00:00:00Z"/>
        <d v="2025-12-30T00:00:00Z"/>
        <d v="2025-12-31T00:00:00Z"/>
      </sharedItems>
    </cacheField>
    <cacheField name="CustDatLastRefreshed" numFmtId="164">
      <sharedItems containsDate="1" containsString="0" containsBlank="1">
        <d v="2026-01-02T00:49:00Z"/>
        <d v="2026-01-01T23:34:00Z"/>
        <d v="2026-01-02T00:41:00Z"/>
        <d v="2026-01-02T00:02:00Z"/>
        <d v="2026-01-01T23:45:00Z"/>
        <m/>
        <d v="2026-01-02T00:40:00Z"/>
        <d v="2025-12-09T00:26:00Z"/>
        <d v="2026-01-02T00:05:00Z"/>
        <d v="2026-01-02T00:39:00Z"/>
        <d v="2026-01-02T00:18:00Z"/>
        <d v="2026-01-02T00:51:00Z"/>
        <d v="2026-01-02T00:54:00Z"/>
        <d v="2026-01-02T00:14:00Z"/>
        <d v="2025-12-08T00:09:00Z"/>
        <d v="2026-01-01T23:50:00Z"/>
        <d v="2025-12-09T00:22:00Z"/>
        <d v="2026-01-02T00:25:00Z"/>
        <d v="2026-01-02T00:53:00Z"/>
        <d v="2026-01-01T23:53:00Z"/>
        <d v="2026-01-01T23:52:00Z"/>
        <d v="2026-01-02T00:10:00Z"/>
        <d v="2026-01-02T00:37:00Z"/>
        <d v="2026-01-02T00:43:00Z"/>
        <d v="2026-01-01T23:33:00Z"/>
        <d v="2026-01-02T01:01:00Z"/>
        <d v="2026-01-02T00:15:00Z"/>
        <d v="2025-12-09T01:00:00Z"/>
        <d v="2026-01-01T23:58:00Z"/>
        <d v="2026-01-02T00:55:00Z"/>
        <d v="2026-01-02T00:33:00Z"/>
        <d v="2026-01-02T00:09:00Z"/>
        <d v="2026-01-02T00:58:00Z"/>
        <d v="2026-01-02T00:29:00Z"/>
        <d v="2026-01-01T23:41:00Z"/>
        <d v="2026-01-01T23:57:00Z"/>
        <d v="2026-01-01T23:44:00Z"/>
        <d v="2026-01-01T23:59:00Z"/>
        <d v="2026-01-01T23:43:00Z"/>
        <d v="2026-01-02T00:16:00Z"/>
        <d v="2026-01-01T23:49:00Z"/>
        <d v="2026-01-02T00:52:00Z"/>
        <d v="2026-01-02T00:13:00Z"/>
        <d v="2026-01-02T00:12:00Z"/>
        <d v="2026-01-02T00:26:00Z"/>
        <d v="2026-01-02T00:59:00Z"/>
        <d v="2025-12-23T00:18:00Z"/>
        <d v="2026-01-02T01:02:00Z"/>
        <d v="2026-01-02T00:56:00Z"/>
        <d v="2026-01-01T23:32:00Z"/>
        <d v="2026-01-02T00:04:00Z"/>
        <d v="2025-12-16T23:54:00Z"/>
        <d v="2025-12-09T01:07:00Z"/>
        <d v="2025-12-31T23:49:00Z"/>
        <d v="2025-12-29T00:49:00Z"/>
        <d v="2025-12-17T01:13:00Z"/>
        <d v="2026-01-01T23:38:00Z"/>
        <d v="2026-01-02T00:23:00Z"/>
        <d v="2025-12-17T00:54:00Z"/>
        <d v="2026-01-02T00:32:00Z"/>
        <d v="2025-12-23T23:57:00Z"/>
        <d v="2025-12-18T23:46:00Z"/>
        <d v="2026-01-02T00:08:00Z"/>
        <d v="2025-12-09T00:41:00Z"/>
        <d v="2026-01-02T00:27:00Z"/>
        <d v="2025-12-04T00:06:00Z"/>
        <d v="2026-01-01T23:51:00Z"/>
        <d v="2025-12-04T00:11:00Z"/>
        <d v="2025-12-15T23:40:00Z"/>
        <d v="2025-12-09T00:18:00Z"/>
        <d v="2026-01-01T23:36:00Z"/>
        <d v="2026-01-02T00:36:00Z"/>
        <d v="2026-01-02T00:46:00Z"/>
        <d v="2025-12-21T23:42:00Z"/>
        <d v="2025-12-04T14:16:00Z"/>
        <d v="2026-01-02T01:00:00Z"/>
        <d v="2025-12-29T23:46:00Z"/>
        <d v="2026-01-01T23:31:00Z"/>
        <d v="2025-12-08T00:35:00Z"/>
        <d v="2025-12-05T00:39:00Z"/>
        <d v="2026-01-02T00:06:00Z"/>
        <d v="2026-01-01T23:39:00Z"/>
        <d v="2026-01-01T23:46:00Z"/>
        <d v="2026-01-02T00:28:00Z"/>
        <d v="2026-01-02T00:22:00Z"/>
        <d v="2026-01-02T00:50:00Z"/>
        <d v="2026-01-02T00:45:00Z"/>
        <d v="2026-01-02T00:17:00Z"/>
        <d v="2025-12-23T00:32:00Z"/>
        <d v="2025-12-16T00:47:00Z"/>
        <d v="2026-01-01T23:56:00Z"/>
        <d v="2025-12-06T23:51:00Z"/>
        <d v="2025-12-09T00:54:00Z"/>
        <d v="2026-01-02T00:57:00Z"/>
        <d v="2025-12-23T23:47:00Z"/>
        <d v="2026-01-01T23:35:00Z"/>
        <d v="2025-12-11T00:11:00Z"/>
        <d v="2025-12-22T00:21:00Z"/>
        <d v="2026-01-02T00:24:00Z"/>
        <d v="2025-12-12T00:52:00Z"/>
        <d v="2026-01-02T00:11:00Z"/>
        <d v="2025-12-22T00:35:00Z"/>
        <d v="2025-12-16T01:13:00Z"/>
        <d v="2025-12-11T01:09:00Z"/>
        <d v="2026-01-02T00:30:00Z"/>
        <d v="2025-12-11T00:04:00Z"/>
        <d v="2026-01-02T00:00:00Z"/>
        <d v="2025-12-09T00:37:00Z"/>
        <d v="2026-01-02T00:42:00Z"/>
        <d v="2025-12-12T01:02:00Z"/>
        <d v="2026-01-02T00:34:00Z"/>
        <d v="2026-01-02T00:31:00Z"/>
        <d v="2026-01-02T00:01:00Z"/>
        <d v="2025-12-18T23:52:00Z"/>
        <d v="2025-12-12T01:12:00Z"/>
        <d v="2026-01-02T00:35:00Z"/>
        <d v="2025-12-11T23:35:00Z"/>
        <d v="2025-12-11T23:54:00Z"/>
        <d v="2025-12-24T01:09:00Z"/>
        <d v="2025-12-18T00:46:00Z"/>
        <d v="2026-01-02T00:20:00Z"/>
        <d v="2026-01-01T23:30:00Z"/>
        <d v="2025-12-19T00:24:00Z"/>
        <d v="2026-01-01T23:37:00Z"/>
        <d v="2026-01-01T23:40:00Z"/>
        <d v="2025-12-31T00:26:00Z"/>
        <d v="2025-12-12T01:04:00Z"/>
        <d v="2025-12-16T00:26:00Z"/>
        <d v="2026-01-02T00:03:00Z"/>
        <d v="2025-12-18T01:12:00Z"/>
        <d v="2025-12-12T00:25:00Z"/>
        <d v="2025-12-11T23:55:00Z"/>
        <d v="2026-01-02T00:21:00Z"/>
        <d v="2025-12-12T00:41:00Z"/>
        <d v="2025-12-18T23:33:00Z"/>
        <d v="2025-12-26T00:41:00Z"/>
        <d v="2026-01-02T00:44:00Z"/>
        <d v="2025-12-24T00:08:00Z"/>
        <d v="2025-12-24T00:36:00Z"/>
        <d v="2026-01-02T00:47:00Z"/>
        <d v="2026-01-01T23:47:00Z"/>
        <d v="2026-01-01T23:42:00Z"/>
        <d v="2025-12-29T00:48:00Z"/>
        <d v="2025-12-21T23:53:00Z"/>
        <d v="2025-12-22T00:17:00Z"/>
        <d v="2026-01-01T23:55:00Z"/>
        <d v="2025-12-15T00:20:00Z"/>
        <d v="2026-01-02T01:03:00Z"/>
        <d v="2025-12-15T00:50:00Z"/>
        <d v="2025-12-15T23:33:00Z"/>
        <d v="2026-01-02T00:07:00Z"/>
        <d v="2025-12-18T01:06:00Z"/>
        <d v="2025-12-15T00:51:00Z"/>
        <d v="2025-12-16T00:52:00Z"/>
        <d v="2026-01-01T00:01:00Z"/>
        <d v="2026-01-02T00:38:00Z"/>
        <d v="2025-12-17T00:48:00Z"/>
        <d v="2025-12-16T00:16:00Z"/>
        <d v="2025-12-25T23:57:00Z"/>
        <d v="2025-12-15T23:41:00Z"/>
        <d v="2025-12-19T00:41:00Z"/>
        <d v="2025-12-29T00:21:00Z"/>
        <d v="2025-12-17T00:57:00Z"/>
        <d v="2025-12-29T00:55:00Z"/>
        <d v="2025-12-31T00:24:00Z"/>
        <d v="2025-12-22T00:08:00Z"/>
        <d v="2026-01-01T23:54:00Z"/>
        <d v="2025-12-31T00:10:00Z"/>
        <d v="2026-01-01T23:48:00Z"/>
        <d v="2025-12-17T23:50:00Z"/>
        <d v="2025-12-21T23:43:00Z"/>
        <d v="2025-12-18T09:51:00Z"/>
        <d v="2025-12-18T23:49:00Z"/>
        <d v="2025-12-22T00:37:00Z"/>
        <d v="2025-12-24T00:23:00Z"/>
        <d v="2025-12-22T00:54:00Z"/>
        <d v="2026-01-02T00:48:00Z"/>
        <d v="2025-12-30T23:54:00Z"/>
      </sharedItems>
    </cacheField>
    <cacheField name="CustDatCountOfEmployees" numFmtId="0">
      <sharedItems containsSemiMixedTypes="0" containsString="0" containsNumber="1" containsInteger="1">
        <n v="0.0"/>
        <n v="9.0"/>
        <n v="6.0"/>
        <n v="15.0"/>
        <n v="56.0"/>
        <n v="13.0"/>
        <n v="1.0"/>
        <n v="3.0"/>
        <n v="25.0"/>
        <n v="2.0"/>
        <n v="4.0"/>
        <n v="30.0"/>
        <n v="36.0"/>
        <n v="22.0"/>
        <n v="8.0"/>
        <n v="5.0"/>
        <n v="49.0"/>
        <n v="19.0"/>
        <n v="33.0"/>
        <n v="12.0"/>
        <n v="95.0"/>
        <n v="16.0"/>
        <n v="14.0"/>
        <n v="26.0"/>
        <n v="54.0"/>
        <n v="60.0"/>
        <n v="21.0"/>
        <n v="18.0"/>
        <n v="7.0"/>
        <n v="42.0"/>
        <n v="11.0"/>
        <n v="32.0"/>
        <n v="29.0"/>
        <n v="31.0"/>
        <n v="178.0"/>
        <n v="40.0"/>
        <n v="10.0"/>
        <n v="24.0"/>
        <n v="28.0"/>
        <n v="34.0"/>
        <n v="138.0"/>
        <n v="142.0"/>
        <n v="114.0"/>
        <n v="20.0"/>
        <n v="143.0"/>
        <n v="35.0"/>
        <n v="45.0"/>
        <n v="43.0"/>
      </sharedItems>
    </cacheField>
    <cacheField name="CustDatAnnualSales" numFmtId="0">
      <sharedItems containsSemiMixedTypes="0" containsString="0" containsNumber="1">
        <n v="318369.12"/>
        <n v="0.0"/>
        <n v="4570973.76"/>
        <n v="44332.44"/>
        <n v="933479.16"/>
        <n v="2704501.32"/>
        <n v="2002376.52"/>
        <n v="877018.8"/>
        <n v="8098044.12"/>
        <n v="610920.0"/>
        <n v="117120.0"/>
        <n v="4891.68"/>
        <n v="996361.8"/>
        <n v="404158.8"/>
        <n v="6600.0"/>
        <n v="1943.4"/>
        <n v="1592809.92"/>
        <n v="154369.32"/>
        <n v="183336.0"/>
        <n v="93603.72"/>
        <n v="3509037.0"/>
        <n v="621726.72"/>
        <n v="920222.76"/>
        <n v="1757076.0"/>
        <n v="953108.28"/>
        <n v="457119.0"/>
        <n v="315672.96"/>
        <n v="1404293.04"/>
        <n v="307515.12"/>
        <n v="76824.0"/>
        <n v="3298800.0"/>
        <n v="1832474.16"/>
        <n v="12000.0"/>
        <n v="4173.72"/>
        <n v="62268.0"/>
        <n v="217711.56"/>
        <n v="1135141.44"/>
        <n v="2658050.64"/>
        <n v="11928.0"/>
        <n v="1259388.6"/>
        <n v="1269229.68"/>
        <n v="92940.0"/>
        <n v="880832.04"/>
        <n v="5130000.0"/>
        <n v="7223409.6"/>
        <n v="60480.0"/>
        <n v="710630.4"/>
        <n v="473508.0"/>
        <n v="2144783.4"/>
        <n v="1435320.0"/>
        <n v="1.771297404E7"/>
        <n v="79509.0"/>
        <n v="2338147.8"/>
        <n v="847884.36"/>
        <n v="4584.0"/>
        <n v="578856.72"/>
        <n v="54000.0"/>
        <n v="972367.8"/>
        <n v="60.0"/>
        <n v="60000.0"/>
        <n v="22379.04"/>
        <n v="221542.32"/>
        <n v="78029.76"/>
        <n v="2664641.4"/>
        <n v="87480.0"/>
        <n v="782532.0"/>
        <n v="12960.0"/>
        <n v="100510.08"/>
        <n v="287958.0"/>
        <n v="811368.0"/>
        <n v="666732.0"/>
        <n v="537210.0"/>
        <n v="1866225.48"/>
        <n v="760992.0"/>
        <n v="628404.0"/>
        <n v="852708.6"/>
        <n v="2.6067338448E8"/>
        <n v="4563564.24"/>
        <n v="57369.72"/>
        <n v="7879148.76"/>
        <n v="4897983.6"/>
        <n v="2171979.0"/>
        <n v="66900.0"/>
        <n v="471485.4"/>
        <n v="2.658378E7"/>
        <n v="6073092.0"/>
        <n v="4001316.72"/>
        <n v="896813.64"/>
        <n v="469140.0"/>
        <n v="7800.0"/>
        <n v="7668219.6"/>
        <n v="341820.0"/>
        <n v="88239.24"/>
        <n v="2577702.84"/>
        <n v="679169.04"/>
        <n v="991425.84"/>
        <n v="1947756.84"/>
        <n v="35596.8"/>
        <n v="1160705.52"/>
        <n v="3730428.6"/>
        <n v="3733343.04"/>
        <n v="1640959.2"/>
        <n v="1973829.48"/>
        <n v="1909168.44"/>
        <n v="584252.16"/>
        <n v="174420.0"/>
        <n v="435450.72"/>
        <n v="203891.76"/>
        <n v="1.262284605036E10"/>
        <n v="2829.6"/>
        <n v="36.0"/>
        <n v="298932.0"/>
        <n v="235385.16"/>
        <n v="368759.76"/>
        <n v="2446269.96"/>
        <n v="373007.4"/>
        <n v="4278374.76"/>
        <n v="616958.28"/>
        <n v="63304.8"/>
        <n v="1200.0"/>
        <n v="65427.0"/>
        <n v="51660.0"/>
        <n v="892206.0"/>
        <n v="7084716.24"/>
        <n v="55675.56"/>
        <n v="246868.92"/>
        <n v="229020.0"/>
        <n v="236640.0"/>
        <n v="847236.0"/>
        <n v="1219778.28"/>
        <n v="349320.0"/>
        <n v="1.1395194E7"/>
        <n v="1.832427204E7"/>
        <n v="863618.4"/>
        <n v="72489.6"/>
        <n v="4680.0"/>
        <n v="110760.0"/>
        <n v="1765882.8"/>
        <n v="7046988.84"/>
        <n v="1239.84"/>
        <n v="507245.64"/>
        <n v="440460.0"/>
        <n v="168420.0"/>
        <n v="361871.04"/>
        <n v="36673.08"/>
        <n v="804864.6"/>
        <n v="1391818.68"/>
        <n v="29980.92"/>
        <n v="383952.12"/>
        <n v="1.0217534292E8"/>
        <n v="6850700.4"/>
        <n v="26160.0"/>
        <n v="15600.0"/>
        <n v="4668285.24"/>
        <n v="3333392.4"/>
        <n v="4200.0"/>
        <n v="1210951.2"/>
        <n v="3635424.0"/>
        <n v="4175041.08"/>
        <n v="1089531.48"/>
        <n v="2640.0"/>
        <n v="1.26641478E7"/>
        <n v="50186.28"/>
        <n v="85520.16"/>
        <n v="3725577.84"/>
        <n v="785616.72"/>
        <n v="1586548.68"/>
        <n v="864000.0"/>
        <n v="190356.0"/>
        <n v="125280.0"/>
        <n v="406235.64"/>
        <n v="3390876.96"/>
        <n v="1726936.56"/>
        <n v="142272.0"/>
        <n v="392012.4"/>
        <n v="918519.6"/>
        <n v="22328.16"/>
        <n v="2611672.2"/>
        <n v="1320600.0"/>
        <n v="739415.64"/>
        <n v="701180.04"/>
        <n v="1594336.8"/>
        <n v="7428134.28"/>
        <n v="3206208.24"/>
        <n v="3342000.0"/>
        <n v="384586.2"/>
        <n v="189520.08"/>
        <n v="64614.24"/>
        <n v="62880.0"/>
        <n v="5659800.0"/>
        <n v="223505.28"/>
        <n v="15100.2"/>
        <n v="99442.08"/>
        <n v="120217.08"/>
        <n v="2.5801392E7"/>
        <n v="1150634.4"/>
        <n v="453644.04"/>
        <n v="1911259.08"/>
        <n v="102192.36"/>
        <n v="1378085.4"/>
        <n v="996583.08"/>
        <n v="2725140.24"/>
        <n v="4417469.04"/>
        <n v="19392.0"/>
        <n v="7273612.56"/>
        <n v="417674.52"/>
        <n v="750990.0"/>
        <n v="729373.08"/>
        <n v="2782696.32"/>
        <n v="258720.0"/>
        <n v="47880.0"/>
        <n v="16800.0"/>
        <n v="107381.52"/>
        <n v="198240.0"/>
        <n v="289827.36"/>
        <n v="18828.0"/>
        <n v="184680.12"/>
        <n v="3565920.48"/>
        <n v="254991.6"/>
        <n v="6480.0"/>
        <n v="10500.0"/>
        <n v="1.1634606E7"/>
        <n v="2340.0"/>
        <n v="58602.84"/>
        <n v="2219271.0"/>
        <n v="12240.0"/>
        <n v="727731.24"/>
        <n v="1072463.64"/>
        <n v="57480.0"/>
        <n v="640866.84"/>
        <n v="129608.16"/>
        <n v="6000.0"/>
        <n v="78012.0"/>
        <n v="222256.2"/>
        <n v="6330705.24"/>
        <n v="179436.0"/>
        <n v="6816318.12"/>
        <n v="190850.64"/>
        <n v="1096583.76"/>
        <n v="225847.44"/>
        <n v="1795260.12"/>
        <n v="1078185.72"/>
        <n v="42072.0"/>
        <n v="120000.0"/>
        <n v="1.142615844E8"/>
        <n v="7995800.64"/>
        <n v="1416435.96"/>
        <n v="2.947496088E7"/>
        <n v="118182.48"/>
        <n v="1482158.76"/>
        <n v="598992.48"/>
        <n v="120600.0"/>
        <n v="1202167.32"/>
        <n v="436662.0"/>
        <n v="1800.0"/>
        <n v="861765.84"/>
        <n v="678300.0"/>
        <n v="3295328.16"/>
        <n v="421224.0"/>
        <n v="6051844.56"/>
        <n v="722201.4"/>
        <n v="603780.0"/>
        <n v="4596.0"/>
        <n v="1.246249224E7"/>
        <n v="508134.24"/>
        <n v="638809.56"/>
        <n v="4807609.56"/>
        <n v="2021971.8"/>
        <n v="83088.0"/>
        <n v="29604.0"/>
        <n v="5315183.28"/>
        <n v="2244827.64"/>
        <n v="195828.96"/>
      </sharedItems>
    </cacheField>
    <cacheField name="CustDatCountOfCustomers" numFmtId="0">
      <sharedItems containsSemiMixedTypes="0" containsString="0" containsNumber="1" containsInteger="1">
        <n v="13.0"/>
        <n v="214.0"/>
        <n v="0.0"/>
        <n v="441.0"/>
        <n v="403.0"/>
        <n v="564.0"/>
        <n v="3208.0"/>
        <n v="1178.0"/>
        <n v="1130.0"/>
        <n v="117.0"/>
        <n v="1917.0"/>
        <n v="47.0"/>
        <n v="331.0"/>
        <n v="24.0"/>
        <n v="89.0"/>
        <n v="732.0"/>
        <n v="26.0"/>
        <n v="3.0"/>
        <n v="843.0"/>
        <n v="1305.0"/>
        <n v="1550.0"/>
        <n v="1068.0"/>
        <n v="583.0"/>
        <n v="241.0"/>
        <n v="1.0"/>
        <n v="2882.0"/>
        <n v="178.0"/>
        <n v="405.0"/>
        <n v="429.0"/>
        <n v="176.0"/>
        <n v="398.0"/>
        <n v="92.0"/>
        <n v="690.0"/>
        <n v="67.0"/>
        <n v="1030.0"/>
        <n v="1308.0"/>
        <n v="16.0"/>
        <n v="448.0"/>
        <n v="177.0"/>
        <n v="676.0"/>
        <n v="42.0"/>
        <n v="948.0"/>
        <n v="1497.0"/>
        <n v="40.0"/>
        <n v="707.0"/>
        <n v="60.0"/>
        <n v="8100.0"/>
        <n v="928.0"/>
        <n v="5770.0"/>
        <n v="383.0"/>
        <n v="3867.0"/>
        <n v="2176.0"/>
        <n v="11.0"/>
        <n v="1078.0"/>
        <n v="245.0"/>
        <n v="601.0"/>
        <n v="9.0"/>
        <n v="75.0"/>
        <n v="72.0"/>
        <n v="8.0"/>
        <n v="8420.0"/>
        <n v="365.0"/>
        <n v="7.0"/>
        <n v="257.0"/>
        <n v="146.0"/>
        <n v="2.0"/>
        <n v="50.0"/>
        <n v="356.0"/>
        <n v="35.0"/>
        <n v="437.0"/>
        <n v="70.0"/>
        <n v="1087.0"/>
        <n v="5.0"/>
        <n v="51.0"/>
        <n v="2135.0"/>
        <n v="2409.0"/>
        <n v="378.0"/>
        <n v="2066.0"/>
        <n v="4.0"/>
        <n v="736.0"/>
        <n v="87.0"/>
        <n v="239.0"/>
        <n v="96.0"/>
        <n v="870.0"/>
        <n v="939.0"/>
        <n v="251.0"/>
        <n v="8462.0"/>
        <n v="41.0"/>
        <n v="281.0"/>
        <n v="600.0"/>
        <n v="149.0"/>
        <n v="635.0"/>
        <n v="11943.0"/>
        <n v="602.0"/>
        <n v="15.0"/>
        <n v="18.0"/>
        <n v="17.0"/>
        <n v="926.0"/>
        <n v="644.0"/>
        <n v="376.0"/>
        <n v="136.0"/>
        <n v="204.0"/>
        <n v="152.0"/>
        <n v="123.0"/>
        <n v="200.0"/>
        <n v="452.0"/>
        <n v="1080.0"/>
        <n v="502.0"/>
        <n v="77.0"/>
        <n v="581.0"/>
        <n v="132.0"/>
        <n v="212.0"/>
        <n v="97.0"/>
        <n v="187.0"/>
        <n v="1139.0"/>
        <n v="103.0"/>
        <n v="2068.0"/>
        <n v="415.0"/>
        <n v="34.0"/>
        <n v="14.0"/>
        <n v="529.0"/>
        <n v="22.0"/>
        <n v="134.0"/>
        <n v="401.0"/>
        <n v="45.0"/>
        <n v="13383.0"/>
        <n v="1118.0"/>
        <n v="150.0"/>
        <n v="20.0"/>
        <n v="64.0"/>
        <n v="12794.0"/>
        <n v="1502.0"/>
        <n v="1298.0"/>
        <n v="277.0"/>
        <n v="180.0"/>
        <n v="3488.0"/>
        <n v="1135.0"/>
        <n v="1363.0"/>
        <n v="407.0"/>
        <n v="11298.0"/>
        <n v="65.0"/>
        <n v="198.0"/>
        <n v="2271.0"/>
        <n v="165.0"/>
        <n v="2637.0"/>
        <n v="215.0"/>
        <n v="141.0"/>
        <n v="266.0"/>
        <n v="81.0"/>
        <n v="82.0"/>
        <n v="247.0"/>
        <n v="10.0"/>
        <n v="615.0"/>
        <n v="751.0"/>
        <n v="163.0"/>
        <n v="611.0"/>
        <n v="477.0"/>
        <n v="426.0"/>
        <n v="131.0"/>
        <n v="36.0"/>
        <n v="358.0"/>
        <n v="4120.0"/>
        <n v="1352.0"/>
        <n v="315.0"/>
        <n v="387.0"/>
        <n v="1714.0"/>
        <n v="1524.0"/>
        <n v="653.0"/>
        <n v="61.0"/>
        <n v="2006.0"/>
        <n v="900.0"/>
        <n v="39.0"/>
        <n v="400.0"/>
        <n v="956.0"/>
        <n v="342.0"/>
        <n v="2896.0"/>
        <n v="307.0"/>
        <n v="1580.0"/>
        <n v="804.0"/>
        <n v="120.0"/>
        <n v="3660.0"/>
        <n v="135.0"/>
        <n v="578.0"/>
        <n v="6001.0"/>
        <n v="154.0"/>
        <n v="2040.0"/>
        <n v="1703.0"/>
        <n v="10160.0"/>
        <n v="54.0"/>
        <n v="206.0"/>
        <n v="242.0"/>
        <n v="44.0"/>
        <n v="155.0"/>
        <n v="567.0"/>
        <n v="2526.0"/>
        <n v="417.0"/>
        <n v="273.0"/>
        <n v="122.0"/>
        <n v="1471.0"/>
        <n v="860.0"/>
        <n v="5303.0"/>
        <n v="78.0"/>
        <n v="328.0"/>
        <n v="726.0"/>
        <n v="6.0"/>
        <n v="184.0"/>
        <n v="79.0"/>
        <n v="156.0"/>
        <n v="227.0"/>
        <n v="8548.0"/>
        <n v="2646.0"/>
        <n v="29.0"/>
        <n v="1946.0"/>
        <n v="486.0"/>
        <n v="741.0"/>
        <n v="4534.0"/>
        <n v="832.0"/>
        <n v="2408.0"/>
        <n v="129.0"/>
        <n v="240.0"/>
        <n v="1978.0"/>
        <n v="143.0"/>
        <n v="430.0"/>
        <n v="316.0"/>
        <n v="2411.0"/>
        <n v="5186.0"/>
        <n v="115.0"/>
        <n v="450.0"/>
        <n v="1687.0"/>
        <n v="536.0"/>
        <n v="21.0"/>
        <n v="424.0"/>
        <n v="148.0"/>
        <n v="2817.0"/>
      </sharedItems>
    </cacheField>
    <cacheField name="LicenseCount" numFmtId="0">
      <sharedItems containsSemiMixedTypes="0" containsString="0" containsNumber="1" containsInteger="1">
        <n v="1.0"/>
        <n v="2.0"/>
        <n v="4.0"/>
        <n v="3.0"/>
        <n v="5.0"/>
        <n v="10.0"/>
        <n v="7.0"/>
        <n v="0.0"/>
        <n v="6.0"/>
        <n v="16.0"/>
        <n v="28.0"/>
      </sharedItems>
    </cacheField>
    <cacheField name="CountOfCustomScreens" numFmtId="0">
      <sharedItems containsSemiMixedTypes="0" containsString="0" containsNumber="1" containsInteger="1">
        <n v="0.0"/>
      </sharedItems>
    </cacheField>
    <cacheField name="CountOfCustomScreensMN" numFmtId="0">
      <sharedItems containsSemiMixedTypes="0" containsString="0" containsNumber="1" containsInteger="1">
        <n v="0.0"/>
        <n v="1.0"/>
        <n v="12.0"/>
        <n v="10.0"/>
        <n v="6.0"/>
        <n v="5.0"/>
        <n v="3.0"/>
        <n v="2.0"/>
        <n v="8.0"/>
        <n v="14.0"/>
        <n v="4.0"/>
        <n v="13.0"/>
        <n v="9.0"/>
        <n v="7.0"/>
        <n v="28.0"/>
      </sharedItems>
    </cacheField>
    <cacheField name="Day" numFmtId="164">
      <sharedItems containsSemiMixedTypes="0" containsDate="1" containsString="0">
        <d v="2025-11-30T00:00:00Z"/>
        <d v="2025-12-01T00:00:00Z"/>
        <d v="2025-12-02T00:00:00Z"/>
        <d v="2025-12-03T00:00:00Z"/>
        <d v="2025-12-04T00:00:00Z"/>
        <d v="2025-12-05T00:00:00Z"/>
        <d v="2025-12-06T00:00:00Z"/>
        <d v="2025-12-07T00:00:00Z"/>
        <d v="2025-12-08T00:00:00Z"/>
        <d v="2025-12-09T00:00:00Z"/>
        <d v="2025-12-10T00:00:00Z"/>
        <d v="2025-12-11T00:00:00Z"/>
        <d v="2025-12-12T00:00:00Z"/>
        <d v="2025-12-13T00:00:00Z"/>
        <d v="2025-12-14T00:00:00Z"/>
        <d v="2025-12-15T00:00:00Z"/>
        <d v="2025-12-16T00:00:00Z"/>
        <d v="2025-12-17T00:00:00Z"/>
        <d v="2025-12-18T00:00:00Z"/>
        <d v="2025-12-19T00:00:00Z"/>
        <d v="2025-12-20T00:00:00Z"/>
        <d v="2025-12-21T00:00:00Z"/>
        <d v="2025-12-22T00:00:00Z"/>
        <d v="2025-12-23T00:00:00Z"/>
        <d v="2025-12-24T00:00:00Z"/>
        <d v="2025-12-25T00:00:00Z"/>
        <d v="2025-12-26T00:00:00Z"/>
        <d v="2025-12-27T00:00:00Z"/>
        <d v="2025-12-28T00:00:00Z"/>
        <d v="2025-12-29T00:00:00Z"/>
        <d v="2025-12-30T00:00:00Z"/>
        <d v="2025-12-31T00:00:00Z"/>
      </sharedItems>
    </cacheField>
    <cacheField name="Week" numFmtId="0">
      <sharedItems containsSemiMixedTypes="0" containsString="0" containsNumber="1" containsInteger="1">
        <n v="47.0"/>
        <n v="48.0"/>
        <n v="49.0"/>
        <n v="50.0"/>
        <n v="51.0"/>
        <n v="52.0"/>
      </sharedItems>
    </cacheField>
    <cacheField name="Month" numFmtId="0">
      <sharedItems>
        <s v="Nov"/>
        <s v="Dec"/>
      </sharedItems>
    </cacheField>
    <cacheField name="Year" numFmtId="0">
      <sharedItems containsSemiMixedTypes="0" containsString="0" containsNumber="1" containsInteger="1">
        <n v="2025.0"/>
      </sharedItems>
    </cacheField>
    <cacheField name="SignUpCountry" numFmtId="0">
      <sharedItems containsBlank="1">
        <s v="Canada"/>
        <s v="Kuwait"/>
        <s v="Indonesia"/>
        <s v="United States"/>
        <s v="Egypt"/>
        <s v="United Kingdom"/>
        <s v="India"/>
        <s v="Switzerland"/>
        <s v="Australia"/>
        <s v="United Arab Emirates"/>
        <s v="Vietnam"/>
        <s v="Hong Kong"/>
        <s v="Taiwan"/>
        <s v="Serbia"/>
        <s v="Morocco"/>
        <s v="Finland"/>
        <s v="Algeria"/>
        <s v="Trinidad and Tobago"/>
        <m/>
        <s v="Costa Rica"/>
        <s v="Belize"/>
        <s v="Botswana"/>
        <s v="Panama"/>
        <s v="Slovenia"/>
        <s v="Palestinian Territory"/>
        <s v="Bangladesh"/>
        <s v="Malaysia"/>
        <s v="Gambia"/>
        <s v="Mexico"/>
        <s v="South Africa"/>
        <s v="Pakistan"/>
        <s v="Aruba"/>
        <s v="Uganda"/>
        <s v="France"/>
        <s v="New Zealand"/>
        <s v="Singapore"/>
        <s v="Netherlands"/>
        <s v="Zimbabwe"/>
        <s v="Dominican Republic"/>
        <s v="Israel"/>
        <s v="Kenya"/>
        <s v="Argentina"/>
        <s v="Suriname"/>
        <s v="Honduras"/>
        <s v="South Korea"/>
        <s v="Tunisia"/>
        <s v="Germany"/>
        <s v="Jamaica"/>
        <s v="Chile"/>
        <s v="Turkey"/>
        <s v="Iraq"/>
      </sharedItems>
    </cacheField>
    <cacheField name="URL" numFmtId="0">
      <sharedItems>
        <s v="https://www.method.me/"/>
        <s v="https://www.method.me/blog/construction-project-success-crm-solution/"/>
        <s v="https://www.method.me/blog/quickbooks-customer-portal/"/>
        <s v="http://signup.method.me/methodcrm"/>
        <s v="https://signin.method.me/Password/Reset?rpcode=-nZQ0G03B%2bIuTre9Gdsw3ggkv!rw%3du%3dJPbRgJ7a-UmqVNiskXhWYwfMQB8a5"/>
        <s v="https://grow.method.me/crm-quickbooks/?trc=86&amp;trk=how to add signature in quickbooks online&amp;trs=USA-G-QB-Bing&amp;msclkid=557a0cff02eb14d3c64065d2caeb7896&amp;utm_source=bing&amp;utm_medium=cpc&amp;utm_campaign=US - Generic 2020&amp;utm_term=how to add signature in quickbook"/>
        <s v="https://grow.method.me/crm-quickbooks/?trc=81&amp;trk=crm integrates with quickbooks&amp;trs=US-QBInt&amp;campaignid=1543381580&amp;adgroupid=100383660218&amp;adid=424373886646&amp;gad_source=1&amp;gad_campaignid=1543381580&amp;gclid=Cj0KCQjw64jDBhDXARIsABkk8J7ukkus1kvinzQTfDBa9T3cwLPvs"/>
        <s v="https://signup.method.me/QBOAppstoreSignup?offering=methodcrm"/>
        <s v="https://grow.method.me/crm-quickbooks/?trc=81&amp;trk=quickbooks crm&amp;trs=USA-QB-G_Ex&amp;campaignid=22265826203&amp;adgroupid=176758613473&amp;adid=734012603510&amp;gad_source=1&amp;gad_campaignid=22265826203&amp;gbraid=0AAAAAD3ItnbQ-scslMn1OtVxbVSWxN2mJ&amp;gclid=CjwKCAiAlrXJBhBAEiwA-5"/>
        <s v="https://signin.method.me/error?errorCode=165&amp;returnUrl=https%3A%2F%2Fcandhcraneservices.method.me%2Fapps%2FDefault.aspx%23%2Ff71e8a16-2653-4e1e-89d3-37753dce28a2"/>
        <s v="http://signup.method.me/methodcrm?_gl=1*16dqon3*_gcl_au*NjAzNTg3NTQzLjE3NjQ2MDk3Mjc.*_ga*MjEyOTUxMjU4MC4xNzY0NjA5NzM0*_ga_L2HEZNW53E*czE3NjQ2MDk3MzQkbzEkZzAkdDE3NjQ2MDk3MzUkajU5JGwwJGgxNjczNjM2NjYx&amp;_ga=2.54480033.848033626.1764609734-2129512580.1764609734"/>
        <s v="https://signin.method.me/?returnUrl=https%3A%2F%2Fumjca.methodportal.com%2Fapps%2F"/>
        <s v="https://grow.method.me/multi-entity/?trc=81&amp;trk=multi-account crm&amp;trs=US-Multi-entity&amp;campaignid=22836319657&amp;adgroupid=183992915458&amp;adid=765768443211&amp;gad_source=1&amp;gad_campaignid=22836319657&amp;gbraid=0AAAAAD3ItnZcCORda2sETHQ4nib78uZ3B&amp;gclid=Cj0KCQiArOvIBhDLA"/>
        <s v="https://grow.method.me/qb-payment/?trc=81&amp;trk=quickbooks online payment processing&amp;trs=US-payment&amp;campaignid=19733246298&amp;adgroupid=146278163933&amp;adid=649435146420&amp;gad_source=1&amp;gad_campaignid=19733246298&amp;gbraid=0AAAAAD3ItnZi9CFAjVhQFCFOFcYmyOWup&amp;gclid=CjwKC"/>
        <s v="https://www.method.me/crm-quickbooks/pricing/"/>
        <s v="http://signup.method.me/donor/"/>
        <s v="http://signup.method.me/methodcrm?_gl=1*35xga*_gcl_au*OTA4NzE2NzI5LjE3NjQ2NDU2NTg.*_ga*MTI1ODgwNDgzOS4xNzY0NjQ1NjU4*_ga_L2HEZNW53E*czE3NjQ2NDU2NTgkbzEkZzAkdDE3NjQ2NDU2NTgkajYwJGwwJGgzNDc2MjkzNDg.&amp;_ga=2.76960469.1538964529.1764645658-1258804839.1764645658"/>
        <s v="https://www.method.me/?trc=81&amp;trk=PMax&amp;trs=PMax-FS&amp;campaignid=21074820200&amp;adgroupid&amp;adid&amp;gad_source=5&amp;gad_campaignid=21077580125"/>
        <s v="http://signup.method.me/methodcrm/"/>
        <s v="https://grow.method.me/crm-quickbooks/?trc=86&amp;trk=quickbook estimate&amp;trs=USA-G-QB-Bing&amp;msclkid=9d5a77cb2b2b167e1c921ee5569f174b&amp;utm_source=bing&amp;utm_medium=cpc&amp;utm_campaign=US - Generic 2020&amp;utm_term=quickbook estimate&amp;utm_content=Generic"/>
        <s v="https://www.method.me/industries/field-service-management-software/?utm_source=chatgpt.com"/>
        <s v="https://grow.method.me/quickbooks-fsm/?trc=81&amp;trk=quickbooks work order management&amp;trs=US-WorkOrder&amp;campaignid=12406628869&amp;adgroupid=118144098877&amp;adid=500417359916&amp;gad_source=1&amp;gad_campaignid=12406628869&amp;gbraid=0AAAAAD3Itnbb-v0p7Dw7Bhdk7OpsQaId8&amp;gclid=Cj0"/>
        <s v="https://grow.method.me/crm-quickbooks/?trc=81&amp;trk=quickbooks crm&amp;trs=USA-QB-G_Ex&amp;campaignid=22265826203&amp;adgroupid=176758613473&amp;adid=734012603510&amp;gad_source=1&amp;gad_campaignid=22265826203&amp;gbraid=0AAAAAD3ItnbZS3z8l6nzYVFFMJ1qRT6ol&amp;gclid=Cj0KCQiAubrJBhCbARIsAH"/>
        <s v="https://grow.method.me/crm-quickbooks/?trk=capterra&amp;trc=78&amp;trs=Capterra_destinationURL&amp;utm_source=capterra&amp;utm_medium=cpc&amp;utm_campaign=destinationURL&amp;gdmcid=c29c73e3-2013-4457-9593-8e7a2867d847"/>
        <s v="https://www.method.me/crm-quickbooks/integrations/"/>
        <s v="https://signin.method.me/"/>
        <s v="https://grow.method.me/best-quickbooks-crm/?trc=86&amp;trk=grow.method.me&amp;trs=Bing-PMax&amp;msclkid=9f4239fb50c21fa5297050d40275a688&amp;utm_source=bing&amp;utm_medium=cpc&amp;utm_campaign=Bing - PMAX&amp;utm_term=grow.method.me&amp;utm_content=US - retargeting"/>
        <s v="http://signup.method.me/?offering=methodcrm"/>
        <s v="https://grow.method.me/crm-quickbooks/?trc=86&amp;trk=custom invoice quickbooks&amp;trs=USA-G-QB-Bing&amp;msclkid=6baba474e41013e1c2edcd5b81029a7c&amp;utm_source=bing&amp;utm_medium=cpc&amp;utm_campaign=US - Generic 2020&amp;utm_term=custom invoice quickbooks&amp;utm_content=Generic"/>
        <s v="https://grow.method.me/crm-quickbooks/?trc=81&amp;trk=crm works with quickbooks&amp;trs=USA-QB-G_Ex&amp;campaignid=22265826203&amp;adgroupid=176758613473&amp;adid=734012603510&amp;gad_source=1&amp;gad_campaignid=22265826203&amp;gbraid=0AAAAAD3ItnY8dYj6EgtzuDGCW8YS03VZf&amp;gclid=CjwKCAjwp_L"/>
        <s v="https://grow.method.me/crm-quickbooks/?trc=81&amp;trk=crm integrates with quickbooks&amp;trs=US-QBInt-Ex&amp;campaignid=22265826203&amp;adgroupid=186545727779&amp;adid=777091446185&amp;gad_source=1&amp;gad_campaignid=22265826203&amp;gbraid=0AAAAAD3Itnam2j5nHWVuXmJuoGB4QHUV1&amp;gclid=Cj0KCQ"/>
        <s v="https://grow.method.me/quickbooks-crm-fb/?trc=517&amp;trk=BOF&amp;trs=FB-Lookalike&amp;utm_source=Facebook&amp;utm_medium=PPC&amp;utm_campaign=Banner_trial&amp;utm_id=120213444289450307&amp;utm_content=120215433569050307&amp;utm_term=120215433408020307&amp;fbclid=IwY2xjawOdA8ZleHRuA2FlbQEwA"/>
        <s v="https://grow.method.me/quickbooks-method-cad/?trc=81&amp;trk=crm with quickbooks&amp;trs=CAN-QB-G&amp;campaignid=1543604353&amp;adgroupid=61438895000&amp;adid=704657828091&amp;gad_source=1&amp;gad_campaignid=1543604353&amp;gbraid=0AAAAAD3ItnaMundn4Up-tYMPWfU3dxz9g&amp;gclid=Cj0KCQiAubrJBhCb"/>
        <s v="https://www.method.me/contact-us/?trc=180&amp;trk=contact-us&amp;trs=gmb-profile&amp;utm_source=seo&amp;utm_medium=google&amp;utm_campaign=my-business-profile"/>
        <s v="http://signup.method.me/methodcrm?_gl=1*a0vgwo*_gcl_au*MTgzNzE4NjA2MS4xNzY0NzcyOTQ1*_ga*MTkyNjc2OTE3MS4xNzY0NzcyOTQ1*_ga_L2HEZNW53E*czE3NjQ3NzI5NDQkbzEkZzAkdDE3NjQ3NzI5NDUkajU5JGwwJGg4NzA4NjEyMDk.&amp;_ga=2.145381616.577777304.1764772945-1926769171.1764772945"/>
        <s v="https://grow.method.me/best-quickbooks-crm/?trc=86&amp;trk=grow.method.me&amp;trs=Bing-PMax&amp;msclkid=06d9e66ac1db136da9858f5aa7a5a1e8&amp;utm_source=bing&amp;utm_medium=cpc&amp;utm_campaign=Bing - PMAX&amp;utm_term=grow.method.me&amp;utm_content=US - retargeting"/>
        <s v="http://signup.method.me/methodcrm?trc=81&amp;trk=freetrial&amp;trs=G2&amp;utm_source=G2&amp;utm_medium=cpc&amp;utm_campaign=G2-profile"/>
        <s v="https://www.method.me/quickbooks-crm/?trc=81&amp;trk=&amp;trs=USA-DSA-QB&amp;campaignid=13038312612&amp;adgroupid=128764620688&amp;adid=776781070272&amp;gad_source=1&amp;gad_campaignid=13038312612&amp;gbraid=0AAAAAD3ItnZKpzd3lODAba8pKfFEjv0PS&amp;gclid=CjwKCAiA3L_JBhAlEiwAlcWO586sd9uwlYeuVd"/>
        <s v="https://grow.method.me/black-friday-cyber-monday-2025/?trc=711&amp;trk=1stCTA&amp;trs=Email1&amp;utm_campaign=%5B6733%5D%3A 1 0 Black Friday Promo - Leads&amp;utm_content=Get 25  off when you try Method  👀&amp;utm_medium=email&amp;utm_source=ActiveCampaign&amp;vgo_ee=GNoBeZ5kARjN7x"/>
        <s v="https://www.method.me/features/mobile-app/"/>
        <s v="https://www.method.me/blog/how-to-build-a-crm-system/"/>
        <s v="https://www.method.me/quickbooks-crm/?trc=81&amp;trk=&amp;trs=USA-DSA-QB&amp;campaignid=13038312612&amp;adgroupid=128764620688&amp;adid=776781070272&amp;gad_source=1&amp;gad_campaignid=13038312612&amp;gbraid=0AAAAAD3ItnZKpzd3lODAba8pKfFEjv0PS&amp;gclid=CjwKCAiA3L_JBhAlEiwAlcWO57IzoZ1HEwnwQh"/>
        <s v="https://www.method.me/blog/invoice-as-a-contractor/"/>
        <s v="https://grow.method.me/direct-su/?trc=81&amp;trk=quickbooks integration apps&amp;trs=US-QBInt-Ex&amp;campaignid=22265826203&amp;adgroupid=186545727779&amp;adid=777003326845&amp;gad_source=1&amp;gad_campaignid=22265826203&amp;gbraid=0AAAAAD3ItnZgDnAgUtllny9Jaz3XIKgWf&amp;gclid=CjwKCAiA24XJBh"/>
        <s v="https://www.method.me/crm-quickbooks/pricing/field-service/"/>
        <s v="https://grow.method.me/direct-su/?trc=81&amp;trk=quickbooks crm integrations&amp;trs=USA-QB-G_Ex&amp;campaignid=22265826203&amp;adgroupid=176758613473&amp;adid=776774035818&amp;gad_source=1&amp;gad_campaignid=22265826203&amp;gbraid=0AAAAAD3Itnb4w7dkGBMCKYB0IWq9_ilk-&amp;gclid=CjwKCAiAt8bIBh"/>
        <s v="https://grow.method.me/crm-quickbooks/?trc=81&amp;trk=quickbooks crm&amp;trs=USA-QB-G_Ex&amp;campaignid=22265826203&amp;adgroupid=176758613473&amp;adid=734012603510&amp;gad_source=1&amp;gad_campaignid=22265826203&amp;gbraid=0AAAAAD3ItnYwo4_PXv6BoXXoMVIKT_2ni&amp;gclid=Cj0KCQiA_8TJBhDNARIsAP"/>
        <s v="https://grow.method.me/crm-quickbooks/?trc=86&amp;trk=CRM compatible with QuickBooks&amp;trs=US-QBInt-Bing&amp;msclkid=a6a55b0bfc931aba04e3321cc514b652&amp;utm_source=bing&amp;utm_medium=cpc&amp;utm_campaign=US - Generic 2020&amp;utm_term=CRM compatible with QuickBooks&amp;utm_content=I"/>
        <s v="https://grow.method.me/crm-quickbooks/?trc=81&amp;trk=crm compatible with quickbooks&amp;trs=USA-QB-G_Ex&amp;campaignid=22265826203&amp;adgroupid=176758613473&amp;adid=734012603510&amp;gad_source=1&amp;gad_campaignid=22265826203&amp;gbraid=0AAAAAD3ItnbZCmbFkwWSvTDTojf78iY5I&amp;gclid=Cj0KCQ"/>
        <s v="https://www.method.me/crm-quickbooks/pricing/?trc=81&amp;trk=WHSale&amp;trs=Sitelink&amp;campaignid=1543381580&amp;adgroupid=61437797000&amp;adid=704678754673&amp;gad_source=1&amp;gad_campaignid=1543381580&amp;gbraid=0AAAAAD3ItnZHs8f7ds-tYOpVpnQ7D69pn&amp;gclid=Cj0KCQiA_8TJBhDNARIsAPX5qxQqH"/>
        <s v="https://grow.method.me/crm-quickbooks/?trc=81&amp;trk=crm with quickbooks&amp;trs=USA-QB-G&amp;campaignid=1543381580&amp;adgroupid=61437797000&amp;adid=704678754673&amp;gad_source=1&amp;gad_campaignid=1543381580&amp;gbraid=0AAAAAD3ItnZHs8f7ds-tYOpVpnQ7D69pn&amp;gclid=Cj0KCQiA_8TJBhDNARIsAPX"/>
        <s v="https://www.method.me/blog/how-much-does-hubspot-cost/"/>
        <s v="https://www.method.me/industries/accounting-crm-software/"/>
        <s v="https://grow.method.me/crm-quickbooks/?trk=capterra&amp;trc=78&amp;trs=Capterra_destinationURL&amp;utm_source=capterra&amp;utm_medium=cpc&amp;utm_campaign=destinationURL&amp;gdmcid=0ece4754-aac5-4c16-938e-13e322dd4455"/>
        <s v="https://grow.method.me/crm-quickbooks/?trc=81&amp;trk=crm with quickbooks&amp;trs=USA-QB-G&amp;campaignid=1543381580&amp;adgroupid=61437797000&amp;adid=704678754673&amp;gad_source=1&amp;gad_campaignid=1543381580&amp;gbraid=0AAAAAD3ItnbI52bMAH0qRhtrXy98oCsFz&amp;gclid=Cj0KCQiA_8TJBhDNARIsAPX"/>
        <s v="https://www.method.me/blog/cloud-erp-small-business/"/>
        <s v="https://www.method.me/resources/best-pool-service-software/"/>
        <s v="https://www.method.me/crm-quickbooks/desktop/"/>
        <s v="https://www.method.me/blog/electronic-signature-quickbooks-online-capture/"/>
        <s v="https://www.method.me/resources/auto-repair-work-order-template-download/"/>
        <s v="http://signup.method.me/methodcrm/?_gl=1*1jbvp5k*_gcl_au*NTc1NTM1MDk4LjE3MzkyODg4NjM.*_ga*OTU5MDkwMjUxLjE2Nzc1OTk2NTU.*_ga_L2HEZNW53E*MTc0MzQ3MDUwMC40LjEuMTc0MzQ3MDUyOC4zMi4wLjE3MDQ4NDc5MzM.&amp;_ga=2.199247150.1827644277.1743456497-959090251.1677599655"/>
        <s v="https://www.method.me/crm-quickbooks/job-scheduling-software/?trc=81&amp;trk=scheduling software that works with quickbooks&amp;trs=US-Scheduling&amp;campaignid=12406628869&amp;adgroupid=118144098717&amp;adid=500417359904&amp;gad_source=1&amp;gad_campaignid=12406628869&amp;gbraid=0AAAAA"/>
        <s v="https://grow.method.me/quickbooks-crm-fb/?trc=517&amp;trk=BOF&amp;trs=FB-Lookalike&amp;utm_source=Facebook&amp;utm_medium=PPC&amp;utm_campaign=Banner_trial&amp;fbclid=IwZXh0bgNhZW0BMABhZGlkAaspG7m7EGNzcnRjBmFwcF9pZAo2NjI4NTY4Mzc5AAEezpLOts8LrMZEL1ourUll5nPIK_bJvHoqI8b72uknZ0Vv4v"/>
        <s v="http://signup.method.me/fieldservices/"/>
        <s v="https://www.method.me/features/gmail/"/>
        <s v="https://signin.method.me/accounts/identitynotfound?Code=nbP7Tcy7HKzSDTbQsHnHLMosJYCt9Xshv3NbD1m1EZodo7z2wiq%2FMpw5TjQuiNIpa8Y%2BIkgYcGFjC2259VLDZaS6bklzOw693gWe8I1w6%2FxE3ny6wnxa4ib5v2MstFoeFzVvZbTLNJtGLyiwUoac1lmiWzEPuwrsugZwju9l62Z6ir3sYT%2BRgPLUYztmowZ"/>
        <s v="https://www.method.me/crm-quickbooks/job-scheduling-software/?trc=81&amp;trk=&amp;trs=USA-DSA&amp;campaignid=13038312612&amp;adgroupid=127756898611&amp;adid=771467139249&amp;gad_source=1&amp;gad_campaignid=13038312612&amp;gclid=Cj0KCQiA6NTJBhDEARIsAB7QHD37sDDk_-jbQfSubQ2BT2PGynYeYCzRcQF"/>
        <s v="https://grow.method.me/qb-payment/?trc=81&amp;trk=quickbooks online payment&amp;trs=US-payment&amp;campaignid=19733246298&amp;adgroupid=146278163933&amp;adid=649435146420&amp;gad_source=1&amp;gad_campaignid=19733246298&amp;gbraid=0AAAAAD3ItnYGQL7x1n3-WZNXzE83wRH-Z&amp;gclid=Cj0KCQiAi9rJBhCY"/>
        <s v="https://www.method.me/blog/process-ach-payments-quickbooks-online/"/>
        <s v="https://www.method.me/industries/construction-crm-software/"/>
        <s v="https://grow.method.me/qb-payment/?trc=81&amp;trk=quickbooks payment processor&amp;trs=US-payment&amp;campaignid=19733246298&amp;adgroupid=146278163933&amp;adid=649435146420&amp;gad_source=1&amp;gad_campaignid=19733246298&amp;gclid=Cj0KCQiAi9rJBhCYARIsALyPDtt7UJYIWORyaqzSU9TBL_SWgMwZy7N"/>
        <s v="https://grow.method.me/black-friday-cyber-monday-2025/?trc=711&amp;trk=CTA&amp;trs=Email2&amp;utm_campaign=%5B6733%5D%3A 2 5 Black Friday Promo - Leads&amp;utm_content=Our Black Friday Sale is HERE - 25  off First 3 Months&amp;utm_medium=email&amp;utm_source=ActiveCampaign&amp;vgo_e"/>
        <s v="https://grow.method.me/crm-quickbooks/?trc=81&amp;trk=crm with quickbooks&amp;trs=USA-QB-G&amp;campaignid=1543381580&amp;adgroupid=61437797000&amp;adid=704678754673&amp;gad_source=1&amp;gad_campaignid=1543381580&amp;gbraid=0AAAAAD3Itnbw1EiYK0OtaCjUxAIHtoaFP&amp;gclid=Cj0KCQiAi9rJBhCYARIsALy"/>
        <s v="https://grow.method.me/best-quickbooks-crm/?trc=517&amp;trk=1CRM&amp;trs=FB-Lookalike&amp;utm_source=Facebook&amp;utm_medium=PPC&amp;utm_campaign=Banner_trial&amp;utm_id=120213444289450307&amp;utm_content=120232952122110307&amp;utm_term=120215433068320307&amp;fbclid=PAZXh0bgNhZW0BMABhZGlkAa"/>
        <s v="https://grow.method.me/crm-quickbooks/?trc=81&amp;trk=crm with quickbooks&amp;trs=USA-QB-G&amp;campaignid=1543381580&amp;adgroupid=61437797000&amp;adid=704678754673&amp;gad_source=1&amp;gad_campaignid=1543381580&amp;gbraid=0AAAAAD3Itnb_QgxDyuEzdcsTOVFXeP3gV&amp;gclid=CjwKCAiAz_DIBhBJEiwAVH2"/>
        <e v="#N/A"/>
        <s v="https://www.method.me/blog/how-to-delete-multiple-transactions-in-quickbooks-desktop-and-online/"/>
        <s v="https://grow.method.me/crm-quickbooks/?trc=81&amp;trk=crm integrates with quickbooks&amp;trs=US-QBInt-Ex&amp;campaignid=22265826203&amp;adgroupid=186545727779&amp;adid=777091446185&amp;gad_source=1&amp;gad_campaignid=22265826203&amp;gbraid=0AAAAAD3Itnakt5W0ExNkHAnsH3CZy4us-&amp;gclid=CjwKCA"/>
        <s v="https://www.method.me/blog/quickbooks-work-order/"/>
        <s v="https://www.method.me/blog/price-a-job-as-a-contractor/"/>
        <s v="https://grow.method.me/quickbooks-crm/?trc=81&amp;trk=&amp;trs=US-PMax&amp;campaignid=20681425566&amp;adgroupid=&amp;adid=&amp;gad_source=5&amp;gad_campaignid=20687584292&amp;gclid=EAIaIQobChMI-rqlgKWvkQMV7U7_AR2kiR-oEAAYASAAEgJbB_D_BwE"/>
        <s v="https://grow.method.me/no-erp/?trc=81&amp;trk=&amp;trs=US-ERP&amp;campaignid=20938141894&amp;adgroupid=&amp;adid=&amp;gad_source=5&amp;gad_campaignid=20938142383&amp;gclid=EAIaIQobChMI-KvGyKmvkQMVz1NHAR1piAKBEAAYASAAEgK-DPD_BwE"/>
        <s v="https://www.method.me/blog/crm-for-logistics/"/>
        <s v="https://www.method.me/blog/create-quote-in-quickbooks/"/>
        <s v="https://www.method.me/blog/crm-for-multiple-businesses/"/>
        <s v="https://www.method.me/crm-quickbooks/job-scheduling-software/"/>
        <s v="https://grow.method.me/"/>
        <s v="https://grow.method.me/qb-payment/?trc=81&amp;trk=quickbooks online payment processing&amp;trs=US-payment&amp;campaignid=19733246298&amp;adgroupid=146278163933&amp;adid=649435146420&amp;gad_source=1&amp;gad_campaignid=19733246298&amp;gclid=Cj0KCQiArt_JBhCTARIsADQZaykcF5zb16RMxLoT0ocB6ot"/>
        <s v="https://www.method.me/crm-quickbooks/pricing/?trc=81&amp;trk=crm integrates with quickbooks&amp;trs=US-QBInt-Ex&amp;campaignid=22265826203&amp;adgroupid=186545727779&amp;adid=777091446185&amp;gad_source=1&amp;gad_campaignid=22265826203&amp;gbraid=0AAAAAD3Itnb0dVbRk-F8zdXkf5UYH6t_6&amp;gclid"/>
        <s v="https://www.method.me/nonprofit-crm/"/>
        <s v="https://www.method.me/quickbooks-crm/"/>
        <s v="https://www.method.me/crm-quickbooks/job-scheduling-software/?trc=81&amp;trk=&amp;trs=USA-DSA&amp;campaignid=13038312612&amp;adgroupid=127756898611&amp;adid=771467139249&amp;gad_source=1&amp;gad_campaignid=13038312612&amp;gbraid=0AAAAAD3ItnZocmAdmM1dKXwf4GyZlfCck&amp;gclid=Cj0KCQiArt_JBhCTA"/>
        <s v="https://grow.method.me/crm-quickbooks/?trc=81&amp;trk=crm with quickbooks&amp;trs=USA-QB-G&amp;campaignid=1543381580&amp;adgroupid=61437797000&amp;adid=704678754673&amp;gad_source=1&amp;gad_campaignid=1543381580&amp;gbraid=0AAAAAD3ItnY1omoLpV4oKTEORfLaVI0Gp&amp;gclid=CjwKCAiA0eTJBhBaEiwA-Pa"/>
        <s v="https://www.method.me/crm-quickbooks/pricing/?trc=81&amp;trk=WHSale&amp;trs=Sitelink&amp;campaignid=1543381580&amp;adgroupid=61437797000&amp;adid=704678754673&amp;gad_source=1&amp;gad_campaignid=1543381580&amp;gbraid=0AAAAAD3ItnY1omoLpV4oKTEORfLaVI0Gp&amp;gclid=CjwKCAiA0eTJBhBaEiwA-Pa-hRE_5"/>
        <s v="https://forums.method.me/"/>
        <s v="https://grow.method.me/crm-quickbooks/?trc=86&amp;trk=CRM compatible with QuickBooks&amp;trs=US-QBInt-Bing&amp;msclkid=9411e595d00614f60fed8cacbc9b5a79&amp;utm_source=bing&amp;utm_medium=cpc&amp;utm_campaign=US - Generic 2020&amp;utm_term=CRM compatible with QuickBooks&amp;utm_content=I"/>
        <s v="https://grow.method.me/quickbooks-crm/?trc=81&amp;trk=&amp;trs=US-PMax&amp;campaignid=20681425566&amp;adgroupid=&amp;adid=&amp;gad_source=5&amp;gad_campaignid=20687584292&amp;gclid=EAIaIQobChMIp9XwuIyzkQMVGEpHAR1l6QhoEAAYASAAEgJ61PD_BwE"/>
        <s v="https://signin.method.me/accounts/identitynotfound?Code=uu0qaqxzaeLI%2BeUbVdX9O5XZm41Fp055y24MP34tcPXzLs0j2m3RxwMDzE936IrZh6uZtULmvgONFVaoGvyM6nnoXJDOy5KhQPqfxtb337UHPWKwAVwE1c2haCIV4VNuANA62JpP96MG%2BQuyjIeggo%2F7NZbVgQCMaO8sTje0T704Rdk%2BEKBW%2BzKwn4r1L"/>
        <s v="https://signin.method.me/?returnUrl=https%3a%2f%2fm11errolqbo20250618.method.me%2fapps%2fDefault.aspx%3faccountName%3dm11errolqbo20250618"/>
        <s v="https://grow.method.me/crm-quickbooks/?trc=81&amp;trk=crm integrates with quickbooks&amp;trs=US-QBInt-Ex&amp;campaignid=22265826203&amp;adgroupid=186545727779&amp;adid=777091446185&amp;gad_source=1&amp;gad_campaignid=22265826203&amp;gclid=CjwKCAiA0eTJBhBaEiwA-Pa-hUNN_h4GIVSpY_sHWzFV4tnd"/>
        <s v="https://signin.method.me/?_gl=1*j5dgwj*_gcl_au*MTM4MzM4MzA2OC4xNzY1Mzg3MTQ2*_ga*MTkxNTQ4OTMzMy4xNzY1Mzg3MTQ2*_ga_L2HEZNW53E*czE3NjUzODcxNDYkbzEkZzAkdDE3NjUzODcxNDYkajYwJGwwJGgzMTQ4MzI4ODk.&amp;_ga=2.227213659.734989618.1765387146-1915489333.1765387146"/>
        <s v="http://signup.method.me/proposals"/>
        <s v="https://grow.method.me/crm-quickbooks/?trc=81&amp;trk=crm for quickbooks&amp;trs=USA-QB-G_Ex&amp;campaignid=22265826203&amp;adgroupid=176758613473&amp;adid=734012603510&amp;gad_source=1&amp;gad_campaignid=22265826203&amp;gbraid=0AAAAAD3ItnYC8oT8LWWHiiCZKGPL-K87x&amp;gclid=CjwKCAiA0eTJBhBaEi"/>
        <s v="https://signin.method.me/?_gl=1*f1vdpe*_gcl_au*MTIyNzcwOTg4NC4xNzY1NDA0NDg3*_ga*MzEyNDEzODg4LjE3NjU0MDQ0ODc.*_ga_L2HEZNW53E*czE3NjU0MDQ0ODYkbzEkZzAkdDE3NjU0MDQ0ODckajU5JGwwJGgxNjUyMDQ1NjA0&amp;_ga=2.237458944.163206904.1765404487-312413888.1765404487"/>
        <s v="https://signin.method.me/?_gl=1*fjpukq*_gcl_au*MTYzMzM0NTAxNy4xNzY1NDA1MTM5*_ga*MTg4OTc5NzQwMC4xNzY1NDA1MTM5*_ga_L2HEZNW53E*czE3NjU0MDUxMzgkbzEkZzAkdDE3NjU0MDUxMzkkajU5JGwwJGg1MTQwNzgzNDA.&amp;_ga=2.178638308.1182192690.1765405139-1889797400.1765405139"/>
        <s v="https://www.method.me/industries/field-service-management-software/"/>
        <s v="https://www.method.me/resources/how-to-create-an-invoice-in-quickbooks/"/>
        <s v="https://www.method.me/features/xero/estimates/?trc=81&amp;trk=&amp;trs=USA-DSA-QB&amp;campaignid=13038312612&amp;adgroupid=128764620688&amp;adid=776781070272&amp;gad_source=1&amp;gad_campaignid=13038312612&amp;gbraid=0AAAAAD3ItnYw1GLY5ikz-2em7Ug-tAiSm&amp;gclid=CjwKCAiA0eTJBhBaEiwA-Pa-hZ6HK"/>
        <s v="https://signin.method.me/?returnUrl=https%3A%2F%2Fgo-powertrain.method.me%2Fapps%2FDefault.aspx%23%2Faccountsettings%2Ftables"/>
        <s v="https://www.method.me/blog/xero-crm-integrations/"/>
        <s v="https://signin.method.me/Password/Reset?rpcode=X16BNTzLU7qN8YQP3SnJ3QgX1!X16BNvhUPPflEp0qEXign1TV_pQX16BNTz&amp;invite=1&amp;accountName=alocetsystem"/>
        <s v="http://signup.method.me/methodcrm?_gl=1*127xhwj*_gcl_au*MTk3NTE1ODI2Mi4xNzY1NDcwMTE4*_ga*MTU2NzM2NzI2OC4xNzY1NDcwMTE5*_ga_L2HEZNW53E*czE3NjU0NzAxMTkkbzEkZzAkdDE3NjU0NzAxMjAkajU5JGwwJGg0MTA1NDAyNTE.&amp;_ga=2.57394730.180150792.1765470119-1567367268.1765470119"/>
        <s v="http://signup.method.me/methodcrm?_gl=1*1788g1d*_gcl_au*MTc3OTQ3ODUwNC4xNzY1NDcxNDg5*_ga*MTM1NTkxMjYyLjE3NjU0NzE0ODk.*_ga_L2HEZNW53E*czE3NjU0NzE0ODkkbzEkZzAkdDE3NjU0NzE0ODkkajYwJGwwJGgxMjMwMTExNzU1&amp;_ga=2.178388836.153331075.1765471489-135591262.1765471489"/>
        <s v="https://grow.method.me/crm-quickbooks/?trc=81&amp;trk=crm with quickbooks&amp;trs=USA-QB-G&amp;campaignid=1543381580&amp;adgroupid=61437797000&amp;adid=704678754673&amp;gad_source=1&amp;gad_campaignid=1543381580&amp;gbraid=0AAAAAD3Itna4HjCrL3nFp814JpSQ1a-64&amp;gclid=EAIaIQobChMI4Z2VtIC2kQM"/>
        <s v="http://signup.method.me/methodcrm?_gl=1*er5d4y*_gcl_au*MTU2OTUwNTkzNC4xNzU4MDUwMjA5LjE0OTE2NTI0NjcuMTc2NDI1Mjg3My4xNzY0MjUyOTk0*_ga*MTU4MjgwMTAyNC4xNzU4MDI4MTI1*_ga_L2HEZNW53E*czE3NjQyNTE4ODIkbzEwOCRnMSR0MTc2NDI2MzQ1NyRqNjAkbDAkaDIyODU5NzQ5Mg..&amp;_ga=2.9629"/>
        <s v="https://www.method.me/blog/start-a-cleaning-business-with-no-money/"/>
        <s v="https://www.method.me/blog/how-to-add-signature-in-quickbooks-online/?trc=90&amp;trk=description-cta&amp;trs=qbo-esig&amp;utm_source=yt&amp;utm_medium=description-cta&amp;utm_campaign=qbo-esig"/>
        <s v="https://www.method.me/blog/quickbooks-desktop-discontinued/"/>
        <s v="https://grow.method.me/method-proposals/?trc=81&amp;trk=how to add signature in quickbooks online&amp;trs=US-New-Proposal&amp;campaignid=19733246298&amp;adgroupid=156304156777&amp;adid=689695736138&amp;gad_source=1&amp;gad_campaignid=19733246298&amp;gbraid=0AAAAAD3ItnZ2Z_oX2x_IIp0igbvt3"/>
        <s v="http://signup.method.me/methodcrm/?_gl=1*kzfd5o*_gcl_au*MTY3MzQyMzg5Ni4xNzY1NTE0Mjk4*_ga*MTA4NTY5ODY2NC4xNzY1NTE0Mjk4*_ga_L2HEZNW53E*czE3NjU1MTQyOTgkbzEkZzAkdDE3NjU1MTQyOTgkajYwJGwwJGgxMTU1MTYxMDIz&amp;_ga=2.86973393.819242378.1765514298-1085698664.1765514298"/>
        <s v="https://www.method.me/crm-quickbooks/job-scheduling-software/?trc=81&amp;trk=&amp;trs=USA-DSA&amp;campaignid=13038312612&amp;adgroupid=127756898611&amp;adid=771467139249&amp;gad_source=1&amp;gad_campaignid=13038312612&amp;gbraid=0AAAAAD3ItnaIcAaRI2ScMRJVcCO_gFWMd&amp;gclid=EAIaIQobChMIp9S1r"/>
        <s v="https://grow.method.me/crm-quickbooks/?trc=86&amp;trk=crm that works with quickbooks&amp;trs=US-Bing-QB&amp;msclkid=6a866ac532ad15ccd6f303fc49994f77&amp;utm_source=bing&amp;utm_medium=cpc&amp;utm_campaign=US - Bing QB Broad&amp;utm_term=crm that works with quickbooks&amp;utm_content=Ad "/>
        <s v="https://grow.method.me/crm-quickbooks/?trc=86&amp;trk=custom invoices for quickbooks&amp;trs=USA-G-QB-Bing&amp;msclkid=6bee187685e81295fbe8714ab7c5b9d5&amp;utm_source=bing&amp;utm_medium=cpc&amp;utm_campaign=US - Generic 2020&amp;utm_term=custom invoices for quickbooks&amp;utm_content=G"/>
        <s v="https://grow.method.me/crm-quickbooks/?trc=86&amp;trk=quickbooks online invoice management&amp;trs=USA-G-QB-Bing&amp;msclkid=197e650fcd5f107ba3600c338d7aaf18&amp;utm_source=bing&amp;utm_medium=cpc&amp;utm_campaign=US - Generic 2020&amp;utm_term=quickbooks online invoice management&amp;u"/>
        <s v="https://signin.method.me/?_gl=1*badh72*_gcl_au*MTA0NzE3NjEzOS4xNzYyMjkzNjQw*_ga*MTI5NzkzMDU5Mi4xNzYyMjkzNjQw*_ga_L2HEZNW53E*czE3NjIyOTM2MzkkbzEkZzAkdDE3NjIyOTM2NDAkajU5JGwwJGgyNzUwMDUzMzc.&amp;_ga=2.244139781.1226969095.1762293640-1297930592.1762293640"/>
        <s v="https://grow.method.me/crm-quickbooks/?trc=81&amp;trk=crm with quickbooks&amp;trs=USA-QB-G&amp;campaignid=1543381580&amp;adgroupid=61437797000&amp;adid=704678754673&amp;gad_source=1&amp;gad_campaignid=1543381580&amp;gbraid=0AAAAAD3ItnayciSsm9mOKlYQqr6bMw9fw&amp;gclid=CjwKCAiAl-_JBhBjEiwAn3r"/>
        <s v="http://signup.method.me/methodcrm/?_gl=1*1l1lywd*_gcl_au*MTY1Nzc1ODI3OC4xNzY1NTY3NjAw*_ga*Nzg1OTA3NzEyLjE3NjU1Njc2MDA.*_ga_L2HEZNW53E*czE3NjU1Njc2MDAkbzEkZzAkdDE3NjU1Njc2MDAkajYwJGwwJGgxOTM0OTEwMzEy&amp;_ga=2.47438887.1879154521.1765567600-785907712.176556760"/>
        <s v="https://www.method.me/resources/mechanic-work-order-forms/"/>
        <s v="https://grow.method.me/no-erp/?trc=81&amp;trk=&amp;trs=US-ERP&amp;campaignid=20938141894&amp;adgroupid=&amp;adid=&amp;gad_source=5&amp;gad_campaignid=20938142383&amp;gclid=EAIaIQobChMIu7aCg7S5kQMVYjdECB0xLAiUEAAYASAAEgJk6_D_BwE"/>
        <s v="https://www.method.me/crm-quickbooks/customer-management-software/?trc=81&amp;trk=&amp;trs=PMax-ERP&amp;campaignid=20938141894&amp;adgroupid=&amp;adid=&amp;gad_source=5&amp;gad_campaignid=20938142383&amp;gclid=EAIaIQobChMIwMr31sW5kQMVtElHAR24PgsGEAEYASABEgIvmPD_BwE"/>
        <s v="https://grow.method.me/no-erp/?trc=81&amp;trk=&amp;trs=US-ERP&amp;campaignid=20938141894&amp;adgroupid=&amp;adid=&amp;gad_source=5&amp;gad_campaignid=20938142383&amp;gclid=EAIaIQobChMIwLvpqce5kQMV6AtECB1ggyt2EAAYASAAEgL3YfD_BwE"/>
        <s v="https://signin.method.me/?_ga=2.162661820.1827644277.1743456497-959090251.1677599655&amp;_gl=1*jpkzev*_gcl_au*MjY0ODE4Njk1LjE3NjU1OTY4MjQ.*_ga*MzYwOTI3NTcwLjE3NjU1OTY4MjQ.*_ga_L2HEZNW53E*czE3NjU1OTY4MjQkbzEkZzAkdDE3NjU1OTY4MjQkajYwJGwwJGgxNTYwNTIzODQ0"/>
        <s v="https://grow.method.me/no-erp/?trc=81&amp;trk=&amp;trs=US-ERP&amp;campaignid=20938141894&amp;adgroupid=&amp;adid=&amp;gad_source=5&amp;gad_campaignid=20938142383&amp;gclid=EAIaIQobChMIhJuHg9u5kQMV5V3_AR1FfSi5EAAYASAAEgKGGvD_BwE"/>
        <s v="https://www.method.me/crm-quickbooks/job-scheduling-software/?trc=81&amp;trk=&amp;trs=USA-DSA&amp;campaignid=13038312612&amp;adgroupid=127756898611&amp;adid=771467139249&amp;gad_source=1&amp;gad_campaignid=13038312612&amp;gbraid=0AAAAAD3Itna_QUa4HPpRiouV8y1gZUsoE&amp;gclid=EAIaIQobChMIoPCus"/>
        <s v="https://www.method.me/crm-quickbooks/customer-management-software/?trc=81&amp;trk=&amp;trs=PMax-ERP&amp;campaignid=20938141894&amp;adgroupid=&amp;adid=&amp;gad_source=5&amp;gad_campaignid=20938142383&amp;gclid=EAIaIQobChMI5bG8s4C6kQMVXmRHAR0MMBGPEAAYAiABEgKWnvD_BwE"/>
        <s v="https://www.method.me/crm-quickbooks/customer-management-software/?trc=81&amp;trk=&amp;trs=PMax-ERP&amp;campaignid=20938141894&amp;adgroupid=&amp;adid=&amp;gad_source=5&amp;gad_campaignid=20938142383&amp;gclid=EAIaIQobChMIj5vY-6O6kQMVZEb_AR1pOzziEAAYASABEgJeW_D_BwE"/>
        <s v="http://signup.method.me/methodcrm?trc=69&amp;trk=win-more-biz-qb-crm&amp;trs=vimeo&amp;utm_source=Intuit&amp;utm_medium=vimeo&amp;utm_campaign=cta&amp;dc=638724609380700000"/>
        <s v="https://grow.method.me/crm-quickbooks/?trc=86&amp;trk=how to use quickbooks online with a sales crm&amp;trs=US-QBInt-Bing&amp;msclkid=e82977076c541f064eda1e3a1aa97596&amp;utm_source=bing&amp;utm_medium=cpc&amp;utm_campaign=US - Generic 2020&amp;utm_term=how to use quickbooks online "/>
        <s v="https://grow.method.me/best-quickbooks-crm/?trc=86&amp;trk=grow.method.me&amp;trs=Bing-PMax&amp;msclkid=6df8489e2cda1274daa0206e3a2228f2&amp;utm_source=bing&amp;utm_medium=cpc&amp;utm_campaign=Bing - PMAX&amp;utm_term=grow.method.me&amp;utm_content=US - retargeting"/>
        <s v="https://grow.method.me/quickbooks-crm-fb/?trc=517&amp;trk=BOF&amp;trs=FB-Lookalike&amp;utm_source=Facebook&amp;utm_medium=PPC&amp;utm_campaign=Banner_trial&amp;utm_id=120213444289450307&amp;utm_content=120215433569050307&amp;utm_term=120215433408020307&amp;fbclid=IwY2xjawOqg4JleHRuA2FlbQEwA"/>
        <s v="https://grow.method.me/quickbooks-customization/?trc=81&amp;trk=quickbooks invoice customization&amp;trs=CA-Customization&amp;campaignid=1543604353&amp;adgroupid=187747789113&amp;adid=776764616790&amp;gad_source=1&amp;gad_campaignid=1543604353&amp;gbraid=0AAAAAD3ItnagJZrvK3YnHuuaXZGRTXl"/>
        <s v="https://www.method.me/crm-quickbooks/enterprise/"/>
        <s v="https://grow.method.me/crm-quickbooks/?trc=81&amp;trk=crm with quickbooks&amp;trs=USA-QB-G&amp;campaignid=1543381580&amp;adgroupid=61437797000&amp;adid=704678754673&amp;gad_source=1&amp;gad_campaignid=1543381580&amp;gbraid=0AAAAAD3ItnZdAF9mJUnGhEFfDuRZpRw26&amp;gclid=Cj0KCQiAuvTJBhCwARIsAL6"/>
        <s v="https://www.method.me/blog/quickbooks-online-invoice-templates/"/>
        <s v="https://www.method.me/features/mobile-app/?utm_source=chatgpt.com"/>
        <s v="https://www.method.me/blog/how-to-import-transactions-into-quickbooks-online-from-excel/"/>
        <s v="https://www.method.me/blog/checklist-for-starting-a-cleaning-business/"/>
        <s v="http://signup.method.me/methodcrm/?_gl=1*1c1ker2*_gcl_au*MTg0NDc1NDM4Ni4xNzY1NzExMDkx*_ga*MTAwMTA1ODMwMC4xNzY1NzExMDkx*_ga_L2HEZNW53E*czE3NjU3MTEwOTEkbzEkZzAkdDE3NjU3MTEwOTEkajYwJGwwJGgxODQyMDI5ODM0&amp;_ga=2.104325568.1146954089.1765711091-1001058300.1765711"/>
        <s v="https://grow.method.me/quickbooks-crm-fb/?trc=517&amp;trk=DoThis&amp;trs=FB-Retargeting&amp;utm_source=Facebook&amp;utm_medium=PPC&amp;utm_campaign=Trial-Q42024&amp;fbclid=IwZXh0bgNhZW0BMABhZGlkAasqjAyLjONzcnRjBmFwcF9pZAo2NjI4NTY4Mzc5AAEe317QqwOx2CP7zHBXCcClGQJghQuxKAcBUr9T5pxWJ"/>
        <s v="https://grow.method.me/crm-quickbooks/?trc=81&amp;trk=crm with quickbooks&amp;trs=USA-QB-G&amp;campaignid=1543381580&amp;adgroupid=61437797000&amp;adid=704678754673&amp;gad_source=1&amp;gad_campaignid=1543381580&amp;gbraid=0AAAAAD3ItnZNMn31Mc4lcykjapq4w1c2y&amp;gclid=CjwKCAiA3fnJBhAgEiwAyqm"/>
        <s v="https://grow.method.me/crm-quickbooks/?trc=86&amp;trk=best crm quickbooks integration&amp;trs=US-QBInt-Bing&amp;msclkid=2c066c0b5c94172aa0090535b322c1bd&amp;utm_source=bing&amp;utm_medium=cpc&amp;utm_campaign=US - Generic 2020&amp;utm_term=best crm quickbooks integration&amp;utm_content"/>
        <s v="https://grow.method.me/quickbooks-crm-fb/?trc=517&amp;trk=BOF&amp;trs=FB-Lookalike&amp;utm_source=Facebook&amp;utm_medium=PPC&amp;utm_campaign=Banner_trial&amp;fbclid=IwZXh0bgNhZW0BMABhZGlkAasqi_isRSNzcnRjBmFwcF9pZAo2NjI4NTY4Mzc5AAEepiZrCDtl3qAyjy2Y36kTwHriGxyox36mSzGnd_SPkDwhqs"/>
        <s v="https://www.method.me/quickbooks-crm/?trc=81&amp;trk=&amp;trs=USA-DSA-QB&amp;campaignid=13038312612&amp;adgroupid=128764620688&amp;adid=776781070272&amp;gad_source=1&amp;gad_campaignid=13038312612&amp;gbraid=0AAAAAD3ItnZ7eMf13ooxTjuxmRbe6HMoy&amp;gclid=CjwKCAiA3fnJBhAgEiwAyqmY5fn0Z9KcZ3X2uj"/>
        <s v="https://grow.method.me/quickbooks-crm/?trc=81&amp;trk=&amp;trs=PMax-weekend&amp;campaignid=21009929726&amp;adgroupid=&amp;adid=&amp;gad_source=5&amp;gad_campaignid=21012967633&amp;gclid=EAIaIQobChMI4ZGFmMC-kQMVsGBHAR2Ftw2REAAYASAAEgLym_D_BwE"/>
        <s v="https://grow.method.me/no-erp/?trc=81&amp;trk=&amp;trs=US-ERP&amp;campaignid=20938141894&amp;adgroupid=&amp;adid=&amp;gad_source=5&amp;gad_campaignid=20938142383&amp;gclid=EAIaIQobChMIpY_g1MS-kQMVukJHAR29GiA1EAAYASAAEgLzwPD_BwE"/>
        <s v="https://grow.method.me/no-erp/?trc=81&amp;trk=&amp;trs=US-ERP&amp;campaignid=20938141894&amp;adgroupid=&amp;adid=&amp;gad_source=5&amp;gad_campaignid=20938142383&amp;gclid=EAIaIQobChMIhtuv-M--kQMVribUAR3dbzjQEAAYASAAEgIRrPD_BwE"/>
        <s v="https://www.method.me/pricing-guides/carpet-cleaning-estimate-template/"/>
        <s v="https://grow.method.me/quickbooks-customization/?trc=81&amp;trk=qbo customize invoice&amp;trs=CA-Customization&amp;campaignid=1543604353&amp;adgroupid=187747789113&amp;adid=776764616790&amp;gad_source=1&amp;gad_campaignid=1543604353&amp;gbraid=0AAAAAD3ItnYF4pfRNzcyxOzqJ8ZZPKgl_&amp;gclid=Cj"/>
        <s v="https://www.method.me/features/xero/payment-gateways/"/>
        <s v="https://grow.method.me/no-erp/?trc=81&amp;trk=&amp;trs=US-ERP&amp;campaignid=20938141894&amp;adgroupid=&amp;adid=&amp;gad_source=5&amp;gad_campaignid=20938142383&amp;gclid=EAIaIQobChMIjafA5O--kQMVczcIBR29yR7CEAAYAiAAEgJIJfD_BwE"/>
        <s v="https://grow.method.me/no-erp/?trc=81&amp;trk=&amp;trs=US-ERP&amp;campaignid=20938141894&amp;adgroupid=&amp;adid=&amp;gad_source=5&amp;gad_campaignid=20938142383&amp;gclid=EAIaIQobChMIp7_A_ve-kQMV1idECB163yfIEAAYASAAEgKvePD_BwE"/>
        <s v="http://signup.method.me/methodcrm/?_gl=1*j0egxn*_gcl_au*MTcyOTYxMDIuMTc2NTgxOTIyNg..*_ga*MTUzMzczNjMxLjE3NjU4MTkyMjY.*_ga_L2HEZNW53E*czE3NjU4MTkyMjYkbzEkZzAkdDE3NjU4MTkyMjYkajYwJGwwJGg0Mjg3MjIwMg..&amp;_ga=2.45122727.268718578.1765819226-153373631.1765819226"/>
        <s v="https://www.method.me/blog/wholesale-price-calculator/"/>
        <s v="https://www.method.me/blog/lead-follow-up-system/"/>
        <s v="https://grow.method.me/method-proposals/?trc=549&amp;trk=partner-lead-nurture&amp;trs=invitation &amp;utm_source=ac&amp;utm_medium=email&amp;utm_campaign=549&amp;vgo_ee=%2FqDgvRvGYg5FUTnQqD7rNA%3D%3D%3AA2qFM1BTYSVwyZGrpczte24UJMYLlF6E"/>
        <s v="https://grow.method.me/crm-quickbooks/?trc=81&amp;trk=crm with quickbooks&amp;trs=USA-QB-G&amp;campaignid=1543381580&amp;adgroupid=61437797000&amp;adid=704678754673&amp;gad_source=1&amp;gad_campaignid=1543381580&amp;gbraid=0AAAAAD3ItnaCWDbEeqVIBGzQyuhhsZOsx&amp;gclid=Cj0KCQiAgP_JBhD-ARIsANp"/>
        <s v="https://signin.method.me/?App="/>
        <s v="https://grow.method.me/crm-quickbooks/?trc=86&amp;trk=crm that integrates with quickbooks&amp;trs=US-Bing-QB&amp;msclkid=27fe092f07eb1ae19b70606f62b87ab4&amp;utm_source=bing&amp;utm_medium=cpc&amp;utm_campaign=US - Bing QB Broad&amp;utm_term=crm that integrates with quickbooks&amp;utm_c"/>
        <s v="https://www.method.me/crm-quickbooks/work-order-software/"/>
        <s v="https://grow.method.me/method-fs-demo/"/>
        <s v="https://www.method.me/quickbooks-crm/?utm_source=chatgpt.com"/>
        <s v="https://www.method.me/blog/revamp-vendor-relationship-management/"/>
        <s v="https://www.method.me/crm-quickbooks/invoice-software/?utm_source=chatgpt.com"/>
        <s v="http://signup.method.me/saasphalt?domain=qbo"/>
        <s v="https://www.method.me/crm-quickbooks/job-scheduling-software/?trc=81&amp;trk=&amp;trs=USA-DSA&amp;campaignid=13038312612&amp;adgroupid=127756898611&amp;adid=771467139249&amp;gad_source=1&amp;gad_campaignid=13038312612&amp;gbraid=0AAAAAD3ItnajvKh05Mp7yqNnDLGUdH42t&amp;gclid=Cj0KCQiAgP_JBhD-A"/>
        <s v="http://signup.method.me/methodcrm/?_gl=1*4l95nm*_gcl_au*MTAwOTE2OTk4NC4xNzY1ODUwMTE4*_ga*MTUxODA5NTAzNC4xNzY1ODUwMTE5*_ga_L2HEZNW53E*czE3NjU4NTAxMTkkbzEkZzAkdDE3NjU4NTAxMTkkajYwJGwwJGgyMzA3ODI2NTk.&amp;_ga=2.100648797.212022393.1765850119-1518095034.176585011"/>
        <s v="https://www.method.me/features/estimates/?trc=81&amp;trk=&amp;trs=USA-DSA-QB&amp;campaignid=13038312612&amp;adgroupid=128764620688&amp;adid=776781070272&amp;gad_source=1&amp;gad_campaignid=13038312612&amp;gbraid=0AAAAAD3Itnaj9F545a06J7Utcs-HYQwUw&amp;gclid=EAIaIQobChMIneK6m4DBkQMVF6VaBR1Jrh"/>
        <s v="https://signin.method.me/accounts/identitynotfound?Code=3V1Z5rD2xcXNlfdtKWN%2BR5uHUhCrWiBle1Lx%2FCGnNQOtzx11WIB7Q7bOpLo2LRrueDgbjTSWjY5R%2BWQH4%2FSHQDr8wavjdtyenEocl8ovLIsnXDqv5zSahE6LeA39AAaEytdH%2BN%2FdfBvs2sVsgXnBZd3Bq6mpG13011mN9HauMdmzzl43t499gYBMF0j"/>
        <s v="https://signin.method.me/accounts/identitynotfound?Code=qXFA%2BtVtuaUH3SkMmaAEcyZfLuAO9YMh05O8S6AGlwILJzq9BZrAwkk3wbVDUWORZ9L2RhGyF36ewyapVnvUxuscOrLZy%2B6V83k%2BrpXK7EQ1Ql%2BAbHad7bnL0Gkscu1FUbt4yTcT47cF33FLngr%2BawK1mraSitJzeFpq4mFBHzShhv3FqfI1yCha5imdJ"/>
        <s v="https://signin.method.me/error?Errorcode=166&amp;details=provider=Intuit"/>
        <s v="https://grow.method.me/crm-quickbooks/?trc=81&amp;trk=crm with quickbooks&amp;trs=USA-QB-G&amp;campaignid=1543381580&amp;adgroupid=61437797000&amp;adid=704678754673&amp;gad_source=1&amp;gad_campaignid=1543381580&amp;gbraid=0AAAAAD3ItnZpWdQbCLRR6WaxnjVMSQQW9&amp;gclid=Cj0KCQiAo4TKBhDRARIsAGW"/>
        <s v="https://grow.method.me/crm-quickbooks/?trc=81&amp;trk=crm with quickbooks&amp;trs=USA-QB-G&amp;campaignid=1543381580&amp;adgroupid=61437797000&amp;adid=704678754673&amp;gad_source=1&amp;gad_campaignid=1543381580&amp;gbraid=0AAAAAD3ItnZpWdQbCLRR6WaxnjVMSQQW9&amp;gclid=EAIaIQobChMIvJLYh8HCkQM"/>
        <s v="https://signin.method.me/?_gl=1*18rune6*_gcl_au*MTM2MzI2MTczMC4xNzY1OTA4ODYy*_ga*MTQwMTU3ODg3Ny4xNzY1OTA4ODYy*_ga_L2HEZNW53E*czE3NjU5MDg4NjEkbzEkZzAkdDE3NjU5MDg4NjEkajYwJGwwJGgxODM3NTQxMTI4&amp;_ga=2.4847155.1877664154.1765908862-1401578877.1765908862"/>
        <s v="https://grow.method.me/best-quickbooks-crm/?trc=86&amp;trk=grow.method.me&amp;trs=Bing-PMax&amp;msclkid=06e945540d7313589d582c633672bc12&amp;utm_source=bing&amp;utm_medium=cpc&amp;utm_campaign=Bing - PMAX&amp;utm_term=grow.method.me&amp;utm_content=US - retargeting"/>
        <s v="https://signin.method.me/?returnUrl=https%3A%2F%2Fercsolutionsinc.method.me%2Fapps%2FDefault.aspx%23%2F"/>
        <s v="https://grow.method.me/qb-payment/?trc=81&amp;trk=quickbooks online payment processing&amp;trs=US-payment&amp;campaignid=19733246298&amp;adgroupid=146278163933&amp;adid=649435146420&amp;gad_source=1&amp;gad_campaignid=19733246298&amp;gclid=Cj0KCQiAo4TKBhDRARIsAGW29bcHUqcHf7Lf1-doaGgCBuE"/>
        <s v="http://signup.method.me/methodcrm?_gl=1*3bfdok*_gcl_au*ODQ2NTk4NjY2LjE3NjU5MzI3NzQ.*_ga*NzI2NjAwODYzLjE3NjU5MzI3NzU.*_ga_L2HEZNW53E*czE3NjU5MzI3NzQkbzEkZzAkdDE3NjU5MzI3NzQkajYwJGwwJGgyMTk0MTk1OTk.&amp;_ga=2.114474181.391558479.1765932775-726600863.1765932775"/>
        <s v="https://grow.method.me/quickbooks-customization/?trc=81&amp;trk=invoice template in quickbooks online&amp;trs=CA-Customization&amp;campaignid=1543604353&amp;adgroupid=187747789113&amp;adid=776764616790&amp;gad_source=1&amp;gad_campaignid=1543604353&amp;gbraid=0AAAAAD3Itnb_oqKE1dRFyJua9Y"/>
        <s v="https://www.method.me/blog/what-is-opportunity-in-crm/"/>
        <s v="https://www.method.me/blog/how-much-does-crm-cost/"/>
        <s v="https://grow.method.me/crm-quickbooks/?trc=81&amp;trk=best crm for quickbooks&amp;trs=USA-QB-G_Ex&amp;campaignid=22265826203&amp;adgroupid=176758613473&amp;adid=734012603510&amp;gad_source=1&amp;gad_campaignid=22265826203&amp;gbraid=0AAAAAD3ItnYQZjcjYjdvFEQbM1ZMSWN42&amp;gclid=Cj0KCQiAo4TKB"/>
        <s v="https://grow.method.me/qb-payment/?trc=81&amp;trk=quickbooks online payment&amp;trs=US-payment&amp;campaignid=19733246298&amp;adgroupid=146278163933&amp;adid=649435146420&amp;gad_source=1&amp;gad_campaignid=19733246298&amp;gbraid=0AAAAAD3ItnYJHlNFwX_7CWRCRbGG6cPlr&amp;gclid=Cj0KCQiAxonKBhC1"/>
        <s v="https://www.method.me/crm-quickbooks/job-scheduling-software/?trc=81&amp;trk=&amp;trs=USA-DSA&amp;campaignid=13038312612&amp;adgroupid=127756898611&amp;adid=771467139249&amp;gad_source=1&amp;gad_campaignid=13038312612&amp;gbraid=0AAAAAD3ItnaXlWclXbbm93lGIheIZ32W_&amp;gclid=Cj0KCQiAxonKBhC1A"/>
        <s v="https://www.method.me/proposals/"/>
        <s v="https://www.method.me/crm-quickbooks/customer-management-software/?trc=81&amp;trk=&amp;trs=CA-PMax-SL&amp;campaignid=20681425566&amp;adgroupid=&amp;adid=&amp;gad_source=5&amp;gad_campaignid=20687584292&amp;gclid=EAIaIQobChMInuucpObFkQMVqgitBh1YmiXwEAAYASABEgIf5fD_BwE"/>
        <s v="https://www.method.me/features/google-calendar/?trc=81&amp;trk=&amp;trs=USA-DSA-QB&amp;campaignid=13038312612&amp;adgroupid=128764620688&amp;adid=776781070272&amp;gad_source=1&amp;gad_campaignid=13038312612&amp;gbraid=0AAAAAD3ItnZBnzYQ6A4kpiU2ymM25jMc5&amp;gclid=Cj0KCQiAxonKBhC1ARIsAIHq_lv5"/>
        <s v="https://grow.method.me/crm-quickbooks/?trc=81&amp;trk=quickbooks crm&amp;trs=USA-QB-G_Ex&amp;campaignid=22265826203&amp;adgroupid=176758613473&amp;adid=734012603510&amp;gad_source=1&amp;gad_campaignid=22265826203&amp;gbraid=0AAAAAD3ItnZQsUvPlwtZ5suS68TE6UKZh&amp;gclid=Cj0KCQiAxonKBhC1ARIsAI"/>
        <s v="https://grow.method.me/qb-payment/?trc=81&amp;trk=quickbooks online payment processing&amp;trs=US-payment&amp;campaignid=19733246298&amp;adgroupid=146278163933&amp;adid=649435146420&amp;gad_source=1&amp;gad_campaignid=19733246298&amp;gbraid=0AAAAAD3Itna-xtqaCkwxRg0ug2grdLT-S&amp;gclid=EAIaI"/>
        <s v="https://www.method.me/features/google-calendar/?trc=81&amp;trk=&amp;trs=USA-DSA-QB&amp;campaignid=13038312612&amp;adgroupid=128764620688&amp;adid=776781070272&amp;gad_source=1&amp;gad_campaignid=13038312612&amp;gbraid=0AAAAAD3ItnZBnzYQ6A4kpiU2ymM25jMc5&amp;gclid=Cj0KCQiAxonKBhC1ARIsAIHq_lsI"/>
        <s v="https://grow.method.me/crm-quickbooks/?trc=81&amp;trk=integrate with quickbooks&amp;trs=USA-QB-G_Ex&amp;campaignid=22265826203&amp;adgroupid=176758613473&amp;adid=734012603510&amp;gad_source=1&amp;gad_campaignid=22265826203&amp;gbraid=0AAAAAD3ItnZQsUvPlwtZ5suS68TE6UKZh&amp;gclid=Cj0KCQiAxon"/>
        <s v="https://grow.method.me/feature-estimate/?trc=81&amp;trk=estimates in quickbooks&amp;trs=US-QBEstimates&amp;campaignid=19733246298&amp;adgroupid=160184660571&amp;adid=676701373566&amp;gad_source=1&amp;gad_campaignid=19733246298&amp;gclid=Cj0KCQiAxonKBhC1ARIsAIHq_ls_L4cEBvVMS4nMvoieszuNYX"/>
        <s v="https://signin.method.me/accounts/noaccountsfound"/>
        <s v="https://grow.method.me/crm-quickbooks/?trc=81&amp;trk=crm with quickbooks&amp;trs=USA-QB-G&amp;campaignid=1543381580&amp;adgroupid=61437797000&amp;adid=704678754673&amp;gad_source=1&amp;gad_campaignid=1543381580&amp;gbraid=0AAAAAD3ItnZ4BdyL4-H36ueuL3ExieHng&amp;gclid=Cj0KCQiA6Y7KBhCkARIsAOx"/>
        <s v="https://grow.method.me/crm-quickbooks/?trc=81&amp;trk=best crm for quickbooks&amp;trs=USA-QB-G_Ex&amp;campaignid=22265826203&amp;adgroupid=176758613473&amp;adid=734012603510&amp;gad_source=1&amp;gad_campaignid=22265826203&amp;gbraid=0AAAAAD3ItnZPuOvuoclYkJyIiXwVIPY1G&amp;gclid=EAIaIQobChMIk"/>
        <s v="https://grow.method.me/qb-payment/?trc=81&amp;trk=quickbooks online payment&amp;trs=US-payment&amp;campaignid=19733246298&amp;adgroupid=146278163933&amp;adid=649435146420&amp;gad_source=1&amp;gad_campaignid=19733246298&amp;gbraid=0AAAAAD3ItnZGiws4gymifVwCSbaOP8_l6&amp;gclid=Cj0KCQiA6Y7KBhCk"/>
        <s v="https://grow.method.me/crm-quickbooks/?trc=81&amp;trk=crm with quickbooks&amp;trs=USA-QB-G&amp;campaignid=1543381580&amp;adgroupid=61437797000&amp;adid=704678754673&amp;gad_source=1&amp;gad_campaignid=1543381580&amp;gbraid=0AAAAAD3ItnZVPzeI1hZXOrdGTrUOMmeG9&amp;gclid=Cj0KCQiA6Y7KBhCkARIsAOx"/>
        <s v="https://www.method.me/crm-quickbooks/pricing/full-feature/"/>
        <s v="https://www.method.me/blog/small-business-crm-canada/"/>
        <s v="https://grow.method.me/crm-quickbooks/?trc=81&amp;trk=integrate with quickbooks desktop&amp;trs=US-QBInt-Ex&amp;campaignid=22265826203&amp;adgroupid=186545727779&amp;adid=777091446185&amp;gad_source=1&amp;gad_campaignid=22265826203&amp;gbraid=0AAAAAD3ItnZQsUvPlwtZ5suS68TE6UKZh&amp;gclid=Cj0"/>
        <s v="https://grow.method.me/quickbooks-fsm/?trc=81&amp;trk=field service quickbooks crm&amp;trs=US-FS&amp;campaignid=12406628869&amp;adgroupid=118144098677&amp;adid=500417359889&amp;gad_source=1&amp;gad_campaignid=12406628869&amp;gbraid=0AAAAAD3ItnZzJQo_ZF-c-v65DgZbca31m&amp;gclid=Cj0KCQiA6Y7KBh"/>
        <s v="https://www.method.me/industries/field-service-management-software/?trc=78&amp;trk=FSIndustry&amp;trs=capterra&amp;utm_source=capterra&amp;utm_medium=cpc&amp;utm_campaign=FS&amp;gdmcid=77e81625-bd5b-4ac5-b2c4-93c3b94374cf"/>
        <s v="http://signup.method.me/methodcrm/?_gl=1*1dc85x3*_gcl_au*NTAwNjI4NjAzLjE3NjYxMjU5NTQ.*_ga*MzAxODIxNDk2LjE3NjYxMjU5NTQ.*_ga_L2HEZNW53E*czE3NjYxMjU5NTQkbzEkZzAkdDE3NjYxMjU5NTUkajU5JGwwJGgxMjYxMzYyNjQ.&amp;_ga=2.76788181.1319755423.1766125954-301821496.176612595"/>
        <s v="https://www.method.me/features/payment-gateways/"/>
        <s v="https://www.method.me/features/estimates/?trc=81&amp;trk=&amp;trs=USA-DSA-QB&amp;campaignid=13038312612&amp;adgroupid=128764620688&amp;adid=776781070272&amp;gad_source=1&amp;gad_campaignid=13038312612&amp;gbraid=0AAAAAD3ItnaQ2DQyUeuYUlCbYb1aMX_xt&amp;gclid=Cj0KCQiAjJTKBhCjARIsAIMC44_uxtHM-F"/>
        <s v="https://www.method.me/blog/how-to-import-transactions-into-quickbooks-desktop-from-excel/"/>
        <s v="https://grow.method.me/method-proposals/?trc=78&amp;trs=Proposals&amp;trk=LP&amp;utm_source=capterra&amp;utm_medium=cpc&amp;utm_campaign=destinationURL&amp;gdmcid=95eeceb2-1599-4f6b-aa38-ee722156b866"/>
        <s v="https://signup.method.me/QBOAppstoreSignup?offering=donor"/>
        <s v="https://grow.method.me/crm-quickbooks/?trc=81&amp;trk=crm with quickbooks&amp;trs=USA-QB-G&amp;campaignid=1543381580&amp;adgroupid=61437797000&amp;adid=704678754673&amp;gad_source=1&amp;gad_campaignid=1543381580&amp;gbraid=0AAAAAD3ItnYnR21ROlG5_lbiPqM57rc4Y&amp;gclid=EAIaIQobChMIgtSA7aDKkQM"/>
        <s v="https://www.method.me/features/estimates/"/>
        <s v="https://grow.method.me/qb-payment/?trc=81&amp;trk=credit card processing that works with quickbooks&amp;trs=US-payment&amp;campaignid=19733246298&amp;adgroupid=146278163933&amp;adid=649435146420&amp;gad_source=1&amp;gad_campaignid=19733246298&amp;gbraid=0AAAAAD3ItnYWasD2c3WRKE5fPxo2FMeg"/>
        <s v="https://www.method.me/blog/customer-convenience-customer-portal/"/>
        <s v="https://signin.method.me/?utm_source=chatgpt.com"/>
        <s v="https://grow.method.me/quickbooks-method-cad/?trc=81&amp;trk=crm with quickbooks&amp;trs=CAN-QB-G&amp;campaignid=1543604353&amp;adgroupid=61438895000&amp;adid=704657828091&amp;gad_source=1&amp;gad_campaignid=1543604353&amp;gbraid=0AAAAAD3Itnav0byMOltrGrKIcSWprrhWi&amp;gclid=Cj0KCQiAjJTKBhCj"/>
        <s v="https://grow.method.me/crm-quickbooks/?trc=81&amp;trk=crm with quickbooks&amp;trs=USA-QB-G&amp;campaignid=1543381580&amp;adgroupid=61437797000&amp;adid=704678754673&amp;gad_source=1&amp;gad_campaignid=1543381580&amp;gbraid=0AAAAAD3ItnYf74VUkGH7GD_NKTDD4c7Tm&amp;gclid=Cj0KCQiAjJTKBhCjARIsAIM"/>
        <s v="https://www.method.me/crm-quickbooks/job-scheduling-software/?trc=81&amp;trk=&amp;trs=USA-DSA&amp;campaignid=13038312612&amp;adgroupid=127756898611&amp;adid=771467139249&amp;gad_source=1&amp;gad_campaignid=13038312612&amp;gclid=Cj0KCQiAjJTKBhCjARIsAIMC448pX2W7Ag8wtUCsKXEQJYoET2I0lkr22DD"/>
        <s v="https://www.method.me/videos/customization-awards-2025/?trc=699&amp;&amp;trs=customization-awards&amp;utm_source=ActiveCampaign&amp;utm_medium=email&amp;utm_content=%5BRecording 🎥%5D 2025 Method Customization Awards&amp;utm_campaign=Customization Awards - Email %235 %28Copy%29"/>
        <s v="https://grow.method.me/best-quickbooks-crm/?trc=86&amp;trk=grow.method.me&amp;trs=Bing-PMax&amp;msclkid=6f9394df9cc8176fff78fd9987e03783&amp;utm_source=bing&amp;utm_medium=cpc&amp;utm_campaign=Bing - PMAX&amp;utm_term=grow.method.me&amp;utm_content=US - retargeting"/>
        <s v="https://grow.method.me/demo/?SOURCE=TOPNAV"/>
        <s v="https://grow.method.me/qb-payment/?trc=81&amp;trk=quickbooks online payment&amp;trs=US-payment&amp;campaignid=19733246298&amp;adgroupid=146278163933&amp;adid=649435146420&amp;gad_source=1&amp;gad_campaignid=19733246298&amp;gbraid=0AAAAAD3ItnbmlLILOhQdCZFS2MwBcoIzo&amp;gclid=Cj0KCQiAr5nKBhCp"/>
        <s v="https://grow.method.me/crm-quickbooks/?trc=81&amp;trk=crm integration with quickbooks&amp;trs=US-QBInt-Ex&amp;campaignid=22265826203&amp;adgroupid=186545727779&amp;adid=777091446185&amp;gad_source=1&amp;gad_campaignid=22265826203&amp;gbraid=0AAAAAD3ItnbYltZlbIrZEvWRBD5YfnIme&amp;gclid=Cj0KC"/>
        <s v="https://signin.method.me/?returnUrl=https%3A%2F%2Fhaseeb212.method.me%2Fapps%2FDefault.aspx%23%2Fsubscription"/>
        <s v="https://grow.method.me/crm-quickbooks/?trc=81&amp;trk=crm with quickbooks&amp;trs=USA-QB-G&amp;campaignid=1543381580&amp;adgroupid=61437797000&amp;adid=704678754673&amp;gad_source=1&amp;gad_campaignid=1543381580&amp;gbraid=0AAAAAD3ItnYf74VUkGH7GD_NKTDD4c7Tm&amp;gclid=Cj0KCQiAr5nKBhCpARIsACa"/>
        <s v="https://grow.method.me/crm-quickbooks/?trc=81&amp;trk=crm with quickbooks&amp;trs=USA-QB-G&amp;campaignid=1543381580&amp;adgroupid=61437797000&amp;adid=704678754673&amp;gad_source=1&amp;gad_campaignid=1543381580&amp;gbraid=0AAAAAD3ItnYf74VUkGH7GD_NKTDD4c7Tm&amp;gclid=EAIaIQobChMIosPu2YnNkQM"/>
        <s v="https://grow.method.me/qb-payment/?trc=81&amp;trk=credit card processing that works with quickbooks&amp;trs=US-payment&amp;campaignid=19733246298&amp;adgroupid=146278163933&amp;adid=649435146420&amp;gad_source=1&amp;gad_campaignid=19733246298&amp;gbraid=0AAAAAD3ItnZEITFkTeOuWMFsiQt_yQmn"/>
        <s v="http://signup.method.me/methodcrm/?_gl=1*mfrs3d*_gcl_au*MTE5Mzk1ODcwNS4xNzY2MjYzMTc5*_ga*OTA3NzM5NjE1LjE3NjYyNjMxNzk.*_ga_L2HEZNW53E*czE3NjYyNjMxNzkkbzEkZzAkdDE3NjYyNjMxODAkajU5JGwwJGg0NTkwNzI4Mjc.&amp;_ga=2.257689227.1043663843.1766263179-907739615.176626317"/>
        <s v="https://grow.method.me/quickbooks-customization/?trc=81&amp;trk=quickbooks invoice customization&amp;trs=US-Customization&amp;campaignid=19733246298&amp;adgroupid=188113609150&amp;adid=770644740142&amp;gad_source=1&amp;gad_campaignid=19733246298&amp;gbraid=0AAAAAD3ItnZEITFkTeOuWMFsiQt_y"/>
        <s v="https://grow.method.me/feature-estimate/?trc=81&amp;trk=creating invoices in quickbooks online&amp;trs=US-QBEstimates&amp;campaignid=19733246298&amp;adgroupid=160184660571&amp;adid=676701373566&amp;gad_source=1&amp;gad_campaignid=19733246298&amp;gbraid=0AAAAAD3ItnbTkgt13QGwYO1sJYcCaJawB"/>
        <s v="https://grow.method.me/crm-quickbooks/?trc=81&amp;trk=crm with quickbooks&amp;trs=USA-QB-G&amp;campaignid=1543381580&amp;adgroupid=61437797000&amp;adid=704678754673&amp;gad_source=1&amp;gad_campaignid=1543381580&amp;gbraid=0AAAAAD3ItnbtPY2BSip46NdhGioYTfn1n&amp;gclid=Cj0KCQiAr5nKBhCpARIsACa"/>
        <s v="https://grow.method.me/qb-payment/?trc=81&amp;trk=quickbooks credit card processing&amp;trs=US-payment&amp;campaignid=19733246298&amp;adgroupid=146278163933&amp;adid=649435146420&amp;gad_source=1&amp;gad_campaignid=19733246298&amp;gbraid=0AAAAAD3Itnb3XSwC0u3WzNZkqiz6UscaR&amp;gclid=Cj0KCQiA"/>
        <s v="https://grow.method.me/multi-entity/?trc=86&amp;trk=quickbooks for multiple businesses&amp;trs=US-Multi-entity-Bing&amp;msclkid=d5583141928b17356c025808d0586a6a&amp;utm_source=bing&amp;utm_medium=cpc&amp;utm_campaign=US - Multi-entity&amp;utm_term=quickbooks for multiple businesses&amp;"/>
        <s v="https://grow.method.me/quickbooks-fsm/?trc=454&amp;trk=general-industry&amp;trs=AC&amp;utm_source=AC&amp;utm_medium=email&amp;utm_campaign=454&amp;vgo_ee=AyienjcQNCUxX7tshLtzPHC02ZacfQwCIRm60wyKF1r4Pgm9aIaixQ%3D%3D%3AY2wqU%2BHDp1NWwPMctQD2nQiEkdKWTLlw"/>
        <s v="https://grow.method.me/crm-quickbooks/?trc=81&amp;trk=crm with quickbooks&amp;trs=USA-QB-G&amp;campaignid=1543381580&amp;adgroupid=61437797000&amp;adid=704678754673&amp;gad_source=1&amp;gad_campaignid=1543381580&amp;gbraid=0AAAAAD3ItnYhx4QVuoDT-qnL0Z6dTzV7j&amp;gclid=CjwKCAiA9aPKBhBhEiwAyz8"/>
        <s v="https://signin.method.me/accounts/identitynotfound?Code=%2FtyWXJRVSgU%2FdzgUKR3wBRQbEjuLQke4Am%2FV4rGD%2FNUnaDfX1tmPg9uGHqZsKLzg%2FYbzPT0OgeQ869UAp0VST7qDor8JzwWmwoh7qjy%2Bmreu4GCCxfuQ35zJmr7yU8IxG0oYNdZUlZq%2BZAe8RgZBAcChcZOlsqAO0EPgfW%2FDq2mP6TqzqwTkMf%"/>
        <s v="https://grow.method.me/crm-quickbooks/?trc=81&amp;trk=crm with quickbooks&amp;trs=USA-QB-G&amp;campaignid=1543381580&amp;adgroupid=61437797000&amp;adid=704678754673&amp;gad_source=1&amp;gad_campaignid=1543381580&amp;gbraid=0AAAAAD3ItnYhx4QVuoDT-qnL0Z6dTzV7j&amp;gclid=EAIaIQobChMI9NLnzdnRkQM"/>
        <s v="https://grow.method.me/crm-quickbooks/?trc=81&amp;trk=integrate with quickbooks&amp;trs=USA-QB-G_Ex&amp;campaignid=22265826203&amp;adgroupid=176758613473&amp;adid=734012603510&amp;gad_source=1&amp;gad_campaignid=22265826203&amp;gbraid=0AAAAAD3ItnZ3m3MycvnglnjN_XvLoigmA&amp;gclid=Cj0KCQjw_L_"/>
        <s v="https://grow.method.me/method-proposals/?trc=81&amp;trk=does quickbooks have electronic signature&amp;trs=US-New-Proposal&amp;campaignid=19733246298&amp;adgroupid=156304156777&amp;adid=689695736138&amp;gad_source=1&amp;gad_campaignid=19733246298&amp;gbraid=0AAAAAD3Itnb3XSwC0u3WzNZkqiz6U"/>
        <s v="https://grow.method.me/request-demo/?adgroupid=61438895200&amp;adid=423725469350&amp;campaignid=1543604353&amp;gad_campaignid=1543604353&amp;gad_source=1&amp;gclid=CjwKCAiA9aPKBhBhEiwAyz82J-nhaNjh2JyFMZHP_7S4DqWptrNKiNvvmv9pAtbPBacjsp4pzwi0dhoCIbQQAvD_BwE&amp;trc=81&amp;trk=crm quic"/>
        <s v="https://grow.method.me/feature-estimate/?trc=81&amp;trk=how do estimates work in quickbooks&amp;trs=US-QBEstimates&amp;campaignid=19733246298&amp;adgroupid=160184660571&amp;adid=676701373566&amp;gad_source=1&amp;gad_campaignid=19733246298&amp;gbraid=0AAAAAD3ItnYV7w2DczF_LOXQAfAbUUdSZ&amp;gc"/>
        <s v="https://grow.method.me/crm-quickbooks/?trc=86&amp;trk=crm that integrates with quickbooks&amp;trs=US-Bing-QB&amp;msclkid=e46d84c3731b16cb6457ed895781495a&amp;utm_source=bing&amp;utm_medium=cpc&amp;utm_campaign=US - Bing QB Broad&amp;utm_term=crm that integrates with quickbooks&amp;utm_c"/>
        <s v="https://grow.method.me/qb-payment/?trc=81&amp;trk=quickbooks online payment&amp;trs=US-payment&amp;campaignid=19733246298&amp;adgroupid=146278163933&amp;adid=649435146420&amp;gad_source=1&amp;gad_campaignid=19733246298&amp;gbraid=0AAAAAD3ItnYV7w2DczF_LOXQAfAbUUdSZ&amp;gclid=CjwKCAiA9aPKBhBh"/>
        <s v="https://www.method.me/pricing-guides/house-cleaning-estimate-form/"/>
        <s v="https://grow.method.me/qb-payment/?trc=81&amp;trk=quickbooks payment processor&amp;trs=US-payment&amp;campaignid=19733246298&amp;adgroupid=146278163933&amp;adid=649435146420&amp;gad_source=1&amp;gad_campaignid=19733246298&amp;gbraid=0AAAAAD3Itna30BAf5Wk2oRNYxmyK0Ae-v&amp;gclid=EAIaIQobChMI5"/>
        <s v="https://www.method.me/legal/terms-of-service/"/>
        <s v="https://www.method.me/blog/does-google-have-a-free-crm/"/>
        <s v="https://grow.method.me/2025-customization-awards-register/?trc=699&amp;&amp;trs=customization-awards&amp;utm_source=ActiveCampaign&amp;utm_medium=email&amp;utm_content=🏆 Today at 1pm ET%3A Method Customization Awards&amp;utm_campaign=Customization Awards - Email %234 %28Copy%29"/>
        <s v="https://grow.method.me/quickbooks-method-cad/?trc=81&amp;trk=crm quickbooks online&amp;trs=CA-QB-O&amp;campaignid=1543604353&amp;adgroupid=61438895200&amp;adid=423725469350&amp;gad_source=1&amp;gad_campaignid=1543604353&amp;gbraid=0AAAAAD3ItnatXinqTlBk9I63OqJ62RYyu&amp;gclid=CjwKCAiAmKnKBhB"/>
        <s v="https://www.method.me/pricing-guides/hvac-estimating-spreadsheet/"/>
        <s v="https://grow.method.me/quickbooks-fsm/?trc=81&amp;trk=field service quickbooks crm&amp;trs=US-FS&amp;campaignid=12406628869&amp;adgroupid=118144098677&amp;adid=500417359889&amp;gad_source=1&amp;gad_campaignid=12406628869&amp;gbraid=0AAAAAD3Itna0gEglXYLjG8xnCJbQ09ycV&amp;gclid=CjwKCAiAu67KBh"/>
        <s v="https://www.method.me/quickbooks-crm/?trc=81&amp;trk=&amp;trs=USA-DSA-QB&amp;campaignid=13038312612&amp;adgroupid=128764620688&amp;adid=776480461340&amp;gad_source=1&amp;gad_campaignid=13038312612&amp;gbraid=0AAAAAD3ItnZ0mgjvUmbEYhOlHYAXqpZym&amp;gclid=Cj0KCQjw3OjGBhDYARIsADd-uX5Rwf5JTar1Il"/>
        <s v="https://signin.method.me/?returnUrl=https%3A%2F%2Fdesertarc2.method.me%2Fapps%2FDefault.aspx%3Fdobnsjjmhvp7q7a4orwiyi7hci%3DyB0j2W29IbgOcIXyVQjvjYW6AwFy0l4Aq353xmQyFdwW0d9dPgsiUPQ1qQlbhRyXk3ClfzOa%23%2F28573cd2-a490-4bd0-af53-2cf83e4b3e9c"/>
        <s v="https://grow.method.me/crm-quickbooks/?trc=86&amp;trk=quickbooks desktop integration&amp;trs=USA-G-QB-Bing&amp;msclkid=a0abc68a4fb41ec93f77afc66b9db960&amp;utm_source=bing&amp;utm_medium=cpc&amp;utm_campaign=US - Generic 2020&amp;utm_term=quickbooks desktop integration&amp;utm_content=G"/>
        <s v="https://grow.method.me/feature-estimate/?trc=81&amp;trk=creating invoices in quickbooks online&amp;trs=US-QBEstimates&amp;campaignid=19733246298&amp;adgroupid=160184660571&amp;adid=676701373566&amp;gad_source=1&amp;gad_campaignid=19733246298&amp;gbraid=0AAAAAD3ItnblVQxF2jnlcj80pd1Sgm5Gp"/>
        <s v="https://grow.method.me/quickbooks-method-cad/?trc=81&amp;trk=crm quickbooks online&amp;trs=CA-QB-O&amp;campaignid=1543604353&amp;adgroupid=61438895200&amp;adid=423725469350&amp;gad_source=1&amp;gad_campaignid=1543604353&amp;gbraid=0AAAAAD3ItnatXinqTlBk9I63OqJ62RYyu&amp;gclid=CjwKCAiAu67KBhA"/>
        <s v="https://grow.method.me/request-demo/?adgroupid=61437797000&amp;adid=704678754673&amp;campaignid=1543381580&amp;gad_campaignid=1543381580&amp;gad_source=1&amp;gbraid=0AAAAAD3ItnbGgdUZ_AHS9vWvhwczWLypq&amp;gclid=CjwKCAiAu67KBhAkEiwAY0jAlcA4yRaPI0bhSEJ9qnb9xntAnm1nUbNpaTmdA_OlJKh1S"/>
        <s v="https://grow.method.me/multi-entity/?trc=81&amp;trk=multi entity management&amp;trs=US-Multi-entity&amp;campaignid=22836319657&amp;adgroupid=183992915458&amp;adid=765768443211&amp;gad_source=1&amp;gad_campaignid=22836319657&amp;gbraid=0AAAAAD3ItnYuEHDT1Wr_bG-rETiBz6mKQ&amp;gclid=CjwKCAiA3rP"/>
        <s v="https://grow.method.me/march-2025-winback/?trc=669&amp;trk=March-Winback&amp;trs=1st&amp;utm_source=ActiveCampaign&amp;utm_medium=email&amp;utm_content=Get 50  off when you try Method again 👀&amp;utm_campaign=%5B6319%5D%3A 1 0 March Winback Promo&amp;vgo_ee=OyiqwLOxc8ByUEj%2BA8%2Bq"/>
        <s v="https://www.method.me/pricing-guides/estimate-residential-electrical-work/"/>
        <s v="http://signup.method.me/methodcrm/?_gl=1*1ukatl5*_gcl_au*MTk4OTQ1MzcxMy4xNzY2NzUyNjEz"/>
        <s v="https://signin.method.me/accounts/noaccountsfound?Offering=methodcrm"/>
        <s v="https://grow.method.me/crm-quickbooks/?trc=81&amp;trk=crm with quickbooks&amp;trs=USA-QB-G&amp;campaignid=1543381580&amp;adgroupid=61437797000&amp;adid=704678754673&amp;gad_source=1&amp;gad_campaignid=1543381580&amp;gbraid=0AAAAAD3ItnavfXH0F02Rh8bFn6rkQC_05&amp;gclid=Cj0KCQiAx8PKBhD1ARIsAKs"/>
        <s v="https://www.method.me/blog/quickbooks-sync-comparisons/?utm_source=chatgpt.com"/>
        <s v="https://grow.method.me/crm-quickbooks/?trc=81&amp;trk=crm integrates with quickbooks&amp;trs=US-QBInt-Ex&amp;campaignid=22265826203&amp;adgroupid=186545727779&amp;adid=777091446185&amp;gad_source=1&amp;gad_campaignid=22265826203&amp;gbraid=0AAAAAD3Itnb_GcGrF8T8CxaqtpyTrWjVg&amp;gclid=Cj0KCQ"/>
        <s v="https://www.method.me/crm-quickbooks/job-scheduling-software/?trc=86&amp;trk=%2Fcrm-quickbooks%2F&amp;trs=RLSA-Bing-Dyn&amp;msclkid=c7b6b9a137cc114e52a8d0f0816a7627&amp;utm_source=bing&amp;utm_medium=cpc&amp;utm_campaign=RLSA - Bing&amp;utm_term=%2Fcrm-quickbooks%2F&amp;utm_content=RLSA"/>
        <s v="https://grow.method.me/best-quickbooks-crm/?trc=517&amp;trk=1CRM&amp;trs=FB-Lookalike&amp;utm_source=Facebook&amp;utm_medium=PPC&amp;utm_campaign=Banner_trial&amp;fbclid=IwdGRleAO8pctleHRuA2FlbQEwAGFkaWQBqyo7QjfMs3NydGMGYXBwX2lkCjY2Mjg1NjgzNzkAAR6yCsrmCEJStUy9sAWrDn_NClr0G8cd4Qi"/>
        <s v="https://grow.method.me/request-demo/?trc=86&amp;trk=grow.method.me&amp;trs=US-Bing-sitelink&amp;msclkid=22b9bf8ae43c1629b157d6d83c25ed82&amp;utm_source=bing&amp;utm_medium=cpc&amp;utm_campaign=Bing - PMAX&amp;utm_term=grow.method.me&amp;utm_content=US - retargeting"/>
        <s v="http://signup.method.me/methodcrm?_gl=1*1szqxxv*_gcl_au*NTIyOTI3ODA5LjE3NjcwOTQ2NDU.*_ga*MjExMTk2MTE0NS4xNzY3MDk0NjQ2*_ga_L2HEZNW53E*czE3NjcwOTQ2NDUkbzEkZzAkdDE3NjcwOTQ2NDYkajU5JGwwJGgxODk2MTA5Njk3"/>
        <s v="https://signin.method.me/?returnUrl=http%3a%2f%2fgrowconstruction.method.me%2fapps%2fDefault.aspx"/>
        <s v="https://signin.method.me/?returnUrl=https%3A%2F%2Fglobalimagingproducts.method.me%2Fapps%2FDefault.aspx%23%2F48f7cfa9-bdd4-4759-9f2d-6bb2872dc873%2FZVNIU1pwMHMyckhnM18wZlZDcmZoUS0t"/>
        <s v="https://grow.method.me/crm-quickbooks/?trc=81&amp;trk=crm with quickbooks&amp;trs=USA-QB-G&amp;campaignid=1543381580&amp;adgroupid=61437797000&amp;adid=704678754673&amp;gad_source=1&amp;gad_campaignid=1543381580&amp;gbraid=0AAAAAD3ItnZ1dMGfVawUtEvSh-BOwPx86&amp;gclid=CjwKCAiAjc7KBhBvEiwAE2B"/>
        <s v="http://signup.method.me/methodcrm?_gl=1*1lqzz76*_gcl_au*MzY2NDM1MzEyLjE3NjcxMjQzMjY.*_ga*MTc4NDI1NDE4My4xNzY3MTI0MzI2*_ga_L2HEZNW53E*czE3NjcxMjQzMjYkbzEkZzAkdDE3NjcxMjQzMjYkajYwJGwwJGgyNzU5MDc3NjM.&amp;_ga=2.266231375.1314862768.1767124326-1784254183.17671243"/>
        <s v="http://signup.method.me/methodcrm/?_gl=1*1rlh2k6*_gcl_au*MjA2ODA4OTkyMi4xNzUyOTc3MDUwLjIwNjQwMTg1NzUuMTc2MDAzNTgyMC4xNzYwMDM1ODU4*_ga*MTQ4NDAxOTI3My4xNzM3Mzc2NjMw*_ga_L2HEZNW53E*czE3NjAxMDg1MDUkbzIzMCRnMSR0MTc2MDExMTcyMCRqNTkkbDAkaDI1NjIxNDc3MA..&amp;_ga=2.10"/>
        <s v="http://signup.method.me/methodcrm/?_gl=1*tadn03*_gcl_au*MzI3MjI2NTA0LjE3NjQ1ODE4MzY.*_ga*MTY3MzA1MDk0Ny4xNzY0NTgxODM2*_ga_L2HEZNW53E*czE3NjQ1ODE4MzYkbzEkZzAkdDE3NjQ1ODE4MzYkajYwJGwwJGgxMzI4NDE3NTYx&amp;_ga=2.257828680.2126641555.1764581836-1673050947.17645818"/>
        <s v="https://signup.method.me/QBOAppstoreSignup?offering=proposals"/>
        <s v="http://signup.method.me/methodcrm/?_gl=1*654evd*_gcl_au*MTE1ODY5MzA2My4xNzY3MTIxMTUx*_ga*MjEzNTQwMjA1Ni4xNzY3MTIxMTUx*_ga_L2HEZNW53E*czE3NjcxMjExNTAkbzEkZzAkdDE3NjcxMjExNTAkajYwJGwwJGgxNzg3NDI0MzMz&amp;_ga=2.111371076.134714501.1767121151-2135402056.176712115"/>
        <s v="https://signin.method.me/?returnUrl=https%3A%2F%2Fcladform.method.me%2Fapps%2FDefault.aspx%3Fvgo_ee%3Dwc2VVinufGwf2X3V7a3Fast2IWuir6E98%252F3xrVqC5tyRoh6hritq%253AouEQa3izuLK6kcdyfG38FmL628NdR2o%252B%23%2Fsetup%2Fchooseversion%3Futm_source%3DActiveCampaig"/>
      </sharedItems>
    </cacheField>
    <cacheField name="Category" numFmtId="0">
      <sharedItems>
        <s v="Homepage"/>
        <s v="CRM"/>
        <s v="Listicle - General"/>
        <e v="#N/A"/>
        <s v="/crm-quickbooks/"/>
        <s v="Industries page"/>
        <s v="Other page"/>
        <s v="Features page"/>
        <s v="General how-to"/>
        <s v="Method - Comparison"/>
        <s v="Listicle - Software / Software overview"/>
        <s v="QuickBooks - How-to"/>
        <s v="Field services / Contractors"/>
        <s v="Xero"/>
        <s v="QuickBooks - General"/>
        <s v="Pricing guide"/>
        <s v="MWD"/>
        <s v="Sales / Marketing / Lead gen"/>
        <s v="Listicle - CRM"/>
      </sharedItems>
    </cacheField>
    <cacheField name="Media Type" numFmtId="0">
      <sharedItems>
        <s v="Other page"/>
        <s v="Blog"/>
        <e v="#N/A"/>
        <s v="Guide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Day" cacheId="0" dataCaption="" compact="0" compactData="0">
  <location ref="A3:U632" firstHeaderRow="0" firstDataRow="3" firstDataCol="0" rowPageCount="1" colPageCount="1"/>
  <pivotFields>
    <pivotField name="Record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t="default"/>
      </items>
    </pivotField>
    <pivotField name="AccountName" axis="axisRow" compact="0" outline="0" multipleItemSelectionAllowed="1" showAll="0" sortType="ascending">
      <items>
        <item x="168"/>
        <item x="179"/>
        <item x="108"/>
        <item x="169"/>
        <item x="178"/>
        <item x="180"/>
        <item x="170"/>
        <item x="574"/>
        <item x="330"/>
        <item x="367"/>
        <item x="238"/>
        <item x="555"/>
        <item x="271"/>
        <item x="623"/>
        <item x="590"/>
        <item x="84"/>
        <item x="447"/>
        <item x="461"/>
        <item x="13"/>
        <item x="57"/>
        <item x="316"/>
        <item x="527"/>
        <item x="644"/>
        <item x="147"/>
        <item x="485"/>
        <item x="554"/>
        <item x="273"/>
        <item x="656"/>
        <item x="300"/>
        <item x="489"/>
        <item x="98"/>
        <item x="537"/>
        <item x="1"/>
        <item x="627"/>
        <item x="410"/>
        <item x="571"/>
        <item x="321"/>
        <item x="544"/>
        <item x="351"/>
        <item x="464"/>
        <item x="274"/>
        <item x="522"/>
        <item x="446"/>
        <item x="240"/>
        <item x="540"/>
        <item x="591"/>
        <item x="292"/>
        <item x="472"/>
        <item x="267"/>
        <item x="593"/>
        <item x="509"/>
        <item x="294"/>
        <item x="40"/>
        <item x="289"/>
        <item x="358"/>
        <item x="101"/>
        <item x="222"/>
        <item x="585"/>
        <item x="497"/>
        <item x="105"/>
        <item x="642"/>
        <item x="92"/>
        <item x="67"/>
        <item x="427"/>
        <item x="479"/>
        <item x="619"/>
        <item x="144"/>
        <item x="82"/>
        <item x="542"/>
        <item x="634"/>
        <item x="218"/>
        <item x="193"/>
        <item x="81"/>
        <item x="647"/>
        <item x="506"/>
        <item x="476"/>
        <item x="504"/>
        <item x="601"/>
        <item x="595"/>
        <item x="602"/>
        <item x="566"/>
        <item x="75"/>
        <item x="45"/>
        <item x="117"/>
        <item x="195"/>
        <item x="448"/>
        <item x="439"/>
        <item x="216"/>
        <item x="269"/>
        <item x="323"/>
        <item x="43"/>
        <item x="403"/>
        <item x="291"/>
        <item x="513"/>
        <item x="443"/>
        <item x="293"/>
        <item x="26"/>
        <item x="341"/>
        <item x="116"/>
        <item x="646"/>
        <item x="377"/>
        <item x="379"/>
        <item x="438"/>
        <item x="161"/>
        <item x="605"/>
        <item x="597"/>
        <item x="467"/>
        <item x="586"/>
        <item x="370"/>
        <item x="650"/>
        <item x="622"/>
        <item x="206"/>
        <item x="124"/>
        <item x="185"/>
        <item x="648"/>
        <item x="664"/>
        <item x="331"/>
        <item x="493"/>
        <item x="244"/>
        <item x="657"/>
        <item x="662"/>
        <item x="433"/>
        <item x="164"/>
        <item x="59"/>
        <item x="29"/>
        <item x="466"/>
        <item x="562"/>
        <item x="201"/>
        <item x="490"/>
        <item x="614"/>
        <item x="620"/>
        <item x="61"/>
        <item x="484"/>
        <item x="83"/>
        <item x="156"/>
        <item x="557"/>
        <item x="200"/>
        <item x="76"/>
        <item x="90"/>
        <item x="22"/>
        <item x="42"/>
        <item x="219"/>
        <item x="249"/>
        <item x="478"/>
        <item x="252"/>
        <item x="21"/>
        <item x="635"/>
        <item x="655"/>
        <item x="356"/>
        <item x="305"/>
        <item x="404"/>
        <item x="553"/>
        <item x="498"/>
        <item x="4"/>
        <item x="451"/>
        <item x="452"/>
        <item x="545"/>
        <item x="17"/>
        <item x="636"/>
        <item x="191"/>
        <item x="584"/>
        <item x="66"/>
        <item x="436"/>
        <item x="437"/>
        <item x="221"/>
        <item x="310"/>
        <item x="290"/>
        <item x="378"/>
        <item x="524"/>
        <item x="581"/>
        <item x="569"/>
        <item x="145"/>
        <item x="575"/>
        <item x="538"/>
        <item x="254"/>
        <item x="643"/>
        <item x="74"/>
        <item x="516"/>
        <item x="417"/>
        <item x="592"/>
        <item x="77"/>
        <item x="632"/>
        <item x="361"/>
        <item x="454"/>
        <item x="301"/>
        <item x="47"/>
        <item x="217"/>
        <item x="208"/>
        <item x="639"/>
        <item x="432"/>
        <item x="387"/>
        <item x="661"/>
        <item x="73"/>
        <item x="107"/>
        <item x="499"/>
        <item x="502"/>
        <item x="480"/>
        <item x="407"/>
        <item x="373"/>
        <item x="429"/>
        <item x="154"/>
        <item x="418"/>
        <item x="521"/>
        <item x="431"/>
        <item x="442"/>
        <item x="583"/>
        <item x="165"/>
        <item x="389"/>
        <item x="603"/>
        <item x="241"/>
        <item x="135"/>
        <item x="134"/>
        <item x="262"/>
        <item x="153"/>
        <item x="350"/>
        <item x="384"/>
        <item x="129"/>
        <item x="31"/>
        <item x="482"/>
        <item x="457"/>
        <item x="334"/>
        <item x="613"/>
        <item x="528"/>
        <item x="213"/>
        <item x="163"/>
        <item x="277"/>
        <item x="533"/>
        <item x="192"/>
        <item x="587"/>
        <item x="307"/>
        <item x="36"/>
        <item x="41"/>
        <item x="199"/>
        <item x="253"/>
        <item x="49"/>
        <item x="148"/>
        <item x="233"/>
        <item x="207"/>
        <item x="335"/>
        <item x="196"/>
        <item x="211"/>
        <item x="366"/>
        <item x="142"/>
        <item x="494"/>
        <item x="242"/>
        <item x="16"/>
        <item x="304"/>
        <item x="640"/>
        <item x="44"/>
        <item x="617"/>
        <item x="390"/>
        <item x="399"/>
        <item x="471"/>
        <item x="523"/>
        <item x="460"/>
        <item x="625"/>
        <item x="526"/>
        <item x="483"/>
        <item x="3"/>
        <item x="226"/>
        <item x="298"/>
        <item x="251"/>
        <item x="10"/>
        <item x="198"/>
        <item x="146"/>
        <item x="203"/>
        <item x="609"/>
        <item x="420"/>
        <item x="94"/>
        <item x="79"/>
        <item x="119"/>
        <item x="54"/>
        <item x="631"/>
        <item x="268"/>
        <item x="525"/>
        <item x="70"/>
        <item x="421"/>
        <item x="303"/>
        <item x="34"/>
        <item x="398"/>
        <item x="434"/>
        <item x="114"/>
        <item x="425"/>
        <item x="89"/>
        <item x="95"/>
        <item x="297"/>
        <item x="363"/>
        <item x="364"/>
        <item x="127"/>
        <item x="138"/>
        <item x="459"/>
        <item x="393"/>
        <item x="159"/>
        <item x="190"/>
        <item x="152"/>
        <item x="638"/>
        <item x="194"/>
        <item x="91"/>
        <item x="11"/>
        <item x="345"/>
        <item x="8"/>
        <item x="120"/>
        <item x="658"/>
        <item x="19"/>
        <item x="608"/>
        <item x="102"/>
        <item x="155"/>
        <item x="604"/>
        <item x="58"/>
        <item x="322"/>
        <item x="462"/>
        <item x="409"/>
        <item x="580"/>
        <item x="458"/>
        <item x="246"/>
        <item x="505"/>
        <item x="618"/>
        <item x="23"/>
        <item x="313"/>
        <item x="535"/>
        <item x="18"/>
        <item x="51"/>
        <item x="568"/>
        <item x="236"/>
        <item x="287"/>
        <item x="319"/>
        <item x="663"/>
        <item x="406"/>
        <item x="162"/>
        <item x="541"/>
        <item x="517"/>
        <item x="546"/>
        <item x="660"/>
        <item x="416"/>
        <item x="176"/>
        <item x="394"/>
        <item x="282"/>
        <item x="317"/>
        <item x="536"/>
        <item x="263"/>
        <item x="130"/>
        <item x="415"/>
        <item x="320"/>
        <item x="514"/>
        <item x="628"/>
        <item x="594"/>
        <item x="28"/>
        <item x="50"/>
        <item x="5"/>
        <item x="7"/>
        <item x="96"/>
        <item x="97"/>
        <item x="188"/>
        <item x="125"/>
        <item x="239"/>
        <item x="189"/>
        <item x="258"/>
        <item x="531"/>
        <item x="88"/>
        <item x="250"/>
        <item x="468"/>
        <item x="408"/>
        <item x="413"/>
        <item x="15"/>
        <item x="279"/>
        <item x="430"/>
        <item x="500"/>
        <item x="284"/>
        <item x="283"/>
        <item x="281"/>
        <item x="507"/>
        <item x="68"/>
        <item x="651"/>
        <item x="582"/>
        <item x="46"/>
        <item x="481"/>
        <item x="167"/>
        <item x="177"/>
        <item x="649"/>
        <item x="332"/>
        <item x="224"/>
        <item x="579"/>
        <item x="386"/>
        <item x="248"/>
        <item x="654"/>
        <item x="572"/>
        <item x="278"/>
        <item x="637"/>
        <item x="573"/>
        <item x="475"/>
        <item x="0"/>
        <item x="515"/>
        <item x="621"/>
        <item x="63"/>
        <item x="344"/>
        <item x="264"/>
        <item x="137"/>
        <item x="306"/>
        <item x="223"/>
        <item x="209"/>
        <item x="181"/>
        <item x="175"/>
        <item x="184"/>
        <item x="375"/>
        <item x="559"/>
        <item x="266"/>
        <item x="326"/>
        <item x="391"/>
        <item x="624"/>
        <item x="530"/>
        <item x="186"/>
        <item x="401"/>
        <item x="564"/>
        <item x="314"/>
        <item x="315"/>
        <item x="20"/>
        <item x="570"/>
        <item x="508"/>
        <item x="52"/>
        <item x="414"/>
        <item x="633"/>
        <item x="183"/>
        <item x="362"/>
        <item x="549"/>
        <item x="491"/>
        <item x="588"/>
        <item x="600"/>
        <item x="80"/>
        <item x="149"/>
        <item x="392"/>
        <item x="641"/>
        <item x="150"/>
        <item x="308"/>
        <item x="342"/>
        <item x="237"/>
        <item x="372"/>
        <item x="354"/>
        <item x="473"/>
        <item x="182"/>
        <item x="214"/>
        <item x="426"/>
        <item x="666"/>
        <item x="261"/>
        <item x="324"/>
        <item x="157"/>
        <item x="38"/>
        <item x="32"/>
        <item x="487"/>
        <item x="174"/>
        <item x="245"/>
        <item x="385"/>
        <item x="380"/>
        <item x="565"/>
        <item x="578"/>
        <item x="173"/>
        <item x="444"/>
        <item x="171"/>
        <item x="382"/>
        <item x="629"/>
        <item x="115"/>
        <item x="548"/>
        <item x="113"/>
        <item x="453"/>
        <item x="234"/>
        <item x="99"/>
        <item x="118"/>
        <item x="474"/>
        <item x="449"/>
        <item x="256"/>
        <item x="469"/>
        <item x="612"/>
        <item x="518"/>
        <item x="215"/>
        <item x="247"/>
        <item x="492"/>
        <item x="667"/>
        <item x="6"/>
        <item x="512"/>
        <item x="328"/>
        <item x="72"/>
        <item x="383"/>
        <item x="412"/>
        <item x="259"/>
        <item x="265"/>
        <item x="71"/>
        <item x="212"/>
        <item x="93"/>
        <item x="607"/>
        <item x="561"/>
        <item x="318"/>
        <item x="312"/>
        <item x="131"/>
        <item x="132"/>
        <item x="141"/>
        <item x="495"/>
        <item x="596"/>
        <item x="357"/>
        <item x="424"/>
        <item x="606"/>
        <item x="630"/>
        <item x="465"/>
        <item x="33"/>
        <item x="615"/>
        <item x="645"/>
        <item x="374"/>
        <item x="428"/>
        <item x="56"/>
        <item x="589"/>
        <item x="110"/>
        <item x="39"/>
        <item x="166"/>
        <item x="539"/>
        <item x="511"/>
        <item x="286"/>
        <item x="501"/>
        <item x="100"/>
        <item x="210"/>
        <item x="24"/>
        <item x="288"/>
        <item x="411"/>
        <item x="599"/>
        <item x="311"/>
        <item x="653"/>
        <item x="577"/>
        <item x="371"/>
        <item x="368"/>
        <item x="376"/>
        <item x="381"/>
        <item x="503"/>
        <item x="275"/>
        <item x="104"/>
        <item x="133"/>
        <item x="87"/>
        <item x="111"/>
        <item x="470"/>
        <item x="9"/>
        <item x="560"/>
        <item x="360"/>
        <item x="365"/>
        <item x="397"/>
        <item x="139"/>
        <item x="140"/>
        <item x="529"/>
        <item x="220"/>
        <item x="338"/>
        <item x="2"/>
        <item x="128"/>
        <item x="121"/>
        <item x="123"/>
        <item x="348"/>
        <item x="255"/>
        <item x="295"/>
        <item x="187"/>
        <item x="285"/>
        <item x="556"/>
        <item x="551"/>
        <item x="151"/>
        <item x="109"/>
        <item x="272"/>
        <item x="197"/>
        <item x="62"/>
        <item x="355"/>
        <item x="172"/>
        <item x="359"/>
        <item x="598"/>
        <item x="126"/>
        <item x="423"/>
        <item x="296"/>
        <item x="510"/>
        <item x="369"/>
        <item x="25"/>
        <item x="260"/>
        <item x="85"/>
        <item x="419"/>
        <item x="488"/>
        <item x="230"/>
        <item x="235"/>
        <item x="519"/>
        <item x="520"/>
        <item x="78"/>
        <item x="652"/>
        <item x="276"/>
        <item x="205"/>
        <item x="347"/>
        <item x="395"/>
        <item x="35"/>
        <item x="626"/>
        <item x="450"/>
        <item x="610"/>
        <item x="336"/>
        <item x="55"/>
        <item x="204"/>
        <item x="143"/>
        <item x="659"/>
        <item x="202"/>
        <item x="567"/>
        <item x="534"/>
        <item x="463"/>
        <item x="532"/>
        <item x="136"/>
        <item x="231"/>
        <item x="122"/>
        <item x="340"/>
        <item x="339"/>
        <item x="611"/>
        <item x="616"/>
        <item x="309"/>
        <item x="550"/>
        <item x="302"/>
        <item x="445"/>
        <item x="343"/>
        <item x="229"/>
        <item x="299"/>
        <item x="558"/>
        <item x="435"/>
        <item x="422"/>
        <item x="30"/>
        <item x="456"/>
        <item x="346"/>
        <item x="388"/>
        <item x="563"/>
        <item x="400"/>
        <item x="69"/>
        <item x="106"/>
        <item x="243"/>
        <item x="496"/>
        <item x="37"/>
        <item x="352"/>
        <item x="60"/>
        <item x="257"/>
        <item x="455"/>
        <item x="486"/>
        <item x="337"/>
        <item x="48"/>
        <item x="65"/>
        <item x="327"/>
        <item x="12"/>
        <item x="576"/>
        <item x="441"/>
        <item x="27"/>
        <item x="53"/>
        <item x="280"/>
        <item x="160"/>
        <item x="349"/>
        <item x="405"/>
        <item x="333"/>
        <item x="14"/>
        <item x="396"/>
        <item x="552"/>
        <item x="228"/>
        <item x="543"/>
        <item x="270"/>
        <item x="477"/>
        <item x="227"/>
        <item x="665"/>
        <item x="103"/>
        <item x="353"/>
        <item x="112"/>
        <item x="232"/>
        <item x="325"/>
        <item x="86"/>
        <item x="402"/>
        <item x="547"/>
        <item x="158"/>
        <item x="64"/>
        <item x="329"/>
        <item x="225"/>
        <item x="668"/>
        <item x="440"/>
        <item t="default"/>
      </items>
    </pivotField>
    <pivotField name="SignUp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t="default"/>
      </items>
    </pivotField>
    <pivotField name="Cancellation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ConvertPay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IsActive" compact="0" outline="0" multipleItemSelectionAllowed="1" showAll="0">
      <items>
        <item x="0"/>
        <item x="1"/>
        <item t="default"/>
      </items>
    </pivotField>
    <pivotField name="IsConversionException" axis="axisPage" compact="0" outline="0" multipleItemSelectionAllowed="1" showAll="0">
      <items>
        <item x="0"/>
        <item h="1" x="1"/>
        <item t="default"/>
      </items>
    </pivotField>
    <pivotField name="IsCountedAsChurn" compact="0" outline="0" multipleItemSelectionAllowed="1" showAll="0">
      <items>
        <item x="0"/>
        <item t="default"/>
      </items>
    </pivotField>
    <pivotField name="IsTrialConverted" compact="0" outline="0" multipleItemSelectionAllowed="1" showAll="0">
      <items>
        <item x="0"/>
        <item t="default"/>
      </items>
    </pivotField>
    <pivotField name="PayType" compact="0" outline="0" multipleItemSelectionAllowed="1" showAll="0">
      <items>
        <item x="0"/>
        <item x="1"/>
        <item t="default"/>
      </items>
    </pivotField>
    <pivotField name="App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AccountingPlatform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latformToggle" compact="0" outline="0" multipleItemSelectionAllowed="1" showAll="0">
      <items>
        <item x="0"/>
        <item x="1"/>
        <item t="default"/>
      </items>
    </pivotField>
    <pivotField name="CustDatSaaSAmountTo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CustDatLastSaaS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CustDatPSAmountToDa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DatPSLastMonth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xpectedLifetime" compact="0" outline="0" multipleItemSelectionAllowed="1" showAll="0">
      <items>
        <item x="0"/>
        <item x="1"/>
        <item t="default"/>
      </items>
    </pivotField>
    <pivotField name="MethodDiscount" compact="0" outline="0" multipleItemSelectionAllowed="1" showAll="0">
      <items>
        <item x="0"/>
        <item x="1"/>
        <item x="2"/>
        <item t="default"/>
      </items>
    </pivotField>
    <pivotField name="Channel" compact="0" outline="0" multipleItemSelectionAllowed="1" showAll="0">
      <items>
        <item x="0"/>
        <item x="1"/>
        <item x="2"/>
        <item t="default"/>
      </items>
    </pivotField>
    <pivotField name="Partn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okie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t="default"/>
      </items>
    </pivotField>
    <pivotField name="Att_Direct_SEO_Referr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Att_Direct" dataField="1" compact="0" outline="0" multipleItemSelectionAllowed="1" showAll="0">
      <items>
        <item x="0"/>
        <item x="1"/>
        <item t="default"/>
      </items>
    </pivotField>
    <pivotField name="Att_SEO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tt_OPN_Other_Peoples_Networks" dataField="1" compact="0" outline="0" multipleItemSelectionAllowed="1" showAll="0">
      <items>
        <item x="0"/>
        <item x="1"/>
        <item x="2"/>
        <item x="3"/>
        <item t="default"/>
      </items>
    </pivotField>
    <pivotField name="Att_Pay_Per_Click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tt_Partners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tt_Email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tt_Remarketing" dataField="1" compact="0" outline="0" multipleItemSelectionAllowed="1" showAll="0">
      <items>
        <item x="0"/>
        <item t="default"/>
      </items>
    </pivotField>
    <pivotField name="Att_Social" dataField="1" compact="0" outline="0" multipleItemSelectionAllowed="1" showAll="0">
      <items>
        <item x="0"/>
        <item t="default"/>
      </items>
    </pivotField>
    <pivotField name="Att_Help_Center" dataField="1" compact="0" outline="0" multipleItemSelectionAllowed="1" showAll="0">
      <items>
        <item x="0"/>
        <item t="default"/>
      </items>
    </pivotField>
    <pivotField name="Att_Online_Chat_Tool" dataField="1" compact="0" outline="0" multipleItemSelectionAllowed="1" showAll="0">
      <items>
        <item x="0"/>
        <item t="default"/>
      </items>
    </pivotField>
    <pivotField name="Att_Content" dataField="1" compact="0" outline="0" multipleItemSelectionAllowed="1" showAll="0">
      <items>
        <item x="0"/>
        <item x="1"/>
        <item x="2"/>
        <item t="default"/>
      </items>
    </pivotField>
    <pivotField name="Att_Banner_Ads" dataField="1" compact="0" outline="0" multipleItemSelectionAllowed="1" showAll="0">
      <items>
        <item x="0"/>
        <item t="default"/>
      </items>
    </pivotField>
    <pivotField name="Att_Seminar_Conference" dataField="1" compact="0" outline="0" multipleItemSelectionAllowed="1" showAll="0">
      <items>
        <item x="0"/>
        <item t="default"/>
      </items>
    </pivotField>
    <pivotField name="Att_Referral_Program" dataField="1" compact="0" outline="0" multipleItemSelectionAllowed="1" showAll="0">
      <items>
        <item x="0"/>
        <item t="default"/>
      </items>
    </pivotField>
    <pivotField name="Att_Referral_Link" dataField="1" compact="0" outline="0" multipleItemSelectionAllowed="1" showAll="0">
      <items>
        <item x="0"/>
        <item t="default"/>
      </items>
    </pivotField>
    <pivotField name="Att_Backlinks" dataField="1" compact="0" outline="0" multipleItemSelectionAllowed="1" showAll="0">
      <items>
        <item x="0"/>
        <item t="default"/>
      </items>
    </pivotField>
    <pivotField name="Att_Other" dataField="1" compact="0" outline="0" multipleItemSelectionAllowed="1" showAll="0">
      <items>
        <item x="0"/>
        <item x="1"/>
        <item t="default"/>
      </items>
    </pivotField>
    <pivotField name="Att_Webinar" compact="0" outline="0" multipleItemSelectionAllowed="1" showAll="0">
      <items>
        <item x="0"/>
        <item t="default"/>
      </items>
    </pivotField>
    <pivotField name="Att_None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yncTypeReg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Vertic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ector" compact="0" outline="0" multipleItemSelectionAllowed="1" showAll="0">
      <items>
        <item x="0"/>
        <item x="1"/>
        <item t="default"/>
      </items>
    </pivotField>
    <pivotField name="CustDatIndus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CustDatFirstSyncComplet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CustDatLastRefresh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  <pivotField name="CustDatCountOfEmploye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CustDatAnnual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t="default"/>
      </items>
    </pivotField>
    <pivotField name="CustDatCountOfCustom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License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ountOfCustomScreens" compact="0" outline="0" multipleItemSelectionAllowed="1" showAll="0">
      <items>
        <item x="0"/>
        <item t="default"/>
      </items>
    </pivotField>
    <pivotField name="CountOfCustomScreensM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ay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Week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onth" compact="0" outline="0" multipleItemSelectionAllowed="1" showAll="0">
      <items>
        <item x="0"/>
        <item x="1"/>
        <item t="default"/>
      </items>
    </pivotField>
    <pivotField name="Year" compact="0" outline="0" multipleItemSelectionAllowed="1" showAll="0">
      <items>
        <item x="0"/>
        <item t="default"/>
      </items>
    </pivotField>
  </pivotFields>
  <rowFields>
    <field x="54"/>
    <field x="1"/>
  </rowFields>
  <colFields>
    <field x="-2"/>
  </colFields>
  <pageFields>
    <pageField fld="6"/>
  </pageFields>
  <dataFields>
    <dataField name="Total" fld="0" subtotal="count" baseField="0"/>
    <dataField name="None" fld="41" baseField="0"/>
    <dataField name="Other" fld="39" baseField="0"/>
    <dataField name="Direct" fld="23" baseField="0"/>
    <dataField name="SEO" fld="24" baseField="0"/>
    <dataField name="OPN" fld="25" baseField="0"/>
    <dataField name="Pay_Per_Click" fld="26" baseField="0"/>
    <dataField name="Content" fld="33" baseField="0"/>
    <dataField name="Help_Center" fld="31" baseField="0"/>
    <dataField name="Partners" fld="27" baseField="0"/>
    <dataField name="Referral_Program" fld="36" baseField="0"/>
    <dataField name="Referral_Link" fld="37" baseField="0"/>
    <dataField name="Backlink" fld="38" baseField="0"/>
    <dataField name="Email" fld="28" baseField="0"/>
    <dataField name="Social" fld="30" baseField="0"/>
    <dataField name="Remarketing" fld="29" baseField="0"/>
    <dataField name="Chat_Tool" fld="32" baseField="0"/>
    <dataField name="Banner_Ads" fld="34" baseField="0"/>
    <dataField name="Seminar_Conference" fld="35" baseField="0"/>
  </dataFields>
</pivotTableDefinition>
</file>

<file path=xl/pivotTables/pivotTable2.xml><?xml version="1.0" encoding="utf-8"?>
<pivotTableDefinition xmlns="http://schemas.openxmlformats.org/spreadsheetml/2006/main" name="Week" cacheId="0" dataCaption="" compact="0" compactData="0">
  <location ref="A3:V607" firstHeaderRow="0" firstDataRow="4" firstDataCol="0" rowPageCount="1" colPageCount="1"/>
  <pivotFields>
    <pivotField name="Record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t="default"/>
      </items>
    </pivotField>
    <pivotField name="AccountName" axis="axisRow" compact="0" outline="0" multipleItemSelectionAllowed="1" showAll="0" sortType="ascending">
      <items>
        <item x="168"/>
        <item x="179"/>
        <item x="108"/>
        <item x="169"/>
        <item x="178"/>
        <item x="180"/>
        <item x="170"/>
        <item x="574"/>
        <item x="330"/>
        <item x="367"/>
        <item x="238"/>
        <item x="555"/>
        <item x="271"/>
        <item x="623"/>
        <item x="590"/>
        <item x="84"/>
        <item x="447"/>
        <item x="461"/>
        <item x="13"/>
        <item x="57"/>
        <item x="316"/>
        <item x="527"/>
        <item x="644"/>
        <item x="147"/>
        <item x="485"/>
        <item x="554"/>
        <item x="273"/>
        <item x="656"/>
        <item x="300"/>
        <item x="489"/>
        <item x="98"/>
        <item x="537"/>
        <item x="1"/>
        <item x="627"/>
        <item x="410"/>
        <item x="571"/>
        <item x="321"/>
        <item x="544"/>
        <item x="351"/>
        <item x="464"/>
        <item x="274"/>
        <item x="522"/>
        <item x="446"/>
        <item x="240"/>
        <item x="540"/>
        <item x="591"/>
        <item x="292"/>
        <item x="472"/>
        <item x="267"/>
        <item x="593"/>
        <item x="509"/>
        <item x="294"/>
        <item x="40"/>
        <item x="289"/>
        <item x="358"/>
        <item x="101"/>
        <item x="222"/>
        <item x="585"/>
        <item x="497"/>
        <item x="105"/>
        <item x="642"/>
        <item x="92"/>
        <item x="67"/>
        <item x="427"/>
        <item x="479"/>
        <item x="619"/>
        <item x="144"/>
        <item x="82"/>
        <item x="542"/>
        <item x="634"/>
        <item x="218"/>
        <item x="193"/>
        <item x="81"/>
        <item x="647"/>
        <item x="506"/>
        <item x="476"/>
        <item x="504"/>
        <item x="601"/>
        <item x="595"/>
        <item x="602"/>
        <item x="566"/>
        <item x="75"/>
        <item x="45"/>
        <item x="117"/>
        <item x="195"/>
        <item x="448"/>
        <item x="439"/>
        <item x="216"/>
        <item x="269"/>
        <item x="323"/>
        <item x="43"/>
        <item x="403"/>
        <item x="291"/>
        <item x="513"/>
        <item x="443"/>
        <item x="293"/>
        <item x="26"/>
        <item x="341"/>
        <item x="116"/>
        <item x="646"/>
        <item x="377"/>
        <item x="379"/>
        <item x="438"/>
        <item x="161"/>
        <item x="605"/>
        <item x="597"/>
        <item x="467"/>
        <item x="586"/>
        <item x="370"/>
        <item x="650"/>
        <item x="622"/>
        <item x="206"/>
        <item x="124"/>
        <item x="185"/>
        <item x="648"/>
        <item x="664"/>
        <item x="331"/>
        <item x="493"/>
        <item x="244"/>
        <item x="657"/>
        <item x="662"/>
        <item x="433"/>
        <item x="164"/>
        <item x="59"/>
        <item x="29"/>
        <item x="466"/>
        <item x="562"/>
        <item x="201"/>
        <item x="490"/>
        <item x="614"/>
        <item x="620"/>
        <item x="61"/>
        <item x="484"/>
        <item x="83"/>
        <item x="156"/>
        <item x="557"/>
        <item x="200"/>
        <item x="76"/>
        <item x="90"/>
        <item x="22"/>
        <item x="42"/>
        <item x="219"/>
        <item x="249"/>
        <item x="478"/>
        <item x="252"/>
        <item x="21"/>
        <item x="635"/>
        <item x="655"/>
        <item x="356"/>
        <item x="305"/>
        <item x="404"/>
        <item x="553"/>
        <item x="498"/>
        <item x="4"/>
        <item x="451"/>
        <item x="452"/>
        <item x="545"/>
        <item x="17"/>
        <item x="636"/>
        <item x="191"/>
        <item x="584"/>
        <item x="66"/>
        <item x="436"/>
        <item x="437"/>
        <item x="221"/>
        <item x="310"/>
        <item x="290"/>
        <item x="378"/>
        <item x="524"/>
        <item x="581"/>
        <item x="569"/>
        <item x="145"/>
        <item x="575"/>
        <item x="538"/>
        <item x="254"/>
        <item x="643"/>
        <item x="74"/>
        <item x="516"/>
        <item x="417"/>
        <item x="592"/>
        <item x="77"/>
        <item x="632"/>
        <item x="361"/>
        <item x="454"/>
        <item x="301"/>
        <item x="47"/>
        <item x="217"/>
        <item x="208"/>
        <item x="639"/>
        <item x="432"/>
        <item x="387"/>
        <item x="661"/>
        <item x="73"/>
        <item x="107"/>
        <item x="499"/>
        <item x="502"/>
        <item x="480"/>
        <item x="407"/>
        <item x="373"/>
        <item x="429"/>
        <item x="154"/>
        <item x="418"/>
        <item x="521"/>
        <item x="431"/>
        <item x="442"/>
        <item x="583"/>
        <item x="165"/>
        <item x="389"/>
        <item x="603"/>
        <item x="241"/>
        <item x="135"/>
        <item x="134"/>
        <item x="262"/>
        <item x="153"/>
        <item x="350"/>
        <item x="384"/>
        <item x="129"/>
        <item x="31"/>
        <item x="482"/>
        <item x="457"/>
        <item x="334"/>
        <item x="613"/>
        <item x="528"/>
        <item x="213"/>
        <item x="163"/>
        <item x="277"/>
        <item x="533"/>
        <item x="192"/>
        <item x="587"/>
        <item x="307"/>
        <item x="36"/>
        <item x="41"/>
        <item x="199"/>
        <item x="253"/>
        <item x="49"/>
        <item x="148"/>
        <item x="233"/>
        <item x="207"/>
        <item x="335"/>
        <item x="196"/>
        <item x="211"/>
        <item x="366"/>
        <item x="142"/>
        <item x="494"/>
        <item x="242"/>
        <item x="16"/>
        <item x="304"/>
        <item x="640"/>
        <item x="44"/>
        <item x="617"/>
        <item x="390"/>
        <item x="399"/>
        <item x="471"/>
        <item x="523"/>
        <item x="460"/>
        <item x="625"/>
        <item x="526"/>
        <item x="483"/>
        <item x="3"/>
        <item x="226"/>
        <item x="298"/>
        <item x="251"/>
        <item x="10"/>
        <item x="198"/>
        <item x="146"/>
        <item x="203"/>
        <item x="609"/>
        <item x="420"/>
        <item x="94"/>
        <item x="79"/>
        <item x="119"/>
        <item x="54"/>
        <item x="631"/>
        <item x="268"/>
        <item x="525"/>
        <item x="70"/>
        <item x="421"/>
        <item x="303"/>
        <item x="34"/>
        <item x="398"/>
        <item x="434"/>
        <item x="114"/>
        <item x="425"/>
        <item x="89"/>
        <item x="95"/>
        <item x="297"/>
        <item x="363"/>
        <item x="364"/>
        <item x="127"/>
        <item x="138"/>
        <item x="459"/>
        <item x="393"/>
        <item x="159"/>
        <item x="190"/>
        <item x="152"/>
        <item x="638"/>
        <item x="194"/>
        <item x="91"/>
        <item x="11"/>
        <item x="345"/>
        <item x="8"/>
        <item x="120"/>
        <item x="658"/>
        <item x="19"/>
        <item x="608"/>
        <item x="102"/>
        <item x="155"/>
        <item x="604"/>
        <item x="58"/>
        <item x="322"/>
        <item x="462"/>
        <item x="409"/>
        <item x="580"/>
        <item x="458"/>
        <item x="246"/>
        <item x="505"/>
        <item x="618"/>
        <item x="23"/>
        <item x="313"/>
        <item x="535"/>
        <item x="18"/>
        <item x="51"/>
        <item x="568"/>
        <item x="236"/>
        <item x="287"/>
        <item x="319"/>
        <item x="663"/>
        <item x="406"/>
        <item x="162"/>
        <item x="541"/>
        <item x="517"/>
        <item x="546"/>
        <item x="660"/>
        <item x="416"/>
        <item x="176"/>
        <item x="394"/>
        <item x="282"/>
        <item x="317"/>
        <item x="536"/>
        <item x="263"/>
        <item x="130"/>
        <item x="415"/>
        <item x="320"/>
        <item x="514"/>
        <item x="628"/>
        <item x="594"/>
        <item x="28"/>
        <item x="50"/>
        <item x="5"/>
        <item x="7"/>
        <item x="96"/>
        <item x="97"/>
        <item x="188"/>
        <item x="125"/>
        <item x="239"/>
        <item x="189"/>
        <item x="258"/>
        <item x="531"/>
        <item x="88"/>
        <item x="250"/>
        <item x="468"/>
        <item x="408"/>
        <item x="413"/>
        <item x="15"/>
        <item x="279"/>
        <item x="430"/>
        <item x="500"/>
        <item x="284"/>
        <item x="283"/>
        <item x="281"/>
        <item x="507"/>
        <item x="68"/>
        <item x="651"/>
        <item x="582"/>
        <item x="46"/>
        <item x="481"/>
        <item x="167"/>
        <item x="177"/>
        <item x="649"/>
        <item x="332"/>
        <item x="224"/>
        <item x="579"/>
        <item x="386"/>
        <item x="248"/>
        <item x="654"/>
        <item x="572"/>
        <item x="278"/>
        <item x="637"/>
        <item x="573"/>
        <item x="475"/>
        <item x="0"/>
        <item x="515"/>
        <item x="621"/>
        <item x="63"/>
        <item x="344"/>
        <item x="264"/>
        <item x="137"/>
        <item x="306"/>
        <item x="223"/>
        <item x="209"/>
        <item x="181"/>
        <item x="175"/>
        <item x="184"/>
        <item x="375"/>
        <item x="559"/>
        <item x="266"/>
        <item x="326"/>
        <item x="391"/>
        <item x="624"/>
        <item x="530"/>
        <item x="186"/>
        <item x="401"/>
        <item x="564"/>
        <item x="314"/>
        <item x="315"/>
        <item x="20"/>
        <item x="570"/>
        <item x="508"/>
        <item x="52"/>
        <item x="414"/>
        <item x="633"/>
        <item x="183"/>
        <item x="362"/>
        <item x="549"/>
        <item x="491"/>
        <item x="588"/>
        <item x="600"/>
        <item x="80"/>
        <item x="149"/>
        <item x="392"/>
        <item x="641"/>
        <item x="150"/>
        <item x="308"/>
        <item x="342"/>
        <item x="237"/>
        <item x="372"/>
        <item x="354"/>
        <item x="473"/>
        <item x="182"/>
        <item x="214"/>
        <item x="426"/>
        <item x="666"/>
        <item x="261"/>
        <item x="324"/>
        <item x="157"/>
        <item x="38"/>
        <item x="32"/>
        <item x="487"/>
        <item x="174"/>
        <item x="245"/>
        <item x="385"/>
        <item x="380"/>
        <item x="565"/>
        <item x="578"/>
        <item x="173"/>
        <item x="444"/>
        <item x="171"/>
        <item x="382"/>
        <item x="629"/>
        <item x="115"/>
        <item x="548"/>
        <item x="113"/>
        <item x="453"/>
        <item x="234"/>
        <item x="99"/>
        <item x="118"/>
        <item x="474"/>
        <item x="449"/>
        <item x="256"/>
        <item x="469"/>
        <item x="612"/>
        <item x="518"/>
        <item x="215"/>
        <item x="247"/>
        <item x="492"/>
        <item x="667"/>
        <item x="6"/>
        <item x="512"/>
        <item x="328"/>
        <item x="72"/>
        <item x="383"/>
        <item x="412"/>
        <item x="259"/>
        <item x="265"/>
        <item x="71"/>
        <item x="212"/>
        <item x="93"/>
        <item x="607"/>
        <item x="561"/>
        <item x="318"/>
        <item x="312"/>
        <item x="131"/>
        <item x="132"/>
        <item x="141"/>
        <item x="495"/>
        <item x="596"/>
        <item x="357"/>
        <item x="424"/>
        <item x="606"/>
        <item x="630"/>
        <item x="465"/>
        <item x="33"/>
        <item x="615"/>
        <item x="645"/>
        <item x="374"/>
        <item x="428"/>
        <item x="56"/>
        <item x="589"/>
        <item x="110"/>
        <item x="39"/>
        <item x="166"/>
        <item x="539"/>
        <item x="511"/>
        <item x="286"/>
        <item x="501"/>
        <item x="100"/>
        <item x="210"/>
        <item x="24"/>
        <item x="288"/>
        <item x="411"/>
        <item x="599"/>
        <item x="311"/>
        <item x="653"/>
        <item x="577"/>
        <item x="371"/>
        <item x="368"/>
        <item x="376"/>
        <item x="381"/>
        <item x="503"/>
        <item x="275"/>
        <item x="104"/>
        <item x="133"/>
        <item x="87"/>
        <item x="111"/>
        <item x="470"/>
        <item x="9"/>
        <item x="560"/>
        <item x="360"/>
        <item x="365"/>
        <item x="397"/>
        <item x="139"/>
        <item x="140"/>
        <item x="529"/>
        <item x="220"/>
        <item x="338"/>
        <item x="2"/>
        <item x="128"/>
        <item x="121"/>
        <item x="123"/>
        <item x="348"/>
        <item x="255"/>
        <item x="295"/>
        <item x="187"/>
        <item x="285"/>
        <item x="556"/>
        <item x="551"/>
        <item x="151"/>
        <item x="109"/>
        <item x="272"/>
        <item x="197"/>
        <item x="62"/>
        <item x="355"/>
        <item x="172"/>
        <item x="359"/>
        <item x="598"/>
        <item x="126"/>
        <item x="423"/>
        <item x="296"/>
        <item x="510"/>
        <item x="369"/>
        <item x="25"/>
        <item x="260"/>
        <item x="85"/>
        <item x="419"/>
        <item x="488"/>
        <item x="230"/>
        <item x="235"/>
        <item x="519"/>
        <item x="520"/>
        <item x="78"/>
        <item x="652"/>
        <item x="276"/>
        <item x="205"/>
        <item x="347"/>
        <item x="395"/>
        <item x="35"/>
        <item x="626"/>
        <item x="450"/>
        <item x="610"/>
        <item x="336"/>
        <item x="55"/>
        <item x="204"/>
        <item x="143"/>
        <item x="659"/>
        <item x="202"/>
        <item x="567"/>
        <item x="534"/>
        <item x="463"/>
        <item x="532"/>
        <item x="136"/>
        <item x="231"/>
        <item x="122"/>
        <item x="340"/>
        <item x="339"/>
        <item x="611"/>
        <item x="616"/>
        <item x="309"/>
        <item x="550"/>
        <item x="302"/>
        <item x="445"/>
        <item x="343"/>
        <item x="229"/>
        <item x="299"/>
        <item x="558"/>
        <item x="435"/>
        <item x="422"/>
        <item x="30"/>
        <item x="456"/>
        <item x="346"/>
        <item x="388"/>
        <item x="563"/>
        <item x="400"/>
        <item x="69"/>
        <item x="106"/>
        <item x="243"/>
        <item x="496"/>
        <item x="37"/>
        <item x="352"/>
        <item x="60"/>
        <item x="257"/>
        <item x="455"/>
        <item x="486"/>
        <item x="337"/>
        <item x="48"/>
        <item x="65"/>
        <item x="327"/>
        <item x="12"/>
        <item x="576"/>
        <item x="441"/>
        <item x="27"/>
        <item x="53"/>
        <item x="280"/>
        <item x="160"/>
        <item x="349"/>
        <item x="405"/>
        <item x="333"/>
        <item x="14"/>
        <item x="396"/>
        <item x="552"/>
        <item x="228"/>
        <item x="543"/>
        <item x="270"/>
        <item x="477"/>
        <item x="227"/>
        <item x="665"/>
        <item x="103"/>
        <item x="353"/>
        <item x="112"/>
        <item x="232"/>
        <item x="325"/>
        <item x="86"/>
        <item x="402"/>
        <item x="547"/>
        <item x="158"/>
        <item x="64"/>
        <item x="329"/>
        <item x="225"/>
        <item x="668"/>
        <item x="440"/>
        <item t="default"/>
      </items>
    </pivotField>
    <pivotField name="SignUp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t="default"/>
      </items>
    </pivotField>
    <pivotField name="Cancellation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ConvertPay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IsActive" compact="0" outline="0" multipleItemSelectionAllowed="1" showAll="0">
      <items>
        <item x="0"/>
        <item x="1"/>
        <item t="default"/>
      </items>
    </pivotField>
    <pivotField name="IsConversionException" axis="axisPage" compact="0" outline="0" multipleItemSelectionAllowed="1" showAll="0">
      <items>
        <item x="0"/>
        <item h="1" x="1"/>
        <item t="default"/>
      </items>
    </pivotField>
    <pivotField name="IsCountedAsChurn" compact="0" outline="0" multipleItemSelectionAllowed="1" showAll="0">
      <items>
        <item x="0"/>
        <item t="default"/>
      </items>
    </pivotField>
    <pivotField name="IsTrialConverted" compact="0" outline="0" multipleItemSelectionAllowed="1" showAll="0">
      <items>
        <item x="0"/>
        <item t="default"/>
      </items>
    </pivotField>
    <pivotField name="PayType" compact="0" outline="0" multipleItemSelectionAllowed="1" showAll="0">
      <items>
        <item x="0"/>
        <item x="1"/>
        <item t="default"/>
      </items>
    </pivotField>
    <pivotField name="App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AccountingPlatform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latformToggle" compact="0" outline="0" multipleItemSelectionAllowed="1" showAll="0">
      <items>
        <item x="0"/>
        <item x="1"/>
        <item t="default"/>
      </items>
    </pivotField>
    <pivotField name="CustDatSaaSAmountTo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CustDatLastSaaS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CustDatPSAmountToDa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DatPSLastMonth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xpectedLifetime" compact="0" outline="0" multipleItemSelectionAllowed="1" showAll="0">
      <items>
        <item x="0"/>
        <item x="1"/>
        <item t="default"/>
      </items>
    </pivotField>
    <pivotField name="MethodDiscount" compact="0" outline="0" multipleItemSelectionAllowed="1" showAll="0">
      <items>
        <item x="0"/>
        <item x="1"/>
        <item x="2"/>
        <item t="default"/>
      </items>
    </pivotField>
    <pivotField name="Channel" compact="0" outline="0" multipleItemSelectionAllowed="1" showAll="0">
      <items>
        <item x="0"/>
        <item x="1"/>
        <item x="2"/>
        <item t="default"/>
      </items>
    </pivotField>
    <pivotField name="Partn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okie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t="default"/>
      </items>
    </pivotField>
    <pivotField name="Att_Direct_SEO_Referr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Att_Direct" dataField="1" compact="0" outline="0" multipleItemSelectionAllowed="1" showAll="0">
      <items>
        <item x="0"/>
        <item x="1"/>
        <item t="default"/>
      </items>
    </pivotField>
    <pivotField name="Att_SEO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tt_OPN_Other_Peoples_Networks" dataField="1" compact="0" outline="0" multipleItemSelectionAllowed="1" showAll="0">
      <items>
        <item x="0"/>
        <item x="1"/>
        <item x="2"/>
        <item x="3"/>
        <item t="default"/>
      </items>
    </pivotField>
    <pivotField name="Att_Pay_Per_Click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tt_Partners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tt_Email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tt_Remarketing" dataField="1" compact="0" outline="0" multipleItemSelectionAllowed="1" showAll="0">
      <items>
        <item x="0"/>
        <item t="default"/>
      </items>
    </pivotField>
    <pivotField name="Att_Social" dataField="1" compact="0" outline="0" multipleItemSelectionAllowed="1" showAll="0">
      <items>
        <item x="0"/>
        <item t="default"/>
      </items>
    </pivotField>
    <pivotField name="Att_Help_Center" dataField="1" compact="0" outline="0" multipleItemSelectionAllowed="1" showAll="0">
      <items>
        <item x="0"/>
        <item t="default"/>
      </items>
    </pivotField>
    <pivotField name="Att_Online_Chat_Tool" dataField="1" compact="0" outline="0" multipleItemSelectionAllowed="1" showAll="0">
      <items>
        <item x="0"/>
        <item t="default"/>
      </items>
    </pivotField>
    <pivotField name="Att_Content" dataField="1" compact="0" outline="0" multipleItemSelectionAllowed="1" showAll="0">
      <items>
        <item x="0"/>
        <item x="1"/>
        <item x="2"/>
        <item t="default"/>
      </items>
    </pivotField>
    <pivotField name="Att_Banner_Ads" dataField="1" compact="0" outline="0" multipleItemSelectionAllowed="1" showAll="0">
      <items>
        <item x="0"/>
        <item t="default"/>
      </items>
    </pivotField>
    <pivotField name="Att_Seminar_Conference" dataField="1" compact="0" outline="0" multipleItemSelectionAllowed="1" showAll="0">
      <items>
        <item x="0"/>
        <item t="default"/>
      </items>
    </pivotField>
    <pivotField name="Att_Referral_Program" dataField="1" compact="0" outline="0" multipleItemSelectionAllowed="1" showAll="0">
      <items>
        <item x="0"/>
        <item t="default"/>
      </items>
    </pivotField>
    <pivotField name="Att_Referral_Link" dataField="1" compact="0" outline="0" multipleItemSelectionAllowed="1" showAll="0">
      <items>
        <item x="0"/>
        <item t="default"/>
      </items>
    </pivotField>
    <pivotField name="Att_Backlinks" dataField="1" compact="0" outline="0" multipleItemSelectionAllowed="1" showAll="0">
      <items>
        <item x="0"/>
        <item t="default"/>
      </items>
    </pivotField>
    <pivotField name="Att_Other" dataField="1" compact="0" outline="0" multipleItemSelectionAllowed="1" showAll="0">
      <items>
        <item x="0"/>
        <item x="1"/>
        <item t="default"/>
      </items>
    </pivotField>
    <pivotField name="Att_Webinar" compact="0" outline="0" multipleItemSelectionAllowed="1" showAll="0">
      <items>
        <item x="0"/>
        <item t="default"/>
      </items>
    </pivotField>
    <pivotField name="Att_None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yncTypeReg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Vertic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ector" compact="0" outline="0" multipleItemSelectionAllowed="1" showAll="0">
      <items>
        <item x="0"/>
        <item x="1"/>
        <item t="default"/>
      </items>
    </pivotField>
    <pivotField name="CustDatIndus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CustDatFirstSyncComplet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CustDatLastRefresh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  <pivotField name="CustDatCountOfEmploye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CustDatAnnual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t="default"/>
      </items>
    </pivotField>
    <pivotField name="CustDatCountOfCustom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License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ountOfCustomScreens" compact="0" outline="0" multipleItemSelectionAllowed="1" showAll="0">
      <items>
        <item x="0"/>
        <item t="default"/>
      </items>
    </pivotField>
    <pivotField name="CountOfCustomScreensM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ay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Week" axis="axisRow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Month" compact="0" outline="0" multipleItemSelectionAllowed="1" showAll="0">
      <items>
        <item x="0"/>
        <item x="1"/>
        <item t="default"/>
      </items>
    </pivotField>
    <pivotField name="Year" axis="axisRow" compact="0" outline="0" multipleItemSelectionAllowed="1" showAll="0" sortType="ascending">
      <items>
        <item x="0"/>
        <item t="default"/>
      </items>
    </pivotField>
  </pivotFields>
  <rowFields>
    <field x="57"/>
    <field x="55"/>
    <field x="1"/>
  </rowFields>
  <colFields>
    <field x="-2"/>
  </colFields>
  <pageFields>
    <pageField fld="6"/>
  </pageFields>
  <dataFields>
    <dataField name="Total" fld="0" subtotal="count" baseField="0"/>
    <dataField name="None" fld="41" baseField="0"/>
    <dataField name="Other" fld="39" baseField="0"/>
    <dataField name="Direct" fld="23" baseField="0"/>
    <dataField name="SEO" fld="24" baseField="0"/>
    <dataField name="OPN" fld="25" baseField="0"/>
    <dataField name="Pay_Per_Click" fld="26" baseField="0"/>
    <dataField name="Content" fld="33" baseField="0"/>
    <dataField name="Help_Center" fld="31" baseField="0"/>
    <dataField name="Partners" fld="27" baseField="0"/>
    <dataField name="Referral_Program" fld="36" baseField="0"/>
    <dataField name="Referral_Link" fld="37" baseField="0"/>
    <dataField name="Backlink" fld="38" baseField="0"/>
    <dataField name="Email" fld="28" baseField="0"/>
    <dataField name="Social" fld="30" baseField="0"/>
    <dataField name="Remarketing" fld="29" baseField="0"/>
    <dataField name="Chat_Tool" fld="32" baseField="0"/>
    <dataField name="Banner_Ads" fld="34" baseField="0"/>
    <dataField name="Seminar_Conference" fld="35" baseField="0"/>
  </dataFields>
</pivotTableDefinition>
</file>

<file path=xl/pivotTables/pivotTable3.xml><?xml version="1.0" encoding="utf-8"?>
<pivotTableDefinition xmlns="http://schemas.openxmlformats.org/spreadsheetml/2006/main" name="Month" cacheId="0" dataCaption="" compact="0" compactData="0">
  <location ref="A3:V8" firstHeaderRow="0" firstDataRow="4" firstDataCol="0" rowPageCount="1" colPageCount="1"/>
  <pivotFields>
    <pivotField name="Record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t="default"/>
      </items>
    </pivotField>
    <pivotField name="AccountName" axis="axisRow" compact="0" outline="0" multipleItemSelectionAllowed="1" showAll="0" sortType="ascending">
      <items>
        <item x="168"/>
        <item x="179"/>
        <item x="108"/>
        <item x="169"/>
        <item x="178"/>
        <item x="180"/>
        <item x="170"/>
        <item x="574"/>
        <item x="330"/>
        <item x="367"/>
        <item x="238"/>
        <item x="555"/>
        <item x="271"/>
        <item x="623"/>
        <item x="590"/>
        <item x="84"/>
        <item x="447"/>
        <item x="461"/>
        <item x="13"/>
        <item x="57"/>
        <item x="316"/>
        <item x="527"/>
        <item x="644"/>
        <item x="147"/>
        <item x="485"/>
        <item x="554"/>
        <item x="273"/>
        <item x="656"/>
        <item x="300"/>
        <item x="489"/>
        <item x="98"/>
        <item x="537"/>
        <item x="1"/>
        <item x="627"/>
        <item x="410"/>
        <item x="571"/>
        <item x="321"/>
        <item x="544"/>
        <item x="351"/>
        <item x="464"/>
        <item x="274"/>
        <item x="522"/>
        <item x="446"/>
        <item x="240"/>
        <item x="540"/>
        <item x="591"/>
        <item x="292"/>
        <item x="472"/>
        <item x="267"/>
        <item x="593"/>
        <item x="509"/>
        <item x="294"/>
        <item x="40"/>
        <item x="289"/>
        <item x="358"/>
        <item x="101"/>
        <item x="222"/>
        <item x="585"/>
        <item x="497"/>
        <item x="105"/>
        <item x="642"/>
        <item x="92"/>
        <item x="67"/>
        <item x="427"/>
        <item x="479"/>
        <item x="619"/>
        <item x="144"/>
        <item x="82"/>
        <item x="542"/>
        <item x="634"/>
        <item x="218"/>
        <item x="193"/>
        <item x="81"/>
        <item x="647"/>
        <item x="506"/>
        <item x="476"/>
        <item x="504"/>
        <item x="601"/>
        <item x="595"/>
        <item x="602"/>
        <item x="566"/>
        <item x="75"/>
        <item x="45"/>
        <item x="117"/>
        <item x="195"/>
        <item x="448"/>
        <item x="439"/>
        <item x="216"/>
        <item x="269"/>
        <item x="323"/>
        <item x="43"/>
        <item x="403"/>
        <item x="291"/>
        <item x="513"/>
        <item x="443"/>
        <item x="293"/>
        <item x="26"/>
        <item x="341"/>
        <item x="116"/>
        <item x="646"/>
        <item x="377"/>
        <item x="379"/>
        <item x="438"/>
        <item x="161"/>
        <item x="605"/>
        <item x="597"/>
        <item x="467"/>
        <item x="586"/>
        <item x="370"/>
        <item x="650"/>
        <item x="622"/>
        <item x="206"/>
        <item x="124"/>
        <item x="185"/>
        <item x="648"/>
        <item x="664"/>
        <item x="331"/>
        <item x="493"/>
        <item x="244"/>
        <item x="657"/>
        <item x="662"/>
        <item x="433"/>
        <item x="164"/>
        <item x="59"/>
        <item x="29"/>
        <item x="466"/>
        <item x="562"/>
        <item x="201"/>
        <item x="490"/>
        <item x="614"/>
        <item x="620"/>
        <item x="61"/>
        <item x="484"/>
        <item x="83"/>
        <item x="156"/>
        <item x="557"/>
        <item x="200"/>
        <item x="76"/>
        <item x="90"/>
        <item x="22"/>
        <item x="42"/>
        <item x="219"/>
        <item x="249"/>
        <item x="478"/>
        <item x="252"/>
        <item x="21"/>
        <item x="635"/>
        <item x="655"/>
        <item x="356"/>
        <item x="305"/>
        <item x="404"/>
        <item x="553"/>
        <item x="498"/>
        <item x="4"/>
        <item x="451"/>
        <item x="452"/>
        <item x="545"/>
        <item x="17"/>
        <item x="636"/>
        <item x="191"/>
        <item x="584"/>
        <item x="66"/>
        <item x="436"/>
        <item x="437"/>
        <item x="221"/>
        <item x="310"/>
        <item x="290"/>
        <item x="378"/>
        <item x="524"/>
        <item x="581"/>
        <item x="569"/>
        <item x="145"/>
        <item x="575"/>
        <item x="538"/>
        <item x="254"/>
        <item x="643"/>
        <item x="74"/>
        <item x="516"/>
        <item x="417"/>
        <item x="592"/>
        <item x="77"/>
        <item x="632"/>
        <item x="361"/>
        <item x="454"/>
        <item x="301"/>
        <item x="47"/>
        <item x="217"/>
        <item x="208"/>
        <item x="639"/>
        <item x="432"/>
        <item x="387"/>
        <item x="661"/>
        <item x="73"/>
        <item x="107"/>
        <item x="499"/>
        <item x="502"/>
        <item x="480"/>
        <item x="407"/>
        <item x="373"/>
        <item x="429"/>
        <item x="154"/>
        <item x="418"/>
        <item x="521"/>
        <item x="431"/>
        <item x="442"/>
        <item x="583"/>
        <item x="165"/>
        <item x="389"/>
        <item x="603"/>
        <item x="241"/>
        <item x="135"/>
        <item x="134"/>
        <item x="262"/>
        <item x="153"/>
        <item x="350"/>
        <item x="384"/>
        <item x="129"/>
        <item x="31"/>
        <item x="482"/>
        <item x="457"/>
        <item x="334"/>
        <item x="613"/>
        <item x="528"/>
        <item x="213"/>
        <item x="163"/>
        <item x="277"/>
        <item x="533"/>
        <item x="192"/>
        <item x="587"/>
        <item x="307"/>
        <item x="36"/>
        <item x="41"/>
        <item x="199"/>
        <item x="253"/>
        <item x="49"/>
        <item x="148"/>
        <item x="233"/>
        <item x="207"/>
        <item x="335"/>
        <item x="196"/>
        <item x="211"/>
        <item x="366"/>
        <item x="142"/>
        <item x="494"/>
        <item x="242"/>
        <item x="16"/>
        <item x="304"/>
        <item x="640"/>
        <item x="44"/>
        <item x="617"/>
        <item x="390"/>
        <item x="399"/>
        <item x="471"/>
        <item x="523"/>
        <item x="460"/>
        <item x="625"/>
        <item x="526"/>
        <item x="483"/>
        <item x="3"/>
        <item x="226"/>
        <item x="298"/>
        <item x="251"/>
        <item x="10"/>
        <item x="198"/>
        <item x="146"/>
        <item x="203"/>
        <item x="609"/>
        <item x="420"/>
        <item x="94"/>
        <item x="79"/>
        <item x="119"/>
        <item x="54"/>
        <item x="631"/>
        <item x="268"/>
        <item x="525"/>
        <item x="70"/>
        <item x="421"/>
        <item x="303"/>
        <item x="34"/>
        <item x="398"/>
        <item x="434"/>
        <item x="114"/>
        <item x="425"/>
        <item x="89"/>
        <item x="95"/>
        <item x="297"/>
        <item x="363"/>
        <item x="364"/>
        <item x="127"/>
        <item x="138"/>
        <item x="459"/>
        <item x="393"/>
        <item x="159"/>
        <item x="190"/>
        <item x="152"/>
        <item x="638"/>
        <item x="194"/>
        <item x="91"/>
        <item x="11"/>
        <item x="345"/>
        <item x="8"/>
        <item x="120"/>
        <item x="658"/>
        <item x="19"/>
        <item x="608"/>
        <item x="102"/>
        <item x="155"/>
        <item x="604"/>
        <item x="58"/>
        <item x="322"/>
        <item x="462"/>
        <item x="409"/>
        <item x="580"/>
        <item x="458"/>
        <item x="246"/>
        <item x="505"/>
        <item x="618"/>
        <item x="23"/>
        <item x="313"/>
        <item x="535"/>
        <item x="18"/>
        <item x="51"/>
        <item x="568"/>
        <item x="236"/>
        <item x="287"/>
        <item x="319"/>
        <item x="663"/>
        <item x="406"/>
        <item x="162"/>
        <item x="541"/>
        <item x="517"/>
        <item x="546"/>
        <item x="660"/>
        <item x="416"/>
        <item x="176"/>
        <item x="394"/>
        <item x="282"/>
        <item x="317"/>
        <item x="536"/>
        <item x="263"/>
        <item x="130"/>
        <item x="415"/>
        <item x="320"/>
        <item x="514"/>
        <item x="628"/>
        <item x="594"/>
        <item x="28"/>
        <item x="50"/>
        <item x="5"/>
        <item x="7"/>
        <item x="96"/>
        <item x="97"/>
        <item x="188"/>
        <item x="125"/>
        <item x="239"/>
        <item x="189"/>
        <item x="258"/>
        <item x="531"/>
        <item x="88"/>
        <item x="250"/>
        <item x="468"/>
        <item x="408"/>
        <item x="413"/>
        <item x="15"/>
        <item x="279"/>
        <item x="430"/>
        <item x="500"/>
        <item x="284"/>
        <item x="283"/>
        <item x="281"/>
        <item x="507"/>
        <item x="68"/>
        <item x="651"/>
        <item x="582"/>
        <item x="46"/>
        <item x="481"/>
        <item x="167"/>
        <item x="177"/>
        <item x="649"/>
        <item x="332"/>
        <item x="224"/>
        <item x="579"/>
        <item x="386"/>
        <item x="248"/>
        <item x="654"/>
        <item x="572"/>
        <item x="278"/>
        <item x="637"/>
        <item x="573"/>
        <item x="475"/>
        <item x="0"/>
        <item x="515"/>
        <item x="621"/>
        <item x="63"/>
        <item x="344"/>
        <item x="264"/>
        <item x="137"/>
        <item x="306"/>
        <item x="223"/>
        <item x="209"/>
        <item x="181"/>
        <item x="175"/>
        <item x="184"/>
        <item x="375"/>
        <item x="559"/>
        <item x="266"/>
        <item x="326"/>
        <item x="391"/>
        <item x="624"/>
        <item x="530"/>
        <item x="186"/>
        <item x="401"/>
        <item x="564"/>
        <item x="314"/>
        <item x="315"/>
        <item x="20"/>
        <item x="570"/>
        <item x="508"/>
        <item x="52"/>
        <item x="414"/>
        <item x="633"/>
        <item x="183"/>
        <item x="362"/>
        <item x="549"/>
        <item x="491"/>
        <item x="588"/>
        <item x="600"/>
        <item x="80"/>
        <item x="149"/>
        <item x="392"/>
        <item x="641"/>
        <item x="150"/>
        <item x="308"/>
        <item x="342"/>
        <item x="237"/>
        <item x="372"/>
        <item x="354"/>
        <item x="473"/>
        <item x="182"/>
        <item x="214"/>
        <item x="426"/>
        <item x="666"/>
        <item x="261"/>
        <item x="324"/>
        <item x="157"/>
        <item x="38"/>
        <item x="32"/>
        <item x="487"/>
        <item x="174"/>
        <item x="245"/>
        <item x="385"/>
        <item x="380"/>
        <item x="565"/>
        <item x="578"/>
        <item x="173"/>
        <item x="444"/>
        <item x="171"/>
        <item x="382"/>
        <item x="629"/>
        <item x="115"/>
        <item x="548"/>
        <item x="113"/>
        <item x="453"/>
        <item x="234"/>
        <item x="99"/>
        <item x="118"/>
        <item x="474"/>
        <item x="449"/>
        <item x="256"/>
        <item x="469"/>
        <item x="612"/>
        <item x="518"/>
        <item x="215"/>
        <item x="247"/>
        <item x="492"/>
        <item x="667"/>
        <item x="6"/>
        <item x="512"/>
        <item x="328"/>
        <item x="72"/>
        <item x="383"/>
        <item x="412"/>
        <item x="259"/>
        <item x="265"/>
        <item x="71"/>
        <item x="212"/>
        <item x="93"/>
        <item x="607"/>
        <item x="561"/>
        <item x="318"/>
        <item x="312"/>
        <item x="131"/>
        <item x="132"/>
        <item x="141"/>
        <item x="495"/>
        <item x="596"/>
        <item x="357"/>
        <item x="424"/>
        <item x="606"/>
        <item x="630"/>
        <item x="465"/>
        <item x="33"/>
        <item x="615"/>
        <item x="645"/>
        <item x="374"/>
        <item x="428"/>
        <item x="56"/>
        <item x="589"/>
        <item x="110"/>
        <item x="39"/>
        <item x="166"/>
        <item x="539"/>
        <item x="511"/>
        <item x="286"/>
        <item x="501"/>
        <item x="100"/>
        <item x="210"/>
        <item x="24"/>
        <item x="288"/>
        <item x="411"/>
        <item x="599"/>
        <item x="311"/>
        <item x="653"/>
        <item x="577"/>
        <item x="371"/>
        <item x="368"/>
        <item x="376"/>
        <item x="381"/>
        <item x="503"/>
        <item x="275"/>
        <item x="104"/>
        <item x="133"/>
        <item x="87"/>
        <item x="111"/>
        <item x="470"/>
        <item x="9"/>
        <item x="560"/>
        <item x="360"/>
        <item x="365"/>
        <item x="397"/>
        <item x="139"/>
        <item x="140"/>
        <item x="529"/>
        <item x="220"/>
        <item x="338"/>
        <item x="2"/>
        <item x="128"/>
        <item x="121"/>
        <item x="123"/>
        <item x="348"/>
        <item x="255"/>
        <item x="295"/>
        <item x="187"/>
        <item x="285"/>
        <item x="556"/>
        <item x="551"/>
        <item x="151"/>
        <item x="109"/>
        <item x="272"/>
        <item x="197"/>
        <item x="62"/>
        <item x="355"/>
        <item x="172"/>
        <item x="359"/>
        <item x="598"/>
        <item x="126"/>
        <item x="423"/>
        <item x="296"/>
        <item x="510"/>
        <item x="369"/>
        <item x="25"/>
        <item x="260"/>
        <item x="85"/>
        <item x="419"/>
        <item x="488"/>
        <item x="230"/>
        <item x="235"/>
        <item x="519"/>
        <item x="520"/>
        <item x="78"/>
        <item x="652"/>
        <item x="276"/>
        <item x="205"/>
        <item x="347"/>
        <item x="395"/>
        <item x="35"/>
        <item x="626"/>
        <item x="450"/>
        <item x="610"/>
        <item x="336"/>
        <item x="55"/>
        <item x="204"/>
        <item x="143"/>
        <item x="659"/>
        <item x="202"/>
        <item x="567"/>
        <item x="534"/>
        <item x="463"/>
        <item x="532"/>
        <item x="136"/>
        <item x="231"/>
        <item x="122"/>
        <item x="340"/>
        <item x="339"/>
        <item x="611"/>
        <item x="616"/>
        <item x="309"/>
        <item x="550"/>
        <item x="302"/>
        <item x="445"/>
        <item x="343"/>
        <item x="229"/>
        <item x="299"/>
        <item x="558"/>
        <item x="435"/>
        <item x="422"/>
        <item x="30"/>
        <item x="456"/>
        <item x="346"/>
        <item x="388"/>
        <item x="563"/>
        <item x="400"/>
        <item x="69"/>
        <item x="106"/>
        <item x="243"/>
        <item x="496"/>
        <item x="37"/>
        <item x="352"/>
        <item x="60"/>
        <item x="257"/>
        <item x="455"/>
        <item x="486"/>
        <item x="337"/>
        <item x="48"/>
        <item x="65"/>
        <item x="327"/>
        <item x="12"/>
        <item x="576"/>
        <item x="441"/>
        <item x="27"/>
        <item x="53"/>
        <item x="280"/>
        <item x="160"/>
        <item x="349"/>
        <item x="405"/>
        <item x="333"/>
        <item x="14"/>
        <item x="396"/>
        <item x="552"/>
        <item x="228"/>
        <item x="543"/>
        <item x="270"/>
        <item x="477"/>
        <item x="227"/>
        <item x="665"/>
        <item x="103"/>
        <item x="353"/>
        <item x="112"/>
        <item x="232"/>
        <item x="325"/>
        <item x="86"/>
        <item x="402"/>
        <item x="547"/>
        <item x="158"/>
        <item x="64"/>
        <item x="329"/>
        <item x="225"/>
        <item x="668"/>
        <item x="440"/>
        <item t="default"/>
      </items>
    </pivotField>
    <pivotField name="SignUp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t="default"/>
      </items>
    </pivotField>
    <pivotField name="Cancellation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ConvertPay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IsActive" compact="0" outline="0" multipleItemSelectionAllowed="1" showAll="0">
      <items>
        <item x="0"/>
        <item x="1"/>
        <item t="default"/>
      </items>
    </pivotField>
    <pivotField name="IsConversionException" axis="axisPage" compact="0" outline="0" multipleItemSelectionAllowed="1" showAll="0">
      <items>
        <item x="0"/>
        <item h="1" x="1"/>
        <item t="default"/>
      </items>
    </pivotField>
    <pivotField name="IsCountedAsChurn" compact="0" outline="0" multipleItemSelectionAllowed="1" showAll="0">
      <items>
        <item x="0"/>
        <item t="default"/>
      </items>
    </pivotField>
    <pivotField name="IsTrialConverted" compact="0" outline="0" multipleItemSelectionAllowed="1" showAll="0">
      <items>
        <item x="0"/>
        <item t="default"/>
      </items>
    </pivotField>
    <pivotField name="PayType" compact="0" outline="0" multipleItemSelectionAllowed="1" showAll="0">
      <items>
        <item x="0"/>
        <item x="1"/>
        <item t="default"/>
      </items>
    </pivotField>
    <pivotField name="App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AccountingPlatform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latformToggle" compact="0" outline="0" multipleItemSelectionAllowed="1" showAll="0">
      <items>
        <item x="0"/>
        <item x="1"/>
        <item t="default"/>
      </items>
    </pivotField>
    <pivotField name="CustDatSaaSAmountTo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CustDatLastSaaS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CustDatPSAmountToDa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DatPSLastMonth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xpectedLifetime" compact="0" outline="0" multipleItemSelectionAllowed="1" showAll="0">
      <items>
        <item x="0"/>
        <item x="1"/>
        <item t="default"/>
      </items>
    </pivotField>
    <pivotField name="MethodDiscount" compact="0" outline="0" multipleItemSelectionAllowed="1" showAll="0">
      <items>
        <item x="0"/>
        <item x="1"/>
        <item x="2"/>
        <item t="default"/>
      </items>
    </pivotField>
    <pivotField name="Channel" compact="0" outline="0" multipleItemSelectionAllowed="1" showAll="0">
      <items>
        <item x="0"/>
        <item x="1"/>
        <item x="2"/>
        <item t="default"/>
      </items>
    </pivotField>
    <pivotField name="Partn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okie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t="default"/>
      </items>
    </pivotField>
    <pivotField name="Att_Direct_SEO_Referr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Att_Direct" dataField="1" compact="0" outline="0" multipleItemSelectionAllowed="1" showAll="0">
      <items>
        <item x="0"/>
        <item x="1"/>
        <item t="default"/>
      </items>
    </pivotField>
    <pivotField name="Att_SEO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tt_OPN_Other_Peoples_Networks" dataField="1" compact="0" outline="0" multipleItemSelectionAllowed="1" showAll="0">
      <items>
        <item x="0"/>
        <item x="1"/>
        <item x="2"/>
        <item x="3"/>
        <item t="default"/>
      </items>
    </pivotField>
    <pivotField name="Att_Pay_Per_Click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tt_Partners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tt_Email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tt_Remarketing" dataField="1" compact="0" outline="0" multipleItemSelectionAllowed="1" showAll="0">
      <items>
        <item x="0"/>
        <item t="default"/>
      </items>
    </pivotField>
    <pivotField name="Att_Social" dataField="1" compact="0" outline="0" multipleItemSelectionAllowed="1" showAll="0">
      <items>
        <item x="0"/>
        <item t="default"/>
      </items>
    </pivotField>
    <pivotField name="Att_Help_Center" dataField="1" compact="0" outline="0" multipleItemSelectionAllowed="1" showAll="0">
      <items>
        <item x="0"/>
        <item t="default"/>
      </items>
    </pivotField>
    <pivotField name="Att_Online_Chat_Tool" dataField="1" compact="0" outline="0" multipleItemSelectionAllowed="1" showAll="0">
      <items>
        <item x="0"/>
        <item t="default"/>
      </items>
    </pivotField>
    <pivotField name="Att_Content" dataField="1" compact="0" outline="0" multipleItemSelectionAllowed="1" showAll="0">
      <items>
        <item x="0"/>
        <item x="1"/>
        <item x="2"/>
        <item t="default"/>
      </items>
    </pivotField>
    <pivotField name="Att_Banner_Ads" dataField="1" compact="0" outline="0" multipleItemSelectionAllowed="1" showAll="0">
      <items>
        <item x="0"/>
        <item t="default"/>
      </items>
    </pivotField>
    <pivotField name="Att_Seminar_Conference" dataField="1" compact="0" outline="0" multipleItemSelectionAllowed="1" showAll="0">
      <items>
        <item x="0"/>
        <item t="default"/>
      </items>
    </pivotField>
    <pivotField name="Att_Referral_Program" dataField="1" compact="0" outline="0" multipleItemSelectionAllowed="1" showAll="0">
      <items>
        <item x="0"/>
        <item t="default"/>
      </items>
    </pivotField>
    <pivotField name="Att_Referral_Link" dataField="1" compact="0" outline="0" multipleItemSelectionAllowed="1" showAll="0">
      <items>
        <item x="0"/>
        <item t="default"/>
      </items>
    </pivotField>
    <pivotField name="Att_Backlinks" dataField="1" compact="0" outline="0" multipleItemSelectionAllowed="1" showAll="0">
      <items>
        <item x="0"/>
        <item t="default"/>
      </items>
    </pivotField>
    <pivotField name="Att_Other" dataField="1" compact="0" outline="0" multipleItemSelectionAllowed="1" showAll="0">
      <items>
        <item x="0"/>
        <item x="1"/>
        <item t="default"/>
      </items>
    </pivotField>
    <pivotField name="Att_Webinar" compact="0" outline="0" multipleItemSelectionAllowed="1" showAll="0">
      <items>
        <item x="0"/>
        <item t="default"/>
      </items>
    </pivotField>
    <pivotField name="Att_None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yncTypeReg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Vertic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ector" compact="0" outline="0" multipleItemSelectionAllowed="1" showAll="0">
      <items>
        <item x="0"/>
        <item x="1"/>
        <item t="default"/>
      </items>
    </pivotField>
    <pivotField name="CustDatIndus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CustDatFirstSyncComplet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CustDatLastRefresh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  <pivotField name="CustDatCountOfEmploye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CustDatAnnual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t="default"/>
      </items>
    </pivotField>
    <pivotField name="CustDatCountOfCustom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License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ountOfCustomScreens" compact="0" outline="0" multipleItemSelectionAllowed="1" showAll="0">
      <items>
        <item x="0"/>
        <item t="default"/>
      </items>
    </pivotField>
    <pivotField name="CountOfCustomScreensM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ay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Week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onth" axis="axisRow" compact="0" outline="0" multipleItemSelectionAllowed="1" showAll="0" sortType="ascending">
      <items>
        <item sd="0" x="1"/>
        <item x="0"/>
        <item t="default"/>
      </items>
    </pivotField>
    <pivotField name="Year" axis="axisRow" compact="0" outline="0" multipleItemSelectionAllowed="1" showAll="0" sortType="ascending">
      <items>
        <item x="0"/>
        <item t="default"/>
      </items>
    </pivotField>
  </pivotFields>
  <rowFields>
    <field x="57"/>
    <field x="56"/>
    <field x="1"/>
  </rowFields>
  <colFields>
    <field x="-2"/>
  </colFields>
  <pageFields>
    <pageField fld="6"/>
  </pageFields>
  <dataFields>
    <dataField name="Total" fld="0" subtotal="count" baseField="0"/>
    <dataField name="None" fld="41" baseField="0"/>
    <dataField name="Other" fld="39" baseField="0"/>
    <dataField name="Direct" fld="23" baseField="0"/>
    <dataField name="SEO" fld="24" baseField="0"/>
    <dataField name="OPN" fld="25" baseField="0"/>
    <dataField name="Pay_Per_Click" fld="26" baseField="0"/>
    <dataField name="Content" fld="33" baseField="0"/>
    <dataField name="Help_Center" fld="31" baseField="0"/>
    <dataField name="Partners" fld="27" baseField="0"/>
    <dataField name="Referral_Program" fld="36" baseField="0"/>
    <dataField name="Referral_Link" fld="37" baseField="0"/>
    <dataField name="Backlink" fld="38" baseField="0"/>
    <dataField name="Email" fld="28" baseField="0"/>
    <dataField name="Social" fld="30" baseField="0"/>
    <dataField name="Remarketing" fld="29" baseField="0"/>
    <dataField name="Chat_Tool" fld="32" baseField="0"/>
    <dataField name="Banner_Ads" fld="34" baseField="0"/>
    <dataField name="Seminar_Conference" fld="35" baseField="0"/>
  </dataFields>
</pivotTableDefinition>
</file>

<file path=xl/pivotTables/pivotTable4.xml><?xml version="1.0" encoding="utf-8"?>
<pivotTableDefinition xmlns="http://schemas.openxmlformats.org/spreadsheetml/2006/main" name="Month 2" cacheId="0" dataCaption="" compact="0" compactData="0">
  <location ref="A12:V17" firstHeaderRow="0" firstDataRow="4" firstDataCol="0" rowPageCount="2" colPageCount="1"/>
  <pivotFields>
    <pivotField name="Record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t="default"/>
      </items>
    </pivotField>
    <pivotField name="AccountName" axis="axisRow" compact="0" outline="0" multipleItemSelectionAllowed="1" showAll="0" sortType="ascending">
      <items>
        <item x="168"/>
        <item x="179"/>
        <item x="108"/>
        <item x="169"/>
        <item x="178"/>
        <item x="180"/>
        <item x="170"/>
        <item x="574"/>
        <item x="330"/>
        <item x="367"/>
        <item x="238"/>
        <item x="555"/>
        <item x="271"/>
        <item x="623"/>
        <item x="590"/>
        <item x="84"/>
        <item x="447"/>
        <item x="461"/>
        <item x="13"/>
        <item x="57"/>
        <item x="316"/>
        <item x="527"/>
        <item x="644"/>
        <item x="147"/>
        <item x="485"/>
        <item x="554"/>
        <item x="273"/>
        <item x="656"/>
        <item x="300"/>
        <item x="489"/>
        <item x="98"/>
        <item x="537"/>
        <item x="1"/>
        <item x="627"/>
        <item x="410"/>
        <item x="571"/>
        <item x="321"/>
        <item x="544"/>
        <item x="351"/>
        <item x="464"/>
        <item x="274"/>
        <item x="522"/>
        <item x="446"/>
        <item x="240"/>
        <item x="540"/>
        <item x="591"/>
        <item x="292"/>
        <item x="472"/>
        <item x="267"/>
        <item x="593"/>
        <item x="509"/>
        <item x="294"/>
        <item x="40"/>
        <item x="289"/>
        <item x="358"/>
        <item x="101"/>
        <item x="222"/>
        <item x="585"/>
        <item x="497"/>
        <item x="105"/>
        <item x="642"/>
        <item x="92"/>
        <item x="67"/>
        <item x="427"/>
        <item x="479"/>
        <item x="619"/>
        <item x="144"/>
        <item x="82"/>
        <item x="542"/>
        <item x="634"/>
        <item x="218"/>
        <item x="193"/>
        <item x="81"/>
        <item x="647"/>
        <item x="506"/>
        <item x="476"/>
        <item x="504"/>
        <item x="601"/>
        <item x="595"/>
        <item x="602"/>
        <item x="566"/>
        <item x="75"/>
        <item x="45"/>
        <item x="117"/>
        <item x="195"/>
        <item x="448"/>
        <item x="439"/>
        <item x="216"/>
        <item x="269"/>
        <item x="323"/>
        <item x="43"/>
        <item x="403"/>
        <item x="291"/>
        <item x="513"/>
        <item x="443"/>
        <item x="293"/>
        <item x="26"/>
        <item x="341"/>
        <item x="116"/>
        <item x="646"/>
        <item x="377"/>
        <item x="379"/>
        <item x="438"/>
        <item x="161"/>
        <item x="605"/>
        <item x="597"/>
        <item x="467"/>
        <item x="586"/>
        <item x="370"/>
        <item x="650"/>
        <item x="622"/>
        <item x="206"/>
        <item x="124"/>
        <item x="185"/>
        <item x="648"/>
        <item x="664"/>
        <item x="331"/>
        <item x="493"/>
        <item x="244"/>
        <item x="657"/>
        <item x="662"/>
        <item x="433"/>
        <item x="164"/>
        <item x="59"/>
        <item x="29"/>
        <item x="466"/>
        <item x="562"/>
        <item x="201"/>
        <item x="490"/>
        <item x="614"/>
        <item x="620"/>
        <item x="61"/>
        <item x="484"/>
        <item x="83"/>
        <item x="156"/>
        <item x="557"/>
        <item x="200"/>
        <item x="76"/>
        <item x="90"/>
        <item x="22"/>
        <item x="42"/>
        <item x="219"/>
        <item x="249"/>
        <item x="478"/>
        <item x="252"/>
        <item x="21"/>
        <item x="635"/>
        <item x="655"/>
        <item x="356"/>
        <item x="305"/>
        <item x="404"/>
        <item x="553"/>
        <item x="498"/>
        <item x="4"/>
        <item x="451"/>
        <item x="452"/>
        <item x="545"/>
        <item x="17"/>
        <item x="636"/>
        <item x="191"/>
        <item x="584"/>
        <item x="66"/>
        <item x="436"/>
        <item x="437"/>
        <item x="221"/>
        <item x="310"/>
        <item x="290"/>
        <item x="378"/>
        <item x="524"/>
        <item x="581"/>
        <item x="569"/>
        <item x="145"/>
        <item x="575"/>
        <item x="538"/>
        <item x="254"/>
        <item x="643"/>
        <item x="74"/>
        <item x="516"/>
        <item x="417"/>
        <item x="592"/>
        <item x="77"/>
        <item x="632"/>
        <item x="361"/>
        <item x="454"/>
        <item x="301"/>
        <item x="47"/>
        <item x="217"/>
        <item x="208"/>
        <item x="639"/>
        <item x="432"/>
        <item x="387"/>
        <item x="661"/>
        <item x="73"/>
        <item x="107"/>
        <item x="499"/>
        <item x="502"/>
        <item x="480"/>
        <item x="407"/>
        <item x="373"/>
        <item x="429"/>
        <item x="154"/>
        <item x="418"/>
        <item x="521"/>
        <item x="431"/>
        <item x="442"/>
        <item x="583"/>
        <item x="165"/>
        <item x="389"/>
        <item x="603"/>
        <item x="241"/>
        <item x="135"/>
        <item x="134"/>
        <item x="262"/>
        <item x="153"/>
        <item x="350"/>
        <item x="384"/>
        <item x="129"/>
        <item x="31"/>
        <item x="482"/>
        <item x="457"/>
        <item x="334"/>
        <item x="613"/>
        <item x="528"/>
        <item x="213"/>
        <item x="163"/>
        <item x="277"/>
        <item x="533"/>
        <item x="192"/>
        <item x="587"/>
        <item x="307"/>
        <item x="36"/>
        <item x="41"/>
        <item x="199"/>
        <item x="253"/>
        <item x="49"/>
        <item x="148"/>
        <item x="233"/>
        <item x="207"/>
        <item x="335"/>
        <item x="196"/>
        <item x="211"/>
        <item x="366"/>
        <item x="142"/>
        <item x="494"/>
        <item x="242"/>
        <item x="16"/>
        <item x="304"/>
        <item x="640"/>
        <item x="44"/>
        <item x="617"/>
        <item x="390"/>
        <item x="399"/>
        <item x="471"/>
        <item x="523"/>
        <item x="460"/>
        <item x="625"/>
        <item x="526"/>
        <item x="483"/>
        <item x="3"/>
        <item x="226"/>
        <item x="298"/>
        <item x="251"/>
        <item x="10"/>
        <item x="198"/>
        <item x="146"/>
        <item x="203"/>
        <item x="609"/>
        <item x="420"/>
        <item x="94"/>
        <item x="79"/>
        <item x="119"/>
        <item x="54"/>
        <item x="631"/>
        <item x="268"/>
        <item x="525"/>
        <item x="70"/>
        <item x="421"/>
        <item x="303"/>
        <item x="34"/>
        <item x="398"/>
        <item x="434"/>
        <item x="114"/>
        <item x="425"/>
        <item x="89"/>
        <item x="95"/>
        <item x="297"/>
        <item x="363"/>
        <item x="364"/>
        <item x="127"/>
        <item x="138"/>
        <item x="459"/>
        <item x="393"/>
        <item x="159"/>
        <item x="190"/>
        <item x="152"/>
        <item x="638"/>
        <item x="194"/>
        <item x="91"/>
        <item x="11"/>
        <item x="345"/>
        <item x="8"/>
        <item x="120"/>
        <item x="658"/>
        <item x="19"/>
        <item x="608"/>
        <item x="102"/>
        <item x="155"/>
        <item x="604"/>
        <item x="58"/>
        <item x="322"/>
        <item x="462"/>
        <item x="409"/>
        <item x="580"/>
        <item x="458"/>
        <item x="246"/>
        <item x="505"/>
        <item x="618"/>
        <item x="23"/>
        <item x="313"/>
        <item x="535"/>
        <item x="18"/>
        <item x="51"/>
        <item x="568"/>
        <item x="236"/>
        <item x="287"/>
        <item x="319"/>
        <item x="663"/>
        <item x="406"/>
        <item x="162"/>
        <item x="541"/>
        <item x="517"/>
        <item x="546"/>
        <item x="660"/>
        <item x="416"/>
        <item x="176"/>
        <item x="394"/>
        <item x="282"/>
        <item x="317"/>
        <item x="536"/>
        <item x="263"/>
        <item x="130"/>
        <item x="415"/>
        <item x="320"/>
        <item x="514"/>
        <item x="628"/>
        <item x="594"/>
        <item x="28"/>
        <item x="50"/>
        <item x="5"/>
        <item x="7"/>
        <item x="96"/>
        <item x="97"/>
        <item x="188"/>
        <item x="125"/>
        <item x="239"/>
        <item x="189"/>
        <item x="258"/>
        <item x="531"/>
        <item x="88"/>
        <item x="250"/>
        <item x="468"/>
        <item x="408"/>
        <item x="413"/>
        <item x="15"/>
        <item x="279"/>
        <item x="430"/>
        <item x="500"/>
        <item x="284"/>
        <item x="283"/>
        <item x="281"/>
        <item x="507"/>
        <item x="68"/>
        <item x="651"/>
        <item x="582"/>
        <item x="46"/>
        <item x="481"/>
        <item x="167"/>
        <item x="177"/>
        <item x="649"/>
        <item x="332"/>
        <item x="224"/>
        <item x="579"/>
        <item x="386"/>
        <item x="248"/>
        <item x="654"/>
        <item x="572"/>
        <item x="278"/>
        <item x="637"/>
        <item x="573"/>
        <item x="475"/>
        <item x="0"/>
        <item x="515"/>
        <item x="621"/>
        <item x="63"/>
        <item x="344"/>
        <item x="264"/>
        <item x="137"/>
        <item x="306"/>
        <item x="223"/>
        <item x="209"/>
        <item x="181"/>
        <item x="175"/>
        <item x="184"/>
        <item x="375"/>
        <item x="559"/>
        <item x="266"/>
        <item x="326"/>
        <item x="391"/>
        <item x="624"/>
        <item x="530"/>
        <item x="186"/>
        <item x="401"/>
        <item x="564"/>
        <item x="314"/>
        <item x="315"/>
        <item x="20"/>
        <item x="570"/>
        <item x="508"/>
        <item x="52"/>
        <item x="414"/>
        <item x="633"/>
        <item x="183"/>
        <item x="362"/>
        <item x="549"/>
        <item x="491"/>
        <item x="588"/>
        <item x="600"/>
        <item x="80"/>
        <item x="149"/>
        <item x="392"/>
        <item x="641"/>
        <item x="150"/>
        <item x="308"/>
        <item x="342"/>
        <item x="237"/>
        <item x="372"/>
        <item x="354"/>
        <item x="473"/>
        <item x="182"/>
        <item x="214"/>
        <item x="426"/>
        <item x="666"/>
        <item x="261"/>
        <item x="324"/>
        <item x="157"/>
        <item x="38"/>
        <item x="32"/>
        <item x="487"/>
        <item x="174"/>
        <item x="245"/>
        <item x="385"/>
        <item x="380"/>
        <item x="565"/>
        <item x="578"/>
        <item x="173"/>
        <item x="444"/>
        <item x="171"/>
        <item x="382"/>
        <item x="629"/>
        <item x="115"/>
        <item x="548"/>
        <item x="113"/>
        <item x="453"/>
        <item x="234"/>
        <item x="99"/>
        <item x="118"/>
        <item x="474"/>
        <item x="449"/>
        <item x="256"/>
        <item x="469"/>
        <item x="612"/>
        <item x="518"/>
        <item x="215"/>
        <item x="247"/>
        <item x="492"/>
        <item x="667"/>
        <item x="6"/>
        <item x="512"/>
        <item x="328"/>
        <item x="72"/>
        <item x="383"/>
        <item x="412"/>
        <item x="259"/>
        <item x="265"/>
        <item x="71"/>
        <item x="212"/>
        <item x="93"/>
        <item x="607"/>
        <item x="561"/>
        <item x="318"/>
        <item x="312"/>
        <item x="131"/>
        <item x="132"/>
        <item x="141"/>
        <item x="495"/>
        <item x="596"/>
        <item x="357"/>
        <item x="424"/>
        <item x="606"/>
        <item x="630"/>
        <item x="465"/>
        <item x="33"/>
        <item x="615"/>
        <item x="645"/>
        <item x="374"/>
        <item x="428"/>
        <item x="56"/>
        <item x="589"/>
        <item x="110"/>
        <item x="39"/>
        <item x="166"/>
        <item x="539"/>
        <item x="511"/>
        <item x="286"/>
        <item x="501"/>
        <item x="100"/>
        <item x="210"/>
        <item x="24"/>
        <item x="288"/>
        <item x="411"/>
        <item x="599"/>
        <item x="311"/>
        <item x="653"/>
        <item x="577"/>
        <item x="371"/>
        <item x="368"/>
        <item x="376"/>
        <item x="381"/>
        <item x="503"/>
        <item x="275"/>
        <item x="104"/>
        <item x="133"/>
        <item x="87"/>
        <item x="111"/>
        <item x="470"/>
        <item x="9"/>
        <item x="560"/>
        <item x="360"/>
        <item x="365"/>
        <item x="397"/>
        <item x="139"/>
        <item x="140"/>
        <item x="529"/>
        <item x="220"/>
        <item x="338"/>
        <item x="2"/>
        <item x="128"/>
        <item x="121"/>
        <item x="123"/>
        <item x="348"/>
        <item x="255"/>
        <item x="295"/>
        <item x="187"/>
        <item x="285"/>
        <item x="556"/>
        <item x="551"/>
        <item x="151"/>
        <item x="109"/>
        <item x="272"/>
        <item x="197"/>
        <item x="62"/>
        <item x="355"/>
        <item x="172"/>
        <item x="359"/>
        <item x="598"/>
        <item x="126"/>
        <item x="423"/>
        <item x="296"/>
        <item x="510"/>
        <item x="369"/>
        <item x="25"/>
        <item x="260"/>
        <item x="85"/>
        <item x="419"/>
        <item x="488"/>
        <item x="230"/>
        <item x="235"/>
        <item x="519"/>
        <item x="520"/>
        <item x="78"/>
        <item x="652"/>
        <item x="276"/>
        <item x="205"/>
        <item x="347"/>
        <item x="395"/>
        <item x="35"/>
        <item x="626"/>
        <item x="450"/>
        <item x="610"/>
        <item x="336"/>
        <item x="55"/>
        <item x="204"/>
        <item x="143"/>
        <item x="659"/>
        <item x="202"/>
        <item x="567"/>
        <item x="534"/>
        <item x="463"/>
        <item x="532"/>
        <item x="136"/>
        <item x="231"/>
        <item x="122"/>
        <item x="340"/>
        <item x="339"/>
        <item x="611"/>
        <item x="616"/>
        <item x="309"/>
        <item x="550"/>
        <item x="302"/>
        <item x="445"/>
        <item x="343"/>
        <item x="229"/>
        <item x="299"/>
        <item x="558"/>
        <item x="435"/>
        <item x="422"/>
        <item x="30"/>
        <item x="456"/>
        <item x="346"/>
        <item x="388"/>
        <item x="563"/>
        <item x="400"/>
        <item x="69"/>
        <item x="106"/>
        <item x="243"/>
        <item x="496"/>
        <item x="37"/>
        <item x="352"/>
        <item x="60"/>
        <item x="257"/>
        <item x="455"/>
        <item x="486"/>
        <item x="337"/>
        <item x="48"/>
        <item x="65"/>
        <item x="327"/>
        <item x="12"/>
        <item x="576"/>
        <item x="441"/>
        <item x="27"/>
        <item x="53"/>
        <item x="280"/>
        <item x="160"/>
        <item x="349"/>
        <item x="405"/>
        <item x="333"/>
        <item x="14"/>
        <item x="396"/>
        <item x="552"/>
        <item x="228"/>
        <item x="543"/>
        <item x="270"/>
        <item x="477"/>
        <item x="227"/>
        <item x="665"/>
        <item x="103"/>
        <item x="353"/>
        <item x="112"/>
        <item x="232"/>
        <item x="325"/>
        <item x="86"/>
        <item x="402"/>
        <item x="547"/>
        <item x="158"/>
        <item x="64"/>
        <item x="329"/>
        <item x="225"/>
        <item x="668"/>
        <item x="440"/>
        <item t="default"/>
      </items>
    </pivotField>
    <pivotField name="SignUp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t="default"/>
      </items>
    </pivotField>
    <pivotField name="Cancellation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ConvertPay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IsActive" compact="0" outline="0" multipleItemSelectionAllowed="1" showAll="0">
      <items>
        <item x="0"/>
        <item x="1"/>
        <item t="default"/>
      </items>
    </pivotField>
    <pivotField name="IsConversionException" axis="axisPage" compact="0" outline="0" multipleItemSelectionAllowed="1" showAll="0">
      <items>
        <item x="0"/>
        <item h="1" x="1"/>
        <item t="default"/>
      </items>
    </pivotField>
    <pivotField name="IsCountedAsChurn" compact="0" outline="0" multipleItemSelectionAllowed="1" showAll="0">
      <items>
        <item x="0"/>
        <item t="default"/>
      </items>
    </pivotField>
    <pivotField name="IsTrialConverted" compact="0" outline="0" multipleItemSelectionAllowed="1" showAll="0">
      <items>
        <item x="0"/>
        <item t="default"/>
      </items>
    </pivotField>
    <pivotField name="PayType" compact="0" outline="0" multipleItemSelectionAllowed="1" showAll="0">
      <items>
        <item x="0"/>
        <item x="1"/>
        <item t="default"/>
      </items>
    </pivotField>
    <pivotField name="App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AccountingPlatform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latformToggle" compact="0" outline="0" multipleItemSelectionAllowed="1" showAll="0">
      <items>
        <item x="0"/>
        <item x="1"/>
        <item t="default"/>
      </items>
    </pivotField>
    <pivotField name="CustDatSaaSAmountTo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CustDatLastSaaS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CustDatPSAmountToDa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DatPSLastMonth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xpectedLifetime" compact="0" outline="0" multipleItemSelectionAllowed="1" showAll="0">
      <items>
        <item x="0"/>
        <item x="1"/>
        <item t="default"/>
      </items>
    </pivotField>
    <pivotField name="MethodDiscount" compact="0" outline="0" multipleItemSelectionAllowed="1" showAll="0">
      <items>
        <item x="0"/>
        <item x="1"/>
        <item x="2"/>
        <item t="default"/>
      </items>
    </pivotField>
    <pivotField name="Channel" compact="0" outline="0" multipleItemSelectionAllowed="1" showAll="0">
      <items>
        <item x="0"/>
        <item x="1"/>
        <item x="2"/>
        <item t="default"/>
      </items>
    </pivotField>
    <pivotField name="Partn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okie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t="default"/>
      </items>
    </pivotField>
    <pivotField name="Att_Direct_SEO_Referr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Att_Direct" dataField="1" compact="0" outline="0" multipleItemSelectionAllowed="1" showAll="0">
      <items>
        <item x="0"/>
        <item x="1"/>
        <item t="default"/>
      </items>
    </pivotField>
    <pivotField name="Att_SEO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tt_OPN_Other_Peoples_Networks" dataField="1" compact="0" outline="0" multipleItemSelectionAllowed="1" showAll="0">
      <items>
        <item x="0"/>
        <item x="1"/>
        <item x="2"/>
        <item x="3"/>
        <item t="default"/>
      </items>
    </pivotField>
    <pivotField name="Att_Pay_Per_Click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tt_Partners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tt_Email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tt_Remarketing" dataField="1" compact="0" outline="0" multipleItemSelectionAllowed="1" showAll="0">
      <items>
        <item x="0"/>
        <item t="default"/>
      </items>
    </pivotField>
    <pivotField name="Att_Social" dataField="1" compact="0" outline="0" multipleItemSelectionAllowed="1" showAll="0">
      <items>
        <item x="0"/>
        <item t="default"/>
      </items>
    </pivotField>
    <pivotField name="Att_Help_Center" dataField="1" compact="0" outline="0" multipleItemSelectionAllowed="1" showAll="0">
      <items>
        <item x="0"/>
        <item t="default"/>
      </items>
    </pivotField>
    <pivotField name="Att_Online_Chat_Tool" dataField="1" compact="0" outline="0" multipleItemSelectionAllowed="1" showAll="0">
      <items>
        <item x="0"/>
        <item t="default"/>
      </items>
    </pivotField>
    <pivotField name="Att_Content" dataField="1" compact="0" outline="0" multipleItemSelectionAllowed="1" showAll="0">
      <items>
        <item x="0"/>
        <item x="1"/>
        <item x="2"/>
        <item t="default"/>
      </items>
    </pivotField>
    <pivotField name="Att_Banner_Ads" dataField="1" compact="0" outline="0" multipleItemSelectionAllowed="1" showAll="0">
      <items>
        <item x="0"/>
        <item t="default"/>
      </items>
    </pivotField>
    <pivotField name="Att_Seminar_Conference" dataField="1" compact="0" outline="0" multipleItemSelectionAllowed="1" showAll="0">
      <items>
        <item x="0"/>
        <item t="default"/>
      </items>
    </pivotField>
    <pivotField name="Att_Referral_Program" dataField="1" compact="0" outline="0" multipleItemSelectionAllowed="1" showAll="0">
      <items>
        <item x="0"/>
        <item t="default"/>
      </items>
    </pivotField>
    <pivotField name="Att_Referral_Link" dataField="1" compact="0" outline="0" multipleItemSelectionAllowed="1" showAll="0">
      <items>
        <item x="0"/>
        <item t="default"/>
      </items>
    </pivotField>
    <pivotField name="Att_Backlinks" dataField="1" compact="0" outline="0" multipleItemSelectionAllowed="1" showAll="0">
      <items>
        <item x="0"/>
        <item t="default"/>
      </items>
    </pivotField>
    <pivotField name="Att_Other" dataField="1" compact="0" outline="0" multipleItemSelectionAllowed="1" showAll="0">
      <items>
        <item x="0"/>
        <item x="1"/>
        <item t="default"/>
      </items>
    </pivotField>
    <pivotField name="Att_Webinar" compact="0" outline="0" multipleItemSelectionAllowed="1" showAll="0">
      <items>
        <item x="0"/>
        <item t="default"/>
      </items>
    </pivotField>
    <pivotField name="Att_None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yncTypeRegion" axis="axisPage" compact="0" outline="0" multipleItemSelectionAllowed="1" showAll="0">
      <items>
        <item x="0"/>
        <item x="1"/>
        <item h="1"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Vertic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ector" compact="0" outline="0" multipleItemSelectionAllowed="1" showAll="0">
      <items>
        <item x="0"/>
        <item x="1"/>
        <item t="default"/>
      </items>
    </pivotField>
    <pivotField name="CustDatIndus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CustDatFirstSyncComplet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CustDatLastRefresh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  <pivotField name="CustDatCountOfEmploye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CustDatAnnual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t="default"/>
      </items>
    </pivotField>
    <pivotField name="CustDatCountOfCustom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License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ountOfCustomScreens" compact="0" outline="0" multipleItemSelectionAllowed="1" showAll="0">
      <items>
        <item x="0"/>
        <item t="default"/>
      </items>
    </pivotField>
    <pivotField name="CountOfCustomScreensM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ay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Week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onth" axis="axisRow" compact="0" outline="0" multipleItemSelectionAllowed="1" showAll="0" sortType="ascending">
      <items>
        <item sd="0" x="1"/>
        <item x="0"/>
        <item t="default"/>
      </items>
    </pivotField>
    <pivotField name="Year" axis="axisRow" compact="0" outline="0" multipleItemSelectionAllowed="1" showAll="0" sortType="ascending">
      <items>
        <item x="0"/>
        <item t="default"/>
      </items>
    </pivotField>
  </pivotFields>
  <rowFields>
    <field x="57"/>
    <field x="56"/>
    <field x="1"/>
  </rowFields>
  <colFields>
    <field x="-2"/>
  </colFields>
  <pageFields>
    <pageField fld="6"/>
    <pageField fld="42"/>
  </pageFields>
  <dataFields>
    <dataField name="Total" fld="0" subtotal="count" baseField="0"/>
    <dataField name="None" fld="41" baseField="0"/>
    <dataField name="Other" fld="39" baseField="0"/>
    <dataField name="Direct" fld="23" baseField="0"/>
    <dataField name="SEO" fld="24" baseField="0"/>
    <dataField name="OPN" fld="25" baseField="0"/>
    <dataField name="Pay_Per_Click" fld="26" baseField="0"/>
    <dataField name="Content" fld="33" baseField="0"/>
    <dataField name="Help_Center" fld="31" baseField="0"/>
    <dataField name="Partners" fld="27" baseField="0"/>
    <dataField name="Referral_Program" fld="36" baseField="0"/>
    <dataField name="Referral_Link" fld="37" baseField="0"/>
    <dataField name="Backlink" fld="38" baseField="0"/>
    <dataField name="Email" fld="28" baseField="0"/>
    <dataField name="Social" fld="30" baseField="0"/>
    <dataField name="Remarketing" fld="29" baseField="0"/>
    <dataField name="Chat_Tool" fld="32" baseField="0"/>
    <dataField name="Banner_Ads" fld="34" baseField="0"/>
    <dataField name="Seminar_Conference" fld="35" baseField="0"/>
  </dataFields>
</pivotTableDefinition>
</file>

<file path=xl/pivotTables/pivotTable5.xml><?xml version="1.0" encoding="utf-8"?>
<pivotTableDefinition xmlns="http://schemas.openxmlformats.org/spreadsheetml/2006/main" name="SEO Trials" cacheId="1" dataCaption="" compact="0" compactData="0">
  <location ref="A3:D8" firstHeaderRow="0" firstDataRow="3" firstDataCol="0" rowPageCount="1" colPageCount="1"/>
  <pivotFields>
    <pivotField name="Record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t="default"/>
      </items>
    </pivotField>
    <pivotField name="Accoun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t="default"/>
      </items>
    </pivotField>
    <pivotField name="SignUp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t="default"/>
      </items>
    </pivotField>
    <pivotField name="Cancellation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ConvertPay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IsActive" compact="0" outline="0" multipleItemSelectionAllowed="1" showAll="0">
      <items>
        <item x="0"/>
        <item x="1"/>
        <item t="default"/>
      </items>
    </pivotField>
    <pivotField name="IsConversionException" axis="axisPage" compact="0" outline="0" multipleItemSelectionAllowed="1" showAll="0">
      <items>
        <item x="0"/>
        <item h="1" x="1"/>
        <item t="default"/>
      </items>
    </pivotField>
    <pivotField name="IsCountedAsChurn" compact="0" outline="0" multipleItemSelectionAllowed="1" showAll="0">
      <items>
        <item x="0"/>
        <item t="default"/>
      </items>
    </pivotField>
    <pivotField name="IsTrialConverted" compact="0" outline="0" multipleItemSelectionAllowed="1" showAll="0">
      <items>
        <item x="0"/>
        <item t="default"/>
      </items>
    </pivotField>
    <pivotField name="PayType" compact="0" outline="0" multipleItemSelectionAllowed="1" showAll="0">
      <items>
        <item x="0"/>
        <item x="1"/>
        <item t="default"/>
      </items>
    </pivotField>
    <pivotField name="App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AccountingPlatform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latformToggle" compact="0" outline="0" multipleItemSelectionAllowed="1" showAll="0">
      <items>
        <item x="0"/>
        <item x="1"/>
        <item t="default"/>
      </items>
    </pivotField>
    <pivotField name="CustDatSaaSAmountTo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CustDatLastSaaS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CustDatPSAmountToDa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DatPSLastMonth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xpectedLifetime" compact="0" outline="0" multipleItemSelectionAllowed="1" showAll="0">
      <items>
        <item x="0"/>
        <item x="1"/>
        <item t="default"/>
      </items>
    </pivotField>
    <pivotField name="MethodDiscount" compact="0" outline="0" multipleItemSelectionAllowed="1" showAll="0">
      <items>
        <item x="0"/>
        <item x="1"/>
        <item x="2"/>
        <item t="default"/>
      </items>
    </pivotField>
    <pivotField name="Channel" compact="0" outline="0" multipleItemSelectionAllowed="1" showAll="0">
      <items>
        <item x="0"/>
        <item x="1"/>
        <item x="2"/>
        <item t="default"/>
      </items>
    </pivotField>
    <pivotField name="Partn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okie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t="default"/>
      </items>
    </pivotField>
    <pivotField name="Att_Direct_SEO_Referr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Att_Direct" compact="0" outline="0" multipleItemSelectionAllowed="1" showAll="0">
      <items>
        <item x="0"/>
        <item x="1"/>
        <item t="default"/>
      </items>
    </pivotField>
    <pivotField name="Att_SEO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tt_OPN_Other_Peoples_Networks" compact="0" outline="0" multipleItemSelectionAllowed="1" showAll="0">
      <items>
        <item x="0"/>
        <item x="1"/>
        <item x="2"/>
        <item x="3"/>
        <item t="default"/>
      </items>
    </pivotField>
    <pivotField name="Att_Pay_Per_Click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tt_Partner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tt_Email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tt_Remarketing" compact="0" outline="0" multipleItemSelectionAllowed="1" showAll="0">
      <items>
        <item x="0"/>
        <item t="default"/>
      </items>
    </pivotField>
    <pivotField name="Att_Social" compact="0" outline="0" multipleItemSelectionAllowed="1" showAll="0">
      <items>
        <item x="0"/>
        <item t="default"/>
      </items>
    </pivotField>
    <pivotField name="Att_Help_Center" compact="0" outline="0" multipleItemSelectionAllowed="1" showAll="0">
      <items>
        <item x="0"/>
        <item t="default"/>
      </items>
    </pivotField>
    <pivotField name="Att_Online_Chat_Tool" compact="0" outline="0" multipleItemSelectionAllowed="1" showAll="0">
      <items>
        <item x="0"/>
        <item t="default"/>
      </items>
    </pivotField>
    <pivotField name="Att_Content" compact="0" outline="0" multipleItemSelectionAllowed="1" showAll="0">
      <items>
        <item x="0"/>
        <item x="1"/>
        <item x="2"/>
        <item t="default"/>
      </items>
    </pivotField>
    <pivotField name="Att_Banner_Ads" compact="0" outline="0" multipleItemSelectionAllowed="1" showAll="0">
      <items>
        <item x="0"/>
        <item t="default"/>
      </items>
    </pivotField>
    <pivotField name="Att_Seminar_Conference" compact="0" outline="0" multipleItemSelectionAllowed="1" showAll="0">
      <items>
        <item x="0"/>
        <item t="default"/>
      </items>
    </pivotField>
    <pivotField name="Att_Referral_Program" compact="0" outline="0" multipleItemSelectionAllowed="1" showAll="0">
      <items>
        <item x="0"/>
        <item t="default"/>
      </items>
    </pivotField>
    <pivotField name="Att_Referral_Link" compact="0" outline="0" multipleItemSelectionAllowed="1" showAll="0">
      <items>
        <item x="0"/>
        <item t="default"/>
      </items>
    </pivotField>
    <pivotField name="Att_Backlinks" compact="0" outline="0" multipleItemSelectionAllowed="1" showAll="0">
      <items>
        <item x="0"/>
        <item t="default"/>
      </items>
    </pivotField>
    <pivotField name="Att_Other" compact="0" outline="0" multipleItemSelectionAllowed="1" showAll="0">
      <items>
        <item x="0"/>
        <item x="1"/>
        <item t="default"/>
      </items>
    </pivotField>
    <pivotField name="Att_Webinar" compact="0" outline="0" multipleItemSelectionAllowed="1" showAll="0">
      <items>
        <item x="0"/>
        <item t="default"/>
      </items>
    </pivotField>
    <pivotField name="Att_Non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yncTypeReg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Vertic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ector" compact="0" outline="0" multipleItemSelectionAllowed="1" showAll="0">
      <items>
        <item x="0"/>
        <item x="1"/>
        <item t="default"/>
      </items>
    </pivotField>
    <pivotField name="CustDatIndus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CustDatFirstSyncComplet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CustDatLastRefresh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  <pivotField name="CustDatCountOfEmploye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CustDatAnnual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t="default"/>
      </items>
    </pivotField>
    <pivotField name="CustDatCountOfCustom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License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ountOfCustomScreens" compact="0" outline="0" multipleItemSelectionAllowed="1" showAll="0">
      <items>
        <item x="0"/>
        <item t="default"/>
      </items>
    </pivotField>
    <pivotField name="CountOfCustomScreensM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ay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Week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onth" compact="0" outline="0" multipleItemSelectionAllowed="1" showAll="0">
      <items>
        <item x="0"/>
        <item x="1"/>
        <item t="default"/>
      </items>
    </pivotField>
    <pivotField name="Year" compact="0" outline="0" multipleItemSelectionAllowed="1" showAll="0">
      <items>
        <item x="0"/>
        <item t="default"/>
      </items>
    </pivotField>
    <pivotField name="SignUp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URL" axis="axisRow" compact="0" outline="0" multipleItemSelectionAllowed="1" showAll="0" sortType="ascending">
      <items>
        <item x="27"/>
        <item x="15"/>
        <item x="63"/>
        <item x="3"/>
        <item x="111"/>
        <item x="10"/>
        <item x="112"/>
        <item x="279"/>
        <item x="275"/>
        <item x="16"/>
        <item x="186"/>
        <item x="34"/>
        <item x="114"/>
        <item x="136"/>
        <item x="36"/>
        <item x="18"/>
        <item x="147"/>
        <item x="211"/>
        <item x="60"/>
        <item x="126"/>
        <item x="280"/>
        <item x="267"/>
        <item x="175"/>
        <item x="283"/>
        <item x="161"/>
        <item x="119"/>
        <item x="234"/>
        <item x="281"/>
        <item x="101"/>
        <item x="173"/>
        <item x="94"/>
        <item x="86"/>
        <item x="254"/>
        <item x="273"/>
        <item x="73"/>
        <item x="35"/>
        <item x="183"/>
        <item x="138"/>
        <item x="226"/>
        <item x="26"/>
        <item x="38"/>
        <item x="71"/>
        <item x="190"/>
        <item x="203"/>
        <item x="48"/>
        <item x="102"/>
        <item x="77"/>
        <item x="30"/>
        <item x="271"/>
        <item x="99"/>
        <item x="6"/>
        <item x="229"/>
        <item x="113"/>
        <item x="165"/>
        <item x="269"/>
        <item x="125"/>
        <item x="74"/>
        <item x="54"/>
        <item x="237"/>
        <item x="72"/>
        <item x="92"/>
        <item x="223"/>
        <item x="231"/>
        <item x="232"/>
        <item x="241"/>
        <item x="243"/>
        <item x="217"/>
        <item x="278"/>
        <item x="202"/>
        <item x="142"/>
        <item x="50"/>
        <item x="149"/>
        <item x="180"/>
        <item x="181"/>
        <item x="205"/>
        <item x="29"/>
        <item x="208"/>
        <item x="244"/>
        <item x="199"/>
        <item x="8"/>
        <item x="22"/>
        <item x="46"/>
        <item x="196"/>
        <item x="150"/>
        <item x="95"/>
        <item x="47"/>
        <item x="167"/>
        <item x="248"/>
        <item x="121"/>
        <item x="28"/>
        <item x="122"/>
        <item x="5"/>
        <item x="137"/>
        <item x="19"/>
        <item x="260"/>
        <item x="123"/>
        <item x="53"/>
        <item x="23"/>
        <item x="227"/>
        <item x="45"/>
        <item x="43"/>
        <item x="261"/>
        <item x="236"/>
        <item x="200"/>
        <item x="247"/>
        <item x="265"/>
        <item x="169"/>
        <item x="164"/>
        <item x="215"/>
        <item x="245"/>
        <item x="118"/>
        <item x="264"/>
        <item x="12"/>
        <item x="239"/>
        <item x="81"/>
        <item x="132"/>
        <item x="155"/>
        <item x="159"/>
        <item x="160"/>
        <item x="154"/>
        <item x="128"/>
        <item x="130"/>
        <item x="219"/>
        <item x="233"/>
        <item x="238"/>
        <item x="197"/>
        <item x="13"/>
        <item x="185"/>
        <item x="87"/>
        <item x="228"/>
        <item x="67"/>
        <item x="191"/>
        <item x="249"/>
        <item x="204"/>
        <item x="251"/>
        <item x="70"/>
        <item x="62"/>
        <item x="151"/>
        <item x="31"/>
        <item x="139"/>
        <item x="148"/>
        <item x="153"/>
        <item x="80"/>
        <item x="96"/>
        <item x="187"/>
        <item x="157"/>
        <item x="140"/>
        <item x="235"/>
        <item x="240"/>
        <item x="257"/>
        <item x="209"/>
        <item x="21"/>
        <item x="255"/>
        <item x="262"/>
        <item x="32"/>
        <item x="222"/>
        <item x="263"/>
        <item x="246"/>
        <item x="274"/>
        <item x="25"/>
        <item x="131"/>
        <item x="182"/>
        <item x="124"/>
        <item x="103"/>
        <item x="104"/>
        <item x="100"/>
        <item x="166"/>
        <item x="276"/>
        <item x="284"/>
        <item x="259"/>
        <item x="184"/>
        <item x="277"/>
        <item x="108"/>
        <item x="230"/>
        <item x="98"/>
        <item x="11"/>
        <item x="221"/>
        <item x="242"/>
        <item x="177"/>
        <item x="65"/>
        <item x="178"/>
        <item x="97"/>
        <item x="201"/>
        <item x="268"/>
        <item x="9"/>
        <item x="179"/>
        <item x="4"/>
        <item x="110"/>
        <item x="216"/>
        <item x="7"/>
        <item x="282"/>
        <item x="0"/>
        <item x="17"/>
        <item x="146"/>
        <item x="55"/>
        <item x="1"/>
        <item x="83"/>
        <item x="82"/>
        <item x="84"/>
        <item x="220"/>
        <item x="253"/>
        <item x="58"/>
        <item x="189"/>
        <item x="51"/>
        <item x="116"/>
        <item x="40"/>
        <item x="76"/>
        <item x="214"/>
        <item x="145"/>
        <item x="42"/>
        <item x="163"/>
        <item x="79"/>
        <item x="68"/>
        <item x="2"/>
        <item x="117"/>
        <item x="143"/>
        <item x="270"/>
        <item x="78"/>
        <item x="171"/>
        <item x="207"/>
        <item x="115"/>
        <item x="188"/>
        <item x="162"/>
        <item x="109"/>
        <item x="33"/>
        <item x="194"/>
        <item x="134"/>
        <item x="135"/>
        <item x="129"/>
        <item x="57"/>
        <item x="141"/>
        <item x="24"/>
        <item x="172"/>
        <item x="85"/>
        <item x="133"/>
        <item x="120"/>
        <item x="174"/>
        <item x="192"/>
        <item x="91"/>
        <item x="66"/>
        <item x="224"/>
        <item x="61"/>
        <item x="272"/>
        <item x="14"/>
        <item x="88"/>
        <item x="93"/>
        <item x="49"/>
        <item x="44"/>
        <item x="206"/>
        <item x="168"/>
        <item x="218"/>
        <item x="176"/>
        <item x="213"/>
        <item x="64"/>
        <item x="198"/>
        <item x="195"/>
        <item x="39"/>
        <item x="144"/>
        <item x="212"/>
        <item x="107"/>
        <item x="158"/>
        <item x="52"/>
        <item x="69"/>
        <item x="105"/>
        <item x="210"/>
        <item x="20"/>
        <item x="252"/>
        <item x="89"/>
        <item x="156"/>
        <item x="266"/>
        <item x="250"/>
        <item x="256"/>
        <item x="193"/>
        <item x="90"/>
        <item x="258"/>
        <item x="152"/>
        <item x="41"/>
        <item x="37"/>
        <item x="170"/>
        <item x="59"/>
        <item x="56"/>
        <item x="106"/>
        <item x="127"/>
        <item x="225"/>
        <item x="75"/>
        <item t="default"/>
      </items>
    </pivotField>
    <pivotField name="Category" axis="axisRow" compact="0" outline="0" multipleItemSelectionAllowed="1" showAll="0" sortType="ascending">
      <items>
        <item sd="0" x="4"/>
        <item sd="0" x="1"/>
        <item sd="0" x="7"/>
        <item sd="0" x="12"/>
        <item sd="0" x="8"/>
        <item sd="0" x="0"/>
        <item sd="0" x="5"/>
        <item sd="0" x="18"/>
        <item sd="0" x="2"/>
        <item sd="0" x="10"/>
        <item sd="0" x="9"/>
        <item sd="0" x="16"/>
        <item sd="0" x="6"/>
        <item sd="0" x="15"/>
        <item sd="0" x="14"/>
        <item sd="0" x="11"/>
        <item sd="0" x="17"/>
        <item sd="0" x="13"/>
        <item sd="0" x="3"/>
        <item t="default"/>
      </items>
    </pivotField>
    <pivotField name="Media Type" axis="axisRow" compact="0" outline="0" multipleItemSelectionAllowed="1" showAll="0" sortType="ascending">
      <items>
        <item sd="0" x="1"/>
        <item sd="0" x="3"/>
        <item sd="0" x="0"/>
        <item sd="0" x="2"/>
        <item t="default"/>
      </items>
    </pivotField>
  </pivotFields>
  <rowFields>
    <field x="61"/>
    <field x="60"/>
    <field x="59"/>
  </rowFields>
  <pageFields>
    <pageField fld="6"/>
  </pageFields>
  <dataFields>
    <dataField name="SUM of Att_SEO" fld="24" baseField="0"/>
  </dataFields>
</pivotTableDefinition>
</file>

<file path=xl/pivotTables/pivotTable6.xml><?xml version="1.0" encoding="utf-8"?>
<pivotTableDefinition xmlns="http://schemas.openxmlformats.org/spreadsheetml/2006/main" name="SEO Syncs" cacheId="1" dataCaption="" compact="0" compactData="0">
  <location ref="A4:D20" firstHeaderRow="0" firstDataRow="3" firstDataCol="0" rowPageCount="2" colPageCount="1"/>
  <pivotFields>
    <pivotField name="Record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t="default"/>
      </items>
    </pivotField>
    <pivotField name="Accoun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t="default"/>
      </items>
    </pivotField>
    <pivotField name="SignUp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t="default"/>
      </items>
    </pivotField>
    <pivotField name="Cancellation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ConvertPay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IsActive" compact="0" outline="0" multipleItemSelectionAllowed="1" showAll="0">
      <items>
        <item x="0"/>
        <item x="1"/>
        <item t="default"/>
      </items>
    </pivotField>
    <pivotField name="IsConversionException" axis="axisPage" compact="0" outline="0" multipleItemSelectionAllowed="1" showAll="0">
      <items>
        <item x="0"/>
        <item h="1" x="1"/>
        <item t="default"/>
      </items>
    </pivotField>
    <pivotField name="IsCountedAsChurn" compact="0" outline="0" multipleItemSelectionAllowed="1" showAll="0">
      <items>
        <item x="0"/>
        <item t="default"/>
      </items>
    </pivotField>
    <pivotField name="IsTrialConverted" compact="0" outline="0" multipleItemSelectionAllowed="1" showAll="0">
      <items>
        <item x="0"/>
        <item t="default"/>
      </items>
    </pivotField>
    <pivotField name="PayType" compact="0" outline="0" multipleItemSelectionAllowed="1" showAll="0">
      <items>
        <item x="0"/>
        <item x="1"/>
        <item t="default"/>
      </items>
    </pivotField>
    <pivotField name="App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AccountingPlatform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latformToggle" compact="0" outline="0" multipleItemSelectionAllowed="1" showAll="0">
      <items>
        <item x="0"/>
        <item x="1"/>
        <item t="default"/>
      </items>
    </pivotField>
    <pivotField name="CustDatSaaSAmountTo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CustDatLastSaaS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CustDatPSAmountToDa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DatPSLastMonth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xpectedLifetime" compact="0" outline="0" multipleItemSelectionAllowed="1" showAll="0">
      <items>
        <item x="0"/>
        <item x="1"/>
        <item t="default"/>
      </items>
    </pivotField>
    <pivotField name="MethodDiscount" compact="0" outline="0" multipleItemSelectionAllowed="1" showAll="0">
      <items>
        <item x="0"/>
        <item x="1"/>
        <item x="2"/>
        <item t="default"/>
      </items>
    </pivotField>
    <pivotField name="Channel" compact="0" outline="0" multipleItemSelectionAllowed="1" showAll="0">
      <items>
        <item x="0"/>
        <item x="1"/>
        <item x="2"/>
        <item t="default"/>
      </items>
    </pivotField>
    <pivotField name="Partn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okie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t="default"/>
      </items>
    </pivotField>
    <pivotField name="Att_Direct_SEO_Referr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Att_Direct" compact="0" outline="0" multipleItemSelectionAllowed="1" showAll="0">
      <items>
        <item x="0"/>
        <item x="1"/>
        <item t="default"/>
      </items>
    </pivotField>
    <pivotField name="Att_SEO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tt_OPN_Other_Peoples_Networks" compact="0" outline="0" multipleItemSelectionAllowed="1" showAll="0">
      <items>
        <item x="0"/>
        <item x="1"/>
        <item x="2"/>
        <item x="3"/>
        <item t="default"/>
      </items>
    </pivotField>
    <pivotField name="Att_Pay_Per_Click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tt_Partner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tt_Email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tt_Remarketing" compact="0" outline="0" multipleItemSelectionAllowed="1" showAll="0">
      <items>
        <item x="0"/>
        <item t="default"/>
      </items>
    </pivotField>
    <pivotField name="Att_Social" compact="0" outline="0" multipleItemSelectionAllowed="1" showAll="0">
      <items>
        <item x="0"/>
        <item t="default"/>
      </items>
    </pivotField>
    <pivotField name="Att_Help_Center" compact="0" outline="0" multipleItemSelectionAllowed="1" showAll="0">
      <items>
        <item x="0"/>
        <item t="default"/>
      </items>
    </pivotField>
    <pivotField name="Att_Online_Chat_Tool" compact="0" outline="0" multipleItemSelectionAllowed="1" showAll="0">
      <items>
        <item x="0"/>
        <item t="default"/>
      </items>
    </pivotField>
    <pivotField name="Att_Content" compact="0" outline="0" multipleItemSelectionAllowed="1" showAll="0">
      <items>
        <item x="0"/>
        <item x="1"/>
        <item x="2"/>
        <item t="default"/>
      </items>
    </pivotField>
    <pivotField name="Att_Banner_Ads" compact="0" outline="0" multipleItemSelectionAllowed="1" showAll="0">
      <items>
        <item x="0"/>
        <item t="default"/>
      </items>
    </pivotField>
    <pivotField name="Att_Seminar_Conference" compact="0" outline="0" multipleItemSelectionAllowed="1" showAll="0">
      <items>
        <item x="0"/>
        <item t="default"/>
      </items>
    </pivotField>
    <pivotField name="Att_Referral_Program" compact="0" outline="0" multipleItemSelectionAllowed="1" showAll="0">
      <items>
        <item x="0"/>
        <item t="default"/>
      </items>
    </pivotField>
    <pivotField name="Att_Referral_Link" compact="0" outline="0" multipleItemSelectionAllowed="1" showAll="0">
      <items>
        <item x="0"/>
        <item t="default"/>
      </items>
    </pivotField>
    <pivotField name="Att_Backlinks" compact="0" outline="0" multipleItemSelectionAllowed="1" showAll="0">
      <items>
        <item x="0"/>
        <item t="default"/>
      </items>
    </pivotField>
    <pivotField name="Att_Other" compact="0" outline="0" multipleItemSelectionAllowed="1" showAll="0">
      <items>
        <item x="0"/>
        <item x="1"/>
        <item t="default"/>
      </items>
    </pivotField>
    <pivotField name="Att_Webinar" compact="0" outline="0" multipleItemSelectionAllowed="1" showAll="0">
      <items>
        <item x="0"/>
        <item t="default"/>
      </items>
    </pivotField>
    <pivotField name="Att_Non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yncTypeRegion" axis="axisPage" compact="0" outline="0" multipleItemSelectionAllowed="1" showAll="0">
      <items>
        <item x="0"/>
        <item x="1"/>
        <item h="1"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Vertic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ector" compact="0" outline="0" multipleItemSelectionAllowed="1" showAll="0">
      <items>
        <item x="0"/>
        <item x="1"/>
        <item t="default"/>
      </items>
    </pivotField>
    <pivotField name="CustDatIndus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CustDatFirstSyncComplet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CustDatLastRefresh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  <pivotField name="CustDatCountOfEmploye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CustDatAnnual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t="default"/>
      </items>
    </pivotField>
    <pivotField name="CustDatCountOfCustom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License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ountOfCustomScreens" compact="0" outline="0" multipleItemSelectionAllowed="1" showAll="0">
      <items>
        <item x="0"/>
        <item t="default"/>
      </items>
    </pivotField>
    <pivotField name="CountOfCustomScreensM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ay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Week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onth" compact="0" outline="0" multipleItemSelectionAllowed="1" showAll="0">
      <items>
        <item x="0"/>
        <item x="1"/>
        <item t="default"/>
      </items>
    </pivotField>
    <pivotField name="Year" compact="0" outline="0" multipleItemSelectionAllowed="1" showAll="0">
      <items>
        <item x="0"/>
        <item t="default"/>
      </items>
    </pivotField>
    <pivotField name="SignUp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URL" axis="axisRow" compact="0" outline="0" multipleItemSelectionAllowed="1" showAll="0" sortType="ascending">
      <items>
        <item x="27"/>
        <item x="15"/>
        <item x="63"/>
        <item x="3"/>
        <item x="111"/>
        <item x="10"/>
        <item x="112"/>
        <item x="279"/>
        <item x="275"/>
        <item x="16"/>
        <item x="186"/>
        <item x="34"/>
        <item x="114"/>
        <item x="136"/>
        <item x="36"/>
        <item x="18"/>
        <item x="147"/>
        <item x="211"/>
        <item x="60"/>
        <item x="126"/>
        <item x="280"/>
        <item x="267"/>
        <item x="175"/>
        <item x="283"/>
        <item x="161"/>
        <item x="119"/>
        <item x="234"/>
        <item x="281"/>
        <item x="101"/>
        <item x="173"/>
        <item x="94"/>
        <item x="86"/>
        <item x="254"/>
        <item x="273"/>
        <item x="73"/>
        <item x="35"/>
        <item x="183"/>
        <item x="138"/>
        <item x="226"/>
        <item x="26"/>
        <item x="38"/>
        <item x="71"/>
        <item x="190"/>
        <item x="203"/>
        <item x="48"/>
        <item x="102"/>
        <item x="77"/>
        <item x="30"/>
        <item x="271"/>
        <item x="99"/>
        <item x="6"/>
        <item x="229"/>
        <item x="113"/>
        <item x="165"/>
        <item x="269"/>
        <item x="125"/>
        <item x="74"/>
        <item x="54"/>
        <item x="237"/>
        <item x="72"/>
        <item x="92"/>
        <item x="223"/>
        <item x="231"/>
        <item x="232"/>
        <item x="241"/>
        <item x="243"/>
        <item x="217"/>
        <item x="278"/>
        <item x="202"/>
        <item x="142"/>
        <item x="50"/>
        <item x="149"/>
        <item x="180"/>
        <item x="181"/>
        <item x="205"/>
        <item x="29"/>
        <item x="208"/>
        <item x="244"/>
        <item x="199"/>
        <item x="8"/>
        <item x="22"/>
        <item x="46"/>
        <item x="196"/>
        <item x="150"/>
        <item x="95"/>
        <item x="47"/>
        <item x="167"/>
        <item x="248"/>
        <item x="121"/>
        <item x="28"/>
        <item x="122"/>
        <item x="5"/>
        <item x="137"/>
        <item x="19"/>
        <item x="260"/>
        <item x="123"/>
        <item x="53"/>
        <item x="23"/>
        <item x="227"/>
        <item x="45"/>
        <item x="43"/>
        <item x="261"/>
        <item x="236"/>
        <item x="200"/>
        <item x="247"/>
        <item x="265"/>
        <item x="169"/>
        <item x="164"/>
        <item x="215"/>
        <item x="245"/>
        <item x="118"/>
        <item x="264"/>
        <item x="12"/>
        <item x="239"/>
        <item x="81"/>
        <item x="132"/>
        <item x="155"/>
        <item x="159"/>
        <item x="160"/>
        <item x="154"/>
        <item x="128"/>
        <item x="130"/>
        <item x="219"/>
        <item x="233"/>
        <item x="238"/>
        <item x="197"/>
        <item x="13"/>
        <item x="185"/>
        <item x="87"/>
        <item x="228"/>
        <item x="67"/>
        <item x="191"/>
        <item x="249"/>
        <item x="204"/>
        <item x="251"/>
        <item x="70"/>
        <item x="62"/>
        <item x="151"/>
        <item x="31"/>
        <item x="139"/>
        <item x="148"/>
        <item x="153"/>
        <item x="80"/>
        <item x="96"/>
        <item x="187"/>
        <item x="157"/>
        <item x="140"/>
        <item x="235"/>
        <item x="240"/>
        <item x="257"/>
        <item x="209"/>
        <item x="21"/>
        <item x="255"/>
        <item x="262"/>
        <item x="32"/>
        <item x="222"/>
        <item x="263"/>
        <item x="246"/>
        <item x="274"/>
        <item x="25"/>
        <item x="131"/>
        <item x="182"/>
        <item x="124"/>
        <item x="103"/>
        <item x="104"/>
        <item x="100"/>
        <item x="166"/>
        <item x="276"/>
        <item x="284"/>
        <item x="259"/>
        <item x="184"/>
        <item x="277"/>
        <item x="108"/>
        <item x="230"/>
        <item x="98"/>
        <item x="11"/>
        <item x="221"/>
        <item x="242"/>
        <item x="177"/>
        <item x="65"/>
        <item x="178"/>
        <item x="97"/>
        <item x="201"/>
        <item x="268"/>
        <item x="9"/>
        <item x="179"/>
        <item x="4"/>
        <item x="110"/>
        <item x="216"/>
        <item x="7"/>
        <item x="282"/>
        <item x="0"/>
        <item x="17"/>
        <item x="146"/>
        <item x="55"/>
        <item x="1"/>
        <item x="83"/>
        <item x="82"/>
        <item x="84"/>
        <item x="220"/>
        <item x="253"/>
        <item x="58"/>
        <item x="189"/>
        <item x="51"/>
        <item x="116"/>
        <item x="40"/>
        <item x="76"/>
        <item x="214"/>
        <item x="145"/>
        <item x="42"/>
        <item x="163"/>
        <item x="79"/>
        <item x="68"/>
        <item x="2"/>
        <item x="117"/>
        <item x="143"/>
        <item x="270"/>
        <item x="78"/>
        <item x="171"/>
        <item x="207"/>
        <item x="115"/>
        <item x="188"/>
        <item x="162"/>
        <item x="109"/>
        <item x="33"/>
        <item x="194"/>
        <item x="134"/>
        <item x="135"/>
        <item x="129"/>
        <item x="57"/>
        <item x="141"/>
        <item x="24"/>
        <item x="172"/>
        <item x="85"/>
        <item x="133"/>
        <item x="120"/>
        <item x="174"/>
        <item x="192"/>
        <item x="91"/>
        <item x="66"/>
        <item x="224"/>
        <item x="61"/>
        <item x="272"/>
        <item x="14"/>
        <item x="88"/>
        <item x="93"/>
        <item x="49"/>
        <item x="44"/>
        <item x="206"/>
        <item x="168"/>
        <item x="218"/>
        <item x="176"/>
        <item x="213"/>
        <item x="64"/>
        <item x="198"/>
        <item x="195"/>
        <item x="39"/>
        <item x="144"/>
        <item x="212"/>
        <item x="107"/>
        <item x="158"/>
        <item x="52"/>
        <item x="69"/>
        <item x="105"/>
        <item x="210"/>
        <item x="20"/>
        <item x="252"/>
        <item x="89"/>
        <item x="156"/>
        <item x="266"/>
        <item x="250"/>
        <item x="256"/>
        <item x="193"/>
        <item x="90"/>
        <item x="258"/>
        <item x="152"/>
        <item x="41"/>
        <item x="37"/>
        <item x="170"/>
        <item x="59"/>
        <item x="56"/>
        <item x="106"/>
        <item x="127"/>
        <item x="225"/>
        <item x="75"/>
        <item t="default"/>
      </items>
    </pivotField>
    <pivotField name="Category" axis="axisRow" compact="0" outline="0" multipleItemSelectionAllowed="1" showAll="0" sortType="ascending">
      <items>
        <item sd="0" x="4"/>
        <item sd="0" x="1"/>
        <item sd="0" x="7"/>
        <item x="12"/>
        <item sd="0" x="8"/>
        <item sd="0" x="0"/>
        <item sd="0" x="5"/>
        <item sd="0" x="18"/>
        <item sd="0" x="2"/>
        <item sd="0" x="10"/>
        <item sd="0" x="9"/>
        <item x="16"/>
        <item sd="0" x="6"/>
        <item x="15"/>
        <item x="14"/>
        <item sd="0" x="11"/>
        <item x="17"/>
        <item sd="0" x="13"/>
        <item x="3"/>
        <item t="default"/>
      </items>
    </pivotField>
    <pivotField name="Media Type" axis="axisRow" compact="0" outline="0" multipleItemSelectionAllowed="1" showAll="0" sortType="ascending">
      <items>
        <item x="1"/>
        <item sd="0" x="3"/>
        <item x="0"/>
        <item sd="0" x="2"/>
        <item t="default"/>
      </items>
    </pivotField>
  </pivotFields>
  <rowFields>
    <field x="61"/>
    <field x="60"/>
    <field x="59"/>
  </rowFields>
  <pageFields>
    <pageField fld="6"/>
    <pageField fld="42"/>
  </pageFields>
  <dataFields>
    <dataField name="SUM of Att_SEO" fld="24" baseField="0"/>
  </dataFields>
</pivotTableDefinition>
</file>

<file path=xl/pivotTables/pivotTable7.xml><?xml version="1.0" encoding="utf-8"?>
<pivotTableDefinition xmlns="http://schemas.openxmlformats.org/spreadsheetml/2006/main" name="SEO Conversions" cacheId="1" dataCaption="" compact="0" compactData="0">
  <location ref="A4:D8" firstHeaderRow="0" firstDataRow="3" firstDataCol="0" rowPageCount="2" colPageCount="1"/>
  <pivotFields>
    <pivotField name="Record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t="default"/>
      </items>
    </pivotField>
    <pivotField name="Accoun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t="default"/>
      </items>
    </pivotField>
    <pivotField name="SignUp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t="default"/>
      </items>
    </pivotField>
    <pivotField name="Cancellation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ConvertPayDate" axis="axisPage" compact="0" outline="0" multipleItemSelectionAllowed="1" showAll="0">
      <items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IsActive" compact="0" outline="0" multipleItemSelectionAllowed="1" showAll="0">
      <items>
        <item x="0"/>
        <item x="1"/>
        <item t="default"/>
      </items>
    </pivotField>
    <pivotField name="IsConversionException" axis="axisPage" compact="0" outline="0" multipleItemSelectionAllowed="1" showAll="0">
      <items>
        <item x="0"/>
        <item h="1" x="1"/>
        <item t="default"/>
      </items>
    </pivotField>
    <pivotField name="IsCountedAsChurn" compact="0" outline="0" multipleItemSelectionAllowed="1" showAll="0">
      <items>
        <item x="0"/>
        <item t="default"/>
      </items>
    </pivotField>
    <pivotField name="IsTrialConverted" compact="0" outline="0" multipleItemSelectionAllowed="1" showAll="0">
      <items>
        <item x="0"/>
        <item t="default"/>
      </items>
    </pivotField>
    <pivotField name="PayType" compact="0" outline="0" multipleItemSelectionAllowed="1" showAll="0">
      <items>
        <item x="0"/>
        <item x="1"/>
        <item t="default"/>
      </items>
    </pivotField>
    <pivotField name="App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AccountingPlatform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latformToggle" compact="0" outline="0" multipleItemSelectionAllowed="1" showAll="0">
      <items>
        <item x="0"/>
        <item x="1"/>
        <item t="default"/>
      </items>
    </pivotField>
    <pivotField name="CustDatSaaSAmountTo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CustDatLastSaaS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CustDatPSAmountToDa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DatPSLastMonth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xpectedLifetime" compact="0" outline="0" multipleItemSelectionAllowed="1" showAll="0">
      <items>
        <item x="0"/>
        <item x="1"/>
        <item t="default"/>
      </items>
    </pivotField>
    <pivotField name="MethodDiscount" compact="0" outline="0" multipleItemSelectionAllowed="1" showAll="0">
      <items>
        <item x="0"/>
        <item x="1"/>
        <item x="2"/>
        <item t="default"/>
      </items>
    </pivotField>
    <pivotField name="Channel" compact="0" outline="0" multipleItemSelectionAllowed="1" showAll="0">
      <items>
        <item x="0"/>
        <item x="1"/>
        <item x="2"/>
        <item t="default"/>
      </items>
    </pivotField>
    <pivotField name="Partn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okie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t="default"/>
      </items>
    </pivotField>
    <pivotField name="Att_Direct_SEO_Referr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Att_Direct" compact="0" outline="0" multipleItemSelectionAllowed="1" showAll="0">
      <items>
        <item x="0"/>
        <item x="1"/>
        <item t="default"/>
      </items>
    </pivotField>
    <pivotField name="Att_SEO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tt_OPN_Other_Peoples_Networks" compact="0" outline="0" multipleItemSelectionAllowed="1" showAll="0">
      <items>
        <item x="0"/>
        <item x="1"/>
        <item x="2"/>
        <item x="3"/>
        <item t="default"/>
      </items>
    </pivotField>
    <pivotField name="Att_Pay_Per_Click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tt_Partner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tt_Email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tt_Remarketing" compact="0" outline="0" multipleItemSelectionAllowed="1" showAll="0">
      <items>
        <item x="0"/>
        <item t="default"/>
      </items>
    </pivotField>
    <pivotField name="Att_Social" compact="0" outline="0" multipleItemSelectionAllowed="1" showAll="0">
      <items>
        <item x="0"/>
        <item t="default"/>
      </items>
    </pivotField>
    <pivotField name="Att_Help_Center" compact="0" outline="0" multipleItemSelectionAllowed="1" showAll="0">
      <items>
        <item x="0"/>
        <item t="default"/>
      </items>
    </pivotField>
    <pivotField name="Att_Online_Chat_Tool" compact="0" outline="0" multipleItemSelectionAllowed="1" showAll="0">
      <items>
        <item x="0"/>
        <item t="default"/>
      </items>
    </pivotField>
    <pivotField name="Att_Content" compact="0" outline="0" multipleItemSelectionAllowed="1" showAll="0">
      <items>
        <item x="0"/>
        <item x="1"/>
        <item x="2"/>
        <item t="default"/>
      </items>
    </pivotField>
    <pivotField name="Att_Banner_Ads" compact="0" outline="0" multipleItemSelectionAllowed="1" showAll="0">
      <items>
        <item x="0"/>
        <item t="default"/>
      </items>
    </pivotField>
    <pivotField name="Att_Seminar_Conference" compact="0" outline="0" multipleItemSelectionAllowed="1" showAll="0">
      <items>
        <item x="0"/>
        <item t="default"/>
      </items>
    </pivotField>
    <pivotField name="Att_Referral_Program" compact="0" outline="0" multipleItemSelectionAllowed="1" showAll="0">
      <items>
        <item x="0"/>
        <item t="default"/>
      </items>
    </pivotField>
    <pivotField name="Att_Referral_Link" compact="0" outline="0" multipleItemSelectionAllowed="1" showAll="0">
      <items>
        <item x="0"/>
        <item t="default"/>
      </items>
    </pivotField>
    <pivotField name="Att_Backlinks" compact="0" outline="0" multipleItemSelectionAllowed="1" showAll="0">
      <items>
        <item x="0"/>
        <item t="default"/>
      </items>
    </pivotField>
    <pivotField name="Att_Other" compact="0" outline="0" multipleItemSelectionAllowed="1" showAll="0">
      <items>
        <item x="0"/>
        <item x="1"/>
        <item t="default"/>
      </items>
    </pivotField>
    <pivotField name="Att_Webinar" compact="0" outline="0" multipleItemSelectionAllowed="1" showAll="0">
      <items>
        <item x="0"/>
        <item t="default"/>
      </items>
    </pivotField>
    <pivotField name="Att_Non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yncTypeReg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Vertic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ector" compact="0" outline="0" multipleItemSelectionAllowed="1" showAll="0">
      <items>
        <item x="0"/>
        <item x="1"/>
        <item t="default"/>
      </items>
    </pivotField>
    <pivotField name="CustDatIndus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CustDatFirstSyncComplet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CustDatLastRefresh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  <pivotField name="CustDatCountOfEmploye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CustDatAnnual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t="default"/>
      </items>
    </pivotField>
    <pivotField name="CustDatCountOfCustom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License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ountOfCustomScreens" compact="0" outline="0" multipleItemSelectionAllowed="1" showAll="0">
      <items>
        <item x="0"/>
        <item t="default"/>
      </items>
    </pivotField>
    <pivotField name="CountOfCustomScreensM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ay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Week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onth" compact="0" outline="0" multipleItemSelectionAllowed="1" showAll="0">
      <items>
        <item x="0"/>
        <item x="1"/>
        <item t="default"/>
      </items>
    </pivotField>
    <pivotField name="Year" compact="0" outline="0" multipleItemSelectionAllowed="1" showAll="0">
      <items>
        <item x="0"/>
        <item t="default"/>
      </items>
    </pivotField>
    <pivotField name="SignUp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URL" axis="axisRow" compact="0" outline="0" multipleItemSelectionAllowed="1" showAll="0" sortType="ascending">
      <items>
        <item x="27"/>
        <item x="15"/>
        <item x="63"/>
        <item x="3"/>
        <item x="111"/>
        <item x="10"/>
        <item x="112"/>
        <item x="279"/>
        <item x="275"/>
        <item x="16"/>
        <item x="186"/>
        <item x="34"/>
        <item x="114"/>
        <item x="136"/>
        <item x="36"/>
        <item x="18"/>
        <item x="147"/>
        <item x="211"/>
        <item x="60"/>
        <item x="126"/>
        <item x="280"/>
        <item x="267"/>
        <item x="175"/>
        <item x="283"/>
        <item x="161"/>
        <item x="119"/>
        <item x="234"/>
        <item x="281"/>
        <item x="101"/>
        <item x="173"/>
        <item x="94"/>
        <item x="86"/>
        <item x="254"/>
        <item x="273"/>
        <item x="73"/>
        <item x="35"/>
        <item x="183"/>
        <item x="138"/>
        <item x="226"/>
        <item x="26"/>
        <item x="38"/>
        <item x="71"/>
        <item x="190"/>
        <item x="203"/>
        <item x="48"/>
        <item x="102"/>
        <item x="77"/>
        <item x="30"/>
        <item x="271"/>
        <item x="99"/>
        <item x="6"/>
        <item x="229"/>
        <item x="113"/>
        <item x="165"/>
        <item x="269"/>
        <item x="125"/>
        <item x="74"/>
        <item x="54"/>
        <item x="237"/>
        <item x="72"/>
        <item x="92"/>
        <item x="223"/>
        <item x="231"/>
        <item x="232"/>
        <item x="241"/>
        <item x="243"/>
        <item x="217"/>
        <item x="278"/>
        <item x="202"/>
        <item x="142"/>
        <item x="50"/>
        <item x="149"/>
        <item x="180"/>
        <item x="181"/>
        <item x="205"/>
        <item x="29"/>
        <item x="208"/>
        <item x="244"/>
        <item x="199"/>
        <item x="8"/>
        <item x="22"/>
        <item x="46"/>
        <item x="196"/>
        <item x="150"/>
        <item x="95"/>
        <item x="47"/>
        <item x="167"/>
        <item x="248"/>
        <item x="121"/>
        <item x="28"/>
        <item x="122"/>
        <item x="5"/>
        <item x="137"/>
        <item x="19"/>
        <item x="260"/>
        <item x="123"/>
        <item x="53"/>
        <item x="23"/>
        <item x="227"/>
        <item x="45"/>
        <item x="43"/>
        <item x="261"/>
        <item x="236"/>
        <item x="200"/>
        <item x="247"/>
        <item x="265"/>
        <item x="169"/>
        <item x="164"/>
        <item x="215"/>
        <item x="245"/>
        <item x="118"/>
        <item x="264"/>
        <item x="12"/>
        <item x="239"/>
        <item x="81"/>
        <item x="132"/>
        <item x="155"/>
        <item x="159"/>
        <item x="160"/>
        <item x="154"/>
        <item x="128"/>
        <item x="130"/>
        <item x="219"/>
        <item x="233"/>
        <item x="238"/>
        <item x="197"/>
        <item x="13"/>
        <item x="185"/>
        <item x="87"/>
        <item x="228"/>
        <item x="67"/>
        <item x="191"/>
        <item x="249"/>
        <item x="204"/>
        <item x="251"/>
        <item x="70"/>
        <item x="62"/>
        <item x="151"/>
        <item x="31"/>
        <item x="139"/>
        <item x="148"/>
        <item x="153"/>
        <item x="80"/>
        <item x="96"/>
        <item x="187"/>
        <item x="157"/>
        <item x="140"/>
        <item x="235"/>
        <item x="240"/>
        <item x="257"/>
        <item x="209"/>
        <item x="21"/>
        <item x="255"/>
        <item x="262"/>
        <item x="32"/>
        <item x="222"/>
        <item x="263"/>
        <item x="246"/>
        <item x="274"/>
        <item x="25"/>
        <item x="131"/>
        <item x="182"/>
        <item x="124"/>
        <item x="103"/>
        <item x="104"/>
        <item x="100"/>
        <item x="166"/>
        <item x="276"/>
        <item x="284"/>
        <item x="259"/>
        <item x="184"/>
        <item x="277"/>
        <item x="108"/>
        <item x="230"/>
        <item x="98"/>
        <item x="11"/>
        <item x="221"/>
        <item x="242"/>
        <item x="177"/>
        <item x="65"/>
        <item x="178"/>
        <item x="97"/>
        <item x="201"/>
        <item x="268"/>
        <item x="9"/>
        <item x="179"/>
        <item x="4"/>
        <item x="110"/>
        <item x="216"/>
        <item x="7"/>
        <item x="282"/>
        <item x="0"/>
        <item x="17"/>
        <item x="146"/>
        <item x="55"/>
        <item x="1"/>
        <item x="83"/>
        <item x="82"/>
        <item x="84"/>
        <item x="220"/>
        <item x="253"/>
        <item x="58"/>
        <item x="189"/>
        <item x="51"/>
        <item x="116"/>
        <item x="40"/>
        <item x="76"/>
        <item x="214"/>
        <item x="145"/>
        <item x="42"/>
        <item x="163"/>
        <item x="79"/>
        <item x="68"/>
        <item x="2"/>
        <item x="117"/>
        <item x="143"/>
        <item x="270"/>
        <item x="78"/>
        <item x="171"/>
        <item x="207"/>
        <item x="115"/>
        <item x="188"/>
        <item x="162"/>
        <item x="109"/>
        <item x="33"/>
        <item x="194"/>
        <item x="134"/>
        <item x="135"/>
        <item x="129"/>
        <item x="57"/>
        <item x="141"/>
        <item x="24"/>
        <item x="172"/>
        <item x="85"/>
        <item x="133"/>
        <item x="120"/>
        <item x="174"/>
        <item x="192"/>
        <item x="91"/>
        <item x="66"/>
        <item x="224"/>
        <item x="61"/>
        <item x="272"/>
        <item x="14"/>
        <item x="88"/>
        <item x="93"/>
        <item x="49"/>
        <item x="44"/>
        <item x="206"/>
        <item x="168"/>
        <item x="218"/>
        <item x="176"/>
        <item x="213"/>
        <item x="64"/>
        <item x="198"/>
        <item x="195"/>
        <item x="39"/>
        <item x="144"/>
        <item x="212"/>
        <item x="107"/>
        <item x="158"/>
        <item x="52"/>
        <item x="69"/>
        <item x="105"/>
        <item x="210"/>
        <item x="20"/>
        <item x="252"/>
        <item x="89"/>
        <item x="156"/>
        <item x="266"/>
        <item x="250"/>
        <item x="256"/>
        <item x="193"/>
        <item x="90"/>
        <item x="258"/>
        <item x="152"/>
        <item x="41"/>
        <item x="37"/>
        <item x="170"/>
        <item x="59"/>
        <item x="56"/>
        <item x="106"/>
        <item x="127"/>
        <item x="225"/>
        <item x="75"/>
        <item t="default"/>
      </items>
    </pivotField>
    <pivotField name="Category" axis="axisRow" compact="0" outline="0" multipleItemSelectionAllowed="1" showAll="0" sortType="ascending">
      <items>
        <item x="4"/>
        <item x="1"/>
        <item x="7"/>
        <item x="12"/>
        <item x="8"/>
        <item x="0"/>
        <item x="5"/>
        <item x="18"/>
        <item x="2"/>
        <item x="10"/>
        <item x="9"/>
        <item x="16"/>
        <item x="6"/>
        <item x="15"/>
        <item x="14"/>
        <item x="11"/>
        <item x="17"/>
        <item x="13"/>
        <item x="3"/>
        <item t="default"/>
      </items>
    </pivotField>
    <pivotField name="Media Type" axis="axisRow" compact="0" outline="0" multipleItemSelectionAllowed="1" showAll="0" sortType="ascending">
      <items>
        <item sd="0" x="1"/>
        <item x="3"/>
        <item sd="0" x="0"/>
        <item sd="0" x="2"/>
        <item t="default"/>
      </items>
    </pivotField>
  </pivotFields>
  <rowFields>
    <field x="61"/>
    <field x="60"/>
    <field x="59"/>
  </rowFields>
  <pageFields>
    <pageField fld="6"/>
    <pageField fld="4"/>
  </pageFields>
  <dataFields>
    <dataField name="SUM of Att_SEO" fld="24" baseField="0"/>
  </dataFields>
</pivotTableDefinition>
</file>

<file path=xl/pivotTables/pivotTable8.xml><?xml version="1.0" encoding="utf-8"?>
<pivotTableDefinition xmlns="http://schemas.openxmlformats.org/spreadsheetml/2006/main" name="SEO Referrers" cacheId="1" dataCaption="" compact="0" compactData="0">
  <location ref="A3:D14" firstHeaderRow="0" firstDataRow="3" firstDataCol="0" rowPageCount="1" colPageCount="1"/>
  <pivotFields>
    <pivotField name="Record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t="default"/>
      </items>
    </pivotField>
    <pivotField name="Accoun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t="default"/>
      </items>
    </pivotField>
    <pivotField name="SignUp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t="default"/>
      </items>
    </pivotField>
    <pivotField name="Cancellation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ConvertPay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IsActive" compact="0" outline="0" multipleItemSelectionAllowed="1" showAll="0">
      <items>
        <item x="0"/>
        <item x="1"/>
        <item t="default"/>
      </items>
    </pivotField>
    <pivotField name="IsConversionException" axis="axisPage" compact="0" outline="0" multipleItemSelectionAllowed="1" showAll="0">
      <items>
        <item x="0"/>
        <item h="1" x="1"/>
        <item t="default"/>
      </items>
    </pivotField>
    <pivotField name="IsCountedAsChurn" compact="0" outline="0" multipleItemSelectionAllowed="1" showAll="0">
      <items>
        <item x="0"/>
        <item t="default"/>
      </items>
    </pivotField>
    <pivotField name="IsTrialConverted" compact="0" outline="0" multipleItemSelectionAllowed="1" showAll="0">
      <items>
        <item x="0"/>
        <item t="default"/>
      </items>
    </pivotField>
    <pivotField name="PayType" compact="0" outline="0" multipleItemSelectionAllowed="1" showAll="0">
      <items>
        <item x="0"/>
        <item x="1"/>
        <item t="default"/>
      </items>
    </pivotField>
    <pivotField name="App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AccountingPlatform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latformToggle" compact="0" outline="0" multipleItemSelectionAllowed="1" showAll="0">
      <items>
        <item x="0"/>
        <item x="1"/>
        <item t="default"/>
      </items>
    </pivotField>
    <pivotField name="CustDatSaaSAmountTo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CustDatLastSaaS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CustDatPSAmountToDa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DatPSLastMonth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xpectedLifetime" compact="0" outline="0" multipleItemSelectionAllowed="1" showAll="0">
      <items>
        <item x="0"/>
        <item x="1"/>
        <item t="default"/>
      </items>
    </pivotField>
    <pivotField name="MethodDiscount" compact="0" outline="0" multipleItemSelectionAllowed="1" showAll="0">
      <items>
        <item x="0"/>
        <item x="1"/>
        <item x="2"/>
        <item t="default"/>
      </items>
    </pivotField>
    <pivotField name="Channel" compact="0" outline="0" multipleItemSelectionAllowed="1" showAll="0">
      <items>
        <item x="0"/>
        <item x="1"/>
        <item x="2"/>
        <item t="default"/>
      </items>
    </pivotField>
    <pivotField name="Partn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okie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t="default"/>
      </items>
    </pivotField>
    <pivotField name="Att_Direct_SEO_Referrer" axis="axisRow" compact="0" outline="0" multipleItemSelectionAllowed="1" showAll="0" sortType="ascending">
      <items>
        <item sd="0" x="1"/>
        <item sd="0" x="8"/>
        <item x="7"/>
        <item sd="0" x="2"/>
        <item sd="0" x="5"/>
        <item sd="0" x="6"/>
        <item sd="0" x="3"/>
        <item sd="0" x="0"/>
        <item sd="0" x="4"/>
        <item t="default"/>
      </items>
    </pivotField>
    <pivotField name="Att_Direct" compact="0" outline="0" multipleItemSelectionAllowed="1" showAll="0">
      <items>
        <item x="0"/>
        <item x="1"/>
        <item t="default"/>
      </items>
    </pivotField>
    <pivotField name="Att_SEO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tt_OPN_Other_Peoples_Networks" compact="0" outline="0" multipleItemSelectionAllowed="1" showAll="0">
      <items>
        <item x="0"/>
        <item x="1"/>
        <item x="2"/>
        <item x="3"/>
        <item t="default"/>
      </items>
    </pivotField>
    <pivotField name="Att_Pay_Per_Click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tt_Partner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tt_Email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tt_Remarketing" compact="0" outline="0" multipleItemSelectionAllowed="1" showAll="0">
      <items>
        <item x="0"/>
        <item t="default"/>
      </items>
    </pivotField>
    <pivotField name="Att_Social" dataField="1" compact="0" outline="0" multipleItemSelectionAllowed="1" showAll="0">
      <items>
        <item x="0"/>
        <item t="default"/>
      </items>
    </pivotField>
    <pivotField name="Att_Help_Center" compact="0" outline="0" multipleItemSelectionAllowed="1" showAll="0">
      <items>
        <item x="0"/>
        <item t="default"/>
      </items>
    </pivotField>
    <pivotField name="Att_Online_Chat_Tool" compact="0" outline="0" multipleItemSelectionAllowed="1" showAll="0">
      <items>
        <item x="0"/>
        <item t="default"/>
      </items>
    </pivotField>
    <pivotField name="Att_Content" compact="0" outline="0" multipleItemSelectionAllowed="1" showAll="0">
      <items>
        <item x="0"/>
        <item x="1"/>
        <item x="2"/>
        <item t="default"/>
      </items>
    </pivotField>
    <pivotField name="Att_Banner_Ads" compact="0" outline="0" multipleItemSelectionAllowed="1" showAll="0">
      <items>
        <item x="0"/>
        <item t="default"/>
      </items>
    </pivotField>
    <pivotField name="Att_Seminar_Conference" compact="0" outline="0" multipleItemSelectionAllowed="1" showAll="0">
      <items>
        <item x="0"/>
        <item t="default"/>
      </items>
    </pivotField>
    <pivotField name="Att_Referral_Program" compact="0" outline="0" multipleItemSelectionAllowed="1" showAll="0">
      <items>
        <item x="0"/>
        <item t="default"/>
      </items>
    </pivotField>
    <pivotField name="Att_Referral_Link" compact="0" outline="0" multipleItemSelectionAllowed="1" showAll="0">
      <items>
        <item x="0"/>
        <item t="default"/>
      </items>
    </pivotField>
    <pivotField name="Att_Backlinks" compact="0" outline="0" multipleItemSelectionAllowed="1" showAll="0">
      <items>
        <item x="0"/>
        <item t="default"/>
      </items>
    </pivotField>
    <pivotField name="Att_Other" compact="0" outline="0" multipleItemSelectionAllowed="1" showAll="0">
      <items>
        <item x="0"/>
        <item x="1"/>
        <item t="default"/>
      </items>
    </pivotField>
    <pivotField name="Att_Webinar" compact="0" outline="0" multipleItemSelectionAllowed="1" showAll="0">
      <items>
        <item x="0"/>
        <item t="default"/>
      </items>
    </pivotField>
    <pivotField name="Att_Non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yncTypeReg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Vertic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ector" compact="0" outline="0" multipleItemSelectionAllowed="1" showAll="0">
      <items>
        <item x="0"/>
        <item x="1"/>
        <item t="default"/>
      </items>
    </pivotField>
    <pivotField name="CustDatIndus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CustDatFirstSyncComplet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CustDatLastRefresh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  <pivotField name="CustDatCountOfEmploye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CustDatAnnual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t="default"/>
      </items>
    </pivotField>
    <pivotField name="CustDatCountOfCustom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License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ountOfCustomScreens" compact="0" outline="0" multipleItemSelectionAllowed="1" showAll="0">
      <items>
        <item x="0"/>
        <item t="default"/>
      </items>
    </pivotField>
    <pivotField name="CountOfCustomScreensM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ay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Week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onth" compact="0" outline="0" multipleItemSelectionAllowed="1" showAll="0">
      <items>
        <item x="0"/>
        <item x="1"/>
        <item t="default"/>
      </items>
    </pivotField>
    <pivotField name="Year" compact="0" outline="0" multipleItemSelectionAllowed="1" showAll="0">
      <items>
        <item x="0"/>
        <item t="default"/>
      </items>
    </pivotField>
    <pivotField name="SignUp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URL" axis="axisRow" compact="0" outline="0" multipleItemSelectionAllowed="1" showAll="0" sortType="ascending">
      <items>
        <item x="27"/>
        <item x="15"/>
        <item x="63"/>
        <item x="3"/>
        <item x="111"/>
        <item x="10"/>
        <item x="112"/>
        <item x="279"/>
        <item x="275"/>
        <item x="16"/>
        <item x="186"/>
        <item x="34"/>
        <item x="114"/>
        <item x="136"/>
        <item x="36"/>
        <item x="18"/>
        <item x="147"/>
        <item x="211"/>
        <item x="60"/>
        <item x="126"/>
        <item x="280"/>
        <item x="267"/>
        <item x="175"/>
        <item x="283"/>
        <item x="161"/>
        <item x="119"/>
        <item x="234"/>
        <item x="281"/>
        <item x="101"/>
        <item x="173"/>
        <item x="94"/>
        <item x="86"/>
        <item x="254"/>
        <item x="273"/>
        <item x="73"/>
        <item x="35"/>
        <item x="183"/>
        <item x="138"/>
        <item x="226"/>
        <item x="26"/>
        <item x="38"/>
        <item x="71"/>
        <item x="190"/>
        <item x="203"/>
        <item x="48"/>
        <item x="102"/>
        <item x="77"/>
        <item x="30"/>
        <item x="271"/>
        <item x="99"/>
        <item x="6"/>
        <item x="229"/>
        <item x="113"/>
        <item x="165"/>
        <item x="269"/>
        <item x="125"/>
        <item x="74"/>
        <item x="54"/>
        <item x="237"/>
        <item x="72"/>
        <item x="92"/>
        <item x="223"/>
        <item x="231"/>
        <item x="232"/>
        <item x="241"/>
        <item x="243"/>
        <item x="217"/>
        <item x="278"/>
        <item x="202"/>
        <item x="142"/>
        <item x="50"/>
        <item x="149"/>
        <item x="180"/>
        <item x="181"/>
        <item x="205"/>
        <item x="29"/>
        <item x="208"/>
        <item x="244"/>
        <item x="199"/>
        <item x="8"/>
        <item x="22"/>
        <item x="46"/>
        <item x="196"/>
        <item x="150"/>
        <item x="95"/>
        <item x="47"/>
        <item x="167"/>
        <item x="248"/>
        <item x="121"/>
        <item x="28"/>
        <item x="122"/>
        <item x="5"/>
        <item x="137"/>
        <item x="19"/>
        <item x="260"/>
        <item x="123"/>
        <item x="53"/>
        <item x="23"/>
        <item x="227"/>
        <item x="45"/>
        <item x="43"/>
        <item x="261"/>
        <item x="236"/>
        <item x="200"/>
        <item x="247"/>
        <item x="265"/>
        <item x="169"/>
        <item x="164"/>
        <item x="215"/>
        <item x="245"/>
        <item x="118"/>
        <item x="264"/>
        <item x="12"/>
        <item x="239"/>
        <item x="81"/>
        <item x="132"/>
        <item x="155"/>
        <item x="159"/>
        <item x="160"/>
        <item x="154"/>
        <item x="128"/>
        <item x="130"/>
        <item x="219"/>
        <item x="233"/>
        <item x="238"/>
        <item x="197"/>
        <item x="13"/>
        <item x="185"/>
        <item x="87"/>
        <item x="228"/>
        <item x="67"/>
        <item x="191"/>
        <item x="249"/>
        <item x="204"/>
        <item x="251"/>
        <item x="70"/>
        <item x="62"/>
        <item x="151"/>
        <item x="31"/>
        <item x="139"/>
        <item x="148"/>
        <item x="153"/>
        <item x="80"/>
        <item x="96"/>
        <item x="187"/>
        <item x="157"/>
        <item x="140"/>
        <item x="235"/>
        <item x="240"/>
        <item x="257"/>
        <item x="209"/>
        <item x="21"/>
        <item x="255"/>
        <item x="262"/>
        <item x="32"/>
        <item x="222"/>
        <item x="263"/>
        <item x="246"/>
        <item x="274"/>
        <item x="25"/>
        <item x="131"/>
        <item x="182"/>
        <item x="124"/>
        <item x="103"/>
        <item x="104"/>
        <item x="100"/>
        <item x="166"/>
        <item x="276"/>
        <item x="284"/>
        <item x="259"/>
        <item x="184"/>
        <item x="277"/>
        <item x="108"/>
        <item x="230"/>
        <item x="98"/>
        <item x="11"/>
        <item x="221"/>
        <item x="242"/>
        <item x="177"/>
        <item x="65"/>
        <item x="178"/>
        <item x="97"/>
        <item x="201"/>
        <item x="268"/>
        <item x="9"/>
        <item x="179"/>
        <item x="4"/>
        <item x="110"/>
        <item x="216"/>
        <item x="7"/>
        <item x="282"/>
        <item x="0"/>
        <item x="17"/>
        <item x="146"/>
        <item x="55"/>
        <item x="1"/>
        <item x="83"/>
        <item x="82"/>
        <item x="84"/>
        <item x="220"/>
        <item x="253"/>
        <item x="58"/>
        <item x="189"/>
        <item x="51"/>
        <item x="116"/>
        <item x="40"/>
        <item x="76"/>
        <item x="214"/>
        <item x="145"/>
        <item x="42"/>
        <item x="163"/>
        <item x="79"/>
        <item x="68"/>
        <item x="2"/>
        <item x="117"/>
        <item x="143"/>
        <item x="270"/>
        <item x="78"/>
        <item x="171"/>
        <item x="207"/>
        <item x="115"/>
        <item x="188"/>
        <item x="162"/>
        <item x="109"/>
        <item x="33"/>
        <item x="194"/>
        <item x="134"/>
        <item x="135"/>
        <item x="129"/>
        <item x="57"/>
        <item x="141"/>
        <item x="24"/>
        <item x="172"/>
        <item x="85"/>
        <item x="133"/>
        <item x="120"/>
        <item x="174"/>
        <item x="192"/>
        <item x="91"/>
        <item x="66"/>
        <item x="224"/>
        <item x="61"/>
        <item x="272"/>
        <item x="14"/>
        <item x="88"/>
        <item x="93"/>
        <item x="49"/>
        <item x="44"/>
        <item x="206"/>
        <item x="168"/>
        <item x="218"/>
        <item x="176"/>
        <item x="213"/>
        <item x="64"/>
        <item x="198"/>
        <item x="195"/>
        <item x="39"/>
        <item x="144"/>
        <item x="212"/>
        <item x="107"/>
        <item x="158"/>
        <item x="52"/>
        <item x="69"/>
        <item x="105"/>
        <item x="210"/>
        <item x="20"/>
        <item x="252"/>
        <item x="89"/>
        <item x="156"/>
        <item x="266"/>
        <item x="250"/>
        <item x="256"/>
        <item x="193"/>
        <item x="90"/>
        <item x="258"/>
        <item x="152"/>
        <item x="41"/>
        <item x="37"/>
        <item x="170"/>
        <item x="59"/>
        <item x="56"/>
        <item x="106"/>
        <item x="127"/>
        <item x="225"/>
        <item x="75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Media Typ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22"/>
    <field x="59"/>
  </rowFields>
  <colFields>
    <field x="-2"/>
  </colFields>
  <pageFields>
    <pageField fld="6"/>
  </pageFields>
  <dataFields>
    <dataField name="SUM of Att_SEO" fld="24" baseField="0"/>
    <dataField name="SUM of Att_Social" fld="30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pivotTable" Target="../pivotTables/pivotTable4.xm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method.me/blog/the-smart-manufacturing-transformation/" TargetMode="External"/><Relationship Id="rId194" Type="http://schemas.openxmlformats.org/officeDocument/2006/relationships/hyperlink" Target="https://www.method.me/blog/7-emerging-trends-in-b2b-ecommerce-2/" TargetMode="External"/><Relationship Id="rId193" Type="http://schemas.openxmlformats.org/officeDocument/2006/relationships/hyperlink" Target="https://www.method.me/blog/top-11-blogs-for-small-business-owners/" TargetMode="External"/><Relationship Id="rId192" Type="http://schemas.openxmlformats.org/officeDocument/2006/relationships/hyperlink" Target="https://www.method.me/blog/6-insights-on-the-construction-industry-in-2019/" TargetMode="External"/><Relationship Id="rId191" Type="http://schemas.openxmlformats.org/officeDocument/2006/relationships/hyperlink" Target="https://www.method.me/blog/4-tips-to-develop-a-strong-leadership-vision/" TargetMode="External"/><Relationship Id="rId187" Type="http://schemas.openxmlformats.org/officeDocument/2006/relationships/hyperlink" Target="https://www.method.me/blog/leveraging-cloud-technology-in-the-construction-industry/" TargetMode="External"/><Relationship Id="rId186" Type="http://schemas.openxmlformats.org/officeDocument/2006/relationships/hyperlink" Target="https://www.method.me/blog/4-business-benefits-of-enhanced-mobility/" TargetMode="External"/><Relationship Id="rId185" Type="http://schemas.openxmlformats.org/officeDocument/2006/relationships/hyperlink" Target="https://www.method.me/blog/4-benefits-of-a-360-degree-customer-view/" TargetMode="External"/><Relationship Id="rId184" Type="http://schemas.openxmlformats.org/officeDocument/2006/relationships/hyperlink" Target="https://www.method.me/blog/4-lessons-from-faang-companies/" TargetMode="External"/><Relationship Id="rId189" Type="http://schemas.openxmlformats.org/officeDocument/2006/relationships/hyperlink" Target="https://www.method.me/blog/changes-faced-by-small-businesses-in-2019/" TargetMode="External"/><Relationship Id="rId188" Type="http://schemas.openxmlformats.org/officeDocument/2006/relationships/hyperlink" Target="https://www.method.me/blog/5-best-practices-for-running-a-nonprofit/" TargetMode="External"/><Relationship Id="rId183" Type="http://schemas.openxmlformats.org/officeDocument/2006/relationships/hyperlink" Target="https://www.method.me/blog/avoid-construction-client-miscommunications/" TargetMode="External"/><Relationship Id="rId182" Type="http://schemas.openxmlformats.org/officeDocument/2006/relationships/hyperlink" Target="https://www.method.me/blog/sales-team-crm-software-benefits/" TargetMode="External"/><Relationship Id="rId181" Type="http://schemas.openxmlformats.org/officeDocument/2006/relationships/hyperlink" Target="https://www.method.me/blog/understanding-the-power-of-big-data-in-business/" TargetMode="External"/><Relationship Id="rId180" Type="http://schemas.openxmlformats.org/officeDocument/2006/relationships/hyperlink" Target="https://www.method.me/blog/how-accountants-provide-value-added-services/" TargetMode="External"/><Relationship Id="rId176" Type="http://schemas.openxmlformats.org/officeDocument/2006/relationships/hyperlink" Target="https://www.method.me/blog/how-to-ensure-crm-initiatives-drive-strong-roi/" TargetMode="External"/><Relationship Id="rId175" Type="http://schemas.openxmlformats.org/officeDocument/2006/relationships/hyperlink" Target="https://www.method.me/blog/how-nonprofits-can-use-crm-software-to-develop-an-effective-marketing-strategy/" TargetMode="External"/><Relationship Id="rId174" Type="http://schemas.openxmlformats.org/officeDocument/2006/relationships/hyperlink" Target="https://www.method.me/blog/disruption-in-the-consulting-industry-challenges-and-changes-in-a-transforming-sector/" TargetMode="External"/><Relationship Id="rId173" Type="http://schemas.openxmlformats.org/officeDocument/2006/relationships/hyperlink" Target="https://www.method.me/blog/how-to-use-your-crm-to-optimize-influencer-marketing/" TargetMode="External"/><Relationship Id="rId179" Type="http://schemas.openxmlformats.org/officeDocument/2006/relationships/hyperlink" Target="https://www.method.me/blog/how-digital-transformation-is-driving-business-change/" TargetMode="External"/><Relationship Id="rId178" Type="http://schemas.openxmlformats.org/officeDocument/2006/relationships/hyperlink" Target="https://www.method.me/blog/6-steps-for-successful-crm-implementation/" TargetMode="External"/><Relationship Id="rId177" Type="http://schemas.openxmlformats.org/officeDocument/2006/relationships/hyperlink" Target="https://www.method.me/blog/why-client-experience-is-key-for-consultants/" TargetMode="External"/><Relationship Id="rId198" Type="http://schemas.openxmlformats.org/officeDocument/2006/relationships/hyperlink" Target="https://www.method.me/crm-quickbooks/enterprise/" TargetMode="External"/><Relationship Id="rId197" Type="http://schemas.openxmlformats.org/officeDocument/2006/relationships/hyperlink" Target="https://www.method.me/blog/how-nonprofits-can-reduce-inefficiencies-with-a-customizable-crm-free-ebook/" TargetMode="External"/><Relationship Id="rId196" Type="http://schemas.openxmlformats.org/officeDocument/2006/relationships/hyperlink" Target="https://www.method.me/blog/method-crm-reimagined-new-user-interface/" TargetMode="External"/><Relationship Id="rId195" Type="http://schemas.openxmlformats.org/officeDocument/2006/relationships/hyperlink" Target="https://www.method.me/blog/how-to-optimize-your-website-for-conversion-2/" TargetMode="External"/><Relationship Id="rId199" Type="http://schemas.openxmlformats.org/officeDocument/2006/relationships/hyperlink" Target="https://www.method.me/blog/what-canadian-employers-should-know-about-legalized-cannabis-use/" TargetMode="External"/><Relationship Id="rId150" Type="http://schemas.openxmlformats.org/officeDocument/2006/relationships/hyperlink" Target="https://www.method.me/blog/how-a-quickbooks-crm-helped-fuji-mats-streamline-customer-management/" TargetMode="External"/><Relationship Id="rId392" Type="http://schemas.openxmlformats.org/officeDocument/2006/relationships/hyperlink" Target="https://www.method.me/blog/field-service-dispatch-software/" TargetMode="External"/><Relationship Id="rId391" Type="http://schemas.openxmlformats.org/officeDocument/2006/relationships/hyperlink" Target="https://www.method.me/videos/the-trick-to-powerful-automation-in-quickbooks-online/" TargetMode="External"/><Relationship Id="rId390" Type="http://schemas.openxmlformats.org/officeDocument/2006/relationships/hyperlink" Target="https://www.method.me/blog/best-dispatching-software-for-small-business/" TargetMode="External"/><Relationship Id="rId1" Type="http://schemas.openxmlformats.org/officeDocument/2006/relationships/hyperlink" Target="https://www.method.me/blog/method-makes-pwc-s-top-10-up-and-coming-technology-companies/" TargetMode="External"/><Relationship Id="rId2" Type="http://schemas.openxmlformats.org/officeDocument/2006/relationships/hyperlink" Target="https://www.method.me/blog/quickbooks-faq-creating-an-invoice-in-quickbooks/" TargetMode="External"/><Relationship Id="rId3" Type="http://schemas.openxmlformats.org/officeDocument/2006/relationships/hyperlink" Target="https://www.method.me/blog/new-methodcrm-report-designer-tutorial-videos/" TargetMode="External"/><Relationship Id="rId149" Type="http://schemas.openxmlformats.org/officeDocument/2006/relationships/hyperlink" Target="https://www.method.me/blog/does-your-agency-need-a-crm-or-project-management-software/" TargetMode="External"/><Relationship Id="rId4" Type="http://schemas.openxmlformats.org/officeDocument/2006/relationships/hyperlink" Target="https://www.method.me/blog/rejoice-methodcrm-report-designer-documentation-videos/" TargetMode="External"/><Relationship Id="rId148" Type="http://schemas.openxmlformats.org/officeDocument/2006/relationships/hyperlink" Target="https://www.method.me/blog/how-to-pursue-continuing-education-as-a-certified-public-accountant/" TargetMode="External"/><Relationship Id="rId9" Type="http://schemas.openxmlformats.org/officeDocument/2006/relationships/hyperlink" Target="https://www.method.me/blog/were-cooking-up-a-storm-at-quickbooks-connect/" TargetMode="External"/><Relationship Id="rId143" Type="http://schemas.openxmlformats.org/officeDocument/2006/relationships/hyperlink" Target="https://www.method.me/blog/working-with-the-gig-economy-mariette-martinez-at-quickbooks-connect/" TargetMode="External"/><Relationship Id="rId385" Type="http://schemas.openxmlformats.org/officeDocument/2006/relationships/hyperlink" Target="https://www.method.me/videos/reinvent-your-quickbooks-workflows-with-automation-2/" TargetMode="External"/><Relationship Id="rId142" Type="http://schemas.openxmlformats.org/officeDocument/2006/relationships/hyperlink" Target="https://www.method.me/blog/fireside-chat-building-a-profitable-accounting-technology-stack-video/" TargetMode="External"/><Relationship Id="rId384" Type="http://schemas.openxmlformats.org/officeDocument/2006/relationships/hyperlink" Target="https://www.method.me/videos/why-seo-matters-for-accountants/" TargetMode="External"/><Relationship Id="rId141" Type="http://schemas.openxmlformats.org/officeDocument/2006/relationships/hyperlink" Target="https://www.method.me/blog/top-10-highlights-from-quickbooks-connect-san-jose/" TargetMode="External"/><Relationship Id="rId383" Type="http://schemas.openxmlformats.org/officeDocument/2006/relationships/hyperlink" Target="https://www.method.me/blog/service-order-tracking-software/" TargetMode="External"/><Relationship Id="rId140" Type="http://schemas.openxmlformats.org/officeDocument/2006/relationships/hyperlink" Target="https://www.method.me/blog/3-strategies-to-plan-top-notch-fundraising-events/" TargetMode="External"/><Relationship Id="rId382" Type="http://schemas.openxmlformats.org/officeDocument/2006/relationships/hyperlink" Target="https://www.method.me/blog/from-interview-to-hired-the-journey-of-one-expecting-mother-in-the-tech-space/" TargetMode="External"/><Relationship Id="rId5" Type="http://schemas.openxmlformats.org/officeDocument/2006/relationships/hyperlink" Target="https://www.method.me/blog/small-businesses-are-kicking-butt-with-mobile-access-to-quickbooks-desktop/" TargetMode="External"/><Relationship Id="rId147" Type="http://schemas.openxmlformats.org/officeDocument/2006/relationships/hyperlink" Target="https://www.method.me/blog/mastering-the-art-of-social-media-veronica-wasek-at-quickbooks-connect/" TargetMode="External"/><Relationship Id="rId389" Type="http://schemas.openxmlformats.org/officeDocument/2006/relationships/hyperlink" Target="https://www.method.me/blog/electrician-scheduling-software/" TargetMode="External"/><Relationship Id="rId6" Type="http://schemas.openxmlformats.org/officeDocument/2006/relationships/hyperlink" Target="https://www.method.me/blog/performance-update-30-enhancements-improvements/" TargetMode="External"/><Relationship Id="rId146" Type="http://schemas.openxmlformats.org/officeDocument/2006/relationships/hyperlink" Target="https://www.method.me/blog/selecting-the-right-app-heather-satterley-at-quickbooks-connect/" TargetMode="External"/><Relationship Id="rId388" Type="http://schemas.openxmlformats.org/officeDocument/2006/relationships/hyperlink" Target="https://www.method.me/blog/electrical-invoice-software/" TargetMode="External"/><Relationship Id="rId7" Type="http://schemas.openxmlformats.org/officeDocument/2006/relationships/hyperlink" Target="https://www.method.me/blog/intuit-discontinues-salesforce-for-quickbooks/" TargetMode="External"/><Relationship Id="rId145" Type="http://schemas.openxmlformats.org/officeDocument/2006/relationships/hyperlink" Target="https://www.method.me/blog/the-art-of-extreme-productivity-joe-woodard-at-quickbooks-connect/" TargetMode="External"/><Relationship Id="rId387" Type="http://schemas.openxmlformats.org/officeDocument/2006/relationships/hyperlink" Target="https://www.method.me/blog/electrical-business-software-systems/" TargetMode="External"/><Relationship Id="rId8" Type="http://schemas.openxmlformats.org/officeDocument/2006/relationships/hyperlink" Target="https://www.method.me/blog/how-a-pooper-scooper-went-national-with-method/" TargetMode="External"/><Relationship Id="rId144" Type="http://schemas.openxmlformats.org/officeDocument/2006/relationships/hyperlink" Target="https://www.method.me/blog/the-role-of-the-transformative-advisor-an-interview-with-joe-woodard/" TargetMode="External"/><Relationship Id="rId386" Type="http://schemas.openxmlformats.org/officeDocument/2006/relationships/hyperlink" Target="https://www.method.me/blog/quickbooks-for-electrical-contractors/" TargetMode="External"/><Relationship Id="rId381" Type="http://schemas.openxmlformats.org/officeDocument/2006/relationships/hyperlink" Target="https://www.method.me/blog/work-order-management-system/" TargetMode="External"/><Relationship Id="rId380" Type="http://schemas.openxmlformats.org/officeDocument/2006/relationships/hyperlink" Target="https://www.method.me/blog/work-order-quickbooks-online/" TargetMode="External"/><Relationship Id="rId139" Type="http://schemas.openxmlformats.org/officeDocument/2006/relationships/hyperlink" Target="https://www.method.me/blog/method-crm-overview-infographic/" TargetMode="External"/><Relationship Id="rId138" Type="http://schemas.openxmlformats.org/officeDocument/2006/relationships/hyperlink" Target="https://www.method.me/blog/6-lead-generation-tips-for-accounting-firms/" TargetMode="External"/><Relationship Id="rId137" Type="http://schemas.openxmlformats.org/officeDocument/2006/relationships/hyperlink" Target="https://www.method.me/blog/crm-comparison-method-vs-salesforce/" TargetMode="External"/><Relationship Id="rId379" Type="http://schemas.openxmlformats.org/officeDocument/2006/relationships/hyperlink" Target="https://www.method.me/blog/custom-work-order-request-forms/" TargetMode="External"/><Relationship Id="rId1080" Type="http://schemas.openxmlformats.org/officeDocument/2006/relationships/drawing" Target="../drawings/drawing7.xml"/><Relationship Id="rId132" Type="http://schemas.openxmlformats.org/officeDocument/2006/relationships/hyperlink" Target="https://www.method.me/blog/importance-of-sales-pipeline-stages/" TargetMode="External"/><Relationship Id="rId374" Type="http://schemas.openxmlformats.org/officeDocument/2006/relationships/hyperlink" Target="https://www.method.me/blog/automate-quickbooks-online-workflow/" TargetMode="External"/><Relationship Id="rId131" Type="http://schemas.openxmlformats.org/officeDocument/2006/relationships/hyperlink" Target="https://www.method.me/blog/black-friday-marketing-strategy/" TargetMode="External"/><Relationship Id="rId373" Type="http://schemas.openxmlformats.org/officeDocument/2006/relationships/hyperlink" Target="https://www.method.me/blog/scheduling-with-quickbooks/" TargetMode="External"/><Relationship Id="rId130" Type="http://schemas.openxmlformats.org/officeDocument/2006/relationships/hyperlink" Target="https://www.method.me/blog/10-great-holiday-fundraising-campaigns-for-nonprofits/" TargetMode="External"/><Relationship Id="rId372" Type="http://schemas.openxmlformats.org/officeDocument/2006/relationships/hyperlink" Target="https://www.method.me/pricing-guides/hvac-estimating-spreadsheet/" TargetMode="External"/><Relationship Id="rId371" Type="http://schemas.openxmlformats.org/officeDocument/2006/relationships/hyperlink" Target="https://www.method.me/pricing-guides/pest-control-prices-list/" TargetMode="External"/><Relationship Id="rId136" Type="http://schemas.openxmlformats.org/officeDocument/2006/relationships/hyperlink" Target="https://www.method.me/blog/9-tips-for-excellent-donor-thank-you-letters/" TargetMode="External"/><Relationship Id="rId378" Type="http://schemas.openxmlformats.org/officeDocument/2006/relationships/hyperlink" Target="https://www.method.me/pricing-guides/business-plan-strategies/" TargetMode="External"/><Relationship Id="rId135" Type="http://schemas.openxmlformats.org/officeDocument/2006/relationships/hyperlink" Target="https://www.method.me/blog/updates-to-web-to-lead-app/" TargetMode="External"/><Relationship Id="rId377" Type="http://schemas.openxmlformats.org/officeDocument/2006/relationships/hyperlink" Target="https://www.method.me/blog/quickbooks-work-order/" TargetMode="External"/><Relationship Id="rId134" Type="http://schemas.openxmlformats.org/officeDocument/2006/relationships/hyperlink" Target="https://www.method.me/blog/quickbooks-connect-san-jose-fireside-chat-invitation/" TargetMode="External"/><Relationship Id="rId376" Type="http://schemas.openxmlformats.org/officeDocument/2006/relationships/hyperlink" Target="https://www.method.me/blog/scheduling-software-for-service-technicians/" TargetMode="External"/><Relationship Id="rId133" Type="http://schemas.openxmlformats.org/officeDocument/2006/relationships/hyperlink" Target="https://www.method.me/blog/best-podcasts-for-accountants-and-bookkeepers/" TargetMode="External"/><Relationship Id="rId375" Type="http://schemas.openxmlformats.org/officeDocument/2006/relationships/hyperlink" Target="https://www.method.me/blog/how-to-create-an-estimate-on-quickbooks-online/" TargetMode="External"/><Relationship Id="rId172" Type="http://schemas.openxmlformats.org/officeDocument/2006/relationships/hyperlink" Target="https://www.method.me/blog/nonprofit-peer-to-peer-fundraising-a-guide-in-10-questions/" TargetMode="External"/><Relationship Id="rId171" Type="http://schemas.openxmlformats.org/officeDocument/2006/relationships/hyperlink" Target="https://www.method.me/blog/accounting-trends-international-business/" TargetMode="External"/><Relationship Id="rId170" Type="http://schemas.openxmlformats.org/officeDocument/2006/relationships/hyperlink" Target="https://www.method.me/blog/what-your-nonprofit-board-should-know-about-crm-software/" TargetMode="External"/><Relationship Id="rId165" Type="http://schemas.openxmlformats.org/officeDocument/2006/relationships/hyperlink" Target="https://www.method.me/blog/uber-and-airbnb-lessons-from-sharing-economy-success-stories/" TargetMode="External"/><Relationship Id="rId164" Type="http://schemas.openxmlformats.org/officeDocument/2006/relationships/hyperlink" Target="https://www.method.me/blog/how-to-creatively-motivate-your-fundraisers/" TargetMode="External"/><Relationship Id="rId163" Type="http://schemas.openxmlformats.org/officeDocument/2006/relationships/hyperlink" Target="https://www.method.me/blog/how-to-drive-efficiencies-in-the-modern-manufacturing-sector/" TargetMode="External"/><Relationship Id="rId162" Type="http://schemas.openxmlformats.org/officeDocument/2006/relationships/hyperlink" Target="https://www.method.me/blog/essential-features-of-a-nonprofit-crm/" TargetMode="External"/><Relationship Id="rId169" Type="http://schemas.openxmlformats.org/officeDocument/2006/relationships/hyperlink" Target="https://www.method.me/blog/6-questions-to-ask-when-selecting-a-crm/" TargetMode="External"/><Relationship Id="rId168" Type="http://schemas.openxmlformats.org/officeDocument/2006/relationships/hyperlink" Target="https://www.method.me/blog/big-impact-on-a-small-budget-social-media-tips-for-nonprofits/" TargetMode="External"/><Relationship Id="rId167" Type="http://schemas.openxmlformats.org/officeDocument/2006/relationships/hyperlink" Target="https://www.method.me/blog/how-to-build-a-successful-consulting-practice/" TargetMode="External"/><Relationship Id="rId166" Type="http://schemas.openxmlformats.org/officeDocument/2006/relationships/hyperlink" Target="https://www.method.me/blog/3-brand-storytelling-lessons-for-every-business/" TargetMode="External"/><Relationship Id="rId161" Type="http://schemas.openxmlformats.org/officeDocument/2006/relationships/hyperlink" Target="https://www.method.me/blog/construction-project-success-crm-solution/" TargetMode="External"/><Relationship Id="rId160" Type="http://schemas.openxmlformats.org/officeDocument/2006/relationships/hyperlink" Target="https://www.method.me/blog/benefits-of-crm-software-for-independent-consultants/" TargetMode="External"/><Relationship Id="rId159" Type="http://schemas.openxmlformats.org/officeDocument/2006/relationships/hyperlink" Target="https://www.method.me/blog/how-to-use-segmentation-for-successful-email-marketing/" TargetMode="External"/><Relationship Id="rId154" Type="http://schemas.openxmlformats.org/officeDocument/2006/relationships/hyperlink" Target="https://www.method.me/blog/how-to-succeed-as-an-entrepreneur-bram-warshafsky-at-quickbooks-connect/" TargetMode="External"/><Relationship Id="rId396" Type="http://schemas.openxmlformats.org/officeDocument/2006/relationships/hyperlink" Target="https://www.method.me/blog/cyber-security-plan-template-for-small-business/" TargetMode="External"/><Relationship Id="rId153" Type="http://schemas.openxmlformats.org/officeDocument/2006/relationships/hyperlink" Target="https://www.method.me/blog/making-the-most-of-quickbooks-online-accountant-qb-hq-at-quickbooks-connect/" TargetMode="External"/><Relationship Id="rId395" Type="http://schemas.openxmlformats.org/officeDocument/2006/relationships/hyperlink" Target="https://www.method.me/videos/the-secret-to-stronger-automation-in-quickbooks-desktop/" TargetMode="External"/><Relationship Id="rId152" Type="http://schemas.openxmlformats.org/officeDocument/2006/relationships/hyperlink" Target="https://www.method.me/blog/growing-your-business-through-content-marketing-bram-warshafsky-at-quickbooks-connect/" TargetMode="External"/><Relationship Id="rId394" Type="http://schemas.openxmlformats.org/officeDocument/2006/relationships/hyperlink" Target="https://www.method.me/blog/home-service-dispatch-software/" TargetMode="External"/><Relationship Id="rId151" Type="http://schemas.openxmlformats.org/officeDocument/2006/relationships/hyperlink" Target="https://www.method.me/blog/recap-intuit-small-business-hackathon-toronto/" TargetMode="External"/><Relationship Id="rId393" Type="http://schemas.openxmlformats.org/officeDocument/2006/relationships/hyperlink" Target="https://www.method.me/blog/contractor-dispatching-software/" TargetMode="External"/><Relationship Id="rId158" Type="http://schemas.openxmlformats.org/officeDocument/2006/relationships/hyperlink" Target="https://www.method.me/blog/extending-the-life-of-your-construction-accounting-software/" TargetMode="External"/><Relationship Id="rId157" Type="http://schemas.openxmlformats.org/officeDocument/2006/relationships/hyperlink" Target="https://www.method.me/blog/how-accounting-firms-can-use-crm-software-to-drive-business-growth/" TargetMode="External"/><Relationship Id="rId399" Type="http://schemas.openxmlformats.org/officeDocument/2006/relationships/hyperlink" Target="https://www.method.me/resources/electrical-work-order-invoice-template/" TargetMode="External"/><Relationship Id="rId156" Type="http://schemas.openxmlformats.org/officeDocument/2006/relationships/hyperlink" Target="https://www.method.me/blog/lead-generation-for-construction-companies/" TargetMode="External"/><Relationship Id="rId398" Type="http://schemas.openxmlformats.org/officeDocument/2006/relationships/hyperlink" Target="https://www.method.me/resources/auto-repair-work-order-template-download/" TargetMode="External"/><Relationship Id="rId155" Type="http://schemas.openxmlformats.org/officeDocument/2006/relationships/hyperlink" Target="https://www.method.me/blog/new-recurring-activities-in-method-crm/" TargetMode="External"/><Relationship Id="rId397" Type="http://schemas.openxmlformats.org/officeDocument/2006/relationships/hyperlink" Target="https://www.method.me/careers/" TargetMode="External"/><Relationship Id="rId808" Type="http://schemas.openxmlformats.org/officeDocument/2006/relationships/hyperlink" Target="https://www.method.me/blog/can-quickbooks-handle-multiple-companies/" TargetMode="External"/><Relationship Id="rId807" Type="http://schemas.openxmlformats.org/officeDocument/2006/relationships/hyperlink" Target="https://www.method.me/resources/compare-servicetitan-vs-method-which-suits-your-business-needs/" TargetMode="External"/><Relationship Id="rId806" Type="http://schemas.openxmlformats.org/officeDocument/2006/relationships/hyperlink" Target="https://www.method.me/resources/compare-kickserv-vs-method-go-to-guide-for-decision-makers/" TargetMode="External"/><Relationship Id="rId805" Type="http://schemas.openxmlformats.org/officeDocument/2006/relationships/hyperlink" Target="https://www.method.me/resources/compare-housecall-pro-vs-method-side-by-side-analysis/" TargetMode="External"/><Relationship Id="rId809" Type="http://schemas.openxmlformats.org/officeDocument/2006/relationships/hyperlink" Target="https://www.method.me/blog/can-quickbooks-replace-an-accountant/" TargetMode="External"/><Relationship Id="rId800" Type="http://schemas.openxmlformats.org/officeDocument/2006/relationships/hyperlink" Target="https://www.method.me/blog/how-to-record-credit-card-payments-in-quickbooks-desktop/" TargetMode="External"/><Relationship Id="rId804" Type="http://schemas.openxmlformats.org/officeDocument/2006/relationships/hyperlink" Target="https://www.method.me/resources/compare-fieldedge-vs-method-deciphering-best-for-field-services/" TargetMode="External"/><Relationship Id="rId803" Type="http://schemas.openxmlformats.org/officeDocument/2006/relationships/hyperlink" Target="https://www.method.me/blog/process-ach-payments-quickbooks-online/" TargetMode="External"/><Relationship Id="rId802" Type="http://schemas.openxmlformats.org/officeDocument/2006/relationships/hyperlink" Target="https://www.method.me/resources/compare-service-fusion-vs-method-guide-making-right-choice/" TargetMode="External"/><Relationship Id="rId801" Type="http://schemas.openxmlformats.org/officeDocument/2006/relationships/hyperlink" Target="https://www.method.me/blog/quickbooks-online-payments-fees/" TargetMode="External"/><Relationship Id="rId40" Type="http://schemas.openxmlformats.org/officeDocument/2006/relationships/hyperlink" Target="https://www.method.me/blog/wasting-time-one-size-fits-all-software/" TargetMode="External"/><Relationship Id="rId42" Type="http://schemas.openxmlformats.org/officeDocument/2006/relationships/hyperlink" Target="https://www.method.me/blog/method-receives-feddev-funding/" TargetMode="External"/><Relationship Id="rId41" Type="http://schemas.openxmlformats.org/officeDocument/2006/relationships/hyperlink" Target="https://www.method.me/blog/personalized-software-for-small-businesses-is-within-reach/" TargetMode="External"/><Relationship Id="rId44" Type="http://schemas.openxmlformats.org/officeDocument/2006/relationships/hyperlink" Target="https://www.method.me/blog/how-to-delete-customers-in-quickbooks/" TargetMode="External"/><Relationship Id="rId43" Type="http://schemas.openxmlformats.org/officeDocument/2006/relationships/hyperlink" Target="https://www.method.me/blog/how-to-create-a-sales-receipt-in-quickbooks/" TargetMode="External"/><Relationship Id="rId46" Type="http://schemas.openxmlformats.org/officeDocument/2006/relationships/hyperlink" Target="https://www.method.me/blog/methods-company-culture/" TargetMode="External"/><Relationship Id="rId45" Type="http://schemas.openxmlformats.org/officeDocument/2006/relationships/hyperlink" Target="https://www.method.me/blog/method-retreat-2016/" TargetMode="External"/><Relationship Id="rId509" Type="http://schemas.openxmlformats.org/officeDocument/2006/relationships/hyperlink" Target="https://www.method.me/blog/electrical-invoice-software-2/" TargetMode="External"/><Relationship Id="rId508" Type="http://schemas.openxmlformats.org/officeDocument/2006/relationships/hyperlink" Target="https://www.method.me/blog/small-business-crm-australia/" TargetMode="External"/><Relationship Id="rId503" Type="http://schemas.openxmlformats.org/officeDocument/2006/relationships/hyperlink" Target="https://www.method.me/blog/small-business-crm/" TargetMode="External"/><Relationship Id="rId745" Type="http://schemas.openxmlformats.org/officeDocument/2006/relationships/hyperlink" Target="https://www.method.me/blog/manufacturing-inventory-management-system/" TargetMode="External"/><Relationship Id="rId987" Type="http://schemas.openxmlformats.org/officeDocument/2006/relationships/hyperlink" Target="https://www.method.me/blog/crm-systems-for-small-business/" TargetMode="External"/><Relationship Id="rId502" Type="http://schemas.openxmlformats.org/officeDocument/2006/relationships/hyperlink" Target="https://www.method.me/crm-quickbooks/integrations/" TargetMode="External"/><Relationship Id="rId744" Type="http://schemas.openxmlformats.org/officeDocument/2006/relationships/hyperlink" Target="https://www.method.me/blog/warehousing-and-inventory-management-best-practices/" TargetMode="External"/><Relationship Id="rId986" Type="http://schemas.openxmlformats.org/officeDocument/2006/relationships/hyperlink" Target="https://www.method.me/resources/compare/zoho-alternative/" TargetMode="External"/><Relationship Id="rId501" Type="http://schemas.openxmlformats.org/officeDocument/2006/relationships/hyperlink" Target="https://www.method.me/blog/late-payment-interest/" TargetMode="External"/><Relationship Id="rId743" Type="http://schemas.openxmlformats.org/officeDocument/2006/relationships/hyperlink" Target="https://www.method.me/videos/workshop-depositsapprovals/" TargetMode="External"/><Relationship Id="rId985" Type="http://schemas.openxmlformats.org/officeDocument/2006/relationships/hyperlink" Target="https://www.method.me/blog/lead-generation-manufacturing/" TargetMode="External"/><Relationship Id="rId500" Type="http://schemas.openxmlformats.org/officeDocument/2006/relationships/hyperlink" Target="https://www.method.me/blog/invoice-late-fee-wording/" TargetMode="External"/><Relationship Id="rId742" Type="http://schemas.openxmlformats.org/officeDocument/2006/relationships/hyperlink" Target="https://www.method.me/blog/warehouse-inventory-control-processes/" TargetMode="External"/><Relationship Id="rId984" Type="http://schemas.openxmlformats.org/officeDocument/2006/relationships/hyperlink" Target="https://www.method.me/blog/builder-prime-vs-method-crm/" TargetMode="External"/><Relationship Id="rId507" Type="http://schemas.openxmlformats.org/officeDocument/2006/relationships/hyperlink" Target="https://www.method.me/videos/5-ways-to-enhance-qb/" TargetMode="External"/><Relationship Id="rId749" Type="http://schemas.openxmlformats.org/officeDocument/2006/relationships/hyperlink" Target="https://www.method.me/legal/methodpartner-terms-of-service/" TargetMode="External"/><Relationship Id="rId506" Type="http://schemas.openxmlformats.org/officeDocument/2006/relationships/hyperlink" Target="https://www.method.me/blog/small-business-crm-uk/" TargetMode="External"/><Relationship Id="rId748" Type="http://schemas.openxmlformats.org/officeDocument/2006/relationships/hyperlink" Target="https://www.method.me/blog/field-service-management-software-quickbooks/" TargetMode="External"/><Relationship Id="rId505" Type="http://schemas.openxmlformats.org/officeDocument/2006/relationships/hyperlink" Target="https://www.method.me/blog/small-business-crm-canada/" TargetMode="External"/><Relationship Id="rId747" Type="http://schemas.openxmlformats.org/officeDocument/2006/relationships/hyperlink" Target="https://www.method.me/blog/best-manufacturing-inventory-management-software/" TargetMode="External"/><Relationship Id="rId989" Type="http://schemas.openxmlformats.org/officeDocument/2006/relationships/hyperlink" Target="https://www.method.me/blog/mrpeasy-vs-method-crm-comparison/" TargetMode="External"/><Relationship Id="rId504" Type="http://schemas.openxmlformats.org/officeDocument/2006/relationships/hyperlink" Target="https://www.method.me/videos/smb-workflow-automation/" TargetMode="External"/><Relationship Id="rId746" Type="http://schemas.openxmlformats.org/officeDocument/2006/relationships/hyperlink" Target="https://www.method.me/videos/scale-your-business-with-method-and-quickbooks-online/" TargetMode="External"/><Relationship Id="rId988" Type="http://schemas.openxmlformats.org/officeDocument/2006/relationships/hyperlink" Target="https://www.method.me/blog/houzz-pro-vs-method-crm/" TargetMode="External"/><Relationship Id="rId48" Type="http://schemas.openxmlformats.org/officeDocument/2006/relationships/hyperlink" Target="https://www.method.me/blog/quickbooks-desktop-2017/" TargetMode="External"/><Relationship Id="rId47" Type="http://schemas.openxmlformats.org/officeDocument/2006/relationships/hyperlink" Target="https://www.method.me/blog/small-biz-nonprofit/" TargetMode="External"/><Relationship Id="rId49" Type="http://schemas.openxmlformats.org/officeDocument/2006/relationships/hyperlink" Target="https://www.method.me/blog/quickbooks-connect-2016/" TargetMode="External"/><Relationship Id="rId741" Type="http://schemas.openxmlformats.org/officeDocument/2006/relationships/hyperlink" Target="https://www.method.me/resources/how-to-issue-a-refund-in-quickbooks/" TargetMode="External"/><Relationship Id="rId983" Type="http://schemas.openxmlformats.org/officeDocument/2006/relationships/hyperlink" Target="https://www.method.me/blog/freshsales-vs-method-crm/" TargetMode="External"/><Relationship Id="rId740" Type="http://schemas.openxmlformats.org/officeDocument/2006/relationships/hyperlink" Target="https://www.method.me/blog/quickbooks-online-inventory-management-everything-you-need-to-know/" TargetMode="External"/><Relationship Id="rId982" Type="http://schemas.openxmlformats.org/officeDocument/2006/relationships/hyperlink" Target="https://www.method.me/blog/procore-vs-method-crm/" TargetMode="External"/><Relationship Id="rId981" Type="http://schemas.openxmlformats.org/officeDocument/2006/relationships/hyperlink" Target="https://www.method.me/blog/netsuite-vs-method-crm/" TargetMode="External"/><Relationship Id="rId980" Type="http://schemas.openxmlformats.org/officeDocument/2006/relationships/hyperlink" Target="https://www.method.me/blog/method-crm-vs-odoo/" TargetMode="External"/><Relationship Id="rId31" Type="http://schemas.openxmlformats.org/officeDocument/2006/relationships/hyperlink" Target="https://www.method.me/blog/simplify-your-small-business-workflows-part-4/" TargetMode="External"/><Relationship Id="rId30" Type="http://schemas.openxmlformats.org/officeDocument/2006/relationships/hyperlink" Target="https://www.method.me/blog/my-life-since-methodwalks-started/" TargetMode="External"/><Relationship Id="rId33" Type="http://schemas.openxmlformats.org/officeDocument/2006/relationships/hyperlink" Target="https://www.method.me/blog/donor-management-software-for-quickbooks/" TargetMode="External"/><Relationship Id="rId32" Type="http://schemas.openxmlformats.org/officeDocument/2006/relationships/hyperlink" Target="https://www.method.me/blog/methoders-ride-for-heart/" TargetMode="External"/><Relationship Id="rId35" Type="http://schemas.openxmlformats.org/officeDocument/2006/relationships/hyperlink" Target="https://www.method.me/blog/donor-management-software-webinar/" TargetMode="External"/><Relationship Id="rId34" Type="http://schemas.openxmlformats.org/officeDocument/2006/relationships/hyperlink" Target="https://www.method.me/blog/nonprofit-crm-blog/" TargetMode="External"/><Relationship Id="rId739" Type="http://schemas.openxmlformats.org/officeDocument/2006/relationships/hyperlink" Target="https://www.method.me/blog/quickbooks-inventory-management-software/" TargetMode="External"/><Relationship Id="rId734" Type="http://schemas.openxmlformats.org/officeDocument/2006/relationships/hyperlink" Target="https://www.method.me/blog/purchase-order-to-invoice-process/" TargetMode="External"/><Relationship Id="rId976" Type="http://schemas.openxmlformats.org/officeDocument/2006/relationships/hyperlink" Target="https://www.method.me/blog/crm-evaluation-checklist/" TargetMode="External"/><Relationship Id="rId733" Type="http://schemas.openxmlformats.org/officeDocument/2006/relationships/hyperlink" Target="https://www.method.me/resources/how-to-print-a-customer-statement-in-quickbooks/" TargetMode="External"/><Relationship Id="rId975" Type="http://schemas.openxmlformats.org/officeDocument/2006/relationships/hyperlink" Target="https://www.method.me/blog/crm-for-it-service-providers/" TargetMode="External"/><Relationship Id="rId732" Type="http://schemas.openxmlformats.org/officeDocument/2006/relationships/hyperlink" Target="https://www.method.me/resources/how-to-create-an-invoice-in-quickbooks/" TargetMode="External"/><Relationship Id="rId974" Type="http://schemas.openxmlformats.org/officeDocument/2006/relationships/hyperlink" Target="https://www.method.me/blog/best-crm-manufacturing/" TargetMode="External"/><Relationship Id="rId731" Type="http://schemas.openxmlformats.org/officeDocument/2006/relationships/hyperlink" Target="https://www.method.me/blog/how-to-customize-invoices-in-quickbooks/" TargetMode="External"/><Relationship Id="rId973" Type="http://schemas.openxmlformats.org/officeDocument/2006/relationships/hyperlink" Target="https://www.method.me/blog/crms-for-construction-business/" TargetMode="External"/><Relationship Id="rId738" Type="http://schemas.openxmlformats.org/officeDocument/2006/relationships/hyperlink" Target="https://www.method.me/blog/why-reorders-are-a-must-have-feature-in-your-method-account/" TargetMode="External"/><Relationship Id="rId737" Type="http://schemas.openxmlformats.org/officeDocument/2006/relationships/hyperlink" Target="https://www.method.me/resources/how-to-customize-invoice-template-in-quickbooks-online/" TargetMode="External"/><Relationship Id="rId979" Type="http://schemas.openxmlformats.org/officeDocument/2006/relationships/hyperlink" Target="https://www.method.me/blog/method-crm-vs-thryv/" TargetMode="External"/><Relationship Id="rId736" Type="http://schemas.openxmlformats.org/officeDocument/2006/relationships/hyperlink" Target="https://www.method.me/videos/quickbooks-manufacturing-reporting/" TargetMode="External"/><Relationship Id="rId978" Type="http://schemas.openxmlformats.org/officeDocument/2006/relationships/hyperlink" Target="https://www.method.me/blog/netsuite-alternatives-small-business/" TargetMode="External"/><Relationship Id="rId735" Type="http://schemas.openxmlformats.org/officeDocument/2006/relationships/hyperlink" Target="https://www.method.me/blog/create-purchase-orders-in-quickbooks/" TargetMode="External"/><Relationship Id="rId977" Type="http://schemas.openxmlformats.org/officeDocument/2006/relationships/hyperlink" Target="https://www.method.me/blog/customer-self-service-portal/" TargetMode="External"/><Relationship Id="rId37" Type="http://schemas.openxmlformats.org/officeDocument/2006/relationships/hyperlink" Target="https://www.method.me/blog/scaling-new-heights-sessions/" TargetMode="External"/><Relationship Id="rId36" Type="http://schemas.openxmlformats.org/officeDocument/2006/relationships/hyperlink" Target="https://www.method.me/blog/learn-and-love-customizing-method/" TargetMode="External"/><Relationship Id="rId39" Type="http://schemas.openxmlformats.org/officeDocument/2006/relationships/hyperlink" Target="https://www.method.me/blog/moving-from-scorekeeper-to-coach/" TargetMode="External"/><Relationship Id="rId38" Type="http://schemas.openxmlformats.org/officeDocument/2006/relationships/hyperlink" Target="https://www.method.me/blog/your-work-your-way-for-small-business/" TargetMode="External"/><Relationship Id="rId730" Type="http://schemas.openxmlformats.org/officeDocument/2006/relationships/hyperlink" Target="https://www.method.me/resources/how-to-void-a-check-in-quickbooks/" TargetMode="External"/><Relationship Id="rId972" Type="http://schemas.openxmlformats.org/officeDocument/2006/relationships/hyperlink" Target="https://www.method.me/blog/best-crm-landscapers/" TargetMode="External"/><Relationship Id="rId971" Type="http://schemas.openxmlformats.org/officeDocument/2006/relationships/hyperlink" Target="https://www.method.me/blog/crm-for-logistics/" TargetMode="External"/><Relationship Id="rId970" Type="http://schemas.openxmlformats.org/officeDocument/2006/relationships/hyperlink" Target="https://www.method.me/blog/crm-for-multiple-businesses/" TargetMode="External"/><Relationship Id="rId20" Type="http://schemas.openxmlformats.org/officeDocument/2006/relationships/hyperlink" Target="https://www.method.me/blog/weve-arrived-methodcrm-now-available-for-australian-quickbooks-customers/" TargetMode="External"/><Relationship Id="rId22" Type="http://schemas.openxmlformats.org/officeDocument/2006/relationships/hyperlink" Target="https://www.method.me/blog/generate-leads-small-business/" TargetMode="External"/><Relationship Id="rId21" Type="http://schemas.openxmlformats.org/officeDocument/2006/relationships/hyperlink" Target="https://www.method.me/blog/small-business-world-class-service-part-1/" TargetMode="External"/><Relationship Id="rId24" Type="http://schemas.openxmlformats.org/officeDocument/2006/relationships/hyperlink" Target="https://www.method.me/blog/generate-new-business-existing-customers/" TargetMode="External"/><Relationship Id="rId23" Type="http://schemas.openxmlformats.org/officeDocument/2006/relationships/hyperlink" Target="https://www.method.me/blog/small-business-world-class-service-part-2/" TargetMode="External"/><Relationship Id="rId525" Type="http://schemas.openxmlformats.org/officeDocument/2006/relationships/hyperlink" Target="https://www.method.me/blog/how-crm-increase-customer-satisfaction/" TargetMode="External"/><Relationship Id="rId767" Type="http://schemas.openxmlformats.org/officeDocument/2006/relationships/hyperlink" Target="https://www.method.me/blog/customer-tracking-software/" TargetMode="External"/><Relationship Id="rId524" Type="http://schemas.openxmlformats.org/officeDocument/2006/relationships/hyperlink" Target="https://www.method.me/videos/one-and-done-how-quickbooks-users-can-automate-reporting-for-good/" TargetMode="External"/><Relationship Id="rId766" Type="http://schemas.openxmlformats.org/officeDocument/2006/relationships/hyperlink" Target="https://www.method.me/blog/client-management-app/" TargetMode="External"/><Relationship Id="rId523" Type="http://schemas.openxmlformats.org/officeDocument/2006/relationships/hyperlink" Target="https://www.method.me/blog/customer-experience-management-vs-customer-relationship-management/" TargetMode="External"/><Relationship Id="rId765" Type="http://schemas.openxmlformats.org/officeDocument/2006/relationships/hyperlink" Target="https://www.method.me/blog/construction-software/" TargetMode="External"/><Relationship Id="rId522" Type="http://schemas.openxmlformats.org/officeDocument/2006/relationships/hyperlink" Target="https://www.method.me/blog/xero-crm-integrations/" TargetMode="External"/><Relationship Id="rId764" Type="http://schemas.openxmlformats.org/officeDocument/2006/relationships/hyperlink" Target="https://www.method.me/blog/software-sales-pipeline-stages/" TargetMode="External"/><Relationship Id="rId529" Type="http://schemas.openxmlformats.org/officeDocument/2006/relationships/hyperlink" Target="https://www.method.me/blog/docusign-quickbooks-integration/" TargetMode="External"/><Relationship Id="rId528" Type="http://schemas.openxmlformats.org/officeDocument/2006/relationships/hyperlink" Target="https://www.method.me/blog/how-to-add-signature-line-in-quickbooks/" TargetMode="External"/><Relationship Id="rId527" Type="http://schemas.openxmlformats.org/officeDocument/2006/relationships/hyperlink" Target="https://www.method.me/blog/how-to-make-a-great-customer-experience/" TargetMode="External"/><Relationship Id="rId769" Type="http://schemas.openxmlformats.org/officeDocument/2006/relationships/hyperlink" Target="https://www.method.me/blog/best-contractor-management-software/" TargetMode="External"/><Relationship Id="rId526" Type="http://schemas.openxmlformats.org/officeDocument/2006/relationships/hyperlink" Target="https://www.method.me/blog/how-to-enhance-customer-experience/" TargetMode="External"/><Relationship Id="rId768" Type="http://schemas.openxmlformats.org/officeDocument/2006/relationships/hyperlink" Target="https://www.method.me/blog/contact-management-software/" TargetMode="External"/><Relationship Id="rId26" Type="http://schemas.openxmlformats.org/officeDocument/2006/relationships/hyperlink" Target="https://www.method.me/blog/simplify-small-business-workflows-part-1/" TargetMode="External"/><Relationship Id="rId25" Type="http://schemas.openxmlformats.org/officeDocument/2006/relationships/hyperlink" Target="https://www.method.me/blog/how-3-small-businesses-close-more-deals-on-the-road/" TargetMode="External"/><Relationship Id="rId28" Type="http://schemas.openxmlformats.org/officeDocument/2006/relationships/hyperlink" Target="https://www.method.me/blog/simplify-your-small-business-workflows-part-2/" TargetMode="External"/><Relationship Id="rId27" Type="http://schemas.openxmlformats.org/officeDocument/2006/relationships/hyperlink" Target="https://www.method.me/blog/2-simple-tactics-to-successful-small-business-email-marketing/" TargetMode="External"/><Relationship Id="rId521" Type="http://schemas.openxmlformats.org/officeDocument/2006/relationships/hyperlink" Target="https://www.method.me/blog/improve-customer-service/" TargetMode="External"/><Relationship Id="rId763" Type="http://schemas.openxmlformats.org/officeDocument/2006/relationships/hyperlink" Target="https://www.method.me/blog/crm-software-outlook-integration/" TargetMode="External"/><Relationship Id="rId29" Type="http://schemas.openxmlformats.org/officeDocument/2006/relationships/hyperlink" Target="https://www.method.me/blog/simplify-your-small-business-workflows-part-3/" TargetMode="External"/><Relationship Id="rId520" Type="http://schemas.openxmlformats.org/officeDocument/2006/relationships/hyperlink" Target="https://www.method.me/blog/crm-for-customer-service/" TargetMode="External"/><Relationship Id="rId762" Type="http://schemas.openxmlformats.org/officeDocument/2006/relationships/hyperlink" Target="https://www.method.me/blog/invoice-and-estimate-software/" TargetMode="External"/><Relationship Id="rId761" Type="http://schemas.openxmlformats.org/officeDocument/2006/relationships/hyperlink" Target="https://www.method.me/blog/crm-and-accounting-software-integration/" TargetMode="External"/><Relationship Id="rId760" Type="http://schemas.openxmlformats.org/officeDocument/2006/relationships/hyperlink" Target="https://www.method.me/blog/sales-reporting-software/" TargetMode="External"/><Relationship Id="rId11" Type="http://schemas.openxmlformats.org/officeDocument/2006/relationships/hyperlink" Target="https://www.method.me/blog/create-workplace-harmony-with-quickbooks-integrated-workflows/" TargetMode="External"/><Relationship Id="rId10" Type="http://schemas.openxmlformats.org/officeDocument/2006/relationships/hyperlink" Target="https://www.method.me/blog/stop-managing-your-leads-in-excel-your-bottom-line-will-thank-you/" TargetMode="External"/><Relationship Id="rId13" Type="http://schemas.openxmlformats.org/officeDocument/2006/relationships/hyperlink" Target="https://www.method.me/blog/quickbooks-online-or-quickbooks-desktop/" TargetMode="External"/><Relationship Id="rId12" Type="http://schemas.openxmlformats.org/officeDocument/2006/relationships/hyperlink" Target="https://www.method.me/blog/quit-using-quickbooks-as-your-lead-management-software/" TargetMode="External"/><Relationship Id="rId519" Type="http://schemas.openxmlformats.org/officeDocument/2006/relationships/hyperlink" Target="https://www.method.me/blog/small-business-customer-service-improvement-strategies/" TargetMode="External"/><Relationship Id="rId514" Type="http://schemas.openxmlformats.org/officeDocument/2006/relationships/hyperlink" Target="https://www.method.me/blog/electrical-work-invoice/" TargetMode="External"/><Relationship Id="rId756" Type="http://schemas.openxmlformats.org/officeDocument/2006/relationships/hyperlink" Target="https://www.method.me/videos/qbc-webinar/" TargetMode="External"/><Relationship Id="rId998" Type="http://schemas.openxmlformats.org/officeDocument/2006/relationships/hyperlink" Target="https://www.method.me/blog/best-hvac-apps/" TargetMode="External"/><Relationship Id="rId513" Type="http://schemas.openxmlformats.org/officeDocument/2006/relationships/hyperlink" Target="https://www.method.me/blog/electrical-contractor-business-invoicing-software/" TargetMode="External"/><Relationship Id="rId755" Type="http://schemas.openxmlformats.org/officeDocument/2006/relationships/hyperlink" Target="https://www.method.me/blog/netsuite-vs-quickbooks-pricing/" TargetMode="External"/><Relationship Id="rId997" Type="http://schemas.openxmlformats.org/officeDocument/2006/relationships/hyperlink" Target="https://www.method.me/blog/how-to-delete-multiple-transactions-in-quickbooks-desktop-and-online/" TargetMode="External"/><Relationship Id="rId512" Type="http://schemas.openxmlformats.org/officeDocument/2006/relationships/hyperlink" Target="https://www.method.me/blog/free-electrical-invoice-template/" TargetMode="External"/><Relationship Id="rId754" Type="http://schemas.openxmlformats.org/officeDocument/2006/relationships/hyperlink" Target="https://www.method.me/blog/oracle-netsuite-vs-quickbooks-online/" TargetMode="External"/><Relationship Id="rId996" Type="http://schemas.openxmlformats.org/officeDocument/2006/relationships/hyperlink" Target="https://www.method.me/blog/how-to-add-another-company-in-quickbooks-online/" TargetMode="External"/><Relationship Id="rId511" Type="http://schemas.openxmlformats.org/officeDocument/2006/relationships/hyperlink" Target="https://www.method.me/blog/electric-bill-invoice-template/" TargetMode="External"/><Relationship Id="rId753" Type="http://schemas.openxmlformats.org/officeDocument/2006/relationships/hyperlink" Target="https://www.method.me/resources/how-to-create-a-credit-memo-in-quickbooks/" TargetMode="External"/><Relationship Id="rId995" Type="http://schemas.openxmlformats.org/officeDocument/2006/relationships/hyperlink" Target="https://www.method.me/blog/how-to-enter-adjusting-journal-entries-in-quickbooks/" TargetMode="External"/><Relationship Id="rId518" Type="http://schemas.openxmlformats.org/officeDocument/2006/relationships/hyperlink" Target="https://www.method.me/videos/leverage-quickbooks-data/" TargetMode="External"/><Relationship Id="rId517" Type="http://schemas.openxmlformats.org/officeDocument/2006/relationships/hyperlink" Target="https://www.method.me/customer-success/reliable-trading/" TargetMode="External"/><Relationship Id="rId759" Type="http://schemas.openxmlformats.org/officeDocument/2006/relationships/hyperlink" Target="https://www.method.me/blog/migrate-from-netsuite-to-quickbooks/" TargetMode="External"/><Relationship Id="rId516" Type="http://schemas.openxmlformats.org/officeDocument/2006/relationships/hyperlink" Target="https://www.method.me/blog/how-to-improve-customer-experience/" TargetMode="External"/><Relationship Id="rId758" Type="http://schemas.openxmlformats.org/officeDocument/2006/relationships/hyperlink" Target="https://www.method.me/outage-update-nov-10-2023/" TargetMode="External"/><Relationship Id="rId515" Type="http://schemas.openxmlformats.org/officeDocument/2006/relationships/hyperlink" Target="https://www.method.me/blog/electrical-business-forms/" TargetMode="External"/><Relationship Id="rId757" Type="http://schemas.openxmlformats.org/officeDocument/2006/relationships/hyperlink" Target="https://www.method.me/blog/quickbooks-to-netsuite-migration/" TargetMode="External"/><Relationship Id="rId999" Type="http://schemas.openxmlformats.org/officeDocument/2006/relationships/hyperlink" Target="https://www.method.me/blog/docusign-quickbooks-integration/" TargetMode="External"/><Relationship Id="rId15" Type="http://schemas.openxmlformats.org/officeDocument/2006/relationships/hyperlink" Target="https://www.method.me/blog/new-method-enters-beta-at-quickbooks-connect/" TargetMode="External"/><Relationship Id="rId990" Type="http://schemas.openxmlformats.org/officeDocument/2006/relationships/hyperlink" Target="https://www.method.me/blog/crm-best-practices/" TargetMode="External"/><Relationship Id="rId14" Type="http://schemas.openxmlformats.org/officeDocument/2006/relationships/hyperlink" Target="https://www.method.me/blog/method-heads-to-quickbooks-connect/" TargetMode="External"/><Relationship Id="rId17" Type="http://schemas.openxmlformats.org/officeDocument/2006/relationships/hyperlink" Target="https://www.method.me/blog/7-apps-to-organize-your-small-business/" TargetMode="External"/><Relationship Id="rId16" Type="http://schemas.openxmlformats.org/officeDocument/2006/relationships/hyperlink" Target="https://www.method.me/blog/conference-travel-tips-to-get-you-there-energized/" TargetMode="External"/><Relationship Id="rId19" Type="http://schemas.openxmlformats.org/officeDocument/2006/relationships/hyperlink" Target="https://www.method.me/blog/productivity-hacks-for-the-brave-small-business-owner/" TargetMode="External"/><Relationship Id="rId510" Type="http://schemas.openxmlformats.org/officeDocument/2006/relationships/hyperlink" Target="https://www.method.me/blog/companies-when-pride-month-ends/" TargetMode="External"/><Relationship Id="rId752" Type="http://schemas.openxmlformats.org/officeDocument/2006/relationships/hyperlink" Target="https://www.method.me/blog/best-crm-software/" TargetMode="External"/><Relationship Id="rId994" Type="http://schemas.openxmlformats.org/officeDocument/2006/relationships/hyperlink" Target="https://www.method.me/blog/reclassify-transactions-in-quickbooks/" TargetMode="External"/><Relationship Id="rId18" Type="http://schemas.openxmlformats.org/officeDocument/2006/relationships/hyperlink" Target="https://www.method.me/blog/ways-to-generate-leads-online-for-your-small-business/" TargetMode="External"/><Relationship Id="rId751" Type="http://schemas.openxmlformats.org/officeDocument/2006/relationships/hyperlink" Target="https://www.method.me/blog/netsuite-vs-quickbooks/" TargetMode="External"/><Relationship Id="rId993" Type="http://schemas.openxmlformats.org/officeDocument/2006/relationships/hyperlink" Target="https://www.method.me/blog/lead-follow-up-system/" TargetMode="External"/><Relationship Id="rId750" Type="http://schemas.openxmlformats.org/officeDocument/2006/relationships/hyperlink" Target="https://www.method.me/videos/q4-reorder/" TargetMode="External"/><Relationship Id="rId992" Type="http://schemas.openxmlformats.org/officeDocument/2006/relationships/hyperlink" Target="https://www.method.me/resources/best-electrical-contractor-software/" TargetMode="External"/><Relationship Id="rId991" Type="http://schemas.openxmlformats.org/officeDocument/2006/relationships/hyperlink" Target="https://www.method.me/blog/multi-entity-playbook/" TargetMode="External"/><Relationship Id="rId84" Type="http://schemas.openxmlformats.org/officeDocument/2006/relationships/hyperlink" Target="https://www.method.me/blog/small-business-online-payment-gateways/" TargetMode="External"/><Relationship Id="rId83" Type="http://schemas.openxmlformats.org/officeDocument/2006/relationships/hyperlink" Target="https://www.method.me/blog/upselling-and-cross-selling-with-quickbooks-crm/" TargetMode="External"/><Relationship Id="rId86" Type="http://schemas.openxmlformats.org/officeDocument/2006/relationships/hyperlink" Target="https://www.method.me/blog/delegating-tasks-as-business-owner/" TargetMode="External"/><Relationship Id="rId85" Type="http://schemas.openxmlformats.org/officeDocument/2006/relationships/hyperlink" Target="https://www.method.me/blog/customer-convenience-customer-portal/" TargetMode="External"/><Relationship Id="rId88" Type="http://schemas.openxmlformats.org/officeDocument/2006/relationships/hyperlink" Target="https://www.method.me/blog/customer-engagement-email-marketing/" TargetMode="External"/><Relationship Id="rId87" Type="http://schemas.openxmlformats.org/officeDocument/2006/relationships/hyperlink" Target="https://www.method.me/blog/going-paperless-business-success/" TargetMode="External"/><Relationship Id="rId89" Type="http://schemas.openxmlformats.org/officeDocument/2006/relationships/hyperlink" Target="https://www.method.me/blog/revamp-vendor-relationship-management/" TargetMode="External"/><Relationship Id="rId709" Type="http://schemas.openxmlformats.org/officeDocument/2006/relationships/hyperlink" Target="https://www.method.me/resources/small-business-automation/" TargetMode="External"/><Relationship Id="rId708" Type="http://schemas.openxmlformats.org/officeDocument/2006/relationships/hyperlink" Target="https://www.method.me/resources/quickbooks-automated-reports/" TargetMode="External"/><Relationship Id="rId707" Type="http://schemas.openxmlformats.org/officeDocument/2006/relationships/hyperlink" Target="https://www.method.me/resources/automation-manufacturing-industry/" TargetMode="External"/><Relationship Id="rId949" Type="http://schemas.openxmlformats.org/officeDocument/2006/relationships/hyperlink" Target="https://www.method.me/blog/merge-vendors-in-quickbooks/" TargetMode="External"/><Relationship Id="rId706" Type="http://schemas.openxmlformats.org/officeDocument/2006/relationships/hyperlink" Target="https://www.method.me/resources/xero-automation/" TargetMode="External"/><Relationship Id="rId948" Type="http://schemas.openxmlformats.org/officeDocument/2006/relationships/hyperlink" Target="https://www.method.me/blog/what-is-opening-balance-equity-in-quickbooks/" TargetMode="External"/><Relationship Id="rId80" Type="http://schemas.openxmlformats.org/officeDocument/2006/relationships/hyperlink" Target="https://www.method.me/blog/top-5-sales-pipeline-questions-answered/" TargetMode="External"/><Relationship Id="rId82" Type="http://schemas.openxmlformats.org/officeDocument/2006/relationships/hyperlink" Target="https://www.method.me/blog/best-customer-email-campaigns/" TargetMode="External"/><Relationship Id="rId81" Type="http://schemas.openxmlformats.org/officeDocument/2006/relationships/hyperlink" Target="https://www.method.me/blog/getting-ready-for-gdpr/" TargetMode="External"/><Relationship Id="rId701" Type="http://schemas.openxmlformats.org/officeDocument/2006/relationships/hyperlink" Target="https://www.method.me/resources/customer-service-automation/" TargetMode="External"/><Relationship Id="rId943" Type="http://schemas.openxmlformats.org/officeDocument/2006/relationships/hyperlink" Target="https://www.method.me/blog/quickbooks-ach-payments-charges/" TargetMode="External"/><Relationship Id="rId700" Type="http://schemas.openxmlformats.org/officeDocument/2006/relationships/hyperlink" Target="https://www.method.me/resources/best-task-automation-software/" TargetMode="External"/><Relationship Id="rId942" Type="http://schemas.openxmlformats.org/officeDocument/2006/relationships/hyperlink" Target="https://www.method.me/blog/reprint-checks-in-quickbooks/" TargetMode="External"/><Relationship Id="rId941" Type="http://schemas.openxmlformats.org/officeDocument/2006/relationships/hyperlink" Target="https://www.method.me/blog/change-primary-admin-in-quickbooks-online/" TargetMode="External"/><Relationship Id="rId940" Type="http://schemas.openxmlformats.org/officeDocument/2006/relationships/hyperlink" Target="https://www.method.me/blog/apply-vendor-credit-in-quickbooks-online/" TargetMode="External"/><Relationship Id="rId705" Type="http://schemas.openxmlformats.org/officeDocument/2006/relationships/hyperlink" Target="https://www.method.me/resources/automate-your-small-business/" TargetMode="External"/><Relationship Id="rId947" Type="http://schemas.openxmlformats.org/officeDocument/2006/relationships/hyperlink" Target="https://www.method.me/videos/2025-quickbooks-trends/" TargetMode="External"/><Relationship Id="rId704" Type="http://schemas.openxmlformats.org/officeDocument/2006/relationships/hyperlink" Target="https://www.method.me/resources/how-to-automate-your-business/" TargetMode="External"/><Relationship Id="rId946" Type="http://schemas.openxmlformats.org/officeDocument/2006/relationships/hyperlink" Target="https://www.method.me/blog/record-vendor-refund-in-quickbooks/" TargetMode="External"/><Relationship Id="rId703" Type="http://schemas.openxmlformats.org/officeDocument/2006/relationships/hyperlink" Target="https://www.method.me/resources/automate-transaction-entry-quickbooks/" TargetMode="External"/><Relationship Id="rId945" Type="http://schemas.openxmlformats.org/officeDocument/2006/relationships/hyperlink" Target="https://www.method.me/blog/import-accountant-changes-in-quickbooks/" TargetMode="External"/><Relationship Id="rId702" Type="http://schemas.openxmlformats.org/officeDocument/2006/relationships/hyperlink" Target="https://www.method.me/resources/how-to-automate-repetitive-tasks/" TargetMode="External"/><Relationship Id="rId944" Type="http://schemas.openxmlformats.org/officeDocument/2006/relationships/hyperlink" Target="https://www.method.me/blog/categorize-expenses-in-quickbooks/" TargetMode="External"/><Relationship Id="rId73" Type="http://schemas.openxmlformats.org/officeDocument/2006/relationships/hyperlink" Target="https://www.method.me/blog/small-business-lead-management-opportunity-management/" TargetMode="External"/><Relationship Id="rId72" Type="http://schemas.openxmlformats.org/officeDocument/2006/relationships/hyperlink" Target="https://www.method.me/blog/your-top-5-quickbooks-sync-questions-answered/" TargetMode="External"/><Relationship Id="rId75" Type="http://schemas.openxmlformats.org/officeDocument/2006/relationships/hyperlink" Target="https://www.method.me/blog/small-business-opportunity-management/" TargetMode="External"/><Relationship Id="rId74" Type="http://schemas.openxmlformats.org/officeDocument/2006/relationships/hyperlink" Target="https://www.method.me/blog/lead-tracking-best-practices/" TargetMode="External"/><Relationship Id="rId77" Type="http://schemas.openxmlformats.org/officeDocument/2006/relationships/hyperlink" Target="https://www.method.me/blog/customer-follow-up-repeat-business/" TargetMode="External"/><Relationship Id="rId76" Type="http://schemas.openxmlformats.org/officeDocument/2006/relationships/hyperlink" Target="https://www.method.me/blog/essential-lead-marketing-campaigns/" TargetMode="External"/><Relationship Id="rId79" Type="http://schemas.openxmlformats.org/officeDocument/2006/relationships/hyperlink" Target="https://www.method.me/blog/outlook-email-gadget/" TargetMode="External"/><Relationship Id="rId78" Type="http://schemas.openxmlformats.org/officeDocument/2006/relationships/hyperlink" Target="https://www.method.me/blog/small-business-closing-sales/" TargetMode="External"/><Relationship Id="rId939" Type="http://schemas.openxmlformats.org/officeDocument/2006/relationships/hyperlink" Target="https://www.method.me/blog/quickbooks-charges-for-credit-card-payments/" TargetMode="External"/><Relationship Id="rId938" Type="http://schemas.openxmlformats.org/officeDocument/2006/relationships/hyperlink" Target="https://www.method.me/blog/write-off-bad-debt-in-quickbooks/" TargetMode="External"/><Relationship Id="rId937" Type="http://schemas.openxmlformats.org/officeDocument/2006/relationships/hyperlink" Target="https://www.method.me/blog/transfer-quickbooks-to-new-computer/" TargetMode="External"/><Relationship Id="rId71" Type="http://schemas.openxmlformats.org/officeDocument/2006/relationships/hyperlink" Target="https://www.method.me/blog/quickbooks-customer-portal/" TargetMode="External"/><Relationship Id="rId70" Type="http://schemas.openxmlformats.org/officeDocument/2006/relationships/hyperlink" Target="https://www.method.me/blog/quickbooks-accountant-apps-program/" TargetMode="External"/><Relationship Id="rId932" Type="http://schemas.openxmlformats.org/officeDocument/2006/relationships/hyperlink" Target="https://www.method.me/blog/streamline-sales-process/" TargetMode="External"/><Relationship Id="rId931" Type="http://schemas.openxmlformats.org/officeDocument/2006/relationships/hyperlink" Target="https://www.method.me/blog/streamline-customer-service/" TargetMode="External"/><Relationship Id="rId930" Type="http://schemas.openxmlformats.org/officeDocument/2006/relationships/hyperlink" Target="https://www.method.me/blog/lost-sales-opportunity/" TargetMode="External"/><Relationship Id="rId936" Type="http://schemas.openxmlformats.org/officeDocument/2006/relationships/hyperlink" Target="https://www.method.me/blog/how-to-process-payroll-in-quickbooks/" TargetMode="External"/><Relationship Id="rId935" Type="http://schemas.openxmlformats.org/officeDocument/2006/relationships/hyperlink" Target="https://www.method.me/blog/add-accountant-to-quickbooks-online/" TargetMode="External"/><Relationship Id="rId934" Type="http://schemas.openxmlformats.org/officeDocument/2006/relationships/hyperlink" Target="https://www.method.me/blog/sales-lead-tracking/" TargetMode="External"/><Relationship Id="rId933" Type="http://schemas.openxmlformats.org/officeDocument/2006/relationships/hyperlink" Target="https://www.method.me/blog/close-rate-vs-win-rate/" TargetMode="External"/><Relationship Id="rId62" Type="http://schemas.openxmlformats.org/officeDocument/2006/relationships/hyperlink" Target="https://www.method.me/blog/replace-quickbooks-customer-manager/" TargetMode="External"/><Relationship Id="rId61" Type="http://schemas.openxmlformats.org/officeDocument/2006/relationships/hyperlink" Target="https://www.method.me/blog/sales-team-crm-adoption/" TargetMode="External"/><Relationship Id="rId64" Type="http://schemas.openxmlformats.org/officeDocument/2006/relationships/hyperlink" Target="https://www.method.me/blog/purchase-order-process/" TargetMode="External"/><Relationship Id="rId63" Type="http://schemas.openxmlformats.org/officeDocument/2006/relationships/hyperlink" Target="https://www.method.me/blog/contract-estimate-process/" TargetMode="External"/><Relationship Id="rId66" Type="http://schemas.openxmlformats.org/officeDocument/2006/relationships/hyperlink" Target="https://www.method.me/blog/3-ways-accept-estimates-online/" TargetMode="External"/><Relationship Id="rId65" Type="http://schemas.openxmlformats.org/officeDocument/2006/relationships/hyperlink" Target="https://www.method.me/blog/education-crm-helps-breaking-barrier-bring-language-learning-across-globe/" TargetMode="External"/><Relationship Id="rId68" Type="http://schemas.openxmlformats.org/officeDocument/2006/relationships/hyperlink" Target="https://www.method.me/blog/lead-generation-form-wordpress/" TargetMode="External"/><Relationship Id="rId67" Type="http://schemas.openxmlformats.org/officeDocument/2006/relationships/hyperlink" Target="https://www.method.me/blog/negative-inventory-quantity-in-quickbooks-online/" TargetMode="External"/><Relationship Id="rId729" Type="http://schemas.openxmlformats.org/officeDocument/2006/relationships/hyperlink" Target="https://www.method.me/blog/custom-form-styles-in-quickbooks-online/" TargetMode="External"/><Relationship Id="rId728" Type="http://schemas.openxmlformats.org/officeDocument/2006/relationships/hyperlink" Target="https://www.method.me/blog/reminder-email-for-quotation/" TargetMode="External"/><Relationship Id="rId60" Type="http://schemas.openxmlformats.org/officeDocument/2006/relationships/hyperlink" Target="https://www.method.me/blog/outgrown-quickbooks-need-crm/" TargetMode="External"/><Relationship Id="rId723" Type="http://schemas.openxmlformats.org/officeDocument/2006/relationships/hyperlink" Target="https://www.method.me/blog/price-a-job-as-a-contractor/" TargetMode="External"/><Relationship Id="rId965" Type="http://schemas.openxmlformats.org/officeDocument/2006/relationships/hyperlink" Target="https://www.method.me/multi-entity-crm/" TargetMode="External"/><Relationship Id="rId722" Type="http://schemas.openxmlformats.org/officeDocument/2006/relationships/hyperlink" Target="https://www.method.me/blog/electrical-contractor-price-book/" TargetMode="External"/><Relationship Id="rId964" Type="http://schemas.openxmlformats.org/officeDocument/2006/relationships/hyperlink" Target="https://www.method.me/blog/crm-for-blinds-manufacturers/" TargetMode="External"/><Relationship Id="rId721" Type="http://schemas.openxmlformats.org/officeDocument/2006/relationships/hyperlink" Target="https://www.method.me/blog/commercial-renovation-cost-calculator/" TargetMode="External"/><Relationship Id="rId963" Type="http://schemas.openxmlformats.org/officeDocument/2006/relationships/hyperlink" Target="https://www.method.me/blog/quickbooks-desktop-alternatives/" TargetMode="External"/><Relationship Id="rId720" Type="http://schemas.openxmlformats.org/officeDocument/2006/relationships/hyperlink" Target="https://www.method.me/resources/how-to-reconcile-in-quickbooks-online/" TargetMode="External"/><Relationship Id="rId962" Type="http://schemas.openxmlformats.org/officeDocument/2006/relationships/hyperlink" Target="https://www.method.me/blog/quickbooks-intercompany-transactions/" TargetMode="External"/><Relationship Id="rId727" Type="http://schemas.openxmlformats.org/officeDocument/2006/relationships/hyperlink" Target="https://www.method.me/blog/construction-agreements/" TargetMode="External"/><Relationship Id="rId969" Type="http://schemas.openxmlformats.org/officeDocument/2006/relationships/hyperlink" Target="https://www.method.me/blog/field-service-software-quickbooks-integration/" TargetMode="External"/><Relationship Id="rId726" Type="http://schemas.openxmlformats.org/officeDocument/2006/relationships/hyperlink" Target="https://www.method.me/blog/estimating-construction-costs/" TargetMode="External"/><Relationship Id="rId968" Type="http://schemas.openxmlformats.org/officeDocument/2006/relationships/hyperlink" Target="https://www.method.me/blog/multiple-companies-quickbooks-deskt/" TargetMode="External"/><Relationship Id="rId725" Type="http://schemas.openxmlformats.org/officeDocument/2006/relationships/hyperlink" Target="https://www.method.me/blog/invoice-as-a-contractor/" TargetMode="External"/><Relationship Id="rId967" Type="http://schemas.openxmlformats.org/officeDocument/2006/relationships/hyperlink" Target="https://www.method.me/blog/quickbooks-online-vs-desktop-for-multiple-companies/" TargetMode="External"/><Relationship Id="rId724" Type="http://schemas.openxmlformats.org/officeDocument/2006/relationships/hyperlink" Target="https://www.method.me/blog/create-invoice-in-excel/" TargetMode="External"/><Relationship Id="rId966" Type="http://schemas.openxmlformats.org/officeDocument/2006/relationships/hyperlink" Target="https://www.method.me/proposals/" TargetMode="External"/><Relationship Id="rId69" Type="http://schemas.openxmlformats.org/officeDocument/2006/relationships/hyperlink" Target="https://www.method.me/blog/5-benefits-of-estimating-software-that-integrates-with-quickbooks/" TargetMode="External"/><Relationship Id="rId961" Type="http://schemas.openxmlformats.org/officeDocument/2006/relationships/hyperlink" Target="https://www.method.me/videos/sales-order-inventory-automation-2025/" TargetMode="External"/><Relationship Id="rId960" Type="http://schemas.openxmlformats.org/officeDocument/2006/relationships/hyperlink" Target="https://www.method.me/industry/it-consulting-services/" TargetMode="External"/><Relationship Id="rId51" Type="http://schemas.openxmlformats.org/officeDocument/2006/relationships/hyperlink" Target="https://www.method.me/blog/your-business-needs-customer-relationship-management-heres-why/" TargetMode="External"/><Relationship Id="rId50" Type="http://schemas.openxmlformats.org/officeDocument/2006/relationships/hyperlink" Target="https://www.method.me/blog/factors-to-consider-when-choosing-accounting-software/" TargetMode="External"/><Relationship Id="rId53" Type="http://schemas.openxmlformats.org/officeDocument/2006/relationships/hyperlink" Target="https://www.method.me/blog/the-right-manufacturing-sales-crm/" TargetMode="External"/><Relationship Id="rId52" Type="http://schemas.openxmlformats.org/officeDocument/2006/relationships/hyperlink" Target="https://www.method.me/blog/quickbooks-enterprise-customer-management/" TargetMode="External"/><Relationship Id="rId55" Type="http://schemas.openxmlformats.org/officeDocument/2006/relationships/hyperlink" Target="https://www.method.me/blog/manage-sales-reps-quickbooks/" TargetMode="External"/><Relationship Id="rId54" Type="http://schemas.openxmlformats.org/officeDocument/2006/relationships/hyperlink" Target="https://www.method.me/blog/sales-crm-facts-infographic/" TargetMode="External"/><Relationship Id="rId57" Type="http://schemas.openxmlformats.org/officeDocument/2006/relationships/hyperlink" Target="https://www.method.me/blog/sales-reporting-quickbooks/" TargetMode="External"/><Relationship Id="rId56" Type="http://schemas.openxmlformats.org/officeDocument/2006/relationships/hyperlink" Target="https://www.method.me/blog/sales-commissions-tracking-quickbooks/" TargetMode="External"/><Relationship Id="rId719" Type="http://schemas.openxmlformats.org/officeDocument/2006/relationships/hyperlink" Target="https://www.method.me/blog/quickbooks-desktop-invoice-templates/" TargetMode="External"/><Relationship Id="rId718" Type="http://schemas.openxmlformats.org/officeDocument/2006/relationships/hyperlink" Target="https://www.method.me/blog/quickbooks-online-invoice-templates/" TargetMode="External"/><Relationship Id="rId717" Type="http://schemas.openxmlformats.org/officeDocument/2006/relationships/hyperlink" Target="https://www.method.me/resources/quickbooks-online-automation/" TargetMode="External"/><Relationship Id="rId959" Type="http://schemas.openxmlformats.org/officeDocument/2006/relationships/hyperlink" Target="https://www.method.me/industry/construction-contractors/" TargetMode="External"/><Relationship Id="rId712" Type="http://schemas.openxmlformats.org/officeDocument/2006/relationships/hyperlink" Target="https://www.method.me/resources/automation-wholesale/" TargetMode="External"/><Relationship Id="rId954" Type="http://schemas.openxmlformats.org/officeDocument/2006/relationships/hyperlink" Target="https://www.method.me/videos/sales-finance-in-lockstep-webinar/" TargetMode="External"/><Relationship Id="rId711" Type="http://schemas.openxmlformats.org/officeDocument/2006/relationships/hyperlink" Target="https://www.method.me/resources/automated-manufacturing-system/" TargetMode="External"/><Relationship Id="rId953" Type="http://schemas.openxmlformats.org/officeDocument/2006/relationships/hyperlink" Target="https://www.method.me/customer-success/wearing-williams/" TargetMode="External"/><Relationship Id="rId710" Type="http://schemas.openxmlformats.org/officeDocument/2006/relationships/hyperlink" Target="https://www.method.me/resources/automated-customer-service/" TargetMode="External"/><Relationship Id="rId952" Type="http://schemas.openxmlformats.org/officeDocument/2006/relationships/hyperlink" Target="https://www.method.me/blog/adjust-retained-earnings-in-quickbooks/" TargetMode="External"/><Relationship Id="rId951" Type="http://schemas.openxmlformats.org/officeDocument/2006/relationships/hyperlink" Target="https://www.method.me/blog/delete-journal-entries-in-quickbooks/" TargetMode="External"/><Relationship Id="rId716" Type="http://schemas.openxmlformats.org/officeDocument/2006/relationships/hyperlink" Target="https://www.method.me/resources/manufacturing-process-automation/" TargetMode="External"/><Relationship Id="rId958" Type="http://schemas.openxmlformats.org/officeDocument/2006/relationships/hyperlink" Target="https://www.method.me/industry/field-services/" TargetMode="External"/><Relationship Id="rId715" Type="http://schemas.openxmlformats.org/officeDocument/2006/relationships/hyperlink" Target="https://www.method.me/resources/business-process-automation-tools/" TargetMode="External"/><Relationship Id="rId957" Type="http://schemas.openxmlformats.org/officeDocument/2006/relationships/hyperlink" Target="https://www.method.me/industry/warehousing-distribution/" TargetMode="External"/><Relationship Id="rId714" Type="http://schemas.openxmlformats.org/officeDocument/2006/relationships/hyperlink" Target="https://www.method.me/resources/accounting-tasks-automation-examples/" TargetMode="External"/><Relationship Id="rId956" Type="http://schemas.openxmlformats.org/officeDocument/2006/relationships/hyperlink" Target="https://www.method.me/industry/manufacturing-wholesale/" TargetMode="External"/><Relationship Id="rId713" Type="http://schemas.openxmlformats.org/officeDocument/2006/relationships/hyperlink" Target="https://www.method.me/resources/xero-accounting-automation/" TargetMode="External"/><Relationship Id="rId955" Type="http://schemas.openxmlformats.org/officeDocument/2006/relationships/hyperlink" Target="https://www.method.me/videos/field-to-office-workflows-webinar/" TargetMode="External"/><Relationship Id="rId59" Type="http://schemas.openxmlformats.org/officeDocument/2006/relationships/hyperlink" Target="https://www.method.me/blog/small-business-counterfeit-manufacturing/" TargetMode="External"/><Relationship Id="rId58" Type="http://schemas.openxmlformats.org/officeDocument/2006/relationships/hyperlink" Target="https://www.method.me/blog/subcontractor-sales-report-quickbooks/" TargetMode="External"/><Relationship Id="rId950" Type="http://schemas.openxmlformats.org/officeDocument/2006/relationships/hyperlink" Target="https://www.method.me/blog/view-journal-entries-in-quickbooks/" TargetMode="External"/><Relationship Id="rId590" Type="http://schemas.openxmlformats.org/officeDocument/2006/relationships/hyperlink" Target="https://www.method.me/videos/year-end-qb/" TargetMode="External"/><Relationship Id="rId107" Type="http://schemas.openxmlformats.org/officeDocument/2006/relationships/hyperlink" Target="https://www.method.me/blog/outlook-add-ins-for-sales/" TargetMode="External"/><Relationship Id="rId349" Type="http://schemas.openxmlformats.org/officeDocument/2006/relationships/hyperlink" Target="https://www.method.me/features/estimates/" TargetMode="External"/><Relationship Id="rId106" Type="http://schemas.openxmlformats.org/officeDocument/2006/relationships/hyperlink" Target="https://www.method.me/blog/top-method-sales-crm-features-for-sales-reps/" TargetMode="External"/><Relationship Id="rId348" Type="http://schemas.openxmlformats.org/officeDocument/2006/relationships/hyperlink" Target="https://www.method.me/blog/field-service-scheduling-software/" TargetMode="External"/><Relationship Id="rId105" Type="http://schemas.openxmlformats.org/officeDocument/2006/relationships/hyperlink" Target="https://www.method.me/blog/paypal-credit-card-payments/" TargetMode="External"/><Relationship Id="rId347" Type="http://schemas.openxmlformats.org/officeDocument/2006/relationships/hyperlink" Target="https://www.method.me/crm-quickbooks/pricing/full-feature/" TargetMode="External"/><Relationship Id="rId589" Type="http://schemas.openxmlformats.org/officeDocument/2006/relationships/hyperlink" Target="https://www.method.me/blog/quickbooks-manufacturing-wholesale-tutorial/" TargetMode="External"/><Relationship Id="rId104" Type="http://schemas.openxmlformats.org/officeDocument/2006/relationships/hyperlink" Target="https://www.method.me/blog/books-for-small-business-owners/" TargetMode="External"/><Relationship Id="rId346" Type="http://schemas.openxmlformats.org/officeDocument/2006/relationships/hyperlink" Target="https://www.method.me/blog/seo-for-accountants/" TargetMode="External"/><Relationship Id="rId588" Type="http://schemas.openxmlformats.org/officeDocument/2006/relationships/hyperlink" Target="https://www.method.me/blog/what-does-erp-stand-for-in-manufacturing/" TargetMode="External"/><Relationship Id="rId109" Type="http://schemas.openxmlformats.org/officeDocument/2006/relationships/hyperlink" Target="https://www.method.me/blog/crm-comparison-method-vs-zoho/" TargetMode="External"/><Relationship Id="rId108" Type="http://schemas.openxmlformats.org/officeDocument/2006/relationships/hyperlink" Target="https://www.method.me/blog/books-for-accountants-and-bookkeepers/" TargetMode="External"/><Relationship Id="rId341" Type="http://schemas.openxmlformats.org/officeDocument/2006/relationships/hyperlink" Target="https://www.method.me/blog/best-crm-workflow/" TargetMode="External"/><Relationship Id="rId583" Type="http://schemas.openxmlformats.org/officeDocument/2006/relationships/hyperlink" Target="https://www.method.me/blog/best-small-business-erp-software/" TargetMode="External"/><Relationship Id="rId340" Type="http://schemas.openxmlformats.org/officeDocument/2006/relationships/hyperlink" Target="https://www.method.me/videos/communication-tactics-that-skyrocket-sales-and-engage-customers/" TargetMode="External"/><Relationship Id="rId582" Type="http://schemas.openxmlformats.org/officeDocument/2006/relationships/hyperlink" Target="https://www.method.me/blog/erp-system-small-business/" TargetMode="External"/><Relationship Id="rId581" Type="http://schemas.openxmlformats.org/officeDocument/2006/relationships/hyperlink" Target="https://www.method.me/blog/advantages-and-disadvantages-of-erp/" TargetMode="External"/><Relationship Id="rId580" Type="http://schemas.openxmlformats.org/officeDocument/2006/relationships/hyperlink" Target="https://www.method.me/blog/salesforce-erp/" TargetMode="External"/><Relationship Id="rId103" Type="http://schemas.openxmlformats.org/officeDocument/2006/relationships/hyperlink" Target="https://www.method.me/blog/construction-crm-key-features/" TargetMode="External"/><Relationship Id="rId345" Type="http://schemas.openxmlformats.org/officeDocument/2006/relationships/hyperlink" Target="https://www.method.me/blog/time-tracking-tool/" TargetMode="External"/><Relationship Id="rId587" Type="http://schemas.openxmlformats.org/officeDocument/2006/relationships/hyperlink" Target="https://www.method.me/blog/cloud-erp-small-business/" TargetMode="External"/><Relationship Id="rId102" Type="http://schemas.openxmlformats.org/officeDocument/2006/relationships/hyperlink" Target="https://www.method.me/blog/marketing-books/" TargetMode="External"/><Relationship Id="rId344" Type="http://schemas.openxmlformats.org/officeDocument/2006/relationships/hyperlink" Target="https://www.method.me/blog/crm-for-workflow-automation/" TargetMode="External"/><Relationship Id="rId586" Type="http://schemas.openxmlformats.org/officeDocument/2006/relationships/hyperlink" Target="https://www.method.me/blog/erp-systems-for-midsize-companies/" TargetMode="External"/><Relationship Id="rId101" Type="http://schemas.openxmlformats.org/officeDocument/2006/relationships/hyperlink" Target="https://www.method.me/blog/accounting-crm-key-features/" TargetMode="External"/><Relationship Id="rId343" Type="http://schemas.openxmlformats.org/officeDocument/2006/relationships/hyperlink" Target="https://www.method.me/blog/best-employee-time-tracking-app/" TargetMode="External"/><Relationship Id="rId585" Type="http://schemas.openxmlformats.org/officeDocument/2006/relationships/hyperlink" Target="https://www.method.me/blog/erp-and-crm-software/" TargetMode="External"/><Relationship Id="rId100" Type="http://schemas.openxmlformats.org/officeDocument/2006/relationships/hyperlink" Target="https://www.method.me/blog/nonprofit-donor-retention/" TargetMode="External"/><Relationship Id="rId342" Type="http://schemas.openxmlformats.org/officeDocument/2006/relationships/hyperlink" Target="https://www.method.me/crm-quickbooks/pricing/" TargetMode="External"/><Relationship Id="rId584" Type="http://schemas.openxmlformats.org/officeDocument/2006/relationships/hyperlink" Target="https://www.method.me/blog/erp-for-supply-chain/" TargetMode="External"/><Relationship Id="rId338" Type="http://schemas.openxmlformats.org/officeDocument/2006/relationships/hyperlink" Target="https://www.method.me/blog/crm-sales-automation/" TargetMode="External"/><Relationship Id="rId337" Type="http://schemas.openxmlformats.org/officeDocument/2006/relationships/hyperlink" Target="https://www.method.me/accessibility-at-method/" TargetMode="External"/><Relationship Id="rId579" Type="http://schemas.openxmlformats.org/officeDocument/2006/relationships/hyperlink" Target="https://www.method.me/blog/erp-alternatives/" TargetMode="External"/><Relationship Id="rId336" Type="http://schemas.openxmlformats.org/officeDocument/2006/relationships/hyperlink" Target="https://www.method.me/blog/small-business-data-analytics/" TargetMode="External"/><Relationship Id="rId578" Type="http://schemas.openxmlformats.org/officeDocument/2006/relationships/hyperlink" Target="https://www.method.me/blog/small-manufacturing-erp/" TargetMode="External"/><Relationship Id="rId335" Type="http://schemas.openxmlformats.org/officeDocument/2006/relationships/hyperlink" Target="https://www.method.me/blog/quickbooks-desktop-to-online/" TargetMode="External"/><Relationship Id="rId577" Type="http://schemas.openxmlformats.org/officeDocument/2006/relationships/hyperlink" Target="https://www.method.me/blog/wholesale-software-suppliers/" TargetMode="External"/><Relationship Id="rId339" Type="http://schemas.openxmlformats.org/officeDocument/2006/relationships/hyperlink" Target="https://www.method.me/blog/employee-time-tracking-software/" TargetMode="External"/><Relationship Id="rId330" Type="http://schemas.openxmlformats.org/officeDocument/2006/relationships/hyperlink" Target="https://www.method.me/crm-quickbooks/workflow-automation/" TargetMode="External"/><Relationship Id="rId572" Type="http://schemas.openxmlformats.org/officeDocument/2006/relationships/hyperlink" Target="https://www.method.me/blog/how-to-enable-an-approval-workflow-in-quickbooks-online-invoice/" TargetMode="External"/><Relationship Id="rId571" Type="http://schemas.openxmlformats.org/officeDocument/2006/relationships/hyperlink" Target="https://www.method.me/customer-success/granite-garage-floors/" TargetMode="External"/><Relationship Id="rId570" Type="http://schemas.openxmlformats.org/officeDocument/2006/relationships/hyperlink" Target="https://www.method.me/blog/how-to-add-signature-in-quickbooks-online/" TargetMode="External"/><Relationship Id="rId334" Type="http://schemas.openxmlformats.org/officeDocument/2006/relationships/hyperlink" Target="https://www.method.me/crm-quickbooks/time-tracking-software/" TargetMode="External"/><Relationship Id="rId576" Type="http://schemas.openxmlformats.org/officeDocument/2006/relationships/hyperlink" Target="https://www.method.me/blog/quickbooks-manufacturing/" TargetMode="External"/><Relationship Id="rId333" Type="http://schemas.openxmlformats.org/officeDocument/2006/relationships/hyperlink" Target="https://www.method.me/crm-quickbooks/job-scheduling-software/" TargetMode="External"/><Relationship Id="rId575" Type="http://schemas.openxmlformats.org/officeDocument/2006/relationships/hyperlink" Target="https://www.method.me/blog/does-quickbooks-online-have-an-approval-process/" TargetMode="External"/><Relationship Id="rId332" Type="http://schemas.openxmlformats.org/officeDocument/2006/relationships/hyperlink" Target="https://www.method.me/crm-quickbooks/invoice-software/" TargetMode="External"/><Relationship Id="rId574" Type="http://schemas.openxmlformats.org/officeDocument/2006/relationships/hyperlink" Target="https://www.method.me/blog/invoice-approval-workflow-software-quickbooks/" TargetMode="External"/><Relationship Id="rId331" Type="http://schemas.openxmlformats.org/officeDocument/2006/relationships/hyperlink" Target="https://www.method.me/crm-quickbooks/work-order-software/" TargetMode="External"/><Relationship Id="rId573" Type="http://schemas.openxmlformats.org/officeDocument/2006/relationships/hyperlink" Target="https://www.method.me/videos/automate-qbo-approval-workflows/" TargetMode="External"/><Relationship Id="rId370" Type="http://schemas.openxmlformats.org/officeDocument/2006/relationships/hyperlink" Target="https://www.method.me/pricing-guides/estimate-residential-electrical-work/" TargetMode="External"/><Relationship Id="rId129" Type="http://schemas.openxmlformats.org/officeDocument/2006/relationships/hyperlink" Target="https://www.method.me/blog/organization-for-accountants-bookkeepers/" TargetMode="External"/><Relationship Id="rId128" Type="http://schemas.openxmlformats.org/officeDocument/2006/relationships/hyperlink" Target="https://www.method.me/blog/crm-comparison-method-vs-insightly/" TargetMode="External"/><Relationship Id="rId127" Type="http://schemas.openxmlformats.org/officeDocument/2006/relationships/hyperlink" Target="https://www.method.me/blog/conquering-customer-service-issues/" TargetMode="External"/><Relationship Id="rId369" Type="http://schemas.openxmlformats.org/officeDocument/2006/relationships/hyperlink" Target="https://www.method.me/pricing-guides/drywall-estimating-template/" TargetMode="External"/><Relationship Id="rId126" Type="http://schemas.openxmlformats.org/officeDocument/2006/relationships/hyperlink" Target="https://www.method.me/blog/how-method-crm-helps-businesses-create-optimal-workflows/" TargetMode="External"/><Relationship Id="rId368" Type="http://schemas.openxmlformats.org/officeDocument/2006/relationships/hyperlink" Target="https://www.method.me/pricing-guides/moving-company-estimate-template/" TargetMode="External"/><Relationship Id="rId121" Type="http://schemas.openxmlformats.org/officeDocument/2006/relationships/hyperlink" Target="https://www.method.me/blog/sales-metrics-to-track-for-business-success/" TargetMode="External"/><Relationship Id="rId363" Type="http://schemas.openxmlformats.org/officeDocument/2006/relationships/hyperlink" Target="https://www.method.me/pricing-guides/house-painting-cost-estimator/" TargetMode="External"/><Relationship Id="rId120" Type="http://schemas.openxmlformats.org/officeDocument/2006/relationships/hyperlink" Target="https://www.method.me/blog/upgrade-your-lead-management-with-a-quickbooks-crm/" TargetMode="External"/><Relationship Id="rId362" Type="http://schemas.openxmlformats.org/officeDocument/2006/relationships/hyperlink" Target="https://www.method.me/pricing-guides/roofing-estimate-template/" TargetMode="External"/><Relationship Id="rId361" Type="http://schemas.openxmlformats.org/officeDocument/2006/relationships/hyperlink" Target="https://www.method.me/pricing-guides/general-contractor/" TargetMode="External"/><Relationship Id="rId360" Type="http://schemas.openxmlformats.org/officeDocument/2006/relationships/hyperlink" Target="https://www.method.me/pricing-guides/handyman-prices-by-the-job/" TargetMode="External"/><Relationship Id="rId125" Type="http://schemas.openxmlformats.org/officeDocument/2006/relationships/hyperlink" Target="https://www.method.me/blog/how-to-generate-leads-for-marketing-agencies/" TargetMode="External"/><Relationship Id="rId367" Type="http://schemas.openxmlformats.org/officeDocument/2006/relationships/hyperlink" Target="https://www.method.me/pricing-guides/lawn-mowing-pricing-formula/" TargetMode="External"/><Relationship Id="rId124" Type="http://schemas.openxmlformats.org/officeDocument/2006/relationships/hyperlink" Target="https://www.method.me/blog/create-an-integrated-app-ecosystem-with-method/" TargetMode="External"/><Relationship Id="rId366" Type="http://schemas.openxmlformats.org/officeDocument/2006/relationships/hyperlink" Target="https://www.method.me/pricing-guides/auto-repair-labor/" TargetMode="External"/><Relationship Id="rId123" Type="http://schemas.openxmlformats.org/officeDocument/2006/relationships/hyperlink" Target="https://www.method.me/blog/better-customer-management-with-quickbooks-crm/" TargetMode="External"/><Relationship Id="rId365" Type="http://schemas.openxmlformats.org/officeDocument/2006/relationships/hyperlink" Target="https://www.method.me/pricing-guides/how-much-to-charge-for-junk-removal/" TargetMode="External"/><Relationship Id="rId122" Type="http://schemas.openxmlformats.org/officeDocument/2006/relationships/hyperlink" Target="https://www.method.me/blog/organization-tips-for-small-business-owners/" TargetMode="External"/><Relationship Id="rId364" Type="http://schemas.openxmlformats.org/officeDocument/2006/relationships/hyperlink" Target="https://www.method.me/pricing-guides/landscaping-estimate-template/" TargetMode="External"/><Relationship Id="rId95" Type="http://schemas.openxmlformats.org/officeDocument/2006/relationships/hyperlink" Target="https://www.method.me/blog/crm-free-trial-checklist/" TargetMode="External"/><Relationship Id="rId94" Type="http://schemas.openxmlformats.org/officeDocument/2006/relationships/hyperlink" Target="https://www.method.me/blog/gmail-integrations-for-sales/" TargetMode="External"/><Relationship Id="rId97" Type="http://schemas.openxmlformats.org/officeDocument/2006/relationships/hyperlink" Target="https://www.method.me/blog/sales-management-books/" TargetMode="External"/><Relationship Id="rId96" Type="http://schemas.openxmlformats.org/officeDocument/2006/relationships/hyperlink" Target="https://www.method.me/blog/agency-crm-key-features/" TargetMode="External"/><Relationship Id="rId99" Type="http://schemas.openxmlformats.org/officeDocument/2006/relationships/hyperlink" Target="https://www.method.me/blog/sales-follow-up-emails/" TargetMode="External"/><Relationship Id="rId98" Type="http://schemas.openxmlformats.org/officeDocument/2006/relationships/hyperlink" Target="https://www.method.me/blog/education-crm-for-back-to-school/" TargetMode="External"/><Relationship Id="rId91" Type="http://schemas.openxmlformats.org/officeDocument/2006/relationships/hyperlink" Target="https://www.method.me/blog/what-is-crm-api/" TargetMode="External"/><Relationship Id="rId90" Type="http://schemas.openxmlformats.org/officeDocument/2006/relationships/hyperlink" Target="https://www.method.me/blog/better-accounts-receivable-process/" TargetMode="External"/><Relationship Id="rId93" Type="http://schemas.openxmlformats.org/officeDocument/2006/relationships/hyperlink" Target="https://www.method.me/blog/manage-sales-reps/" TargetMode="External"/><Relationship Id="rId92" Type="http://schemas.openxmlformats.org/officeDocument/2006/relationships/hyperlink" Target="https://www.method.me/blog/lead-management-software-marketers/" TargetMode="External"/><Relationship Id="rId118" Type="http://schemas.openxmlformats.org/officeDocument/2006/relationships/hyperlink" Target="https://www.method.me/blog/do-more-with-your-quickbooks-data/" TargetMode="External"/><Relationship Id="rId117" Type="http://schemas.openxmlformats.org/officeDocument/2006/relationships/hyperlink" Target="https://www.method.me/blog/essential-podcasts-for-sales-reps/" TargetMode="External"/><Relationship Id="rId359" Type="http://schemas.openxmlformats.org/officeDocument/2006/relationships/hyperlink" Target="https://www.method.me/pricing-guides/trucking-rates-per-mile/" TargetMode="External"/><Relationship Id="rId116" Type="http://schemas.openxmlformats.org/officeDocument/2006/relationships/hyperlink" Target="https://www.method.me/blog/new-sync-engine-for-quickbooks-desktop/" TargetMode="External"/><Relationship Id="rId358" Type="http://schemas.openxmlformats.org/officeDocument/2006/relationships/hyperlink" Target="https://www.method.me/pricing-guides/carpet-installation-cost-estimate/" TargetMode="External"/><Relationship Id="rId115" Type="http://schemas.openxmlformats.org/officeDocument/2006/relationships/hyperlink" Target="https://www.method.me/blog/how-to-create-online-donation-pages/" TargetMode="External"/><Relationship Id="rId357" Type="http://schemas.openxmlformats.org/officeDocument/2006/relationships/hyperlink" Target="https://www.method.me/pricing-guides/tree-trimming-estimate-template/" TargetMode="External"/><Relationship Id="rId599" Type="http://schemas.openxmlformats.org/officeDocument/2006/relationships/hyperlink" Target="https://www.method.me/blog/quickbooks-online-and-inventory/" TargetMode="External"/><Relationship Id="rId119" Type="http://schemas.openxmlformats.org/officeDocument/2006/relationships/hyperlink" Target="https://www.method.me/blog/5-signs-that-your-client-is-unhappy/" TargetMode="External"/><Relationship Id="rId110" Type="http://schemas.openxmlformats.org/officeDocument/2006/relationships/hyperlink" Target="https://www.method.me/blog/how-to-set-sales-goals/" TargetMode="External"/><Relationship Id="rId352" Type="http://schemas.openxmlformats.org/officeDocument/2006/relationships/hyperlink" Target="https://www.method.me/pricing-guides/plumbing-estimates-example/" TargetMode="External"/><Relationship Id="rId594" Type="http://schemas.openxmlformats.org/officeDocument/2006/relationships/hyperlink" Target="https://www.method.me/blog/how-do-i-view-transaction-history-report-in-quickbooks/" TargetMode="External"/><Relationship Id="rId351" Type="http://schemas.openxmlformats.org/officeDocument/2006/relationships/hyperlink" Target="https://www.method.me/pricing-guides/" TargetMode="External"/><Relationship Id="rId593" Type="http://schemas.openxmlformats.org/officeDocument/2006/relationships/hyperlink" Target="https://www.method.me/blog/does-quickbooks-desktop-have-an-approval-process/" TargetMode="External"/><Relationship Id="rId350" Type="http://schemas.openxmlformats.org/officeDocument/2006/relationships/hyperlink" Target="https://www.method.me/pricing-guides/house-cleaning-estimate-form/" TargetMode="External"/><Relationship Id="rId592" Type="http://schemas.openxmlformats.org/officeDocument/2006/relationships/hyperlink" Target="https://www.method.me/blog/quickbooks-online-estimate-signature/" TargetMode="External"/><Relationship Id="rId591" Type="http://schemas.openxmlformats.org/officeDocument/2006/relationships/hyperlink" Target="https://www.method.me/blog/quickbooks-online-purchase-order-approval-process/" TargetMode="External"/><Relationship Id="rId114" Type="http://schemas.openxmlformats.org/officeDocument/2006/relationships/hyperlink" Target="https://www.method.me/blog/4-ways-to-improve-customer-retention/" TargetMode="External"/><Relationship Id="rId356" Type="http://schemas.openxmlformats.org/officeDocument/2006/relationships/hyperlink" Target="https://www.method.me/pricing-guides/carpet-cleaning-estimate-template/" TargetMode="External"/><Relationship Id="rId598" Type="http://schemas.openxmlformats.org/officeDocument/2006/relationships/hyperlink" Target="https://www.method.me/blog/software-for-manufacturing/" TargetMode="External"/><Relationship Id="rId113" Type="http://schemas.openxmlformats.org/officeDocument/2006/relationships/hyperlink" Target="https://www.method.me/blog/books-for-quickbooks-pro-advisors/" TargetMode="External"/><Relationship Id="rId355" Type="http://schemas.openxmlformats.org/officeDocument/2006/relationships/hyperlink" Target="https://www.method.me/pricing-guides/construction-estimate-template/" TargetMode="External"/><Relationship Id="rId597" Type="http://schemas.openxmlformats.org/officeDocument/2006/relationships/hyperlink" Target="https://www.method.me/videos/qb-red-flags/" TargetMode="External"/><Relationship Id="rId112" Type="http://schemas.openxmlformats.org/officeDocument/2006/relationships/hyperlink" Target="https://www.method.me/blog/how-to-generate-leads-for-manufacturing-businesses/" TargetMode="External"/><Relationship Id="rId354" Type="http://schemas.openxmlformats.org/officeDocument/2006/relationships/hyperlink" Target="https://www.method.me/pricing-guides/snow-removal-pricing-formula/" TargetMode="External"/><Relationship Id="rId596" Type="http://schemas.openxmlformats.org/officeDocument/2006/relationships/hyperlink" Target="https://www.method.me/blog/how-to-get-ahead-of-construction-industry-trends/" TargetMode="External"/><Relationship Id="rId111" Type="http://schemas.openxmlformats.org/officeDocument/2006/relationships/hyperlink" Target="https://www.method.me/blog/stop-using-excel-as-a-crm/" TargetMode="External"/><Relationship Id="rId353" Type="http://schemas.openxmlformats.org/officeDocument/2006/relationships/hyperlink" Target="https://www.method.me/blog/automation-and-workflow/" TargetMode="External"/><Relationship Id="rId595" Type="http://schemas.openxmlformats.org/officeDocument/2006/relationships/hyperlink" Target="https://www.method.me/resources/comparison-of-crm-systems/" TargetMode="External"/><Relationship Id="rId305" Type="http://schemas.openxmlformats.org/officeDocument/2006/relationships/hyperlink" Target="https://www.method.me/blog/manufacturing-supply-chain-workflow/" TargetMode="External"/><Relationship Id="rId547" Type="http://schemas.openxmlformats.org/officeDocument/2006/relationships/hyperlink" Target="https://www.method.me/resources/compare/nutshell-vs-zoho-vs-method-crm/" TargetMode="External"/><Relationship Id="rId789" Type="http://schemas.openxmlformats.org/officeDocument/2006/relationships/hyperlink" Target="https://www.method.me/blog/construction-crm-software/" TargetMode="External"/><Relationship Id="rId304" Type="http://schemas.openxmlformats.org/officeDocument/2006/relationships/hyperlink" Target="https://www.method.me/blog/software-integrations/" TargetMode="External"/><Relationship Id="rId546" Type="http://schemas.openxmlformats.org/officeDocument/2006/relationships/hyperlink" Target="https://www.method.me/resources/compare/nutshell-vs-salesforce-vs-method-crm/" TargetMode="External"/><Relationship Id="rId788" Type="http://schemas.openxmlformats.org/officeDocument/2006/relationships/hyperlink" Target="https://www.method.me/blog/construction-resource-management-software/" TargetMode="External"/><Relationship Id="rId303" Type="http://schemas.openxmlformats.org/officeDocument/2006/relationships/hyperlink" Target="https://www.method.me/blog/qbo-app/" TargetMode="External"/><Relationship Id="rId545" Type="http://schemas.openxmlformats.org/officeDocument/2006/relationships/hyperlink" Target="https://www.method.me/resources/compare/nutshell-vs-pipedrive-vs-method-crm/" TargetMode="External"/><Relationship Id="rId787" Type="http://schemas.openxmlformats.org/officeDocument/2006/relationships/hyperlink" Target="https://www.method.me/blog/crm-app/" TargetMode="External"/><Relationship Id="rId302" Type="http://schemas.openxmlformats.org/officeDocument/2006/relationships/hyperlink" Target="https://www.method.me/blog/apps-for-quickbooks-desktop/" TargetMode="External"/><Relationship Id="rId544" Type="http://schemas.openxmlformats.org/officeDocument/2006/relationships/hyperlink" Target="https://www.method.me/resources/compare/nutshell-vs-keap-vs-method-crm/" TargetMode="External"/><Relationship Id="rId786" Type="http://schemas.openxmlformats.org/officeDocument/2006/relationships/hyperlink" Target="https://www.method.me/blog/construction-scheduling-software-excel/" TargetMode="External"/><Relationship Id="rId309" Type="http://schemas.openxmlformats.org/officeDocument/2006/relationships/hyperlink" Target="https://www.method.me/crm-quickbooks/desktop/" TargetMode="External"/><Relationship Id="rId308" Type="http://schemas.openxmlformats.org/officeDocument/2006/relationships/hyperlink" Target="https://www.method.me/industries/field-service-management-software/" TargetMode="External"/><Relationship Id="rId307" Type="http://schemas.openxmlformats.org/officeDocument/2006/relationships/hyperlink" Target="https://www.method.me/blog/cyber-monday-tips/" TargetMode="External"/><Relationship Id="rId549" Type="http://schemas.openxmlformats.org/officeDocument/2006/relationships/hyperlink" Target="https://www.method.me/resources/compare/pipedrive-alternatives/" TargetMode="External"/><Relationship Id="rId306" Type="http://schemas.openxmlformats.org/officeDocument/2006/relationships/hyperlink" Target="https://www.method.me/blog/small-business-saturday-ideas/" TargetMode="External"/><Relationship Id="rId548" Type="http://schemas.openxmlformats.org/officeDocument/2006/relationships/hyperlink" Target="https://www.method.me/resources/compare/pipedrive-vs-hubspot-crm-vs-method-crm/" TargetMode="External"/><Relationship Id="rId781" Type="http://schemas.openxmlformats.org/officeDocument/2006/relationships/hyperlink" Target="https://www.method.me/blog/quickbooks-reporting-tools/" TargetMode="External"/><Relationship Id="rId780" Type="http://schemas.openxmlformats.org/officeDocument/2006/relationships/hyperlink" Target="https://www.method.me/blog/software-that-works-with-quickbooks/" TargetMode="External"/><Relationship Id="rId301" Type="http://schemas.openxmlformats.org/officeDocument/2006/relationships/hyperlink" Target="https://www.method.me/features/zapier-crm/" TargetMode="External"/><Relationship Id="rId543" Type="http://schemas.openxmlformats.org/officeDocument/2006/relationships/hyperlink" Target="https://www.method.me/resources/compare/nutshell-vs-jobber-vs-method-crm/" TargetMode="External"/><Relationship Id="rId785" Type="http://schemas.openxmlformats.org/officeDocument/2006/relationships/hyperlink" Target="https://www.method.me/blog/construction-contract-administration-software/" TargetMode="External"/><Relationship Id="rId300" Type="http://schemas.openxmlformats.org/officeDocument/2006/relationships/hyperlink" Target="https://www.method.me/blog/benefits-of-customer-retention/" TargetMode="External"/><Relationship Id="rId542" Type="http://schemas.openxmlformats.org/officeDocument/2006/relationships/hyperlink" Target="https://www.method.me/resources/compare/nutshell-vs-insightly-vs-method-crm/" TargetMode="External"/><Relationship Id="rId784" Type="http://schemas.openxmlformats.org/officeDocument/2006/relationships/hyperlink" Target="https://www.method.me/blog/pest-control-software-quickbooks/" TargetMode="External"/><Relationship Id="rId541" Type="http://schemas.openxmlformats.org/officeDocument/2006/relationships/hyperlink" Target="https://www.method.me/resources/compare/nutshell-vs-hubspot-crm-vs-method-crm/" TargetMode="External"/><Relationship Id="rId783" Type="http://schemas.openxmlformats.org/officeDocument/2006/relationships/hyperlink" Target="https://www.method.me/blog/pool-service-software-quickbooks/" TargetMode="External"/><Relationship Id="rId540" Type="http://schemas.openxmlformats.org/officeDocument/2006/relationships/hyperlink" Target="https://www.method.me/resources/compare/keap-vs-jobber-vs-method-crm/" TargetMode="External"/><Relationship Id="rId782" Type="http://schemas.openxmlformats.org/officeDocument/2006/relationships/hyperlink" Target="https://www.method.me/blog/invoice-approval-software/" TargetMode="External"/><Relationship Id="rId536" Type="http://schemas.openxmlformats.org/officeDocument/2006/relationships/hyperlink" Target="https://www.method.me/resources/compare/insightly-vs-keap-vs-method-crm/" TargetMode="External"/><Relationship Id="rId778" Type="http://schemas.openxmlformats.org/officeDocument/2006/relationships/hyperlink" Target="https://www.method.me/blog/hvac-scheduling-software-quickbooks/" TargetMode="External"/><Relationship Id="rId535" Type="http://schemas.openxmlformats.org/officeDocument/2006/relationships/hyperlink" Target="https://www.method.me/resources/compare/insightly-vs-jobber-vs-method-crm/" TargetMode="External"/><Relationship Id="rId777" Type="http://schemas.openxmlformats.org/officeDocument/2006/relationships/hyperlink" Target="https://www.method.me/blog/erp-software-companies/" TargetMode="External"/><Relationship Id="rId534" Type="http://schemas.openxmlformats.org/officeDocument/2006/relationships/hyperlink" Target="https://www.method.me/resources/compare/insightly-vs-hubspot-crm-vs-method-crm/" TargetMode="External"/><Relationship Id="rId776" Type="http://schemas.openxmlformats.org/officeDocument/2006/relationships/hyperlink" Target="https://www.method.me/blog/crm-software-integration/" TargetMode="External"/><Relationship Id="rId533" Type="http://schemas.openxmlformats.org/officeDocument/2006/relationships/hyperlink" Target="https://www.method.me/resources/compare/hubspot-crm-vs-keap-vs-method-crm/" TargetMode="External"/><Relationship Id="rId775" Type="http://schemas.openxmlformats.org/officeDocument/2006/relationships/hyperlink" Target="https://www.method.me/blog/apps-that-integrate-with-quickbooks/" TargetMode="External"/><Relationship Id="rId539" Type="http://schemas.openxmlformats.org/officeDocument/2006/relationships/hyperlink" Target="https://www.method.me/resources/compare/insightly-vs-zoho-vs-method-crm/" TargetMode="External"/><Relationship Id="rId538" Type="http://schemas.openxmlformats.org/officeDocument/2006/relationships/hyperlink" Target="https://www.method.me/resources/compare/insightly-vs-salesforce-vs-method-crm/" TargetMode="External"/><Relationship Id="rId537" Type="http://schemas.openxmlformats.org/officeDocument/2006/relationships/hyperlink" Target="https://www.method.me/resources/compare/insightly-vs-pipedrive-vs-method-crm/" TargetMode="External"/><Relationship Id="rId779" Type="http://schemas.openxmlformats.org/officeDocument/2006/relationships/hyperlink" Target="https://www.method.me/blog/quickbooks-scheduling-software/" TargetMode="External"/><Relationship Id="rId770" Type="http://schemas.openxmlformats.org/officeDocument/2006/relationships/hyperlink" Target="https://www.method.me/blog/field-service-management-software/" TargetMode="External"/><Relationship Id="rId532" Type="http://schemas.openxmlformats.org/officeDocument/2006/relationships/hyperlink" Target="https://www.method.me/resources/compare/hubspot-crm-vs-jobber-vs-method-crm/" TargetMode="External"/><Relationship Id="rId774" Type="http://schemas.openxmlformats.org/officeDocument/2006/relationships/hyperlink" Target="https://www.method.me/blog/customer-management-app/" TargetMode="External"/><Relationship Id="rId531" Type="http://schemas.openxmlformats.org/officeDocument/2006/relationships/hyperlink" Target="https://www.method.me/videos/top-5-qbo-workflows-to-automate/" TargetMode="External"/><Relationship Id="rId773" Type="http://schemas.openxmlformats.org/officeDocument/2006/relationships/hyperlink" Target="https://www.method.me/blog/contractor-invoice-app/" TargetMode="External"/><Relationship Id="rId530" Type="http://schemas.openxmlformats.org/officeDocument/2006/relationships/hyperlink" Target="https://www.method.me/resources/compare/nutshell-alternative/" TargetMode="External"/><Relationship Id="rId772" Type="http://schemas.openxmlformats.org/officeDocument/2006/relationships/hyperlink" Target="https://www.method.me/blog/customer-data-management-software/" TargetMode="External"/><Relationship Id="rId771" Type="http://schemas.openxmlformats.org/officeDocument/2006/relationships/hyperlink" Target="https://www.method.me/blog/electrical-estimating-software/" TargetMode="External"/><Relationship Id="rId327" Type="http://schemas.openxmlformats.org/officeDocument/2006/relationships/hyperlink" Target="https://www.method.me/blog/work-order-tracking/" TargetMode="External"/><Relationship Id="rId569" Type="http://schemas.openxmlformats.org/officeDocument/2006/relationships/hyperlink" Target="https://www.method.me/blog/how-to-add-electronic-signature-line-on-quickbooks-invoice/" TargetMode="External"/><Relationship Id="rId326" Type="http://schemas.openxmlformats.org/officeDocument/2006/relationships/hyperlink" Target="https://www.method.me/blog/managing-an-efficient-supply-chain/" TargetMode="External"/><Relationship Id="rId568" Type="http://schemas.openxmlformats.org/officeDocument/2006/relationships/hyperlink" Target="https://www.method.me/blog/does-quickbooks-have-electronic-signature-capture/" TargetMode="External"/><Relationship Id="rId325" Type="http://schemas.openxmlformats.org/officeDocument/2006/relationships/hyperlink" Target="https://www.method.me/videos/the-supply-chain-secrets-you-need-to-succeed/" TargetMode="External"/><Relationship Id="rId567" Type="http://schemas.openxmlformats.org/officeDocument/2006/relationships/hyperlink" Target="https://www.method.me/videos/top-5-xero-workflows-to-automate/" TargetMode="External"/><Relationship Id="rId324" Type="http://schemas.openxmlformats.org/officeDocument/2006/relationships/hyperlink" Target="https://www.method.me/videos/tech-trends-for-growth-minded-businesses/" TargetMode="External"/><Relationship Id="rId566" Type="http://schemas.openxmlformats.org/officeDocument/2006/relationships/hyperlink" Target="https://www.method.me/blog/electronic-signature-quickbooks-online-capture/" TargetMode="External"/><Relationship Id="rId329" Type="http://schemas.openxmlformats.org/officeDocument/2006/relationships/hyperlink" Target="https://www.method.me/videos/proadvisor-perspective-how-to-maximize-the-power-of-quickbooks-desktop/" TargetMode="External"/><Relationship Id="rId328" Type="http://schemas.openxmlformats.org/officeDocument/2006/relationships/hyperlink" Target="https://www.method.me/blog/future-crm-trends/" TargetMode="External"/><Relationship Id="rId561" Type="http://schemas.openxmlformats.org/officeDocument/2006/relationships/hyperlink" Target="https://www.method.me/resources/compare/insightly-alternative/" TargetMode="External"/><Relationship Id="rId560" Type="http://schemas.openxmlformats.org/officeDocument/2006/relationships/hyperlink" Target="https://www.method.me/resources/compare/hubspot-crm-alternative/" TargetMode="External"/><Relationship Id="rId323" Type="http://schemas.openxmlformats.org/officeDocument/2006/relationships/hyperlink" Target="https://www.method.me/videos/manufacturing-workflows-how-to-boost-productivity/" TargetMode="External"/><Relationship Id="rId565" Type="http://schemas.openxmlformats.org/officeDocument/2006/relationships/hyperlink" Target="https://www.method.me/resources/compare/salesforce-alternative/" TargetMode="External"/><Relationship Id="rId322" Type="http://schemas.openxmlformats.org/officeDocument/2006/relationships/hyperlink" Target="https://www.method.me/videos/the-experts-weigh-in-how-to-make-the-most-of-quickbooks/" TargetMode="External"/><Relationship Id="rId564" Type="http://schemas.openxmlformats.org/officeDocument/2006/relationships/hyperlink" Target="https://www.method.me/resources/compare/pipedrive-alternative/" TargetMode="External"/><Relationship Id="rId321" Type="http://schemas.openxmlformats.org/officeDocument/2006/relationships/hyperlink" Target="https://www.method.me/videos/how-to-better-your-bottom-line-by-prioritizing-customer-retention/" TargetMode="External"/><Relationship Id="rId563" Type="http://schemas.openxmlformats.org/officeDocument/2006/relationships/hyperlink" Target="https://www.method.me/resources/compare/keap-alternative/" TargetMode="External"/><Relationship Id="rId320" Type="http://schemas.openxmlformats.org/officeDocument/2006/relationships/hyperlink" Target="https://www.method.me/videos/sales-outreach-strategies-that-get-results/" TargetMode="External"/><Relationship Id="rId562" Type="http://schemas.openxmlformats.org/officeDocument/2006/relationships/hyperlink" Target="https://www.method.me/resources/compare/jobber-alternative/" TargetMode="External"/><Relationship Id="rId316" Type="http://schemas.openxmlformats.org/officeDocument/2006/relationships/hyperlink" Target="https://www.method.me/blog/field-service-solution/" TargetMode="External"/><Relationship Id="rId558" Type="http://schemas.openxmlformats.org/officeDocument/2006/relationships/hyperlink" Target="https://www.method.me/resources/compare/zoho-vs-keap-vs-method-crm/" TargetMode="External"/><Relationship Id="rId315" Type="http://schemas.openxmlformats.org/officeDocument/2006/relationships/hyperlink" Target="https://www.method.me/blog/custom-reporting-quickbooks-online/" TargetMode="External"/><Relationship Id="rId557" Type="http://schemas.openxmlformats.org/officeDocument/2006/relationships/hyperlink" Target="https://www.method.me/resources/compare/zoho-vs-pipedrive-vs-method-crm/" TargetMode="External"/><Relationship Id="rId799" Type="http://schemas.openxmlformats.org/officeDocument/2006/relationships/hyperlink" Target="https://www.method.me/blog/how-to-record-credit-card-payments-in-quickbooks/" TargetMode="External"/><Relationship Id="rId314" Type="http://schemas.openxmlformats.org/officeDocument/2006/relationships/hyperlink" Target="https://www.method.me/blog/small-business-technology-trends/" TargetMode="External"/><Relationship Id="rId556" Type="http://schemas.openxmlformats.org/officeDocument/2006/relationships/hyperlink" Target="https://www.method.me/resources/compare/zoho-vs-jobber-vs-method-crm/" TargetMode="External"/><Relationship Id="rId798" Type="http://schemas.openxmlformats.org/officeDocument/2006/relationships/hyperlink" Target="https://www.method.me/blog/how-to-pay-vendors-in-quickbooks-online/" TargetMode="External"/><Relationship Id="rId313" Type="http://schemas.openxmlformats.org/officeDocument/2006/relationships/hyperlink" Target="https://www.method.me/blog/crm-reporting/" TargetMode="External"/><Relationship Id="rId555" Type="http://schemas.openxmlformats.org/officeDocument/2006/relationships/hyperlink" Target="https://www.method.me/resources/compare/zoho-vs-hubspot-crm-vs-method-crm/" TargetMode="External"/><Relationship Id="rId797" Type="http://schemas.openxmlformats.org/officeDocument/2006/relationships/hyperlink" Target="https://www.method.me/videos/quickbooks-online-trends-2024/" TargetMode="External"/><Relationship Id="rId319" Type="http://schemas.openxmlformats.org/officeDocument/2006/relationships/hyperlink" Target="https://www.method.me/videos/how-to-make-the-most-of-your-sales-workflows/" TargetMode="External"/><Relationship Id="rId318" Type="http://schemas.openxmlformats.org/officeDocument/2006/relationships/hyperlink" Target="https://www.method.me/blog/how-to-grow-a-small-business/" TargetMode="External"/><Relationship Id="rId317" Type="http://schemas.openxmlformats.org/officeDocument/2006/relationships/hyperlink" Target="https://www.method.me/small-business-resources/" TargetMode="External"/><Relationship Id="rId559" Type="http://schemas.openxmlformats.org/officeDocument/2006/relationships/hyperlink" Target="https://www.method.me/resources/compare/zoho-vs-salesforce-vs-method-crm/" TargetMode="External"/><Relationship Id="rId550" Type="http://schemas.openxmlformats.org/officeDocument/2006/relationships/hyperlink" Target="https://www.method.me/resources/compare/pipedrive-vs-keap-vs-method-crm/" TargetMode="External"/><Relationship Id="rId792" Type="http://schemas.openxmlformats.org/officeDocument/2006/relationships/hyperlink" Target="https://www.method.me/videos/qb-2024-growth-webinar/" TargetMode="External"/><Relationship Id="rId791" Type="http://schemas.openxmlformats.org/officeDocument/2006/relationships/hyperlink" Target="https://www.method.me/blog/setting-up-pay-bills-in-quickbooks/" TargetMode="External"/><Relationship Id="rId790" Type="http://schemas.openxmlformats.org/officeDocument/2006/relationships/hyperlink" Target="https://www.method.me/blog/2023-year-in-review-methods-top-product-updates/" TargetMode="External"/><Relationship Id="rId312" Type="http://schemas.openxmlformats.org/officeDocument/2006/relationships/hyperlink" Target="https://www.method.me/blog/quickbooks-customize-invoice/" TargetMode="External"/><Relationship Id="rId554" Type="http://schemas.openxmlformats.org/officeDocument/2006/relationships/hyperlink" Target="https://www.method.me/resources/compare/salesforce-vs-keap-vs-method-crm/" TargetMode="External"/><Relationship Id="rId796" Type="http://schemas.openxmlformats.org/officeDocument/2006/relationships/hyperlink" Target="https://www.method.me/blog/allow-partial-payment-on-invoice-quickbooks/" TargetMode="External"/><Relationship Id="rId311" Type="http://schemas.openxmlformats.org/officeDocument/2006/relationships/hyperlink" Target="https://www.method.me/blog/quickbooks-online-desktop-tips/" TargetMode="External"/><Relationship Id="rId553" Type="http://schemas.openxmlformats.org/officeDocument/2006/relationships/hyperlink" Target="https://www.method.me/resources/compare/salesforce-vs-hubspot-crm-vs-method-crm/" TargetMode="External"/><Relationship Id="rId795" Type="http://schemas.openxmlformats.org/officeDocument/2006/relationships/hyperlink" Target="https://www.method.me/blog/how-to-receive-payments-in-quickbooks-online/" TargetMode="External"/><Relationship Id="rId310" Type="http://schemas.openxmlformats.org/officeDocument/2006/relationships/hyperlink" Target="https://www.method.me/blog/2020-year-in-review-the-top-5-method-moments/" TargetMode="External"/><Relationship Id="rId552" Type="http://schemas.openxmlformats.org/officeDocument/2006/relationships/hyperlink" Target="https://www.method.me/resources/compare/salesforce-vs-jobber-vs-method-crm/" TargetMode="External"/><Relationship Id="rId794" Type="http://schemas.openxmlformats.org/officeDocument/2006/relationships/hyperlink" Target="https://www.method.me/blog/how-to-categorize-credit-card-payments-in-quickbooks/" TargetMode="External"/><Relationship Id="rId551" Type="http://schemas.openxmlformats.org/officeDocument/2006/relationships/hyperlink" Target="https://www.method.me/resources/compare/pipedrive-vs-salesforce-vs-method-crm/" TargetMode="External"/><Relationship Id="rId793" Type="http://schemas.openxmlformats.org/officeDocument/2006/relationships/hyperlink" Target="https://www.method.me/blog/how-to-record-sales-tax-payments-in-quickbooks-online/" TargetMode="External"/><Relationship Id="rId297" Type="http://schemas.openxmlformats.org/officeDocument/2006/relationships/hyperlink" Target="https://www.method.me/blog/customer-retention-rate/" TargetMode="External"/><Relationship Id="rId296" Type="http://schemas.openxmlformats.org/officeDocument/2006/relationships/hyperlink" Target="https://www.method.me/partners/" TargetMode="External"/><Relationship Id="rId295" Type="http://schemas.openxmlformats.org/officeDocument/2006/relationships/hyperlink" Target="https://www.method.me/blog/repeat-customer/" TargetMode="External"/><Relationship Id="rId294" Type="http://schemas.openxmlformats.org/officeDocument/2006/relationships/hyperlink" Target="https://www.method.me/customer-success/quickbooks-training/" TargetMode="External"/><Relationship Id="rId299" Type="http://schemas.openxmlformats.org/officeDocument/2006/relationships/hyperlink" Target="https://www.method.me/crm-help-resources/" TargetMode="External"/><Relationship Id="rId298" Type="http://schemas.openxmlformats.org/officeDocument/2006/relationships/hyperlink" Target="https://www.method.me/blog/advantages-of-integrated-software-applications/" TargetMode="External"/><Relationship Id="rId271" Type="http://schemas.openxmlformats.org/officeDocument/2006/relationships/hyperlink" Target="https://www.method.me/blog/coronavirus-stimulus-package/" TargetMode="External"/><Relationship Id="rId270" Type="http://schemas.openxmlformats.org/officeDocument/2006/relationships/hyperlink" Target="https://www.method.me/blog/sales-strategy/" TargetMode="External"/><Relationship Id="rId269" Type="http://schemas.openxmlformats.org/officeDocument/2006/relationships/hyperlink" Target="https://www.method.me/legal/fair-usage-policy/" TargetMode="External"/><Relationship Id="rId264" Type="http://schemas.openxmlformats.org/officeDocument/2006/relationships/hyperlink" Target="https://www.method.me/blog/accounting-data/" TargetMode="External"/><Relationship Id="rId263" Type="http://schemas.openxmlformats.org/officeDocument/2006/relationships/hyperlink" Target="https://www.method.me/blog/product-update-march-2020/" TargetMode="External"/><Relationship Id="rId262" Type="http://schemas.openxmlformats.org/officeDocument/2006/relationships/hyperlink" Target="https://www.method.me/blog/how-to-improve-customer-service/" TargetMode="External"/><Relationship Id="rId261" Type="http://schemas.openxmlformats.org/officeDocument/2006/relationships/hyperlink" Target="https://www.method.me/blog/method-crm-features-to-get-excited-about/" TargetMode="External"/><Relationship Id="rId268" Type="http://schemas.openxmlformats.org/officeDocument/2006/relationships/hyperlink" Target="https://www.method.me/blog/covid-small-business-resources/" TargetMode="External"/><Relationship Id="rId267" Type="http://schemas.openxmlformats.org/officeDocument/2006/relationships/hyperlink" Target="https://www.method.me/blog/sales-workflow/" TargetMode="External"/><Relationship Id="rId266" Type="http://schemas.openxmlformats.org/officeDocument/2006/relationships/hyperlink" Target="https://www.method.me/values/" TargetMode="External"/><Relationship Id="rId265" Type="http://schemas.openxmlformats.org/officeDocument/2006/relationships/hyperlink" Target="https://www.method.me/blog/lead-gen-form/" TargetMode="External"/><Relationship Id="rId260" Type="http://schemas.openxmlformats.org/officeDocument/2006/relationships/hyperlink" Target="https://www.method.me/blog/ultimate-small-business-year-end-checklist/" TargetMode="External"/><Relationship Id="rId259" Type="http://schemas.openxmlformats.org/officeDocument/2006/relationships/hyperlink" Target="https://www.method.me/blog/why-excel-accounting-is-a-threat-to-your-business/" TargetMode="External"/><Relationship Id="rId258" Type="http://schemas.openxmlformats.org/officeDocument/2006/relationships/hyperlink" Target="https://www.method.me/blog/convert-screen-routines-to-app-routines/" TargetMode="External"/><Relationship Id="rId253" Type="http://schemas.openxmlformats.org/officeDocument/2006/relationships/hyperlink" Target="https://www.method.me/features/mobile-app/" TargetMode="External"/><Relationship Id="rId495" Type="http://schemas.openxmlformats.org/officeDocument/2006/relationships/hyperlink" Target="https://www.method.me/blog/how-to-ask-for-payment/" TargetMode="External"/><Relationship Id="rId252" Type="http://schemas.openxmlformats.org/officeDocument/2006/relationships/hyperlink" Target="https://www.method.me/features/email-campaigns/" TargetMode="External"/><Relationship Id="rId494" Type="http://schemas.openxmlformats.org/officeDocument/2006/relationships/hyperlink" Target="https://www.method.me/customer-success/more-prepared/" TargetMode="External"/><Relationship Id="rId251" Type="http://schemas.openxmlformats.org/officeDocument/2006/relationships/hyperlink" Target="https://www.method.me/customer-success/sky-products/" TargetMode="External"/><Relationship Id="rId493" Type="http://schemas.openxmlformats.org/officeDocument/2006/relationships/hyperlink" Target="https://www.method.me/features/xero/email-campaigns/" TargetMode="External"/><Relationship Id="rId250" Type="http://schemas.openxmlformats.org/officeDocument/2006/relationships/hyperlink" Target="https://www.method.me/customer-success/gtm-landscaping/" TargetMode="External"/><Relationship Id="rId492" Type="http://schemas.openxmlformats.org/officeDocument/2006/relationships/hyperlink" Target="https://www.method.me/features/xero/portals/" TargetMode="External"/><Relationship Id="rId257" Type="http://schemas.openxmlformats.org/officeDocument/2006/relationships/hyperlink" Target="https://www.method.me/about-us/team/" TargetMode="External"/><Relationship Id="rId499" Type="http://schemas.openxmlformats.org/officeDocument/2006/relationships/hyperlink" Target="https://www.method.me/blog/invoice-email/" TargetMode="External"/><Relationship Id="rId256" Type="http://schemas.openxmlformats.org/officeDocument/2006/relationships/hyperlink" Target="https://www.method.me/refer/nonprofit/" TargetMode="External"/><Relationship Id="rId498" Type="http://schemas.openxmlformats.org/officeDocument/2006/relationships/hyperlink" Target="https://www.method.me/blog/outstanding-invoice/" TargetMode="External"/><Relationship Id="rId255" Type="http://schemas.openxmlformats.org/officeDocument/2006/relationships/hyperlink" Target="https://www.method.me/features/payment-gateways/" TargetMode="External"/><Relationship Id="rId497" Type="http://schemas.openxmlformats.org/officeDocument/2006/relationships/hyperlink" Target="https://www.method.me/blog/overdue-invoice-email/" TargetMode="External"/><Relationship Id="rId254" Type="http://schemas.openxmlformats.org/officeDocument/2006/relationships/hyperlink" Target="https://www.method.me/features/outlook/" TargetMode="External"/><Relationship Id="rId496" Type="http://schemas.openxmlformats.org/officeDocument/2006/relationships/hyperlink" Target="https://www.method.me/blog/invoice-payment-terms/" TargetMode="External"/><Relationship Id="rId293" Type="http://schemas.openxmlformats.org/officeDocument/2006/relationships/hyperlink" Target="https://www.method.me/blog/construction-leads/" TargetMode="External"/><Relationship Id="rId292" Type="http://schemas.openxmlformats.org/officeDocument/2006/relationships/hyperlink" Target="https://www.method.me/blog/customer-retention-strategies/" TargetMode="External"/><Relationship Id="rId291" Type="http://schemas.openxmlformats.org/officeDocument/2006/relationships/hyperlink" Target="https://www.method.me/blog/small-business-reopening/" TargetMode="External"/><Relationship Id="rId290" Type="http://schemas.openxmlformats.org/officeDocument/2006/relationships/hyperlink" Target="https://www.method.me/blog/small-business-survival/" TargetMode="External"/><Relationship Id="rId286" Type="http://schemas.openxmlformats.org/officeDocument/2006/relationships/hyperlink" Target="https://www.method.me/blog/product-update-may-2020/" TargetMode="External"/><Relationship Id="rId285" Type="http://schemas.openxmlformats.org/officeDocument/2006/relationships/hyperlink" Target="https://www.method.me/blog/crm-for-wholesale-choice/" TargetMode="External"/><Relationship Id="rId284" Type="http://schemas.openxmlformats.org/officeDocument/2006/relationships/hyperlink" Target="https://www.method.me/blog/ppp-loan-forgiveness/" TargetMode="External"/><Relationship Id="rId283" Type="http://schemas.openxmlformats.org/officeDocument/2006/relationships/hyperlink" Target="https://www.method.me/blog/look-for-distribution-crm/" TargetMode="External"/><Relationship Id="rId289" Type="http://schemas.openxmlformats.org/officeDocument/2006/relationships/hyperlink" Target="https://www.method.me/blog/wholesale-sales/" TargetMode="External"/><Relationship Id="rId288" Type="http://schemas.openxmlformats.org/officeDocument/2006/relationships/hyperlink" Target="https://www.method.me/blog/small-business-recovery-plan/" TargetMode="External"/><Relationship Id="rId287" Type="http://schemas.openxmlformats.org/officeDocument/2006/relationships/hyperlink" Target="https://www.method.me/blog/sales-outreach/" TargetMode="External"/><Relationship Id="rId282" Type="http://schemas.openxmlformats.org/officeDocument/2006/relationships/hyperlink" Target="https://www.method.me/blog/what-does-crm-stand-for/" TargetMode="External"/><Relationship Id="rId281" Type="http://schemas.openxmlformats.org/officeDocument/2006/relationships/hyperlink" Target="https://www.method.me/blog/manufacturing-sales-strategy/" TargetMode="External"/><Relationship Id="rId280" Type="http://schemas.openxmlformats.org/officeDocument/2006/relationships/hyperlink" Target="https://www.method.me/blog/sales-infographic/" TargetMode="External"/><Relationship Id="rId275" Type="http://schemas.openxmlformats.org/officeDocument/2006/relationships/hyperlink" Target="https://www.method.me/covid-19-business-resources/" TargetMode="External"/><Relationship Id="rId274" Type="http://schemas.openxmlformats.org/officeDocument/2006/relationships/hyperlink" Target="https://www.method.me/crm-quickbooks/quickbooks-remote-access/" TargetMode="External"/><Relationship Id="rId273" Type="http://schemas.openxmlformats.org/officeDocument/2006/relationships/hyperlink" Target="https://www.method.me/blog/5-step-sales-process/" TargetMode="External"/><Relationship Id="rId272" Type="http://schemas.openxmlformats.org/officeDocument/2006/relationships/hyperlink" Target="https://www.method.me/blog/work-from-home-apps/" TargetMode="External"/><Relationship Id="rId279" Type="http://schemas.openxmlformats.org/officeDocument/2006/relationships/hyperlink" Target="https://www.method.me/blog/tips-for-working-remotely/" TargetMode="External"/><Relationship Id="rId278" Type="http://schemas.openxmlformats.org/officeDocument/2006/relationships/hyperlink" Target="https://www.method.me/blog/field-services-update-april-2020/" TargetMode="External"/><Relationship Id="rId277" Type="http://schemas.openxmlformats.org/officeDocument/2006/relationships/hyperlink" Target="https://www.method.me/blog/quickbooks-crm-integration/" TargetMode="External"/><Relationship Id="rId276" Type="http://schemas.openxmlformats.org/officeDocument/2006/relationships/hyperlink" Target="https://www.method.me/blog/quickbooks-paycheck-protection-program/" TargetMode="External"/><Relationship Id="rId907" Type="http://schemas.openxmlformats.org/officeDocument/2006/relationships/hyperlink" Target="https://www.method.me/blog/maryland-general-contractor-license/" TargetMode="External"/><Relationship Id="rId906" Type="http://schemas.openxmlformats.org/officeDocument/2006/relationships/hyperlink" Target="https://www.method.me/blog/manufacturing-cogs/" TargetMode="External"/><Relationship Id="rId905" Type="http://schemas.openxmlformats.org/officeDocument/2006/relationships/hyperlink" Target="https://www.method.me/blog/michigan-general-contractor-license/" TargetMode="External"/><Relationship Id="rId904" Type="http://schemas.openxmlformats.org/officeDocument/2006/relationships/hyperlink" Target="https://www.method.me/videos/quickbooks-desktop-continuity-plan/" TargetMode="External"/><Relationship Id="rId909" Type="http://schemas.openxmlformats.org/officeDocument/2006/relationships/hyperlink" Target="https://www.method.me/blog/cycle-inventory/" TargetMode="External"/><Relationship Id="rId908" Type="http://schemas.openxmlformats.org/officeDocument/2006/relationships/hyperlink" Target="https://www.method.me/blog/work-in-process-accounting/" TargetMode="External"/><Relationship Id="rId903" Type="http://schemas.openxmlformats.org/officeDocument/2006/relationships/hyperlink" Target="https://www.method.me/blog/upgrade-quickbooks-desktop/" TargetMode="External"/><Relationship Id="rId902" Type="http://schemas.openxmlformats.org/officeDocument/2006/relationships/hyperlink" Target="https://www.method.me/blog/quickbooks-desktop-discontinued/" TargetMode="External"/><Relationship Id="rId901" Type="http://schemas.openxmlformats.org/officeDocument/2006/relationships/hyperlink" Target="https://www.method.me/blog/illinois-general-contractor-license/" TargetMode="External"/><Relationship Id="rId900" Type="http://schemas.openxmlformats.org/officeDocument/2006/relationships/hyperlink" Target="https://www.method.me/blog/florida-general-contractor-license/" TargetMode="External"/><Relationship Id="rId929" Type="http://schemas.openxmlformats.org/officeDocument/2006/relationships/hyperlink" Target="https://www.method.me/blog/automate-sales-process/" TargetMode="External"/><Relationship Id="rId928" Type="http://schemas.openxmlformats.org/officeDocument/2006/relationships/hyperlink" Target="https://www.method.me/blog/hvac-service-contract/" TargetMode="External"/><Relationship Id="rId927" Type="http://schemas.openxmlformats.org/officeDocument/2006/relationships/hyperlink" Target="https://www.method.me/blog/make-journal-entry-in-quickbooks/" TargetMode="External"/><Relationship Id="rId926" Type="http://schemas.openxmlformats.org/officeDocument/2006/relationships/hyperlink" Target="https://www.method.me/blog/quote-to-cash/" TargetMode="External"/><Relationship Id="rId921" Type="http://schemas.openxmlformats.org/officeDocument/2006/relationships/hyperlink" Target="https://www.method.me/blog/lead-generation-strategies/" TargetMode="External"/><Relationship Id="rId920" Type="http://schemas.openxmlformats.org/officeDocument/2006/relationships/hyperlink" Target="https://www.method.me/blog/lead-to-customer-conversion-rate/" TargetMode="External"/><Relationship Id="rId925" Type="http://schemas.openxmlformats.org/officeDocument/2006/relationships/hyperlink" Target="https://www.method.me/blog/convert-leads-into-customers/" TargetMode="External"/><Relationship Id="rId924" Type="http://schemas.openxmlformats.org/officeDocument/2006/relationships/hyperlink" Target="https://www.method.me/blog/automated-lead-generation/" TargetMode="External"/><Relationship Id="rId923" Type="http://schemas.openxmlformats.org/officeDocument/2006/relationships/hyperlink" Target="https://www.method.me/videos/manufacturing-lead-strategies/" TargetMode="External"/><Relationship Id="rId922" Type="http://schemas.openxmlformats.org/officeDocument/2006/relationships/hyperlink" Target="https://www.method.me/blog/close-books-quickbooks-online/" TargetMode="External"/><Relationship Id="rId918" Type="http://schemas.openxmlformats.org/officeDocument/2006/relationships/hyperlink" Target="https://www.method.me/blog/unreconcile-quickbooks-online/" TargetMode="External"/><Relationship Id="rId917" Type="http://schemas.openxmlformats.org/officeDocument/2006/relationships/hyperlink" Target="https://www.method.me/blog/best-hubspot-alternatives/" TargetMode="External"/><Relationship Id="rId916" Type="http://schemas.openxmlformats.org/officeDocument/2006/relationships/hyperlink" Target="https://www.method.me/blog/marketing-tips-for-electrical-contractors/" TargetMode="External"/><Relationship Id="rId915" Type="http://schemas.openxmlformats.org/officeDocument/2006/relationships/hyperlink" Target="https://www.method.me/blog/payment-gateway-benefits/" TargetMode="External"/><Relationship Id="rId919" Type="http://schemas.openxmlformats.org/officeDocument/2006/relationships/hyperlink" Target="https://www.method.me/blog/convert-leads-into-sales/" TargetMode="External"/><Relationship Id="rId910" Type="http://schemas.openxmlformats.org/officeDocument/2006/relationships/hyperlink" Target="https://www.method.me/blog/quickbooks-add-ons-for-manufacturing/" TargetMode="External"/><Relationship Id="rId914" Type="http://schemas.openxmlformats.org/officeDocument/2006/relationships/hyperlink" Target="https://www.method.me/blog/integrated-payments/" TargetMode="External"/><Relationship Id="rId913" Type="http://schemas.openxmlformats.org/officeDocument/2006/relationships/hyperlink" Target="https://www.method.me/blog/best-salesforce-alternatives/" TargetMode="External"/><Relationship Id="rId912" Type="http://schemas.openxmlformats.org/officeDocument/2006/relationships/hyperlink" Target="https://www.method.me/blog/best-apps-for-electricians/" TargetMode="External"/><Relationship Id="rId911" Type="http://schemas.openxmlformats.org/officeDocument/2006/relationships/hyperlink" Target="https://www.method.me/videos/grow-manufacturing-quickbooks/" TargetMode="External"/><Relationship Id="rId629" Type="http://schemas.openxmlformats.org/officeDocument/2006/relationships/hyperlink" Target="https://www.method.me/videos/qbdt-trends-2023/" TargetMode="External"/><Relationship Id="rId624" Type="http://schemas.openxmlformats.org/officeDocument/2006/relationships/hyperlink" Target="https://www.method.me/blog/quickbooks-online-ecosystem/" TargetMode="External"/><Relationship Id="rId866" Type="http://schemas.openxmlformats.org/officeDocument/2006/relationships/hyperlink" Target="https://www.method.me/blog/improve-warehouse-efficiency/" TargetMode="External"/><Relationship Id="rId623" Type="http://schemas.openxmlformats.org/officeDocument/2006/relationships/hyperlink" Target="https://www.method.me/blog/manufacturing-crm-systems/" TargetMode="External"/><Relationship Id="rId865" Type="http://schemas.openxmlformats.org/officeDocument/2006/relationships/hyperlink" Target="https://www.method.me/blog/oracle-netsuite-quickbooks/" TargetMode="External"/><Relationship Id="rId622" Type="http://schemas.openxmlformats.org/officeDocument/2006/relationships/hyperlink" Target="https://www.method.me/blog/automated-crm-system/" TargetMode="External"/><Relationship Id="rId864" Type="http://schemas.openxmlformats.org/officeDocument/2006/relationships/hyperlink" Target="https://www.method.me/blog/how-to-optimize-warehouse-operations/" TargetMode="External"/><Relationship Id="rId621" Type="http://schemas.openxmlformats.org/officeDocument/2006/relationships/hyperlink" Target="https://www.method.me/blog/crm-system-for-wholesale-distributors/" TargetMode="External"/><Relationship Id="rId863" Type="http://schemas.openxmlformats.org/officeDocument/2006/relationships/hyperlink" Target="https://www.method.me/blog/how-to-issue-a-refund-in-quickbooks/" TargetMode="External"/><Relationship Id="rId628" Type="http://schemas.openxmlformats.org/officeDocument/2006/relationships/hyperlink" Target="https://www.method.me/blog/xero-vs-quickbooks-for-contractors/" TargetMode="External"/><Relationship Id="rId627" Type="http://schemas.openxmlformats.org/officeDocument/2006/relationships/hyperlink" Target="https://www.method.me/blog/best-crm-system/" TargetMode="External"/><Relationship Id="rId869" Type="http://schemas.openxmlformats.org/officeDocument/2006/relationships/hyperlink" Target="https://www.method.me/videos/transforming-sales-teams/" TargetMode="External"/><Relationship Id="rId626" Type="http://schemas.openxmlformats.org/officeDocument/2006/relationships/hyperlink" Target="https://www.method.me/blog/crm-system-for-construction/" TargetMode="External"/><Relationship Id="rId868" Type="http://schemas.openxmlformats.org/officeDocument/2006/relationships/hyperlink" Target="https://www.method.me/blog/automation-in-logistics/" TargetMode="External"/><Relationship Id="rId625" Type="http://schemas.openxmlformats.org/officeDocument/2006/relationships/hyperlink" Target="https://www.method.me/blog/wholesale-distribution-systems/" TargetMode="External"/><Relationship Id="rId867" Type="http://schemas.openxmlformats.org/officeDocument/2006/relationships/hyperlink" Target="https://www.method.me/blog/what-is-supply-chain-automation/" TargetMode="External"/><Relationship Id="rId620" Type="http://schemas.openxmlformats.org/officeDocument/2006/relationships/hyperlink" Target="https://www.method.me/blog/custom-crm-system/" TargetMode="External"/><Relationship Id="rId862" Type="http://schemas.openxmlformats.org/officeDocument/2006/relationships/hyperlink" Target="https://www.method.me/blog/3pl-warehouse-automation/" TargetMode="External"/><Relationship Id="rId861" Type="http://schemas.openxmlformats.org/officeDocument/2006/relationships/hyperlink" Target="https://www.method.me/blog/quickbooks-premier-vs-enterprise/" TargetMode="External"/><Relationship Id="rId860" Type="http://schemas.openxmlformats.org/officeDocument/2006/relationships/hyperlink" Target="https://www.method.me/blog/what-is-3pl-warehouse-management-system/" TargetMode="External"/><Relationship Id="rId619" Type="http://schemas.openxmlformats.org/officeDocument/2006/relationships/hyperlink" Target="https://www.method.me/blog/how-to-build-a-crm-system/" TargetMode="External"/><Relationship Id="rId618" Type="http://schemas.openxmlformats.org/officeDocument/2006/relationships/hyperlink" Target="https://www.method.me/blog/sales-commission-management-system/" TargetMode="External"/><Relationship Id="rId613" Type="http://schemas.openxmlformats.org/officeDocument/2006/relationships/hyperlink" Target="https://www.method.me/blog/quickbooks-customer-sales-history-report/" TargetMode="External"/><Relationship Id="rId855" Type="http://schemas.openxmlformats.org/officeDocument/2006/relationships/hyperlink" Target="https://www.method.me/blog/quickbooks-online-vs-enterprise/" TargetMode="External"/><Relationship Id="rId612" Type="http://schemas.openxmlformats.org/officeDocument/2006/relationships/hyperlink" Target="https://www.method.me/blog/how-to-check-transaction-history-in-quickbooks-desktop/" TargetMode="External"/><Relationship Id="rId854" Type="http://schemas.openxmlformats.org/officeDocument/2006/relationships/hyperlink" Target="https://www.method.me/blog/zapier-integration-quickbooks-desktop/" TargetMode="External"/><Relationship Id="rId611" Type="http://schemas.openxmlformats.org/officeDocument/2006/relationships/hyperlink" Target="https://www.method.me/blog/2022-year-in-review-the-top-7-method-moments/" TargetMode="External"/><Relationship Id="rId853" Type="http://schemas.openxmlformats.org/officeDocument/2006/relationships/hyperlink" Target="https://www.method.me/blog/best-zapier-automations/" TargetMode="External"/><Relationship Id="rId610" Type="http://schemas.openxmlformats.org/officeDocument/2006/relationships/hyperlink" Target="https://www.method.me/blog/does-quickbooks-track-inventory/" TargetMode="External"/><Relationship Id="rId852" Type="http://schemas.openxmlformats.org/officeDocument/2006/relationships/hyperlink" Target="https://www.method.me/blog/is-zapier-worth-it-pros-cons/" TargetMode="External"/><Relationship Id="rId617" Type="http://schemas.openxmlformats.org/officeDocument/2006/relationships/hyperlink" Target="https://www.method.me/blog/lead-generation-system/" TargetMode="External"/><Relationship Id="rId859" Type="http://schemas.openxmlformats.org/officeDocument/2006/relationships/hyperlink" Target="https://www.method.me/blog/3pl-meaning-logistics/" TargetMode="External"/><Relationship Id="rId616" Type="http://schemas.openxmlformats.org/officeDocument/2006/relationships/hyperlink" Target="https://www.method.me/blog/lead-management-system-software/" TargetMode="External"/><Relationship Id="rId858" Type="http://schemas.openxmlformats.org/officeDocument/2006/relationships/hyperlink" Target="https://www.method.me/blog/best-crm-for-service-business/" TargetMode="External"/><Relationship Id="rId615" Type="http://schemas.openxmlformats.org/officeDocument/2006/relationships/hyperlink" Target="https://www.method.me/legal/terms-of-service-affiliates/" TargetMode="External"/><Relationship Id="rId857" Type="http://schemas.openxmlformats.org/officeDocument/2006/relationships/hyperlink" Target="https://www.method.me/blog/what-is-quickbooks-enterprise-vs-pro/" TargetMode="External"/><Relationship Id="rId614" Type="http://schemas.openxmlformats.org/officeDocument/2006/relationships/hyperlink" Target="https://www.method.me/blog/quickbooks-subcontractor-crm/" TargetMode="External"/><Relationship Id="rId856" Type="http://schemas.openxmlformats.org/officeDocument/2006/relationships/hyperlink" Target="https://www.method.me/blog/3pl-billing-invoice-process/" TargetMode="External"/><Relationship Id="rId851" Type="http://schemas.openxmlformats.org/officeDocument/2006/relationships/hyperlink" Target="https://www.method.me/blog/software-for-customer-service-automation/" TargetMode="External"/><Relationship Id="rId850" Type="http://schemas.openxmlformats.org/officeDocument/2006/relationships/hyperlink" Target="https://www.method.me/videos/xero-trends-2024/" TargetMode="External"/><Relationship Id="rId409" Type="http://schemas.openxmlformats.org/officeDocument/2006/relationships/hyperlink" Target="https://www.method.me/blog/scheduling-software-for-construction-crews/" TargetMode="External"/><Relationship Id="rId404" Type="http://schemas.openxmlformats.org/officeDocument/2006/relationships/hyperlink" Target="https://www.method.me/resources/vehicle-maintenance-work-order-form/" TargetMode="External"/><Relationship Id="rId646" Type="http://schemas.openxmlformats.org/officeDocument/2006/relationships/hyperlink" Target="https://www.method.me/blog/is-quickbooks-online-good-for-contractors/" TargetMode="External"/><Relationship Id="rId888" Type="http://schemas.openxmlformats.org/officeDocument/2006/relationships/hyperlink" Target="https://www.method.me/blog/convert-estimate-to-invoice-in-quickbooks-online/" TargetMode="External"/><Relationship Id="rId403" Type="http://schemas.openxmlformats.org/officeDocument/2006/relationships/hyperlink" Target="https://www.method.me/resources/service-order-template-form/" TargetMode="External"/><Relationship Id="rId645" Type="http://schemas.openxmlformats.org/officeDocument/2006/relationships/hyperlink" Target="https://www.method.me/videos/xero-trends/" TargetMode="External"/><Relationship Id="rId887" Type="http://schemas.openxmlformats.org/officeDocument/2006/relationships/hyperlink" Target="https://www.method.me/blog/pandadoc-alternatives/" TargetMode="External"/><Relationship Id="rId402" Type="http://schemas.openxmlformats.org/officeDocument/2006/relationships/hyperlink" Target="https://www.method.me/resources/construction-work-order-template-excel/" TargetMode="External"/><Relationship Id="rId644" Type="http://schemas.openxmlformats.org/officeDocument/2006/relationships/hyperlink" Target="https://www.method.me/blog/work-order-in-manufacturing/" TargetMode="External"/><Relationship Id="rId886" Type="http://schemas.openxmlformats.org/officeDocument/2006/relationships/hyperlink" Target="https://www.method.me/blog/e-invoicing-software/" TargetMode="External"/><Relationship Id="rId401" Type="http://schemas.openxmlformats.org/officeDocument/2006/relationships/hyperlink" Target="https://www.method.me/resources/maintenance-work-order-template/" TargetMode="External"/><Relationship Id="rId643" Type="http://schemas.openxmlformats.org/officeDocument/2006/relationships/hyperlink" Target="https://www.method.me/blog/manufacturing-workflow-software/" TargetMode="External"/><Relationship Id="rId885" Type="http://schemas.openxmlformats.org/officeDocument/2006/relationships/hyperlink" Target="https://www.method.me/blog/time-billing-software/" TargetMode="External"/><Relationship Id="rId408" Type="http://schemas.openxmlformats.org/officeDocument/2006/relationships/hyperlink" Target="https://www.method.me/videos/quickbooks-desktop-trends-2022/" TargetMode="External"/><Relationship Id="rId407" Type="http://schemas.openxmlformats.org/officeDocument/2006/relationships/hyperlink" Target="https://www.method.me/resources/mechanic-work-order-forms/" TargetMode="External"/><Relationship Id="rId649" Type="http://schemas.openxmlformats.org/officeDocument/2006/relationships/hyperlink" Target="https://www.method.me/quickbooks-crm/" TargetMode="External"/><Relationship Id="rId406" Type="http://schemas.openxmlformats.org/officeDocument/2006/relationships/hyperlink" Target="https://www.method.me/resources/work-order-format/" TargetMode="External"/><Relationship Id="rId648" Type="http://schemas.openxmlformats.org/officeDocument/2006/relationships/hyperlink" Target="https://www.method.me/videos/qbo-trends-2023/" TargetMode="External"/><Relationship Id="rId405" Type="http://schemas.openxmlformats.org/officeDocument/2006/relationships/hyperlink" Target="https://www.method.me/resources/free-work-order-template-pdf-word/" TargetMode="External"/><Relationship Id="rId647" Type="http://schemas.openxmlformats.org/officeDocument/2006/relationships/hyperlink" Target="https://www.method.me/blog/quickbooks-for-construction-contractors/" TargetMode="External"/><Relationship Id="rId889" Type="http://schemas.openxmlformats.org/officeDocument/2006/relationships/hyperlink" Target="https://www.method.me/blog/quickbooks-estimate-vs-quote/" TargetMode="External"/><Relationship Id="rId880" Type="http://schemas.openxmlformats.org/officeDocument/2006/relationships/hyperlink" Target="https://www.method.me/blog/print-check-in-quickbooks-online/" TargetMode="External"/><Relationship Id="rId400" Type="http://schemas.openxmlformats.org/officeDocument/2006/relationships/hyperlink" Target="https://www.method.me/resources/electrical-contractor-work-order-format/" TargetMode="External"/><Relationship Id="rId642" Type="http://schemas.openxmlformats.org/officeDocument/2006/relationships/hyperlink" Target="https://www.method.me/blog/wholesale-distribution-solutions/" TargetMode="External"/><Relationship Id="rId884" Type="http://schemas.openxmlformats.org/officeDocument/2006/relationships/hyperlink" Target="https://www.method.me/blog/best-invoice-software-for-small-business/" TargetMode="External"/><Relationship Id="rId641" Type="http://schemas.openxmlformats.org/officeDocument/2006/relationships/hyperlink" Target="https://www.method.me/blog/product-distribution-opportunities/" TargetMode="External"/><Relationship Id="rId883" Type="http://schemas.openxmlformats.org/officeDocument/2006/relationships/hyperlink" Target="https://www.method.me/videos/erp-alternative/" TargetMode="External"/><Relationship Id="rId640" Type="http://schemas.openxmlformats.org/officeDocument/2006/relationships/hyperlink" Target="https://www.method.me/blog/how-to-receive-inventory-in-quickbooks/" TargetMode="External"/><Relationship Id="rId882" Type="http://schemas.openxmlformats.org/officeDocument/2006/relationships/hyperlink" Target="https://www.method.me/blog/delete-payment-from-deposit-quickbooks/" TargetMode="External"/><Relationship Id="rId881" Type="http://schemas.openxmlformats.org/officeDocument/2006/relationships/hyperlink" Target="https://www.method.me/blog/delete-transactions-in-quickbooks/" TargetMode="External"/><Relationship Id="rId635" Type="http://schemas.openxmlformats.org/officeDocument/2006/relationships/hyperlink" Target="https://www.method.me/blog/efficient-supply-chain-management/" TargetMode="External"/><Relationship Id="rId877" Type="http://schemas.openxmlformats.org/officeDocument/2006/relationships/hyperlink" Target="https://www.method.me/blog/cold-calling-script/" TargetMode="External"/><Relationship Id="rId634" Type="http://schemas.openxmlformats.org/officeDocument/2006/relationships/hyperlink" Target="https://www.method.me/blog/quickbooks-for-manufacturing-and-wholesale/" TargetMode="External"/><Relationship Id="rId876" Type="http://schemas.openxmlformats.org/officeDocument/2006/relationships/hyperlink" Target="https://www.method.me/videos/qbo-automation/" TargetMode="External"/><Relationship Id="rId633" Type="http://schemas.openxmlformats.org/officeDocument/2006/relationships/hyperlink" Target="https://www.method.me/blog/workflow-in-manufacturing/" TargetMode="External"/><Relationship Id="rId875" Type="http://schemas.openxmlformats.org/officeDocument/2006/relationships/hyperlink" Target="https://www.method.me/customer-success/container-one/" TargetMode="External"/><Relationship Id="rId632" Type="http://schemas.openxmlformats.org/officeDocument/2006/relationships/hyperlink" Target="https://www.method.me/blog/supply-chain-work-flow/" TargetMode="External"/><Relationship Id="rId874" Type="http://schemas.openxmlformats.org/officeDocument/2006/relationships/hyperlink" Target="https://www.method.me/blog/job-scheduling-app/" TargetMode="External"/><Relationship Id="rId639" Type="http://schemas.openxmlformats.org/officeDocument/2006/relationships/hyperlink" Target="https://www.method.me/blog/manufacturing-flow-management-process/" TargetMode="External"/><Relationship Id="rId638" Type="http://schemas.openxmlformats.org/officeDocument/2006/relationships/hyperlink" Target="https://www.method.me/blog/how-to-fix-inventory-shrinkage-in-quickbooks-online/" TargetMode="External"/><Relationship Id="rId637" Type="http://schemas.openxmlformats.org/officeDocument/2006/relationships/hyperlink" Target="https://www.method.me/blog/how-to-delete-an-inventory-item-in-quickbooks/" TargetMode="External"/><Relationship Id="rId879" Type="http://schemas.openxmlformats.org/officeDocument/2006/relationships/hyperlink" Target="https://www.method.me/blog/record-returned-checks-in-quickbooks/" TargetMode="External"/><Relationship Id="rId636" Type="http://schemas.openxmlformats.org/officeDocument/2006/relationships/hyperlink" Target="https://www.method.me/blog/quickbooks-warehouseing/" TargetMode="External"/><Relationship Id="rId878" Type="http://schemas.openxmlformats.org/officeDocument/2006/relationships/hyperlink" Target="https://www.method.me/customer-success/vintage-makers/" TargetMode="External"/><Relationship Id="rId631" Type="http://schemas.openxmlformats.org/officeDocument/2006/relationships/hyperlink" Target="https://www.method.me/blog/crm-supply-chain/" TargetMode="External"/><Relationship Id="rId873" Type="http://schemas.openxmlformats.org/officeDocument/2006/relationships/hyperlink" Target="https://www.method.me/blog/best-way-to-get-hvac-leads/" TargetMode="External"/><Relationship Id="rId630" Type="http://schemas.openxmlformats.org/officeDocument/2006/relationships/hyperlink" Target="https://www.method.me/blog/which-quickbooks-is-best-for-construction/" TargetMode="External"/><Relationship Id="rId872" Type="http://schemas.openxmlformats.org/officeDocument/2006/relationships/hyperlink" Target="https://www.method.me/blog/how-to-start-a-plumbing-business/" TargetMode="External"/><Relationship Id="rId871" Type="http://schemas.openxmlformats.org/officeDocument/2006/relationships/hyperlink" Target="https://www.method.me/blog/digital-marketing-for-plumbers/" TargetMode="External"/><Relationship Id="rId870" Type="http://schemas.openxmlformats.org/officeDocument/2006/relationships/hyperlink" Target="https://www.method.me/blog/how-to-get-more-plumbing-leads/" TargetMode="External"/><Relationship Id="rId829" Type="http://schemas.openxmlformats.org/officeDocument/2006/relationships/hyperlink" Target="https://www.method.me/blog/how-to-export-quickbooks-to-excel/" TargetMode="External"/><Relationship Id="rId828" Type="http://schemas.openxmlformats.org/officeDocument/2006/relationships/hyperlink" Target="https://www.method.me/videos/quickbooks-desktop-trends-2024/" TargetMode="External"/><Relationship Id="rId827" Type="http://schemas.openxmlformats.org/officeDocument/2006/relationships/hyperlink" Target="https://www.method.me/blog/best-credit-card-processing-for-quickbooks/" TargetMode="External"/><Relationship Id="rId822" Type="http://schemas.openxmlformats.org/officeDocument/2006/relationships/hyperlink" Target="https://www.method.me/blog/what-is-better-than-excel-for-large-data/" TargetMode="External"/><Relationship Id="rId821" Type="http://schemas.openxmlformats.org/officeDocument/2006/relationships/hyperlink" Target="https://www.method.me/blog/what-is-a-service-item-in-quickbooks/" TargetMode="External"/><Relationship Id="rId820" Type="http://schemas.openxmlformats.org/officeDocument/2006/relationships/hyperlink" Target="https://www.method.me/blog/what-is-a-crm-software/" TargetMode="External"/><Relationship Id="rId826" Type="http://schemas.openxmlformats.org/officeDocument/2006/relationships/hyperlink" Target="https://www.method.me/blog/how-to-set-up-recurring-payments-in-quickbooks-online/" TargetMode="External"/><Relationship Id="rId825" Type="http://schemas.openxmlformats.org/officeDocument/2006/relationships/hyperlink" Target="https://www.method.me/blog/how-to-use-categories-in-quickbooks-online/" TargetMode="External"/><Relationship Id="rId824" Type="http://schemas.openxmlformats.org/officeDocument/2006/relationships/hyperlink" Target="https://www.method.me/blog/what-is-opportunity-in-crm/" TargetMode="External"/><Relationship Id="rId823" Type="http://schemas.openxmlformats.org/officeDocument/2006/relationships/hyperlink" Target="https://www.method.me/blog/why-crm-is-important-for-small-business/" TargetMode="External"/><Relationship Id="rId819" Type="http://schemas.openxmlformats.org/officeDocument/2006/relationships/hyperlink" Target="https://www.method.me/blog/is-zoho-free-to-use/" TargetMode="External"/><Relationship Id="rId818" Type="http://schemas.openxmlformats.org/officeDocument/2006/relationships/hyperlink" Target="https://www.method.me/blog/is-hubspot-better-than-salesforce/" TargetMode="External"/><Relationship Id="rId817" Type="http://schemas.openxmlformats.org/officeDocument/2006/relationships/hyperlink" Target="https://www.method.me/blog/is-quickbooks-enterprise-cloud-based/" TargetMode="External"/><Relationship Id="rId816" Type="http://schemas.openxmlformats.org/officeDocument/2006/relationships/hyperlink" Target="https://www.method.me/blog/is-quickbooks-easy-to-learn/" TargetMode="External"/><Relationship Id="rId811" Type="http://schemas.openxmlformats.org/officeDocument/2006/relationships/hyperlink" Target="https://www.method.me/blog/how-much-does-crm-cost/" TargetMode="External"/><Relationship Id="rId810" Type="http://schemas.openxmlformats.org/officeDocument/2006/relationships/hyperlink" Target="https://www.method.me/blog/does-google-have-a-free-crm/" TargetMode="External"/><Relationship Id="rId815" Type="http://schemas.openxmlformats.org/officeDocument/2006/relationships/hyperlink" Target="https://www.method.me/blog/is-quickbooks-an-erp-system/" TargetMode="External"/><Relationship Id="rId814" Type="http://schemas.openxmlformats.org/officeDocument/2006/relationships/hyperlink" Target="https://www.method.me/blog/is-quickbooks-an-accounting-system/" TargetMode="External"/><Relationship Id="rId813" Type="http://schemas.openxmlformats.org/officeDocument/2006/relationships/hyperlink" Target="https://www.method.me/blog/how-to-keep-track-of-inventory/" TargetMode="External"/><Relationship Id="rId812" Type="http://schemas.openxmlformats.org/officeDocument/2006/relationships/hyperlink" Target="https://www.method.me/blog/how-much-does-quickbooks-cost-per-year/" TargetMode="External"/><Relationship Id="rId609" Type="http://schemas.openxmlformats.org/officeDocument/2006/relationships/hyperlink" Target="https://www.method.me/blog/advanced-inventory-quickbooks-desktop/" TargetMode="External"/><Relationship Id="rId608" Type="http://schemas.openxmlformats.org/officeDocument/2006/relationships/hyperlink" Target="https://www.method.me/blog/how-to-adjust-inventory-in-quickbooks/" TargetMode="External"/><Relationship Id="rId607" Type="http://schemas.openxmlformats.org/officeDocument/2006/relationships/hyperlink" Target="https://www.method.me/blog/manufacturing-business-management-software/" TargetMode="External"/><Relationship Id="rId849" Type="http://schemas.openxmlformats.org/officeDocument/2006/relationships/hyperlink" Target="https://www.method.me/blog/promat-modex-conference/" TargetMode="External"/><Relationship Id="rId602" Type="http://schemas.openxmlformats.org/officeDocument/2006/relationships/hyperlink" Target="https://www.method.me/blog/inventory-management-quickbooks/" TargetMode="External"/><Relationship Id="rId844" Type="http://schemas.openxmlformats.org/officeDocument/2006/relationships/hyperlink" Target="https://www.method.me/blog/service-fusion-alternative/" TargetMode="External"/><Relationship Id="rId601" Type="http://schemas.openxmlformats.org/officeDocument/2006/relationships/hyperlink" Target="https://www.method.me/blog/supply-chain-for-manufacturing/" TargetMode="External"/><Relationship Id="rId843" Type="http://schemas.openxmlformats.org/officeDocument/2006/relationships/hyperlink" Target="https://www.method.me/blog/fieldedge-vs-servicetitan-vs-method/" TargetMode="External"/><Relationship Id="rId600" Type="http://schemas.openxmlformats.org/officeDocument/2006/relationships/hyperlink" Target="https://www.method.me/blog/crm-for-manufacturing-industry/" TargetMode="External"/><Relationship Id="rId842" Type="http://schemas.openxmlformats.org/officeDocument/2006/relationships/hyperlink" Target="https://www.method.me/blog/kickserv-vs-jobber-vs-method/" TargetMode="External"/><Relationship Id="rId841" Type="http://schemas.openxmlformats.org/officeDocument/2006/relationships/hyperlink" Target="https://www.method.me/blog/servicetitan-vs-housecallpro-vs-method/" TargetMode="External"/><Relationship Id="rId606" Type="http://schemas.openxmlformats.org/officeDocument/2006/relationships/hyperlink" Target="https://www.method.me/blog/how-to-add-inventory-in-quickbooks/" TargetMode="External"/><Relationship Id="rId848" Type="http://schemas.openxmlformats.org/officeDocument/2006/relationships/hyperlink" Target="https://www.method.me/blog/servicetitan-competitors/" TargetMode="External"/><Relationship Id="rId605" Type="http://schemas.openxmlformats.org/officeDocument/2006/relationships/hyperlink" Target="https://www.method.me/blog/quickbooks-online-track-inventory/" TargetMode="External"/><Relationship Id="rId847" Type="http://schemas.openxmlformats.org/officeDocument/2006/relationships/hyperlink" Target="https://www.method.me/blog/fieldedge-alternative/" TargetMode="External"/><Relationship Id="rId604" Type="http://schemas.openxmlformats.org/officeDocument/2006/relationships/hyperlink" Target="https://www.method.me/blog/inventory-quickbooks/" TargetMode="External"/><Relationship Id="rId846" Type="http://schemas.openxmlformats.org/officeDocument/2006/relationships/hyperlink" Target="https://www.method.me/blog/kickserv-alternative/" TargetMode="External"/><Relationship Id="rId603" Type="http://schemas.openxmlformats.org/officeDocument/2006/relationships/hyperlink" Target="https://www.method.me/blog/how-to-use-quickbooks-for-manufacturing/" TargetMode="External"/><Relationship Id="rId845" Type="http://schemas.openxmlformats.org/officeDocument/2006/relationships/hyperlink" Target="https://www.method.me/blog/service-fusion-vs-jobber-vs-method-which-one-is-the-best/" TargetMode="External"/><Relationship Id="rId840" Type="http://schemas.openxmlformats.org/officeDocument/2006/relationships/hyperlink" Target="https://www.method.me/blog/jobber-vs-workiz-vs-method/" TargetMode="External"/><Relationship Id="rId839" Type="http://schemas.openxmlformats.org/officeDocument/2006/relationships/hyperlink" Target="https://www.method.me/blog/buildertrend-vs-coconstruct-vs-method/" TargetMode="External"/><Relationship Id="rId838" Type="http://schemas.openxmlformats.org/officeDocument/2006/relationships/hyperlink" Target="https://www.method.me/blog/method-vs-jobber-vs-quickbooks/" TargetMode="External"/><Relationship Id="rId833" Type="http://schemas.openxmlformats.org/officeDocument/2006/relationships/hyperlink" Target="https://www.method.me/blog/quickbooks-import-excel-and-csv-toolkit/" TargetMode="External"/><Relationship Id="rId832" Type="http://schemas.openxmlformats.org/officeDocument/2006/relationships/hyperlink" Target="https://www.method.me/blog/how-to-import-transactions-into-quickbooks-online-from-excel/" TargetMode="External"/><Relationship Id="rId831" Type="http://schemas.openxmlformats.org/officeDocument/2006/relationships/hyperlink" Target="https://www.method.me/blog/how-to-import-transactions-into-quickbooks-desktop-from-excel/" TargetMode="External"/><Relationship Id="rId830" Type="http://schemas.openxmlformats.org/officeDocument/2006/relationships/hyperlink" Target="https://www.method.me/blog/how-to-import-excel-into-quickbooks/" TargetMode="External"/><Relationship Id="rId837" Type="http://schemas.openxmlformats.org/officeDocument/2006/relationships/hyperlink" Target="https://www.method.me/blog/housecallpro-vs-jobber-vs-method/" TargetMode="External"/><Relationship Id="rId836" Type="http://schemas.openxmlformats.org/officeDocument/2006/relationships/hyperlink" Target="https://www.method.me/blog/intuit-fsm-vs-method-fsm/" TargetMode="External"/><Relationship Id="rId835" Type="http://schemas.openxmlformats.org/officeDocument/2006/relationships/hyperlink" Target="https://www.method.me/blog/quickbooks-chart-of-accounts-template-excel/" TargetMode="External"/><Relationship Id="rId834" Type="http://schemas.openxmlformats.org/officeDocument/2006/relationships/hyperlink" Target="https://www.method.me/blog/quickbooks-vs-excel-for-small-business/" TargetMode="External"/><Relationship Id="rId1059" Type="http://schemas.openxmlformats.org/officeDocument/2006/relationships/hyperlink" Target="https://www.method.me/blog/manufacturing-kpi-dashboard/" TargetMode="External"/><Relationship Id="rId228" Type="http://schemas.openxmlformats.org/officeDocument/2006/relationships/hyperlink" Target="https://www.method.me/features/outlook/" TargetMode="External"/><Relationship Id="rId227" Type="http://schemas.openxmlformats.org/officeDocument/2006/relationships/hyperlink" Target="https://www.method.me/features/mailchimp/" TargetMode="External"/><Relationship Id="rId469" Type="http://schemas.openxmlformats.org/officeDocument/2006/relationships/hyperlink" Target="https://www.method.me/resources/best-restoration-management-software/" TargetMode="External"/><Relationship Id="rId226" Type="http://schemas.openxmlformats.org/officeDocument/2006/relationships/hyperlink" Target="https://www.method.me/features/google-calendar/" TargetMode="External"/><Relationship Id="rId468" Type="http://schemas.openxmlformats.org/officeDocument/2006/relationships/hyperlink" Target="https://www.method.me/resources/best-appliance-repair-software/" TargetMode="External"/><Relationship Id="rId225" Type="http://schemas.openxmlformats.org/officeDocument/2006/relationships/hyperlink" Target="https://www.method.me/features/gmail/" TargetMode="External"/><Relationship Id="rId467" Type="http://schemas.openxmlformats.org/officeDocument/2006/relationships/hyperlink" Target="https://www.method.me/resources/best-mechanical-contractor-software/" TargetMode="External"/><Relationship Id="rId229" Type="http://schemas.openxmlformats.org/officeDocument/2006/relationships/hyperlink" Target="https://www.method.me/contact-us/" TargetMode="External"/><Relationship Id="rId1050" Type="http://schemas.openxmlformats.org/officeDocument/2006/relationships/hyperlink" Target="https://www.method.me/blog/manufacturing-scheduling-guide/" TargetMode="External"/><Relationship Id="rId220" Type="http://schemas.openxmlformats.org/officeDocument/2006/relationships/hyperlink" Target="https://www.method.me/industries/manufacturing-crm-software/" TargetMode="External"/><Relationship Id="rId462" Type="http://schemas.openxmlformats.org/officeDocument/2006/relationships/hyperlink" Target="https://www.method.me/resources/best-general-contractor-software/" TargetMode="External"/><Relationship Id="rId1051" Type="http://schemas.openxmlformats.org/officeDocument/2006/relationships/hyperlink" Target="https://www.method.me/blog/zoho-crm-cost/" TargetMode="External"/><Relationship Id="rId461" Type="http://schemas.openxmlformats.org/officeDocument/2006/relationships/hyperlink" Target="https://www.method.me/resources/best-pool-service-software/" TargetMode="External"/><Relationship Id="rId1052" Type="http://schemas.openxmlformats.org/officeDocument/2006/relationships/hyperlink" Target="https://www.method.me/blog/manufacturing-quality-management/" TargetMode="External"/><Relationship Id="rId460" Type="http://schemas.openxmlformats.org/officeDocument/2006/relationships/hyperlink" Target="https://www.method.me/resources/best-window-cleaning-software/" TargetMode="External"/><Relationship Id="rId1053" Type="http://schemas.openxmlformats.org/officeDocument/2006/relationships/hyperlink" Target="https://www.method.me/blog/manufacturing-time-tracking/" TargetMode="External"/><Relationship Id="rId1054" Type="http://schemas.openxmlformats.org/officeDocument/2006/relationships/hyperlink" Target="https://www.method.me/blog/lean-manufacturing-principles/" TargetMode="External"/><Relationship Id="rId224" Type="http://schemas.openxmlformats.org/officeDocument/2006/relationships/hyperlink" Target="https://www.method.me/crm-quickbooks/" TargetMode="External"/><Relationship Id="rId466" Type="http://schemas.openxmlformats.org/officeDocument/2006/relationships/hyperlink" Target="https://www.method.me/resources/best-pressure-washing-software/" TargetMode="External"/><Relationship Id="rId1055" Type="http://schemas.openxmlformats.org/officeDocument/2006/relationships/hyperlink" Target="https://www.method.me/blog/continuous-improvement-in-manufacturing/" TargetMode="External"/><Relationship Id="rId223" Type="http://schemas.openxmlformats.org/officeDocument/2006/relationships/hyperlink" Target="https://www.method.me/customization-services/" TargetMode="External"/><Relationship Id="rId465" Type="http://schemas.openxmlformats.org/officeDocument/2006/relationships/hyperlink" Target="https://www.method.me/resources/best-residential-cleaning-software/" TargetMode="External"/><Relationship Id="rId1056" Type="http://schemas.openxmlformats.org/officeDocument/2006/relationships/hyperlink" Target="https://www.method.me/blog/production-planning-and-scheduling/" TargetMode="External"/><Relationship Id="rId222" Type="http://schemas.openxmlformats.org/officeDocument/2006/relationships/hyperlink" Target="https://www.method.me/crm-quickbooks/custom-crm-software/" TargetMode="External"/><Relationship Id="rId464" Type="http://schemas.openxmlformats.org/officeDocument/2006/relationships/hyperlink" Target="https://www.method.me/resources/best-software-for-painting-contractors/" TargetMode="External"/><Relationship Id="rId1057" Type="http://schemas.openxmlformats.org/officeDocument/2006/relationships/hyperlink" Target="https://www.method.me/blog/manufacturing-sales-lead-management/" TargetMode="External"/><Relationship Id="rId221" Type="http://schemas.openxmlformats.org/officeDocument/2006/relationships/hyperlink" Target="https://www.method.me/partners/program-details/" TargetMode="External"/><Relationship Id="rId463" Type="http://schemas.openxmlformats.org/officeDocument/2006/relationships/hyperlink" Target="https://www.method.me/resources/best-locksmith-software/" TargetMode="External"/><Relationship Id="rId1058" Type="http://schemas.openxmlformats.org/officeDocument/2006/relationships/hyperlink" Target="https://www.method.me/blog/safety-stock-calculator-guide/" TargetMode="External"/><Relationship Id="rId1048" Type="http://schemas.openxmlformats.org/officeDocument/2006/relationships/hyperlink" Target="https://www.method.me/blog/wholesale-price-calculator/" TargetMode="External"/><Relationship Id="rId1049" Type="http://schemas.openxmlformats.org/officeDocument/2006/relationships/hyperlink" Target="https://www.method.me/blog/manufacturing-cost-estimating/" TargetMode="External"/><Relationship Id="rId217" Type="http://schemas.openxmlformats.org/officeDocument/2006/relationships/hyperlink" Target="https://www.method.me/blog/3-things-to-prioritize-when-writing-a-business-plan/" TargetMode="External"/><Relationship Id="rId459" Type="http://schemas.openxmlformats.org/officeDocument/2006/relationships/hyperlink" Target="https://www.method.me/resources/best-fence-software/" TargetMode="External"/><Relationship Id="rId216" Type="http://schemas.openxmlformats.org/officeDocument/2006/relationships/hyperlink" Target="https://www.method.me/blog/5-tips-for-marketing-your-nonprofit-event/" TargetMode="External"/><Relationship Id="rId458" Type="http://schemas.openxmlformats.org/officeDocument/2006/relationships/hyperlink" Target="https://www.method.me/resources/best-installation-scheduling-software/" TargetMode="External"/><Relationship Id="rId215" Type="http://schemas.openxmlformats.org/officeDocument/2006/relationships/hyperlink" Target="https://www.method.me/blog/top-6-highlights-from-scaling-new-heights-2019/" TargetMode="External"/><Relationship Id="rId457" Type="http://schemas.openxmlformats.org/officeDocument/2006/relationships/hyperlink" Target="https://www.method.me/resources/best-pest-control-software/" TargetMode="External"/><Relationship Id="rId699" Type="http://schemas.openxmlformats.org/officeDocument/2006/relationships/hyperlink" Target="https://www.method.me/resources/small-business-process-automation-software/" TargetMode="External"/><Relationship Id="rId214" Type="http://schemas.openxmlformats.org/officeDocument/2006/relationships/hyperlink" Target="https://www.method.me/blog/how-blockchain-could-impact-your-business/" TargetMode="External"/><Relationship Id="rId456" Type="http://schemas.openxmlformats.org/officeDocument/2006/relationships/hyperlink" Target="https://www.method.me/resources/best-flooring-software/" TargetMode="External"/><Relationship Id="rId698" Type="http://schemas.openxmlformats.org/officeDocument/2006/relationships/hyperlink" Target="https://www.method.me/resources/manufacturing-process-automation-software/" TargetMode="External"/><Relationship Id="rId219" Type="http://schemas.openxmlformats.org/officeDocument/2006/relationships/hyperlink" Target="https://www.method.me/blog/after-the-sales-pitch-post-sales-call-practices-to-help-you-close-the-deal/" TargetMode="External"/><Relationship Id="rId218" Type="http://schemas.openxmlformats.org/officeDocument/2006/relationships/hyperlink" Target="https://www.method.me/blog/5-tips-for-accountants-working-with-medical-or-dental-practices/" TargetMode="External"/><Relationship Id="rId451" Type="http://schemas.openxmlformats.org/officeDocument/2006/relationships/hyperlink" Target="https://www.method.me/resources/best-janitorial-software/" TargetMode="External"/><Relationship Id="rId693" Type="http://schemas.openxmlformats.org/officeDocument/2006/relationships/hyperlink" Target="https://www.method.me/blog/quotation-reminder/" TargetMode="External"/><Relationship Id="rId1040" Type="http://schemas.openxmlformats.org/officeDocument/2006/relationships/hyperlink" Target="https://www.method.me/blog/activecampaign-alternative/" TargetMode="External"/><Relationship Id="rId450" Type="http://schemas.openxmlformats.org/officeDocument/2006/relationships/hyperlink" Target="https://www.method.me/resources/best-roofing-software/" TargetMode="External"/><Relationship Id="rId692" Type="http://schemas.openxmlformats.org/officeDocument/2006/relationships/hyperlink" Target="https://www.method.me/blog/commerical-renovation-cost/" TargetMode="External"/><Relationship Id="rId1041" Type="http://schemas.openxmlformats.org/officeDocument/2006/relationships/hyperlink" Target="https://www.method.me/blog/housecall-pro-alternatives/" TargetMode="External"/><Relationship Id="rId691" Type="http://schemas.openxmlformats.org/officeDocument/2006/relationships/hyperlink" Target="https://www.method.me/blog/estimate-generator/" TargetMode="External"/><Relationship Id="rId1042" Type="http://schemas.openxmlformats.org/officeDocument/2006/relationships/hyperlink" Target="https://www.method.me/blog/quickbooks-sync-comparisons/" TargetMode="External"/><Relationship Id="rId690" Type="http://schemas.openxmlformats.org/officeDocument/2006/relationships/hyperlink" Target="https://www.method.me/blog/how-to-ask-for-a-deposit/" TargetMode="External"/><Relationship Id="rId1043" Type="http://schemas.openxmlformats.org/officeDocument/2006/relationships/hyperlink" Target="https://www.method.me/blog/quality-control-in-manufacturing/" TargetMode="External"/><Relationship Id="rId213" Type="http://schemas.openxmlformats.org/officeDocument/2006/relationships/hyperlink" Target="https://www.method.me/blog/4-ways-to-stay-productive-as-a-freelancer/" TargetMode="External"/><Relationship Id="rId455" Type="http://schemas.openxmlformats.org/officeDocument/2006/relationships/hyperlink" Target="https://www.method.me/resources/best-handyman-software/" TargetMode="External"/><Relationship Id="rId697" Type="http://schemas.openxmlformats.org/officeDocument/2006/relationships/hyperlink" Target="https://www.method.me/resources/quickbooks-invoice-automation/" TargetMode="External"/><Relationship Id="rId1044" Type="http://schemas.openxmlformats.org/officeDocument/2006/relationships/hyperlink" Target="https://www.method.me/blog/total-manufacturing-cost-formula/" TargetMode="External"/><Relationship Id="rId212" Type="http://schemas.openxmlformats.org/officeDocument/2006/relationships/hyperlink" Target="https://www.method.me/blog/4-innovations-changing-the-wholesale-and-distribution-industry/" TargetMode="External"/><Relationship Id="rId454" Type="http://schemas.openxmlformats.org/officeDocument/2006/relationships/hyperlink" Target="https://www.method.me/resources/best-hvac-software/" TargetMode="External"/><Relationship Id="rId696" Type="http://schemas.openxmlformats.org/officeDocument/2006/relationships/hyperlink" Target="https://www.method.me/blog/best-apps-for-painting-contractors/" TargetMode="External"/><Relationship Id="rId1045" Type="http://schemas.openxmlformats.org/officeDocument/2006/relationships/hyperlink" Target="https://www.method.me/blog/crm-for-sales-reps/" TargetMode="External"/><Relationship Id="rId211" Type="http://schemas.openxmlformats.org/officeDocument/2006/relationships/hyperlink" Target="https://www.method.me/blog/join-method-crm-at-scaling-new-heights-2019/" TargetMode="External"/><Relationship Id="rId453" Type="http://schemas.openxmlformats.org/officeDocument/2006/relationships/hyperlink" Target="https://www.method.me/resources/best-landscaping-software/" TargetMode="External"/><Relationship Id="rId695" Type="http://schemas.openxmlformats.org/officeDocument/2006/relationships/hyperlink" Target="https://www.method.me/blog/how-to-create-a-quote/" TargetMode="External"/><Relationship Id="rId1046" Type="http://schemas.openxmlformats.org/officeDocument/2006/relationships/hyperlink" Target="https://www.method.me/blog/manufacturing-customer-portal/" TargetMode="External"/><Relationship Id="rId210" Type="http://schemas.openxmlformats.org/officeDocument/2006/relationships/hyperlink" Target="https://www.method.me/blog/how-to-forecast-your-small-business-revenue/" TargetMode="External"/><Relationship Id="rId452" Type="http://schemas.openxmlformats.org/officeDocument/2006/relationships/hyperlink" Target="https://www.method.me/resources/best-plumbing-software/" TargetMode="External"/><Relationship Id="rId694" Type="http://schemas.openxmlformats.org/officeDocument/2006/relationships/hyperlink" Target="https://www.method.me/blog/how-to-invoice-as-a-contractor/" TargetMode="External"/><Relationship Id="rId1047" Type="http://schemas.openxmlformats.org/officeDocument/2006/relationships/hyperlink" Target="https://www.method.me/blog/sales-activity-tracking/" TargetMode="External"/><Relationship Id="rId491" Type="http://schemas.openxmlformats.org/officeDocument/2006/relationships/hyperlink" Target="https://www.method.me/features/xero/payment-gateways/" TargetMode="External"/><Relationship Id="rId490" Type="http://schemas.openxmlformats.org/officeDocument/2006/relationships/hyperlink" Target="https://www.method.me/features/xero/outlook/" TargetMode="External"/><Relationship Id="rId249" Type="http://schemas.openxmlformats.org/officeDocument/2006/relationships/hyperlink" Target="https://www.method.me/customer-success/healthlinc/" TargetMode="External"/><Relationship Id="rId248" Type="http://schemas.openxmlformats.org/officeDocument/2006/relationships/hyperlink" Target="https://www.method.me/customer-success/guard-up/" TargetMode="External"/><Relationship Id="rId247" Type="http://schemas.openxmlformats.org/officeDocument/2006/relationships/hyperlink" Target="https://www.method.me/customer-success/doody-calls/" TargetMode="External"/><Relationship Id="rId489" Type="http://schemas.openxmlformats.org/officeDocument/2006/relationships/hyperlink" Target="https://www.method.me/features/xero/google-calendar/" TargetMode="External"/><Relationship Id="rId1070" Type="http://schemas.openxmlformats.org/officeDocument/2006/relationships/hyperlink" Target="https://www.method.me/blog/selective-laser-sintering/" TargetMode="External"/><Relationship Id="rId1071" Type="http://schemas.openxmlformats.org/officeDocument/2006/relationships/hyperlink" Target="https://www.method.me/blog/electron-beam-melting/" TargetMode="External"/><Relationship Id="rId1072" Type="http://schemas.openxmlformats.org/officeDocument/2006/relationships/hyperlink" Target="https://www.method.me/blog/accountants-guide-to-proposal-automation/" TargetMode="External"/><Relationship Id="rId242" Type="http://schemas.openxmlformats.org/officeDocument/2006/relationships/hyperlink" Target="https://www.method.me/legal/security-and-backup/" TargetMode="External"/><Relationship Id="rId484" Type="http://schemas.openxmlformats.org/officeDocument/2006/relationships/hyperlink" Target="https://www.method.me/xero-crm/lead-management-software/" TargetMode="External"/><Relationship Id="rId1073" Type="http://schemas.openxmlformats.org/officeDocument/2006/relationships/hyperlink" Target="https://www.method.me/blog/how-to-set-up-quickbooks-for-small-business/" TargetMode="External"/><Relationship Id="rId241" Type="http://schemas.openxmlformats.org/officeDocument/2006/relationships/hyperlink" Target="https://www.method.me/legal/privacy-policy/" TargetMode="External"/><Relationship Id="rId483" Type="http://schemas.openxmlformats.org/officeDocument/2006/relationships/hyperlink" Target="https://www.method.me/xero-crm/customer-management-software/" TargetMode="External"/><Relationship Id="rId1074" Type="http://schemas.openxmlformats.org/officeDocument/2006/relationships/hyperlink" Target="https://www.method.me/blog/white-label-client-portal/" TargetMode="External"/><Relationship Id="rId240" Type="http://schemas.openxmlformats.org/officeDocument/2006/relationships/hyperlink" Target="https://www.method.me/blog/" TargetMode="External"/><Relationship Id="rId482" Type="http://schemas.openxmlformats.org/officeDocument/2006/relationships/hyperlink" Target="https://www.method.me/xero-crm/workflow-automation/" TargetMode="External"/><Relationship Id="rId1075" Type="http://schemas.openxmlformats.org/officeDocument/2006/relationships/hyperlink" Target="https://www.method.me/blog/how-does-quickbooks-payments-work/" TargetMode="External"/><Relationship Id="rId481" Type="http://schemas.openxmlformats.org/officeDocument/2006/relationships/hyperlink" Target="https://www.method.me/xero-crm/custom-crm-software/" TargetMode="External"/><Relationship Id="rId1076" Type="http://schemas.openxmlformats.org/officeDocument/2006/relationships/hyperlink" Target="https://www.method.me/blog/sales-proposal-example/" TargetMode="External"/><Relationship Id="rId246" Type="http://schemas.openxmlformats.org/officeDocument/2006/relationships/hyperlink" Target="https://www.method.me/customer-success/digital-signage-resolutions/" TargetMode="External"/><Relationship Id="rId488" Type="http://schemas.openxmlformats.org/officeDocument/2006/relationships/hyperlink" Target="https://www.method.me/features/xero/gmail/" TargetMode="External"/><Relationship Id="rId1077" Type="http://schemas.openxmlformats.org/officeDocument/2006/relationships/hyperlink" Target="https://www.method.me/blog/laser-metal-deposition/" TargetMode="External"/><Relationship Id="rId245" Type="http://schemas.openxmlformats.org/officeDocument/2006/relationships/hyperlink" Target="https://www.method.me/customer-success/digital-signage-resolutions/" TargetMode="External"/><Relationship Id="rId487" Type="http://schemas.openxmlformats.org/officeDocument/2006/relationships/hyperlink" Target="https://www.method.me/features/xero/estimates/" TargetMode="External"/><Relationship Id="rId1078" Type="http://schemas.openxmlformats.org/officeDocument/2006/relationships/hyperlink" Target="https://www.method.me/blog/work-order-management-software/" TargetMode="External"/><Relationship Id="rId244" Type="http://schemas.openxmlformats.org/officeDocument/2006/relationships/hyperlink" Target="https://www.method.me/features/api/" TargetMode="External"/><Relationship Id="rId486" Type="http://schemas.openxmlformats.org/officeDocument/2006/relationships/hyperlink" Target="https://www.method.me/features/xero/api/" TargetMode="External"/><Relationship Id="rId1079" Type="http://schemas.openxmlformats.org/officeDocument/2006/relationships/hyperlink" Target="https://www.method.me/blog/crm-for-cleaning-business/" TargetMode="External"/><Relationship Id="rId243" Type="http://schemas.openxmlformats.org/officeDocument/2006/relationships/hyperlink" Target="https://www.method.me/legal/" TargetMode="External"/><Relationship Id="rId485" Type="http://schemas.openxmlformats.org/officeDocument/2006/relationships/hyperlink" Target="https://www.method.me/xero-crm/invoice-software/" TargetMode="External"/><Relationship Id="rId480" Type="http://schemas.openxmlformats.org/officeDocument/2006/relationships/hyperlink" Target="https://www.method.me/xero-crm/" TargetMode="External"/><Relationship Id="rId239" Type="http://schemas.openxmlformats.org/officeDocument/2006/relationships/hyperlink" Target="https://www.method.me/customer-success/" TargetMode="External"/><Relationship Id="rId238" Type="http://schemas.openxmlformats.org/officeDocument/2006/relationships/hyperlink" Target="https://www.method.me/customer-success/" TargetMode="External"/><Relationship Id="rId237" Type="http://schemas.openxmlformats.org/officeDocument/2006/relationships/hyperlink" Target="https://www.method.me/customer-success/erazorbits/" TargetMode="External"/><Relationship Id="rId479" Type="http://schemas.openxmlformats.org/officeDocument/2006/relationships/hyperlink" Target="https://www.method.me/features/xero/" TargetMode="External"/><Relationship Id="rId236" Type="http://schemas.openxmlformats.org/officeDocument/2006/relationships/hyperlink" Target="https://www.method.me/about-us/" TargetMode="External"/><Relationship Id="rId478" Type="http://schemas.openxmlformats.org/officeDocument/2006/relationships/hyperlink" Target="https://www.method.me/blog/plumbing-company-scheduling-software/" TargetMode="External"/><Relationship Id="rId1060" Type="http://schemas.openxmlformats.org/officeDocument/2006/relationships/hyperlink" Target="https://www.method.me/blog/reorder-point-formula-guide/" TargetMode="External"/><Relationship Id="rId1061" Type="http://schemas.openxmlformats.org/officeDocument/2006/relationships/hyperlink" Target="https://www.method.me/industries/medical-device-crm/" TargetMode="External"/><Relationship Id="rId231" Type="http://schemas.openxmlformats.org/officeDocument/2006/relationships/hyperlink" Target="https://www.method.me/legal/terms-of-service/" TargetMode="External"/><Relationship Id="rId473" Type="http://schemas.openxmlformats.org/officeDocument/2006/relationships/hyperlink" Target="https://www.method.me/videos/qbo-invoice-automation/" TargetMode="External"/><Relationship Id="rId1062" Type="http://schemas.openxmlformats.org/officeDocument/2006/relationships/hyperlink" Target="https://www.method.me/industries/food-manufacturing-software/" TargetMode="External"/><Relationship Id="rId230" Type="http://schemas.openxmlformats.org/officeDocument/2006/relationships/hyperlink" Target="https://www.method.me/features/" TargetMode="External"/><Relationship Id="rId472" Type="http://schemas.openxmlformats.org/officeDocument/2006/relationships/hyperlink" Target="https://www.method.me/resources/best-lawn-care-software/" TargetMode="External"/><Relationship Id="rId1063" Type="http://schemas.openxmlformats.org/officeDocument/2006/relationships/hyperlink" Target="https://www.method.me/industries/automotive-manufacturing-software/" TargetMode="External"/><Relationship Id="rId471" Type="http://schemas.openxmlformats.org/officeDocument/2006/relationships/hyperlink" Target="https://www.method.me/resources/best-elevator-software-service/" TargetMode="External"/><Relationship Id="rId1064" Type="http://schemas.openxmlformats.org/officeDocument/2006/relationships/hyperlink" Target="https://www.method.me/industries/industrial-manufacturing-software/" TargetMode="External"/><Relationship Id="rId470" Type="http://schemas.openxmlformats.org/officeDocument/2006/relationships/hyperlink" Target="https://www.method.me/resources/best-tree-care-software/" TargetMode="External"/><Relationship Id="rId1065" Type="http://schemas.openxmlformats.org/officeDocument/2006/relationships/hyperlink" Target="https://www.method.me/crm-quickbooks/manufacturing-estimating-software/" TargetMode="External"/><Relationship Id="rId235" Type="http://schemas.openxmlformats.org/officeDocument/2006/relationships/hyperlink" Target="https://www.method.me/crm-quickbooks/quickbooks-sync-faq/" TargetMode="External"/><Relationship Id="rId477" Type="http://schemas.openxmlformats.org/officeDocument/2006/relationships/hyperlink" Target="https://www.method.me/blog/plumbing-estimating-software/" TargetMode="External"/><Relationship Id="rId1066" Type="http://schemas.openxmlformats.org/officeDocument/2006/relationships/hyperlink" Target="https://www.method.me/industries/crm-for-franchises/" TargetMode="External"/><Relationship Id="rId234" Type="http://schemas.openxmlformats.org/officeDocument/2006/relationships/hyperlink" Target="https://www.method.me/findpartner/" TargetMode="External"/><Relationship Id="rId476" Type="http://schemas.openxmlformats.org/officeDocument/2006/relationships/hyperlink" Target="https://www.method.me/crm-quickbooks/pricing/field-service/" TargetMode="External"/><Relationship Id="rId1067" Type="http://schemas.openxmlformats.org/officeDocument/2006/relationships/hyperlink" Target="https://www.method.me/industries/pharmaceutical-manufacturing-software/" TargetMode="External"/><Relationship Id="rId233" Type="http://schemas.openxmlformats.org/officeDocument/2006/relationships/hyperlink" Target="https://www.method.me/nonprofit-crm/" TargetMode="External"/><Relationship Id="rId475" Type="http://schemas.openxmlformats.org/officeDocument/2006/relationships/hyperlink" Target="https://www.method.me/customer-success/mist-and-more/" TargetMode="External"/><Relationship Id="rId1068" Type="http://schemas.openxmlformats.org/officeDocument/2006/relationships/hyperlink" Target="https://www.method.me/industries/sign-manufacturing-software/" TargetMode="External"/><Relationship Id="rId232" Type="http://schemas.openxmlformats.org/officeDocument/2006/relationships/hyperlink" Target="https://www.method.me/refer/" TargetMode="External"/><Relationship Id="rId474" Type="http://schemas.openxmlformats.org/officeDocument/2006/relationships/hyperlink" Target="https://www.method.me/blog/plumbing-dispatch-software/" TargetMode="External"/><Relationship Id="rId1069" Type="http://schemas.openxmlformats.org/officeDocument/2006/relationships/hyperlink" Target="https://www.method.me/blog/advanced-manufacturing-guide/" TargetMode="External"/><Relationship Id="rId1015" Type="http://schemas.openxmlformats.org/officeDocument/2006/relationships/hyperlink" Target="https://www.method.me/blog/accelo-alternatives/" TargetMode="External"/><Relationship Id="rId1016" Type="http://schemas.openxmlformats.org/officeDocument/2006/relationships/hyperlink" Target="https://www.method.me/blog/best-salesforce-alternatives/" TargetMode="External"/><Relationship Id="rId1017" Type="http://schemas.openxmlformats.org/officeDocument/2006/relationships/hyperlink" Target="https://www.method.me/blog/how-much-does-hubspot-cost/" TargetMode="External"/><Relationship Id="rId1018" Type="http://schemas.openxmlformats.org/officeDocument/2006/relationships/hyperlink" Target="https://www.method.me/blog/best-hubspot-alternatives/" TargetMode="External"/><Relationship Id="rId1019" Type="http://schemas.openxmlformats.org/officeDocument/2006/relationships/hyperlink" Target="https://www.method.me/blog/how-much-does-pipedrive-cost/" TargetMode="External"/><Relationship Id="rId426" Type="http://schemas.openxmlformats.org/officeDocument/2006/relationships/hyperlink" Target="https://www.method.me/blog/contractor-scheduling-software/" TargetMode="External"/><Relationship Id="rId668" Type="http://schemas.openxmlformats.org/officeDocument/2006/relationships/hyperlink" Target="https://www.method.me/blog/xero-commission-tracking/" TargetMode="External"/><Relationship Id="rId425" Type="http://schemas.openxmlformats.org/officeDocument/2006/relationships/hyperlink" Target="https://www.method.me/blog/small-contractor-scheduling-software/" TargetMode="External"/><Relationship Id="rId667" Type="http://schemas.openxmlformats.org/officeDocument/2006/relationships/hyperlink" Target="https://www.method.me/blog/sales-commission-software/" TargetMode="External"/><Relationship Id="rId424" Type="http://schemas.openxmlformats.org/officeDocument/2006/relationships/hyperlink" Target="https://www.method.me/videos/digital-marketing-for-accountants-how-to-win-new-clients-online/" TargetMode="External"/><Relationship Id="rId666" Type="http://schemas.openxmlformats.org/officeDocument/2006/relationships/hyperlink" Target="https://www.method.me/blog/quickbooks-commission-tracking/" TargetMode="External"/><Relationship Id="rId423" Type="http://schemas.openxmlformats.org/officeDocument/2006/relationships/hyperlink" Target="https://www.method.me/blog/lawn-care-marketing-ideas/" TargetMode="External"/><Relationship Id="rId665" Type="http://schemas.openxmlformats.org/officeDocument/2006/relationships/hyperlink" Target="https://www.method.me/blog/how-to-track-commissions-in-quickbooks/" TargetMode="External"/><Relationship Id="rId429" Type="http://schemas.openxmlformats.org/officeDocument/2006/relationships/hyperlink" Target="https://www.method.me/videos/boost-sales-with-method-and-quickbooks/" TargetMode="External"/><Relationship Id="rId428" Type="http://schemas.openxmlformats.org/officeDocument/2006/relationships/hyperlink" Target="https://www.method.me/blog/best-construction-scheduling-software-free/" TargetMode="External"/><Relationship Id="rId427" Type="http://schemas.openxmlformats.org/officeDocument/2006/relationships/hyperlink" Target="https://www.method.me/blog/construction-project-schedule/" TargetMode="External"/><Relationship Id="rId669" Type="http://schemas.openxmlformats.org/officeDocument/2006/relationships/hyperlink" Target="https://www.method.me/blog/xero-bookkeeping-automation/" TargetMode="External"/><Relationship Id="rId660" Type="http://schemas.openxmlformats.org/officeDocument/2006/relationships/hyperlink" Target="https://www.method.me/blog/how-to-create-the-best-customer-experience/" TargetMode="External"/><Relationship Id="rId1010" Type="http://schemas.openxmlformats.org/officeDocument/2006/relationships/hyperlink" Target="http://monday.com/" TargetMode="External"/><Relationship Id="rId422" Type="http://schemas.openxmlformats.org/officeDocument/2006/relationships/hyperlink" Target="https://www.method.me/blog/lawn-care-business-apps/" TargetMode="External"/><Relationship Id="rId664" Type="http://schemas.openxmlformats.org/officeDocument/2006/relationships/hyperlink" Target="https://www.method.me/blog/how-to-track-sales-commission-in-quickbooks-desktop/" TargetMode="External"/><Relationship Id="rId1011" Type="http://schemas.openxmlformats.org/officeDocument/2006/relationships/hyperlink" Target="https://www.method.me/resources/compare/keap-alternative/" TargetMode="External"/><Relationship Id="rId421" Type="http://schemas.openxmlformats.org/officeDocument/2006/relationships/hyperlink" Target="https://www.method.me/blog/landscaping-grants/" TargetMode="External"/><Relationship Id="rId663" Type="http://schemas.openxmlformats.org/officeDocument/2006/relationships/hyperlink" Target="https://www.method.me/blog/how-to-set-up-commission-in-quickbooks-online/" TargetMode="External"/><Relationship Id="rId1012" Type="http://schemas.openxmlformats.org/officeDocument/2006/relationships/hyperlink" Target="https://www.method.me/blog/best-canopy-alternatives/" TargetMode="External"/><Relationship Id="rId420" Type="http://schemas.openxmlformats.org/officeDocument/2006/relationships/hyperlink" Target="https://www.method.me/blog/lawn-care-flyers/" TargetMode="External"/><Relationship Id="rId662" Type="http://schemas.openxmlformats.org/officeDocument/2006/relationships/hyperlink" Target="https://www.method.me/blog/sales-commission-tracking-software/" TargetMode="External"/><Relationship Id="rId1013" Type="http://schemas.openxmlformats.org/officeDocument/2006/relationships/hyperlink" Target="https://www.method.me/blog/crm-for-painting-contractors/" TargetMode="External"/><Relationship Id="rId661" Type="http://schemas.openxmlformats.org/officeDocument/2006/relationships/hyperlink" Target="https://www.method.me/blog/how-crm-improves-small-business-customer-experience/" TargetMode="External"/><Relationship Id="rId1014" Type="http://schemas.openxmlformats.org/officeDocument/2006/relationships/hyperlink" Target="https://www.method.me/blog/crm-for-lead-management/" TargetMode="External"/><Relationship Id="rId1004" Type="http://schemas.openxmlformats.org/officeDocument/2006/relationships/hyperlink" Target="https://www.method.me/blog/best-crm-for-service-business/" TargetMode="External"/><Relationship Id="rId1005" Type="http://schemas.openxmlformats.org/officeDocument/2006/relationships/hyperlink" Target="https://www.method.me/blog/pipedrive-alternative/" TargetMode="External"/><Relationship Id="rId1006" Type="http://schemas.openxmlformats.org/officeDocument/2006/relationships/hyperlink" Target="https://www.method.me/blog/streak-crm-alternatives/" TargetMode="External"/><Relationship Id="rId1007" Type="http://schemas.openxmlformats.org/officeDocument/2006/relationships/hyperlink" Target="https://www.method.me/blog/salesloft-alternative/" TargetMode="External"/><Relationship Id="rId1008" Type="http://schemas.openxmlformats.org/officeDocument/2006/relationships/hyperlink" Target="https://www.method.me/blog/copper-crm-alternative/" TargetMode="External"/><Relationship Id="rId1009" Type="http://schemas.openxmlformats.org/officeDocument/2006/relationships/hyperlink" Target="https://www.method.me/blog/best-monday-com-alternatives/" TargetMode="External"/><Relationship Id="rId415" Type="http://schemas.openxmlformats.org/officeDocument/2006/relationships/hyperlink" Target="https://www.method.me/blog/lawn-care-business-plan/" TargetMode="External"/><Relationship Id="rId657" Type="http://schemas.openxmlformats.org/officeDocument/2006/relationships/hyperlink" Target="https://www.method.me/blog/customer-experience-portal/" TargetMode="External"/><Relationship Id="rId899" Type="http://schemas.openxmlformats.org/officeDocument/2006/relationships/hyperlink" Target="https://www.method.me/blog/get-hvac-license/" TargetMode="External"/><Relationship Id="rId414" Type="http://schemas.openxmlformats.org/officeDocument/2006/relationships/hyperlink" Target="https://www.method.me/blog/commercial-mowing-contracts/" TargetMode="External"/><Relationship Id="rId656" Type="http://schemas.openxmlformats.org/officeDocument/2006/relationships/hyperlink" Target="https://www.method.me/blog/creating-great-customer-experiences/" TargetMode="External"/><Relationship Id="rId898" Type="http://schemas.openxmlformats.org/officeDocument/2006/relationships/hyperlink" Target="https://www.method.me/blog/hvac-contractor-marketing-strategies/" TargetMode="External"/><Relationship Id="rId413" Type="http://schemas.openxmlformats.org/officeDocument/2006/relationships/hyperlink" Target="https://www.method.me/blog/lawn-care-industry-stats/" TargetMode="External"/><Relationship Id="rId655" Type="http://schemas.openxmlformats.org/officeDocument/2006/relationships/hyperlink" Target="https://www.method.me/blog/international-womens-day-2023/" TargetMode="External"/><Relationship Id="rId897" Type="http://schemas.openxmlformats.org/officeDocument/2006/relationships/hyperlink" Target="https://www.method.me/blog/start-hvac-business/" TargetMode="External"/><Relationship Id="rId412" Type="http://schemas.openxmlformats.org/officeDocument/2006/relationships/hyperlink" Target="https://www.method.me/blog/what-do-landscapers-do-in-the-winter/" TargetMode="External"/><Relationship Id="rId654" Type="http://schemas.openxmlformats.org/officeDocument/2006/relationships/hyperlink" Target="https://www.method.me/videos/workshop-paymentgateways/" TargetMode="External"/><Relationship Id="rId896" Type="http://schemas.openxmlformats.org/officeDocument/2006/relationships/hyperlink" Target="https://www.method.me/blog/accounting-best-practices/" TargetMode="External"/><Relationship Id="rId419" Type="http://schemas.openxmlformats.org/officeDocument/2006/relationships/hyperlink" Target="https://www.method.me/blog/landscaping-website-design-examples/" TargetMode="External"/><Relationship Id="rId418" Type="http://schemas.openxmlformats.org/officeDocument/2006/relationships/hyperlink" Target="https://www.method.me/blog/lawncare-contracts/" TargetMode="External"/><Relationship Id="rId417" Type="http://schemas.openxmlformats.org/officeDocument/2006/relationships/hyperlink" Target="https://www.method.me/blog/how-to-get-lawn-care-customers-fast/" TargetMode="External"/><Relationship Id="rId659" Type="http://schemas.openxmlformats.org/officeDocument/2006/relationships/hyperlink" Target="https://www.method.me/videos/how-qb-users-can-strengthen-operations/" TargetMode="External"/><Relationship Id="rId416" Type="http://schemas.openxmlformats.org/officeDocument/2006/relationships/hyperlink" Target="https://www.method.me/blog/lawn-care-management/" TargetMode="External"/><Relationship Id="rId658" Type="http://schemas.openxmlformats.org/officeDocument/2006/relationships/hyperlink" Target="https://www.method.me/blog/customer-portal-software/" TargetMode="External"/><Relationship Id="rId891" Type="http://schemas.openxmlformats.org/officeDocument/2006/relationships/hyperlink" Target="https://www.method.me/blog/change-address-on-quickbooks-invoice/" TargetMode="External"/><Relationship Id="rId890" Type="http://schemas.openxmlformats.org/officeDocument/2006/relationships/hyperlink" Target="https://www.method.me/blog/create-quote-in-quickbooks/" TargetMode="External"/><Relationship Id="rId411" Type="http://schemas.openxmlformats.org/officeDocument/2006/relationships/hyperlink" Target="https://www.method.me/blog/hiring-landscaping-employees/" TargetMode="External"/><Relationship Id="rId653" Type="http://schemas.openxmlformats.org/officeDocument/2006/relationships/hyperlink" Target="https://www.method.me/blog/xero-for-contractors-all-you-need-to-know/" TargetMode="External"/><Relationship Id="rId895" Type="http://schemas.openxmlformats.org/officeDocument/2006/relationships/hyperlink" Target="https://www.method.me/blog/general-contractor-license/" TargetMode="External"/><Relationship Id="rId1000" Type="http://schemas.openxmlformats.org/officeDocument/2006/relationships/hyperlink" Target="https://www.method.me/blog/crm-for-project-management/" TargetMode="External"/><Relationship Id="rId410" Type="http://schemas.openxmlformats.org/officeDocument/2006/relationships/hyperlink" Target="https://www.method.me/blog/lawncare-ads/" TargetMode="External"/><Relationship Id="rId652" Type="http://schemas.openxmlformats.org/officeDocument/2006/relationships/hyperlink" Target="https://www.method.me/blog/how-to-become-a-general-contractor/" TargetMode="External"/><Relationship Id="rId894" Type="http://schemas.openxmlformats.org/officeDocument/2006/relationships/hyperlink" Target="https://www.method.me/blog/creatio-alternative/" TargetMode="External"/><Relationship Id="rId1001" Type="http://schemas.openxmlformats.org/officeDocument/2006/relationships/hyperlink" Target="https://www.method.me/blog/crm-for-manufacturing-industry/" TargetMode="External"/><Relationship Id="rId651" Type="http://schemas.openxmlformats.org/officeDocument/2006/relationships/hyperlink" Target="https://www.method.me/videos/qbdt-to-qbo/" TargetMode="External"/><Relationship Id="rId893" Type="http://schemas.openxmlformats.org/officeDocument/2006/relationships/hyperlink" Target="https://www.method.me/blog/add-logo-to-quickbooks-invoice/" TargetMode="External"/><Relationship Id="rId1002" Type="http://schemas.openxmlformats.org/officeDocument/2006/relationships/hyperlink" Target="https://www.method.me/blog/bitrix24-alternative/" TargetMode="External"/><Relationship Id="rId650" Type="http://schemas.openxmlformats.org/officeDocument/2006/relationships/hyperlink" Target="https://www.method.me/blog/how-to-become-a-handyman/" TargetMode="External"/><Relationship Id="rId892" Type="http://schemas.openxmlformats.org/officeDocument/2006/relationships/hyperlink" Target="https://www.method.me/blog/how-to-change-invoice-number-in-quickbooks-online/" TargetMode="External"/><Relationship Id="rId1003" Type="http://schemas.openxmlformats.org/officeDocument/2006/relationships/hyperlink" Target="https://www.method.me/blog/zendesk-alternative/" TargetMode="External"/><Relationship Id="rId1037" Type="http://schemas.openxmlformats.org/officeDocument/2006/relationships/hyperlink" Target="https://www.method.me/blog/how-much-does-salesforce-cost/" TargetMode="External"/><Relationship Id="rId1038" Type="http://schemas.openxmlformats.org/officeDocument/2006/relationships/hyperlink" Target="https://www.method.me/blog/thryv-alternative/" TargetMode="External"/><Relationship Id="rId1039" Type="http://schemas.openxmlformats.org/officeDocument/2006/relationships/hyperlink" Target="https://www.method.me/blog/how-to-grow-a-landscaping-business/" TargetMode="External"/><Relationship Id="rId206" Type="http://schemas.openxmlformats.org/officeDocument/2006/relationships/hyperlink" Target="https://www.method.me/blog/how-to-turn-your-small-business-into-a-big-business/" TargetMode="External"/><Relationship Id="rId448" Type="http://schemas.openxmlformats.org/officeDocument/2006/relationships/hyperlink" Target="https://www.method.me/resources/best-construction-management-software/" TargetMode="External"/><Relationship Id="rId205" Type="http://schemas.openxmlformats.org/officeDocument/2006/relationships/hyperlink" Target="https://www.method.me/blog/3-trends-changing-the-future-of-logistics/" TargetMode="External"/><Relationship Id="rId447" Type="http://schemas.openxmlformats.org/officeDocument/2006/relationships/hyperlink" Target="https://www.method.me/resources/best-chimney-sweep-software/" TargetMode="External"/><Relationship Id="rId689" Type="http://schemas.openxmlformats.org/officeDocument/2006/relationships/hyperlink" Target="https://www.method.me/blog/general-contractor-markup/" TargetMode="External"/><Relationship Id="rId204" Type="http://schemas.openxmlformats.org/officeDocument/2006/relationships/hyperlink" Target="https://www.method.me/blog/how-to-find-great-employees-in-the-modern-economy/" TargetMode="External"/><Relationship Id="rId446" Type="http://schemas.openxmlformats.org/officeDocument/2006/relationships/hyperlink" Target="https://www.method.me/resources/best-carpet-cleaning-software/" TargetMode="External"/><Relationship Id="rId688" Type="http://schemas.openxmlformats.org/officeDocument/2006/relationships/hyperlink" Target="https://www.method.me/blog/chasing-payment/" TargetMode="External"/><Relationship Id="rId203" Type="http://schemas.openxmlformats.org/officeDocument/2006/relationships/hyperlink" Target="https://www.method.me/industries/construction-crm-software/" TargetMode="External"/><Relationship Id="rId445" Type="http://schemas.openxmlformats.org/officeDocument/2006/relationships/hyperlink" Target="https://www.method.me/resources/best-commercial-cleaning-software/" TargetMode="External"/><Relationship Id="rId687" Type="http://schemas.openxmlformats.org/officeDocument/2006/relationships/hyperlink" Target="https://www.method.me/blog/how-to-change-invoice-template-in-quickbooks/" TargetMode="External"/><Relationship Id="rId209" Type="http://schemas.openxmlformats.org/officeDocument/2006/relationships/hyperlink" Target="https://www.method.me/blog/the-transformative-power-of-artificial-intelligence/" TargetMode="External"/><Relationship Id="rId208" Type="http://schemas.openxmlformats.org/officeDocument/2006/relationships/hyperlink" Target="https://www.method.me/blog/best-charity-auction-item-ideas/" TargetMode="External"/><Relationship Id="rId207" Type="http://schemas.openxmlformats.org/officeDocument/2006/relationships/hyperlink" Target="https://www.method.me/blog/3-surprising-ways-the-internet-of-things-will-impact-business/" TargetMode="External"/><Relationship Id="rId449" Type="http://schemas.openxmlformats.org/officeDocument/2006/relationships/hyperlink" Target="https://www.method.me/resources/best-junk-removal-software/" TargetMode="External"/><Relationship Id="rId440" Type="http://schemas.openxmlformats.org/officeDocument/2006/relationships/hyperlink" Target="https://www.method.me/blog/window-washing-for-cleaning-businesses/" TargetMode="External"/><Relationship Id="rId682" Type="http://schemas.openxmlformats.org/officeDocument/2006/relationships/hyperlink" Target="https://www.method.me/blog/customize-invoice-quickbooks-online/" TargetMode="External"/><Relationship Id="rId681" Type="http://schemas.openxmlformats.org/officeDocument/2006/relationships/hyperlink" Target="https://www.method.me/blog/quickbooks-invoice-templates/" TargetMode="External"/><Relationship Id="rId1030" Type="http://schemas.openxmlformats.org/officeDocument/2006/relationships/hyperlink" Target="https://www.method.me/blog/netsuite-vs-quickbooks/" TargetMode="External"/><Relationship Id="rId680" Type="http://schemas.openxmlformats.org/officeDocument/2006/relationships/hyperlink" Target="https://www.method.me/home-v2/" TargetMode="External"/><Relationship Id="rId1031" Type="http://schemas.openxmlformats.org/officeDocument/2006/relationships/hyperlink" Target="https://www.method.me/resources/best-residential-cleaning-software/" TargetMode="External"/><Relationship Id="rId1032" Type="http://schemas.openxmlformats.org/officeDocument/2006/relationships/hyperlink" Target="https://www.method.me/blog/crm-roi/" TargetMode="External"/><Relationship Id="rId202" Type="http://schemas.openxmlformats.org/officeDocument/2006/relationships/hyperlink" Target="https://www.method.me/industries/accounting-crm-software/" TargetMode="External"/><Relationship Id="rId444" Type="http://schemas.openxmlformats.org/officeDocument/2006/relationships/hyperlink" Target="https://www.method.me/resources/best-property-maintenance-software/" TargetMode="External"/><Relationship Id="rId686" Type="http://schemas.openxmlformats.org/officeDocument/2006/relationships/hyperlink" Target="https://www.method.me/videos/perfect-customer-experience/" TargetMode="External"/><Relationship Id="rId1033" Type="http://schemas.openxmlformats.org/officeDocument/2006/relationships/hyperlink" Target="https://www.method.me/blog/highlevel-alternatives/" TargetMode="External"/><Relationship Id="rId201" Type="http://schemas.openxmlformats.org/officeDocument/2006/relationships/hyperlink" Target="https://www.method.me/crm-quickbooks/customer-management-software/" TargetMode="External"/><Relationship Id="rId443" Type="http://schemas.openxmlformats.org/officeDocument/2006/relationships/hyperlink" Target="https://www.method.me/resources/best-garage-door-software/" TargetMode="External"/><Relationship Id="rId685" Type="http://schemas.openxmlformats.org/officeDocument/2006/relationships/hyperlink" Target="https://www.method.me/blog/how-to-edit-invoice-template-in-quickbooks/" TargetMode="External"/><Relationship Id="rId1034" Type="http://schemas.openxmlformats.org/officeDocument/2006/relationships/hyperlink" Target="https://www.method.me/blog/how-to-grow-an-hvac-business/" TargetMode="External"/><Relationship Id="rId200" Type="http://schemas.openxmlformats.org/officeDocument/2006/relationships/hyperlink" Target="https://www.method.me/crm-quickbooks/lead-management-software/" TargetMode="External"/><Relationship Id="rId442" Type="http://schemas.openxmlformats.org/officeDocument/2006/relationships/hyperlink" Target="https://www.method.me/blog/custom-plumbing-invoices/" TargetMode="External"/><Relationship Id="rId684" Type="http://schemas.openxmlformats.org/officeDocument/2006/relationships/hyperlink" Target="https://www.method.me/blog/quickbooks-estimate-template/" TargetMode="External"/><Relationship Id="rId1035" Type="http://schemas.openxmlformats.org/officeDocument/2006/relationships/hyperlink" Target="https://www.method.me/blog/how-much-does-crm-cost/" TargetMode="External"/><Relationship Id="rId441" Type="http://schemas.openxmlformats.org/officeDocument/2006/relationships/hyperlink" Target="https://www.method.me/blog/best-cleaning-scheduling-software/" TargetMode="External"/><Relationship Id="rId683" Type="http://schemas.openxmlformats.org/officeDocument/2006/relationships/hyperlink" Target="https://www.method.me/videos/workshop-webtolead/" TargetMode="External"/><Relationship Id="rId1036" Type="http://schemas.openxmlformats.org/officeDocument/2006/relationships/hyperlink" Target="https://www.method.me/blog/crm-security/" TargetMode="External"/><Relationship Id="rId1026" Type="http://schemas.openxmlformats.org/officeDocument/2006/relationships/hyperlink" Target="https://www.method.me/blog/crm-comparison-method-vs-salesforce/" TargetMode="External"/><Relationship Id="rId1027" Type="http://schemas.openxmlformats.org/officeDocument/2006/relationships/hyperlink" Target="https://www.method.me/blog/best-roofing-crm/" TargetMode="External"/><Relationship Id="rId1028" Type="http://schemas.openxmlformats.org/officeDocument/2006/relationships/hyperlink" Target="https://www.method.me/blog/crm-for-plumbers/" TargetMode="External"/><Relationship Id="rId1029" Type="http://schemas.openxmlformats.org/officeDocument/2006/relationships/hyperlink" Target="https://www.method.me/resources/compare/jobber-alternative/" TargetMode="External"/><Relationship Id="rId437" Type="http://schemas.openxmlformats.org/officeDocument/2006/relationships/hyperlink" Target="https://www.method.me/blog/how-to-hire-workers-and-grow-your-cleaning-business/" TargetMode="External"/><Relationship Id="rId679" Type="http://schemas.openxmlformats.org/officeDocument/2006/relationships/hyperlink" Target="https://www.method.me/" TargetMode="External"/><Relationship Id="rId436" Type="http://schemas.openxmlformats.org/officeDocument/2006/relationships/hyperlink" Target="https://www.method.me/blog/facebook-ads-for-cleaning-businesses/" TargetMode="External"/><Relationship Id="rId678" Type="http://schemas.openxmlformats.org/officeDocument/2006/relationships/hyperlink" Target="https://www.method.me/videos/quickbooks-automation-for-growth/" TargetMode="External"/><Relationship Id="rId435" Type="http://schemas.openxmlformats.org/officeDocument/2006/relationships/hyperlink" Target="https://www.method.me/blog/start-a-cleaning-business-with-no-money/" TargetMode="External"/><Relationship Id="rId677" Type="http://schemas.openxmlformats.org/officeDocument/2006/relationships/hyperlink" Target="https://www.method.me/blog/which-quickbooks-version/" TargetMode="External"/><Relationship Id="rId434" Type="http://schemas.openxmlformats.org/officeDocument/2006/relationships/hyperlink" Target="https://www.method.me/blog/how-much-does-a-commercial-cleaning-business-make/" TargetMode="External"/><Relationship Id="rId676" Type="http://schemas.openxmlformats.org/officeDocument/2006/relationships/hyperlink" Target="https://www.method.me/industries/crm-for-bookkeepers/" TargetMode="External"/><Relationship Id="rId439" Type="http://schemas.openxmlformats.org/officeDocument/2006/relationships/hyperlink" Target="https://www.method.me/blog/cleaning-business-flyers-ideas-and-examples/" TargetMode="External"/><Relationship Id="rId438" Type="http://schemas.openxmlformats.org/officeDocument/2006/relationships/hyperlink" Target="https://www.method.me/blog/types-of-cleaning-services/" TargetMode="External"/><Relationship Id="rId671" Type="http://schemas.openxmlformats.org/officeDocument/2006/relationships/hyperlink" Target="https://www.method.me/blog/quickbooks-online-payment-portal/" TargetMode="External"/><Relationship Id="rId670" Type="http://schemas.openxmlformats.org/officeDocument/2006/relationships/hyperlink" Target="https://www.method.me/blog/xero-customer-invoice-portal/" TargetMode="External"/><Relationship Id="rId1020" Type="http://schemas.openxmlformats.org/officeDocument/2006/relationships/hyperlink" Target="https://www.method.me/blog/19-manufacturing-project-management-software-solutions-2025/" TargetMode="External"/><Relationship Id="rId1021" Type="http://schemas.openxmlformats.org/officeDocument/2006/relationships/hyperlink" Target="https://www.method.me/blog/intercom-alternatives/" TargetMode="External"/><Relationship Id="rId433" Type="http://schemas.openxmlformats.org/officeDocument/2006/relationships/hyperlink" Target="https://www.method.me/blog/checklist-for-starting-a-cleaning-business/" TargetMode="External"/><Relationship Id="rId675" Type="http://schemas.openxmlformats.org/officeDocument/2006/relationships/hyperlink" Target="https://www.method.me/blog/crm-and-customer-experience/" TargetMode="External"/><Relationship Id="rId1022" Type="http://schemas.openxmlformats.org/officeDocument/2006/relationships/hyperlink" Target="https://www.method.me/blog/apptivo-review/" TargetMode="External"/><Relationship Id="rId432" Type="http://schemas.openxmlformats.org/officeDocument/2006/relationships/hyperlink" Target="https://www.method.me/blog/how-much-to-charge-for-commercial-cleaning-jobs/" TargetMode="External"/><Relationship Id="rId674" Type="http://schemas.openxmlformats.org/officeDocument/2006/relationships/hyperlink" Target="https://www.method.me/blog/customer-service-web-portal/" TargetMode="External"/><Relationship Id="rId1023" Type="http://schemas.openxmlformats.org/officeDocument/2006/relationships/hyperlink" Target="https://www.method.me/blog/crm-for-consultants/" TargetMode="External"/><Relationship Id="rId431" Type="http://schemas.openxmlformats.org/officeDocument/2006/relationships/hyperlink" Target="https://www.method.me/blog/house-cleaning-checklist/" TargetMode="External"/><Relationship Id="rId673" Type="http://schemas.openxmlformats.org/officeDocument/2006/relationships/hyperlink" Target="https://www.method.me/videos/workshop-portals/" TargetMode="External"/><Relationship Id="rId1024" Type="http://schemas.openxmlformats.org/officeDocument/2006/relationships/hyperlink" Target="https://www.method.me/blog/zendesk-sell-vs-pipedrive-vs-method-crm/" TargetMode="External"/><Relationship Id="rId430" Type="http://schemas.openxmlformats.org/officeDocument/2006/relationships/hyperlink" Target="https://www.method.me/blog/what-you-need-to-start-a-cleaning-business/" TargetMode="External"/><Relationship Id="rId672" Type="http://schemas.openxmlformats.org/officeDocument/2006/relationships/hyperlink" Target="https://www.method.me/videos/how-to-get-the-most-out-of-qbo-apps/" TargetMode="External"/><Relationship Id="rId1025" Type="http://schemas.openxmlformats.org/officeDocument/2006/relationships/hyperlink" Target="https://www.method.me/blog/sugarcrm-alternative/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.xml"/><Relationship Id="rId2" Type="http://schemas.openxmlformats.org/officeDocument/2006/relationships/hyperlink" Target="https://bit.ly/3PWw6Mj" TargetMode="External"/><Relationship Id="rId3" Type="http://schemas.openxmlformats.org/officeDocument/2006/relationships/hyperlink" Target="https://www.method.me/blog/how-to-add-signature-in-quickbooks-online/?trc=90&amp;trk=description-cta&amp;trs=qbo-esig&amp;utm_source=yt&amp;utm_medium=description-cta&amp;utm_campaign=qbo-esig" TargetMode="External"/><Relationship Id="rId4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</row>
    <row r="2" ht="14.25" customHeight="1">
      <c r="A2" s="1" t="s">
        <v>2</v>
      </c>
      <c r="B2" s="1" t="s">
        <v>3</v>
      </c>
    </row>
    <row r="3" ht="14.25" customHeight="1">
      <c r="A3" s="1" t="s">
        <v>2</v>
      </c>
      <c r="B3" s="1" t="s">
        <v>4</v>
      </c>
    </row>
    <row r="4" ht="14.25" customHeight="1">
      <c r="A4" s="1" t="s">
        <v>2</v>
      </c>
      <c r="B4" s="1" t="s">
        <v>5</v>
      </c>
    </row>
    <row r="5" ht="14.25" customHeight="1">
      <c r="A5" s="1" t="s">
        <v>2</v>
      </c>
      <c r="B5" s="1" t="s">
        <v>6</v>
      </c>
    </row>
    <row r="6" ht="14.25" customHeight="1">
      <c r="A6" s="1" t="s">
        <v>2</v>
      </c>
      <c r="B6" s="1" t="s">
        <v>7</v>
      </c>
    </row>
    <row r="7" ht="14.25" customHeight="1">
      <c r="A7" s="1" t="s">
        <v>2</v>
      </c>
      <c r="B7" s="1" t="s">
        <v>8</v>
      </c>
    </row>
    <row r="8" ht="14.25" customHeight="1">
      <c r="A8" s="1" t="s">
        <v>2</v>
      </c>
      <c r="B8" s="1" t="s">
        <v>9</v>
      </c>
    </row>
    <row r="9" ht="14.25" customHeight="1">
      <c r="A9" s="1" t="s">
        <v>2</v>
      </c>
      <c r="B9" s="1" t="s">
        <v>10</v>
      </c>
    </row>
    <row r="10" ht="14.25" customHeight="1">
      <c r="A10" s="1" t="s">
        <v>2</v>
      </c>
      <c r="B10" s="1" t="s">
        <v>11</v>
      </c>
    </row>
    <row r="11" ht="14.25" customHeight="1">
      <c r="A11" s="1" t="s">
        <v>2</v>
      </c>
      <c r="B11" s="1" t="s">
        <v>12</v>
      </c>
    </row>
    <row r="12" ht="14.25" customHeight="1">
      <c r="A12" s="1" t="s">
        <v>2</v>
      </c>
      <c r="B12" s="1" t="s">
        <v>13</v>
      </c>
    </row>
    <row r="13" ht="14.25" customHeight="1">
      <c r="A13" s="1" t="s">
        <v>2</v>
      </c>
      <c r="B13" s="1" t="s">
        <v>14</v>
      </c>
    </row>
    <row r="14" ht="14.25" customHeight="1">
      <c r="A14" s="1" t="s">
        <v>2</v>
      </c>
      <c r="B14" s="1" t="s">
        <v>15</v>
      </c>
    </row>
    <row r="15" ht="14.25" customHeight="1">
      <c r="A15" s="1" t="s">
        <v>2</v>
      </c>
      <c r="B15" s="1" t="s">
        <v>16</v>
      </c>
    </row>
    <row r="16" ht="14.25" customHeight="1">
      <c r="A16" s="1" t="s">
        <v>2</v>
      </c>
      <c r="B16" s="1" t="s">
        <v>17</v>
      </c>
    </row>
    <row r="17" ht="14.25" customHeight="1">
      <c r="A17" s="1" t="s">
        <v>2</v>
      </c>
      <c r="B17" s="1" t="s">
        <v>18</v>
      </c>
    </row>
    <row r="18" ht="14.25" customHeight="1">
      <c r="A18" s="1" t="s">
        <v>2</v>
      </c>
      <c r="B18" s="1" t="s">
        <v>19</v>
      </c>
    </row>
    <row r="19" ht="14.25" customHeight="1">
      <c r="A19" s="1" t="s">
        <v>2</v>
      </c>
      <c r="B19" s="1" t="s">
        <v>20</v>
      </c>
    </row>
    <row r="20" ht="14.25" customHeight="1">
      <c r="A20" s="1" t="s">
        <v>2</v>
      </c>
      <c r="B20" s="1" t="s">
        <v>21</v>
      </c>
    </row>
    <row r="21" ht="14.25" customHeight="1">
      <c r="A21" s="1" t="s">
        <v>2</v>
      </c>
      <c r="B21" s="1" t="s">
        <v>22</v>
      </c>
    </row>
    <row r="22" ht="14.25" customHeight="1">
      <c r="A22" s="1" t="s">
        <v>2</v>
      </c>
      <c r="B22" s="1" t="s">
        <v>23</v>
      </c>
    </row>
    <row r="23" ht="14.25" customHeight="1">
      <c r="A23" s="1" t="s">
        <v>2</v>
      </c>
      <c r="B23" s="1" t="s">
        <v>24</v>
      </c>
    </row>
    <row r="24" ht="14.25" customHeight="1">
      <c r="A24" s="1" t="s">
        <v>2</v>
      </c>
      <c r="B24" s="1" t="s">
        <v>25</v>
      </c>
    </row>
    <row r="25" ht="14.25" customHeight="1">
      <c r="A25" s="1" t="s">
        <v>2</v>
      </c>
      <c r="B25" s="1" t="s">
        <v>26</v>
      </c>
    </row>
    <row r="26" ht="14.25" customHeight="1">
      <c r="A26" s="1" t="s">
        <v>2</v>
      </c>
      <c r="B26" s="1" t="s">
        <v>27</v>
      </c>
    </row>
    <row r="27" ht="14.25" customHeight="1">
      <c r="A27" s="1" t="s">
        <v>2</v>
      </c>
      <c r="B27" s="1" t="s">
        <v>28</v>
      </c>
    </row>
    <row r="28" ht="14.25" customHeight="1">
      <c r="A28" s="1" t="s">
        <v>2</v>
      </c>
      <c r="B28" s="1" t="s">
        <v>29</v>
      </c>
    </row>
    <row r="29" ht="14.25" customHeight="1">
      <c r="A29" s="1" t="s">
        <v>2</v>
      </c>
      <c r="B29" s="1" t="s">
        <v>30</v>
      </c>
    </row>
    <row r="30" ht="14.25" customHeight="1">
      <c r="A30" s="1" t="s">
        <v>2</v>
      </c>
      <c r="B30" s="1" t="s">
        <v>31</v>
      </c>
    </row>
    <row r="31" ht="14.25" customHeight="1">
      <c r="A31" s="1" t="s">
        <v>2</v>
      </c>
      <c r="B31" s="1" t="s">
        <v>32</v>
      </c>
    </row>
    <row r="32" ht="14.25" customHeight="1">
      <c r="A32" s="1" t="s">
        <v>2</v>
      </c>
      <c r="B32" s="1" t="s">
        <v>33</v>
      </c>
    </row>
    <row r="33" ht="14.25" customHeight="1">
      <c r="A33" s="1" t="s">
        <v>2</v>
      </c>
      <c r="B33" s="1" t="s">
        <v>34</v>
      </c>
    </row>
    <row r="34" ht="14.25" customHeight="1">
      <c r="A34" s="1" t="s">
        <v>2</v>
      </c>
      <c r="B34" s="1" t="s">
        <v>35</v>
      </c>
    </row>
    <row r="35" ht="14.25" customHeight="1">
      <c r="A35" s="1" t="s">
        <v>2</v>
      </c>
      <c r="B35" s="1" t="s">
        <v>36</v>
      </c>
    </row>
    <row r="36" ht="14.25" customHeight="1">
      <c r="A36" s="1" t="s">
        <v>2</v>
      </c>
      <c r="B36" s="1" t="s">
        <v>37</v>
      </c>
    </row>
    <row r="37" ht="14.25" customHeight="1">
      <c r="A37" s="1" t="s">
        <v>2</v>
      </c>
      <c r="B37" s="1" t="s">
        <v>38</v>
      </c>
    </row>
    <row r="38" ht="14.25" customHeight="1">
      <c r="A38" s="1" t="s">
        <v>2</v>
      </c>
      <c r="B38" s="1" t="s">
        <v>39</v>
      </c>
    </row>
    <row r="39" ht="14.25" customHeight="1">
      <c r="A39" s="1" t="s">
        <v>2</v>
      </c>
      <c r="B39" s="1" t="s">
        <v>40</v>
      </c>
    </row>
    <row r="40" ht="14.25" customHeight="1">
      <c r="A40" s="1" t="s">
        <v>2</v>
      </c>
      <c r="B40" s="1" t="s">
        <v>41</v>
      </c>
    </row>
    <row r="41" ht="14.25" customHeight="1">
      <c r="A41" s="1" t="s">
        <v>2</v>
      </c>
      <c r="B41" s="1" t="s">
        <v>42</v>
      </c>
    </row>
    <row r="42" ht="14.25" customHeight="1">
      <c r="A42" s="1" t="s">
        <v>2</v>
      </c>
      <c r="B42" s="1" t="s">
        <v>43</v>
      </c>
    </row>
    <row r="43" ht="14.25" customHeight="1">
      <c r="A43" s="1" t="s">
        <v>2</v>
      </c>
      <c r="B43" s="1" t="s">
        <v>44</v>
      </c>
    </row>
    <row r="44" ht="14.25" customHeight="1">
      <c r="A44" s="1" t="s">
        <v>2</v>
      </c>
      <c r="B44" s="1" t="s">
        <v>45</v>
      </c>
    </row>
    <row r="45" ht="14.25" customHeight="1">
      <c r="A45" s="1" t="s">
        <v>2</v>
      </c>
      <c r="B45" s="1" t="s">
        <v>46</v>
      </c>
    </row>
    <row r="46" ht="14.25" customHeight="1">
      <c r="A46" s="1" t="s">
        <v>2</v>
      </c>
      <c r="B46" s="1" t="s">
        <v>47</v>
      </c>
    </row>
    <row r="47" ht="14.25" customHeight="1">
      <c r="A47" s="1" t="s">
        <v>2</v>
      </c>
      <c r="B47" s="1" t="s">
        <v>48</v>
      </c>
    </row>
    <row r="48" ht="14.25" customHeight="1">
      <c r="A48" s="1" t="s">
        <v>2</v>
      </c>
      <c r="B48" s="1" t="s">
        <v>49</v>
      </c>
    </row>
    <row r="49" ht="14.25" customHeight="1">
      <c r="A49" s="1" t="s">
        <v>2</v>
      </c>
      <c r="B49" s="1" t="s">
        <v>50</v>
      </c>
    </row>
    <row r="50" ht="14.25" customHeight="1">
      <c r="A50" s="1" t="s">
        <v>2</v>
      </c>
      <c r="B50" s="1" t="s">
        <v>51</v>
      </c>
    </row>
    <row r="51" ht="14.25" customHeight="1">
      <c r="A51" s="1" t="s">
        <v>2</v>
      </c>
      <c r="B51" s="1" t="s">
        <v>52</v>
      </c>
    </row>
    <row r="52" ht="14.25" customHeight="1">
      <c r="A52" s="1" t="s">
        <v>2</v>
      </c>
      <c r="B52" s="1" t="s">
        <v>53</v>
      </c>
    </row>
    <row r="53" ht="14.25" customHeight="1">
      <c r="A53" s="1" t="s">
        <v>2</v>
      </c>
      <c r="B53" s="1" t="s">
        <v>54</v>
      </c>
    </row>
    <row r="54" ht="14.25" customHeight="1">
      <c r="A54" s="1" t="s">
        <v>2</v>
      </c>
      <c r="B54" s="1" t="s">
        <v>55</v>
      </c>
    </row>
    <row r="55" ht="14.25" customHeight="1">
      <c r="A55" s="1" t="s">
        <v>2</v>
      </c>
      <c r="B55" s="1" t="s">
        <v>56</v>
      </c>
    </row>
    <row r="56" ht="14.25" customHeight="1">
      <c r="A56" s="1" t="s">
        <v>2</v>
      </c>
      <c r="B56" s="1" t="s">
        <v>57</v>
      </c>
    </row>
    <row r="57" ht="14.25" customHeight="1">
      <c r="A57" s="1" t="s">
        <v>2</v>
      </c>
      <c r="B57" s="1" t="s">
        <v>58</v>
      </c>
    </row>
    <row r="58" ht="14.25" customHeight="1">
      <c r="A58" s="1" t="s">
        <v>2</v>
      </c>
      <c r="B58" s="1" t="s">
        <v>59</v>
      </c>
    </row>
    <row r="59" ht="14.25" customHeight="1">
      <c r="A59" s="1" t="s">
        <v>2</v>
      </c>
      <c r="B59" s="1" t="s">
        <v>60</v>
      </c>
    </row>
    <row r="60" ht="14.25" customHeight="1">
      <c r="A60" s="1" t="s">
        <v>2</v>
      </c>
      <c r="B60" s="1" t="s">
        <v>61</v>
      </c>
    </row>
    <row r="61" ht="14.25" customHeight="1">
      <c r="A61" s="1" t="s">
        <v>2</v>
      </c>
      <c r="B61" s="1" t="s">
        <v>62</v>
      </c>
    </row>
    <row r="62" ht="14.25" customHeight="1">
      <c r="A62" s="1" t="s">
        <v>2</v>
      </c>
      <c r="B62" s="1" t="s">
        <v>63</v>
      </c>
    </row>
    <row r="63" ht="14.25" customHeight="1">
      <c r="A63" s="1" t="s">
        <v>2</v>
      </c>
      <c r="B63" s="1" t="s">
        <v>64</v>
      </c>
    </row>
    <row r="64" ht="14.25" customHeight="1">
      <c r="A64" s="1" t="s">
        <v>2</v>
      </c>
      <c r="B64" s="1" t="s">
        <v>65</v>
      </c>
    </row>
    <row r="65" ht="14.25" customHeight="1">
      <c r="A65" s="1" t="s">
        <v>2</v>
      </c>
      <c r="B65" s="1" t="s">
        <v>66</v>
      </c>
    </row>
    <row r="66" ht="14.25" customHeight="1">
      <c r="A66" s="1" t="s">
        <v>2</v>
      </c>
      <c r="B66" s="1" t="s">
        <v>67</v>
      </c>
    </row>
    <row r="67" ht="14.25" customHeight="1">
      <c r="A67" s="1" t="s">
        <v>2</v>
      </c>
      <c r="B67" s="1" t="s">
        <v>68</v>
      </c>
    </row>
    <row r="68" ht="14.25" customHeight="1">
      <c r="A68" s="1" t="s">
        <v>2</v>
      </c>
      <c r="B68" s="1" t="s">
        <v>69</v>
      </c>
    </row>
    <row r="69" ht="14.25" customHeight="1">
      <c r="A69" s="1" t="s">
        <v>2</v>
      </c>
      <c r="B69" s="1" t="s">
        <v>70</v>
      </c>
    </row>
    <row r="70" ht="14.25" customHeight="1">
      <c r="A70" s="1" t="s">
        <v>2</v>
      </c>
      <c r="B70" s="1" t="s">
        <v>71</v>
      </c>
    </row>
    <row r="71" ht="14.25" customHeight="1">
      <c r="A71" s="1" t="s">
        <v>2</v>
      </c>
      <c r="B71" s="1" t="s">
        <v>72</v>
      </c>
    </row>
    <row r="72" ht="14.25" customHeight="1">
      <c r="A72" s="1" t="s">
        <v>2</v>
      </c>
      <c r="B72" s="1" t="s">
        <v>73</v>
      </c>
    </row>
    <row r="73" ht="14.25" customHeight="1">
      <c r="A73" s="1" t="s">
        <v>2</v>
      </c>
      <c r="B73" s="1" t="s">
        <v>74</v>
      </c>
    </row>
    <row r="74" ht="14.25" customHeight="1">
      <c r="A74" s="1" t="s">
        <v>2</v>
      </c>
      <c r="B74" s="1" t="s">
        <v>75</v>
      </c>
    </row>
    <row r="75" ht="14.25" customHeight="1">
      <c r="A75" s="1" t="s">
        <v>2</v>
      </c>
      <c r="B75" s="1" t="s">
        <v>76</v>
      </c>
    </row>
    <row r="76" ht="14.25" customHeight="1">
      <c r="A76" s="1" t="s">
        <v>2</v>
      </c>
      <c r="B76" s="1" t="s">
        <v>77</v>
      </c>
    </row>
    <row r="77" ht="14.25" customHeight="1">
      <c r="A77" s="1" t="s">
        <v>2</v>
      </c>
      <c r="B77" s="1" t="s">
        <v>78</v>
      </c>
    </row>
    <row r="78" ht="14.25" customHeight="1">
      <c r="A78" s="1" t="s">
        <v>2</v>
      </c>
      <c r="B78" s="1" t="s">
        <v>79</v>
      </c>
    </row>
    <row r="79" ht="14.25" customHeight="1">
      <c r="A79" s="1" t="s">
        <v>2</v>
      </c>
      <c r="B79" s="1" t="s">
        <v>80</v>
      </c>
    </row>
    <row r="80" ht="14.25" customHeight="1">
      <c r="A80" s="1" t="s">
        <v>2</v>
      </c>
      <c r="B80" s="1" t="s">
        <v>81</v>
      </c>
    </row>
    <row r="81" ht="14.25" customHeight="1">
      <c r="A81" s="1" t="s">
        <v>2</v>
      </c>
      <c r="B81" s="1" t="s">
        <v>82</v>
      </c>
    </row>
    <row r="82" ht="14.25" customHeight="1">
      <c r="A82" s="1" t="s">
        <v>2</v>
      </c>
      <c r="B82" s="1" t="s">
        <v>83</v>
      </c>
    </row>
    <row r="83" ht="14.25" customHeight="1">
      <c r="A83" s="1" t="s">
        <v>2</v>
      </c>
      <c r="B83" s="1" t="s">
        <v>84</v>
      </c>
    </row>
    <row r="84" ht="14.25" customHeight="1">
      <c r="A84" s="1" t="s">
        <v>2</v>
      </c>
      <c r="B84" s="1" t="s">
        <v>85</v>
      </c>
    </row>
    <row r="85" ht="14.25" customHeight="1">
      <c r="A85" s="1" t="s">
        <v>2</v>
      </c>
      <c r="B85" s="1" t="s">
        <v>86</v>
      </c>
    </row>
    <row r="86" ht="14.25" customHeight="1">
      <c r="A86" s="1" t="s">
        <v>2</v>
      </c>
      <c r="B86" s="1" t="s">
        <v>87</v>
      </c>
    </row>
    <row r="87" ht="14.25" customHeight="1">
      <c r="A87" s="1" t="s">
        <v>2</v>
      </c>
      <c r="B87" s="1" t="s">
        <v>88</v>
      </c>
    </row>
    <row r="88" ht="14.25" customHeight="1">
      <c r="A88" s="1" t="s">
        <v>2</v>
      </c>
      <c r="B88" s="1" t="s">
        <v>89</v>
      </c>
    </row>
    <row r="89" ht="14.25" customHeight="1">
      <c r="A89" s="1" t="s">
        <v>2</v>
      </c>
      <c r="B89" s="1" t="s">
        <v>90</v>
      </c>
    </row>
    <row r="90" ht="14.25" customHeight="1">
      <c r="A90" s="1" t="s">
        <v>2</v>
      </c>
      <c r="B90" s="1" t="s">
        <v>91</v>
      </c>
    </row>
    <row r="91" ht="14.25" customHeight="1">
      <c r="A91" s="1" t="s">
        <v>2</v>
      </c>
      <c r="B91" s="1" t="s">
        <v>92</v>
      </c>
    </row>
    <row r="92" ht="14.25" customHeight="1">
      <c r="A92" s="1" t="s">
        <v>2</v>
      </c>
      <c r="B92" s="1" t="s">
        <v>93</v>
      </c>
    </row>
    <row r="93" ht="14.25" customHeight="1">
      <c r="A93" s="1" t="s">
        <v>2</v>
      </c>
      <c r="B93" s="1" t="s">
        <v>94</v>
      </c>
    </row>
    <row r="94" ht="14.25" customHeight="1">
      <c r="A94" s="1" t="s">
        <v>2</v>
      </c>
      <c r="B94" s="1" t="s">
        <v>95</v>
      </c>
    </row>
    <row r="95" ht="14.25" customHeight="1">
      <c r="A95" s="1" t="s">
        <v>2</v>
      </c>
      <c r="B95" s="1" t="s">
        <v>96</v>
      </c>
    </row>
    <row r="96" ht="14.25" customHeight="1">
      <c r="A96" s="1" t="s">
        <v>2</v>
      </c>
      <c r="B96" s="1" t="s">
        <v>97</v>
      </c>
    </row>
    <row r="97" ht="14.25" customHeight="1">
      <c r="A97" s="1" t="s">
        <v>2</v>
      </c>
      <c r="B97" s="1" t="s">
        <v>98</v>
      </c>
    </row>
    <row r="98" ht="14.25" customHeight="1">
      <c r="A98" s="1" t="s">
        <v>2</v>
      </c>
      <c r="B98" s="1" t="s">
        <v>99</v>
      </c>
    </row>
    <row r="99" ht="14.25" customHeight="1">
      <c r="A99" s="1" t="s">
        <v>2</v>
      </c>
      <c r="B99" s="1" t="s">
        <v>100</v>
      </c>
    </row>
    <row r="100" ht="14.25" customHeight="1">
      <c r="A100" s="1" t="s">
        <v>2</v>
      </c>
      <c r="B100" s="1" t="s">
        <v>101</v>
      </c>
    </row>
    <row r="101" ht="14.25" customHeight="1">
      <c r="A101" s="1" t="s">
        <v>2</v>
      </c>
      <c r="B101" s="1" t="s">
        <v>102</v>
      </c>
    </row>
    <row r="102" ht="14.25" customHeight="1">
      <c r="A102" s="1" t="s">
        <v>2</v>
      </c>
      <c r="B102" s="1" t="s">
        <v>103</v>
      </c>
    </row>
    <row r="103" ht="14.25" customHeight="1">
      <c r="A103" s="1" t="s">
        <v>2</v>
      </c>
      <c r="B103" s="1" t="s">
        <v>104</v>
      </c>
    </row>
    <row r="104" ht="14.25" customHeight="1">
      <c r="A104" s="1" t="s">
        <v>2</v>
      </c>
      <c r="B104" s="1" t="s">
        <v>105</v>
      </c>
    </row>
    <row r="105" ht="14.25" customHeight="1">
      <c r="A105" s="1" t="s">
        <v>2</v>
      </c>
      <c r="B105" s="1" t="s">
        <v>106</v>
      </c>
    </row>
    <row r="106" ht="14.25" customHeight="1">
      <c r="A106" s="1" t="s">
        <v>2</v>
      </c>
      <c r="B106" s="1" t="s">
        <v>107</v>
      </c>
    </row>
    <row r="107" ht="14.25" customHeight="1">
      <c r="A107" s="1" t="s">
        <v>2</v>
      </c>
      <c r="B107" s="1" t="s">
        <v>108</v>
      </c>
    </row>
    <row r="108" ht="14.25" customHeight="1">
      <c r="A108" s="1" t="s">
        <v>2</v>
      </c>
      <c r="B108" s="1" t="s">
        <v>109</v>
      </c>
    </row>
    <row r="109" ht="14.25" customHeight="1">
      <c r="A109" s="1" t="s">
        <v>2</v>
      </c>
      <c r="B109" s="1" t="s">
        <v>110</v>
      </c>
    </row>
    <row r="110" ht="14.25" customHeight="1">
      <c r="A110" s="1" t="s">
        <v>2</v>
      </c>
      <c r="B110" s="1" t="s">
        <v>111</v>
      </c>
    </row>
    <row r="111" ht="14.25" customHeight="1">
      <c r="A111" s="1" t="s">
        <v>2</v>
      </c>
      <c r="B111" s="1" t="s">
        <v>112</v>
      </c>
    </row>
    <row r="112" ht="14.25" customHeight="1">
      <c r="A112" s="1" t="s">
        <v>2</v>
      </c>
      <c r="B112" s="1" t="s">
        <v>113</v>
      </c>
    </row>
    <row r="113" ht="14.25" customHeight="1">
      <c r="A113" s="1" t="s">
        <v>2</v>
      </c>
      <c r="B113" s="1" t="s">
        <v>114</v>
      </c>
    </row>
    <row r="114" ht="14.25" customHeight="1">
      <c r="A114" s="1" t="s">
        <v>2</v>
      </c>
      <c r="B114" s="1" t="s">
        <v>115</v>
      </c>
    </row>
    <row r="115" ht="14.25" customHeight="1">
      <c r="A115" s="1" t="s">
        <v>2</v>
      </c>
      <c r="B115" s="1" t="s">
        <v>116</v>
      </c>
    </row>
    <row r="116" ht="14.25" customHeight="1">
      <c r="A116" s="1" t="s">
        <v>2</v>
      </c>
      <c r="B116" s="1" t="s">
        <v>117</v>
      </c>
    </row>
    <row r="117" ht="14.25" customHeight="1">
      <c r="A117" s="1" t="s">
        <v>2</v>
      </c>
      <c r="B117" s="1" t="s">
        <v>118</v>
      </c>
    </row>
    <row r="118" ht="14.25" customHeight="1">
      <c r="A118" s="1" t="s">
        <v>2</v>
      </c>
      <c r="B118" s="1" t="s">
        <v>119</v>
      </c>
    </row>
    <row r="119" ht="14.25" customHeight="1">
      <c r="A119" s="1" t="s">
        <v>2</v>
      </c>
      <c r="B119" s="1" t="s">
        <v>120</v>
      </c>
    </row>
    <row r="120" ht="14.25" customHeight="1">
      <c r="A120" s="1" t="s">
        <v>2</v>
      </c>
      <c r="B120" s="1" t="s">
        <v>121</v>
      </c>
    </row>
    <row r="121" ht="14.25" customHeight="1">
      <c r="A121" s="1" t="s">
        <v>2</v>
      </c>
      <c r="B121" s="1" t="s">
        <v>122</v>
      </c>
    </row>
    <row r="122" ht="14.25" customHeight="1">
      <c r="A122" s="1" t="s">
        <v>2</v>
      </c>
      <c r="B122" s="1" t="s">
        <v>123</v>
      </c>
    </row>
    <row r="123" ht="14.25" customHeight="1">
      <c r="A123" s="1" t="s">
        <v>2</v>
      </c>
      <c r="B123" s="1" t="s">
        <v>124</v>
      </c>
    </row>
    <row r="124" ht="14.25" customHeight="1">
      <c r="A124" s="1" t="s">
        <v>2</v>
      </c>
      <c r="B124" s="1" t="s">
        <v>125</v>
      </c>
    </row>
    <row r="125" ht="14.25" customHeight="1">
      <c r="A125" s="1" t="s">
        <v>2</v>
      </c>
      <c r="B125" s="1" t="s">
        <v>126</v>
      </c>
    </row>
    <row r="126" ht="14.25" customHeight="1">
      <c r="A126" s="1" t="s">
        <v>2</v>
      </c>
      <c r="B126" s="1" t="s">
        <v>127</v>
      </c>
    </row>
    <row r="127" ht="14.25" customHeight="1">
      <c r="A127" s="1" t="s">
        <v>2</v>
      </c>
      <c r="B127" s="1" t="s">
        <v>128</v>
      </c>
    </row>
    <row r="128" ht="14.25" customHeight="1">
      <c r="A128" s="1" t="s">
        <v>2</v>
      </c>
      <c r="B128" s="1" t="s">
        <v>129</v>
      </c>
    </row>
    <row r="129" ht="14.25" customHeight="1">
      <c r="A129" s="1" t="s">
        <v>2</v>
      </c>
      <c r="B129" s="1" t="s">
        <v>130</v>
      </c>
    </row>
    <row r="130" ht="14.25" customHeight="1">
      <c r="A130" s="1" t="s">
        <v>2</v>
      </c>
      <c r="B130" s="1" t="s">
        <v>131</v>
      </c>
    </row>
    <row r="131" ht="14.25" customHeight="1">
      <c r="A131" s="1" t="s">
        <v>2</v>
      </c>
      <c r="B131" s="1" t="s">
        <v>132</v>
      </c>
    </row>
    <row r="132" ht="14.25" customHeight="1">
      <c r="A132" s="1" t="s">
        <v>2</v>
      </c>
      <c r="B132" s="1" t="s">
        <v>133</v>
      </c>
    </row>
    <row r="133" ht="14.25" customHeight="1">
      <c r="A133" s="1" t="s">
        <v>2</v>
      </c>
      <c r="B133" s="1" t="s">
        <v>134</v>
      </c>
    </row>
    <row r="134" ht="14.25" customHeight="1">
      <c r="A134" s="1" t="s">
        <v>2</v>
      </c>
      <c r="B134" s="1" t="s">
        <v>135</v>
      </c>
    </row>
    <row r="135" ht="14.25" customHeight="1">
      <c r="A135" s="1" t="s">
        <v>2</v>
      </c>
      <c r="B135" s="1" t="s">
        <v>136</v>
      </c>
    </row>
    <row r="136" ht="14.25" customHeight="1">
      <c r="A136" s="1" t="s">
        <v>2</v>
      </c>
      <c r="B136" s="1" t="s">
        <v>137</v>
      </c>
    </row>
    <row r="137" ht="14.25" customHeight="1">
      <c r="A137" s="1" t="s">
        <v>2</v>
      </c>
      <c r="B137" s="1" t="s">
        <v>138</v>
      </c>
    </row>
    <row r="138" ht="14.25" customHeight="1">
      <c r="A138" s="1" t="s">
        <v>2</v>
      </c>
      <c r="B138" s="1" t="s">
        <v>139</v>
      </c>
    </row>
    <row r="139" ht="14.25" customHeight="1">
      <c r="A139" s="1" t="s">
        <v>2</v>
      </c>
      <c r="B139" s="1" t="s">
        <v>140</v>
      </c>
    </row>
    <row r="140" ht="14.25" customHeight="1">
      <c r="A140" s="1" t="s">
        <v>2</v>
      </c>
      <c r="B140" s="1" t="s">
        <v>141</v>
      </c>
    </row>
    <row r="141" ht="14.25" customHeight="1">
      <c r="A141" s="1" t="s">
        <v>2</v>
      </c>
      <c r="B141" s="1" t="s">
        <v>142</v>
      </c>
    </row>
    <row r="142" ht="14.25" customHeight="1">
      <c r="A142" s="1" t="s">
        <v>2</v>
      </c>
      <c r="B142" s="1" t="s">
        <v>143</v>
      </c>
    </row>
    <row r="143" ht="14.25" customHeight="1">
      <c r="A143" s="1" t="s">
        <v>2</v>
      </c>
      <c r="B143" s="1" t="s">
        <v>144</v>
      </c>
    </row>
    <row r="144" ht="14.25" customHeight="1">
      <c r="A144" s="1" t="s">
        <v>2</v>
      </c>
      <c r="B144" s="1" t="s">
        <v>145</v>
      </c>
    </row>
    <row r="145" ht="14.25" customHeight="1">
      <c r="A145" s="1" t="s">
        <v>2</v>
      </c>
      <c r="B145" s="1" t="s">
        <v>146</v>
      </c>
    </row>
    <row r="146" ht="14.25" customHeight="1">
      <c r="A146" s="1" t="s">
        <v>2</v>
      </c>
      <c r="B146" s="1" t="s">
        <v>147</v>
      </c>
    </row>
    <row r="147" ht="14.25" customHeight="1">
      <c r="A147" s="1" t="s">
        <v>2</v>
      </c>
      <c r="B147" s="1" t="s">
        <v>148</v>
      </c>
    </row>
    <row r="148" ht="14.25" customHeight="1">
      <c r="A148" s="1" t="s">
        <v>2</v>
      </c>
      <c r="B148" s="1" t="s">
        <v>149</v>
      </c>
    </row>
    <row r="149" ht="14.25" customHeight="1">
      <c r="A149" s="1" t="s">
        <v>2</v>
      </c>
      <c r="B149" s="1" t="s">
        <v>150</v>
      </c>
    </row>
    <row r="150" ht="14.25" customHeight="1">
      <c r="A150" s="1" t="s">
        <v>2</v>
      </c>
      <c r="B150" s="1" t="s">
        <v>151</v>
      </c>
    </row>
    <row r="151" ht="14.25" customHeight="1">
      <c r="A151" s="1" t="s">
        <v>2</v>
      </c>
      <c r="B151" s="1" t="s">
        <v>152</v>
      </c>
    </row>
    <row r="152" ht="14.25" customHeight="1">
      <c r="A152" s="1" t="s">
        <v>2</v>
      </c>
      <c r="B152" s="1" t="s">
        <v>153</v>
      </c>
    </row>
    <row r="153" ht="14.25" customHeight="1">
      <c r="A153" s="1" t="s">
        <v>2</v>
      </c>
      <c r="B153" s="1" t="s">
        <v>154</v>
      </c>
    </row>
    <row r="154" ht="14.25" customHeight="1">
      <c r="A154" s="1" t="s">
        <v>2</v>
      </c>
      <c r="B154" s="1" t="s">
        <v>155</v>
      </c>
    </row>
    <row r="155" ht="14.25" customHeight="1">
      <c r="A155" s="1" t="s">
        <v>2</v>
      </c>
      <c r="B155" s="1" t="s">
        <v>156</v>
      </c>
    </row>
    <row r="156" ht="14.25" customHeight="1">
      <c r="A156" s="1" t="s">
        <v>2</v>
      </c>
      <c r="B156" s="1" t="s">
        <v>157</v>
      </c>
    </row>
    <row r="157" ht="14.25" customHeight="1">
      <c r="A157" s="1" t="s">
        <v>2</v>
      </c>
      <c r="B157" s="1" t="s">
        <v>158</v>
      </c>
    </row>
    <row r="158" ht="14.25" customHeight="1">
      <c r="A158" s="1" t="s">
        <v>2</v>
      </c>
      <c r="B158" s="1" t="s">
        <v>159</v>
      </c>
    </row>
    <row r="159" ht="14.25" customHeight="1">
      <c r="A159" s="1" t="s">
        <v>2</v>
      </c>
      <c r="B159" s="1" t="s">
        <v>160</v>
      </c>
    </row>
    <row r="160" ht="14.25" customHeight="1">
      <c r="A160" s="1" t="s">
        <v>2</v>
      </c>
      <c r="B160" s="1" t="s">
        <v>161</v>
      </c>
    </row>
    <row r="161" ht="14.25" customHeight="1">
      <c r="A161" s="1" t="s">
        <v>2</v>
      </c>
      <c r="B161" s="1" t="s">
        <v>162</v>
      </c>
    </row>
    <row r="162" ht="14.25" customHeight="1">
      <c r="A162" s="1" t="s">
        <v>2</v>
      </c>
      <c r="B162" s="1" t="s">
        <v>163</v>
      </c>
    </row>
    <row r="163" ht="14.25" customHeight="1">
      <c r="A163" s="1" t="s">
        <v>2</v>
      </c>
      <c r="B163" s="1" t="s">
        <v>164</v>
      </c>
    </row>
    <row r="164" ht="14.25" customHeight="1">
      <c r="A164" s="1" t="s">
        <v>2</v>
      </c>
      <c r="B164" s="1" t="s">
        <v>165</v>
      </c>
    </row>
    <row r="165" ht="14.25" customHeight="1">
      <c r="A165" s="1" t="s">
        <v>2</v>
      </c>
      <c r="B165" s="1" t="s">
        <v>166</v>
      </c>
    </row>
    <row r="166" ht="14.25" customHeight="1">
      <c r="A166" s="1" t="s">
        <v>2</v>
      </c>
      <c r="B166" s="1" t="s">
        <v>167</v>
      </c>
    </row>
    <row r="167" ht="14.25" customHeight="1">
      <c r="A167" s="1" t="s">
        <v>2</v>
      </c>
      <c r="B167" s="1" t="s">
        <v>168</v>
      </c>
    </row>
    <row r="168" ht="14.25" customHeight="1">
      <c r="A168" s="1" t="s">
        <v>2</v>
      </c>
      <c r="B168" s="1" t="s">
        <v>169</v>
      </c>
    </row>
    <row r="169" ht="14.25" customHeight="1">
      <c r="A169" s="1" t="s">
        <v>2</v>
      </c>
      <c r="B169" s="1" t="s">
        <v>170</v>
      </c>
    </row>
    <row r="170" ht="14.25" customHeight="1">
      <c r="A170" s="1" t="s">
        <v>2</v>
      </c>
      <c r="B170" s="1" t="s">
        <v>171</v>
      </c>
    </row>
    <row r="171" ht="14.25" customHeight="1">
      <c r="A171" s="1" t="s">
        <v>2</v>
      </c>
      <c r="B171" s="1" t="s">
        <v>172</v>
      </c>
    </row>
    <row r="172" ht="14.25" customHeight="1">
      <c r="A172" s="1" t="s">
        <v>2</v>
      </c>
      <c r="B172" s="1" t="s">
        <v>173</v>
      </c>
    </row>
    <row r="173" ht="14.25" customHeight="1">
      <c r="A173" s="1" t="s">
        <v>2</v>
      </c>
      <c r="B173" s="1" t="s">
        <v>174</v>
      </c>
    </row>
    <row r="174" ht="14.25" customHeight="1">
      <c r="A174" s="1" t="s">
        <v>2</v>
      </c>
      <c r="B174" s="1" t="s">
        <v>175</v>
      </c>
    </row>
    <row r="175" ht="14.25" customHeight="1">
      <c r="A175" s="1" t="s">
        <v>2</v>
      </c>
      <c r="B175" s="1" t="s">
        <v>176</v>
      </c>
    </row>
    <row r="176" ht="14.25" customHeight="1">
      <c r="A176" s="1" t="s">
        <v>2</v>
      </c>
      <c r="B176" s="1" t="s">
        <v>177</v>
      </c>
    </row>
    <row r="177" ht="14.25" customHeight="1">
      <c r="A177" s="1" t="s">
        <v>2</v>
      </c>
      <c r="B177" s="1" t="s">
        <v>178</v>
      </c>
    </row>
    <row r="178" ht="14.25" customHeight="1">
      <c r="A178" s="1" t="s">
        <v>2</v>
      </c>
      <c r="B178" s="1" t="s">
        <v>179</v>
      </c>
    </row>
    <row r="179" ht="14.25" customHeight="1">
      <c r="A179" s="1" t="s">
        <v>2</v>
      </c>
      <c r="B179" s="1" t="s">
        <v>180</v>
      </c>
    </row>
    <row r="180" ht="14.25" customHeight="1">
      <c r="A180" s="1" t="s">
        <v>2</v>
      </c>
      <c r="B180" s="1" t="s">
        <v>181</v>
      </c>
    </row>
    <row r="181" ht="14.25" customHeight="1">
      <c r="A181" s="1" t="s">
        <v>2</v>
      </c>
      <c r="B181" s="1" t="s">
        <v>182</v>
      </c>
    </row>
    <row r="182" ht="14.25" customHeight="1">
      <c r="A182" s="1" t="s">
        <v>2</v>
      </c>
      <c r="B182" s="1" t="s">
        <v>183</v>
      </c>
    </row>
    <row r="183" ht="14.25" customHeight="1">
      <c r="A183" s="1" t="s">
        <v>2</v>
      </c>
      <c r="B183" s="1" t="s">
        <v>184</v>
      </c>
    </row>
    <row r="184" ht="14.25" customHeight="1">
      <c r="A184" s="1" t="s">
        <v>2</v>
      </c>
      <c r="B184" s="1" t="s">
        <v>185</v>
      </c>
    </row>
    <row r="185" ht="14.25" customHeight="1">
      <c r="A185" s="1" t="s">
        <v>2</v>
      </c>
      <c r="B185" s="1" t="s">
        <v>186</v>
      </c>
    </row>
    <row r="186" ht="14.25" customHeight="1">
      <c r="A186" s="1" t="s">
        <v>2</v>
      </c>
      <c r="B186" s="1" t="s">
        <v>187</v>
      </c>
    </row>
    <row r="187" ht="14.25" customHeight="1">
      <c r="A187" s="1" t="s">
        <v>2</v>
      </c>
      <c r="B187" s="1" t="s">
        <v>188</v>
      </c>
    </row>
    <row r="188" ht="14.25" customHeight="1">
      <c r="A188" s="1" t="s">
        <v>2</v>
      </c>
      <c r="B188" s="1" t="s">
        <v>189</v>
      </c>
    </row>
    <row r="189" ht="14.25" customHeight="1">
      <c r="A189" s="1" t="s">
        <v>2</v>
      </c>
      <c r="B189" s="1" t="s">
        <v>190</v>
      </c>
    </row>
    <row r="190" ht="14.25" customHeight="1">
      <c r="A190" s="1" t="s">
        <v>2</v>
      </c>
      <c r="B190" s="1" t="s">
        <v>191</v>
      </c>
    </row>
    <row r="191" ht="14.25" customHeight="1">
      <c r="A191" s="1" t="s">
        <v>2</v>
      </c>
      <c r="B191" s="1" t="s">
        <v>192</v>
      </c>
    </row>
    <row r="192" ht="14.25" customHeight="1">
      <c r="A192" s="1" t="s">
        <v>2</v>
      </c>
      <c r="B192" s="1" t="s">
        <v>193</v>
      </c>
    </row>
    <row r="193" ht="14.25" customHeight="1">
      <c r="A193" s="1" t="s">
        <v>2</v>
      </c>
      <c r="B193" s="1" t="s">
        <v>194</v>
      </c>
    </row>
    <row r="194" ht="14.25" customHeight="1">
      <c r="A194" s="1" t="s">
        <v>2</v>
      </c>
      <c r="B194" s="1" t="s">
        <v>195</v>
      </c>
    </row>
    <row r="195" ht="14.25" customHeight="1">
      <c r="A195" s="1" t="s">
        <v>2</v>
      </c>
      <c r="B195" s="1" t="s">
        <v>196</v>
      </c>
    </row>
    <row r="196" ht="14.25" customHeight="1">
      <c r="A196" s="1" t="s">
        <v>2</v>
      </c>
      <c r="B196" s="1" t="s">
        <v>197</v>
      </c>
    </row>
    <row r="197" ht="14.25" customHeight="1">
      <c r="A197" s="1" t="s">
        <v>2</v>
      </c>
      <c r="B197" s="1" t="s">
        <v>198</v>
      </c>
    </row>
    <row r="198" ht="14.25" customHeight="1">
      <c r="A198" s="1" t="s">
        <v>2</v>
      </c>
      <c r="B198" s="1" t="s">
        <v>199</v>
      </c>
    </row>
    <row r="199" ht="14.25" customHeight="1">
      <c r="A199" s="1" t="s">
        <v>2</v>
      </c>
      <c r="B199" s="1" t="s">
        <v>200</v>
      </c>
    </row>
    <row r="200" ht="14.25" customHeight="1">
      <c r="A200" s="1" t="s">
        <v>2</v>
      </c>
      <c r="B200" s="1" t="s">
        <v>201</v>
      </c>
    </row>
    <row r="201" ht="14.25" customHeight="1">
      <c r="A201" s="1" t="s">
        <v>2</v>
      </c>
      <c r="B201" s="1" t="s">
        <v>202</v>
      </c>
    </row>
    <row r="202" ht="14.25" customHeight="1">
      <c r="A202" s="1" t="s">
        <v>2</v>
      </c>
      <c r="B202" s="1" t="s">
        <v>203</v>
      </c>
    </row>
    <row r="203" ht="14.25" customHeight="1">
      <c r="A203" s="1" t="s">
        <v>2</v>
      </c>
      <c r="B203" s="1" t="s">
        <v>204</v>
      </c>
    </row>
    <row r="204" ht="14.25" customHeight="1">
      <c r="A204" s="1" t="s">
        <v>2</v>
      </c>
      <c r="B204" s="1" t="s">
        <v>205</v>
      </c>
    </row>
    <row r="205" ht="14.25" customHeight="1">
      <c r="A205" s="1" t="s">
        <v>2</v>
      </c>
      <c r="B205" s="1" t="s">
        <v>206</v>
      </c>
    </row>
    <row r="206" ht="14.25" customHeight="1">
      <c r="A206" s="1" t="s">
        <v>2</v>
      </c>
      <c r="B206" s="1" t="s">
        <v>207</v>
      </c>
    </row>
    <row r="207" ht="14.25" customHeight="1">
      <c r="A207" s="1" t="s">
        <v>2</v>
      </c>
      <c r="B207" s="1" t="s">
        <v>208</v>
      </c>
    </row>
    <row r="208" ht="14.25" customHeight="1">
      <c r="A208" s="1" t="s">
        <v>2</v>
      </c>
      <c r="B208" s="1" t="s">
        <v>209</v>
      </c>
    </row>
    <row r="209" ht="14.25" customHeight="1">
      <c r="A209" s="1" t="s">
        <v>2</v>
      </c>
      <c r="B209" s="1" t="s">
        <v>210</v>
      </c>
    </row>
    <row r="210" ht="14.25" customHeight="1">
      <c r="A210" s="1" t="s">
        <v>2</v>
      </c>
      <c r="B210" s="1" t="s">
        <v>211</v>
      </c>
    </row>
    <row r="211" ht="14.25" customHeight="1">
      <c r="A211" s="1" t="s">
        <v>2</v>
      </c>
      <c r="B211" s="1" t="s">
        <v>212</v>
      </c>
    </row>
    <row r="212" ht="14.25" customHeight="1">
      <c r="A212" s="1" t="s">
        <v>2</v>
      </c>
      <c r="B212" s="1" t="s">
        <v>213</v>
      </c>
    </row>
    <row r="213" ht="14.25" customHeight="1">
      <c r="A213" s="1" t="s">
        <v>2</v>
      </c>
      <c r="B213" s="1" t="s">
        <v>214</v>
      </c>
    </row>
    <row r="214" ht="14.25" customHeight="1">
      <c r="A214" s="1" t="s">
        <v>2</v>
      </c>
      <c r="B214" s="1" t="s">
        <v>215</v>
      </c>
    </row>
    <row r="215" ht="14.25" customHeight="1">
      <c r="A215" s="1" t="s">
        <v>2</v>
      </c>
      <c r="B215" s="1" t="s">
        <v>216</v>
      </c>
    </row>
    <row r="216" ht="14.25" customHeight="1">
      <c r="A216" s="1" t="s">
        <v>2</v>
      </c>
      <c r="B216" s="1" t="s">
        <v>217</v>
      </c>
    </row>
    <row r="217" ht="14.25" customHeight="1">
      <c r="A217" s="1" t="s">
        <v>2</v>
      </c>
      <c r="B217" s="1" t="s">
        <v>218</v>
      </c>
    </row>
    <row r="218" ht="14.25" customHeight="1">
      <c r="A218" s="1" t="s">
        <v>2</v>
      </c>
      <c r="B218" s="1" t="s">
        <v>219</v>
      </c>
    </row>
    <row r="219" ht="14.25" customHeight="1">
      <c r="A219" s="1" t="s">
        <v>2</v>
      </c>
      <c r="B219" s="1" t="s">
        <v>220</v>
      </c>
    </row>
    <row r="220" ht="14.25" customHeight="1">
      <c r="A220" s="1" t="s">
        <v>2</v>
      </c>
      <c r="B220" s="1" t="s">
        <v>221</v>
      </c>
    </row>
    <row r="221" ht="14.25" customHeight="1">
      <c r="A221" s="1" t="s">
        <v>2</v>
      </c>
      <c r="B221" s="1" t="s">
        <v>222</v>
      </c>
    </row>
    <row r="222" ht="14.25" customHeight="1">
      <c r="A222" s="1" t="s">
        <v>2</v>
      </c>
      <c r="B222" s="1" t="s">
        <v>223</v>
      </c>
    </row>
    <row r="223" ht="14.25" customHeight="1">
      <c r="A223" s="1" t="s">
        <v>2</v>
      </c>
      <c r="B223" s="1" t="s">
        <v>224</v>
      </c>
    </row>
    <row r="224" ht="14.25" customHeight="1">
      <c r="A224" s="1" t="s">
        <v>2</v>
      </c>
      <c r="B224" s="1" t="s">
        <v>225</v>
      </c>
    </row>
    <row r="225" ht="14.25" customHeight="1">
      <c r="A225" s="1" t="s">
        <v>2</v>
      </c>
      <c r="B225" s="1" t="s">
        <v>226</v>
      </c>
    </row>
    <row r="226" ht="14.25" customHeight="1">
      <c r="A226" s="1" t="s">
        <v>2</v>
      </c>
      <c r="B226" s="1" t="s">
        <v>227</v>
      </c>
    </row>
    <row r="227" ht="14.25" customHeight="1">
      <c r="A227" s="1" t="s">
        <v>2</v>
      </c>
      <c r="B227" s="1" t="s">
        <v>228</v>
      </c>
    </row>
    <row r="228" ht="14.25" customHeight="1">
      <c r="A228" s="1" t="s">
        <v>2</v>
      </c>
      <c r="B228" s="1" t="s">
        <v>229</v>
      </c>
    </row>
    <row r="229" ht="14.25" customHeight="1">
      <c r="A229" s="1" t="s">
        <v>2</v>
      </c>
      <c r="B229" s="1" t="s">
        <v>230</v>
      </c>
    </row>
    <row r="230" ht="14.25" customHeight="1">
      <c r="A230" s="1" t="s">
        <v>2</v>
      </c>
      <c r="B230" s="1" t="s">
        <v>231</v>
      </c>
    </row>
    <row r="231" ht="14.25" customHeight="1">
      <c r="A231" s="1" t="s">
        <v>2</v>
      </c>
      <c r="B231" s="1" t="s">
        <v>232</v>
      </c>
    </row>
    <row r="232" ht="14.25" customHeight="1">
      <c r="A232" s="1" t="s">
        <v>2</v>
      </c>
      <c r="B232" s="1" t="s">
        <v>233</v>
      </c>
    </row>
    <row r="233" ht="14.25" customHeight="1">
      <c r="A233" s="1" t="s">
        <v>2</v>
      </c>
      <c r="B233" s="1" t="s">
        <v>234</v>
      </c>
    </row>
    <row r="234" ht="14.25" customHeight="1">
      <c r="A234" s="1" t="s">
        <v>2</v>
      </c>
      <c r="B234" s="1" t="s">
        <v>235</v>
      </c>
    </row>
    <row r="235" ht="14.25" customHeight="1">
      <c r="A235" s="1" t="s">
        <v>2</v>
      </c>
      <c r="B235" s="1" t="s">
        <v>236</v>
      </c>
    </row>
    <row r="236" ht="14.25" customHeight="1">
      <c r="A236" s="1" t="s">
        <v>2</v>
      </c>
      <c r="B236" s="1" t="s">
        <v>237</v>
      </c>
    </row>
    <row r="237" ht="14.25" customHeight="1">
      <c r="A237" s="1" t="s">
        <v>2</v>
      </c>
      <c r="B237" s="1" t="s">
        <v>238</v>
      </c>
    </row>
    <row r="238" ht="14.25" customHeight="1">
      <c r="A238" s="1" t="s">
        <v>2</v>
      </c>
      <c r="B238" s="1" t="s">
        <v>239</v>
      </c>
    </row>
    <row r="239" ht="14.25" customHeight="1">
      <c r="A239" s="1" t="s">
        <v>2</v>
      </c>
      <c r="B239" s="1" t="s">
        <v>240</v>
      </c>
    </row>
    <row r="240" ht="14.25" customHeight="1">
      <c r="A240" s="1" t="s">
        <v>2</v>
      </c>
      <c r="B240" s="1" t="s">
        <v>241</v>
      </c>
    </row>
    <row r="241" ht="14.25" customHeight="1">
      <c r="A241" s="1" t="s">
        <v>2</v>
      </c>
      <c r="B241" s="1" t="s">
        <v>242</v>
      </c>
    </row>
    <row r="242" ht="14.25" customHeight="1">
      <c r="A242" s="1" t="s">
        <v>2</v>
      </c>
      <c r="B242" s="1" t="s">
        <v>243</v>
      </c>
    </row>
    <row r="243" ht="14.25" customHeight="1">
      <c r="A243" s="1" t="s">
        <v>2</v>
      </c>
      <c r="B243" s="1" t="s">
        <v>244</v>
      </c>
    </row>
    <row r="244" ht="14.25" customHeight="1">
      <c r="A244" s="1" t="s">
        <v>2</v>
      </c>
      <c r="B244" s="1" t="s">
        <v>245</v>
      </c>
    </row>
    <row r="245" ht="14.25" customHeight="1">
      <c r="A245" s="1" t="s">
        <v>2</v>
      </c>
      <c r="B245" s="1" t="s">
        <v>246</v>
      </c>
    </row>
    <row r="246" ht="14.25" customHeight="1">
      <c r="A246" s="1" t="s">
        <v>2</v>
      </c>
      <c r="B246" s="1" t="s">
        <v>247</v>
      </c>
    </row>
    <row r="247" ht="14.25" customHeight="1">
      <c r="A247" s="1" t="s">
        <v>2</v>
      </c>
      <c r="B247" s="1" t="s">
        <v>248</v>
      </c>
    </row>
    <row r="248" ht="14.25" customHeight="1">
      <c r="A248" s="1" t="s">
        <v>2</v>
      </c>
      <c r="B248" s="1" t="s">
        <v>249</v>
      </c>
    </row>
    <row r="249" ht="14.25" customHeight="1">
      <c r="A249" s="1" t="s">
        <v>2</v>
      </c>
      <c r="B249" s="1" t="s">
        <v>250</v>
      </c>
    </row>
    <row r="250" ht="14.25" customHeight="1">
      <c r="A250" s="1" t="s">
        <v>2</v>
      </c>
      <c r="B250" s="1" t="s">
        <v>251</v>
      </c>
    </row>
    <row r="251" ht="14.25" customHeight="1">
      <c r="A251" s="1" t="s">
        <v>2</v>
      </c>
      <c r="B251" s="1" t="s">
        <v>252</v>
      </c>
    </row>
    <row r="252" ht="14.25" customHeight="1">
      <c r="A252" s="1" t="s">
        <v>2</v>
      </c>
      <c r="B252" s="1" t="s">
        <v>253</v>
      </c>
    </row>
    <row r="253" ht="14.25" customHeight="1">
      <c r="A253" s="1" t="s">
        <v>2</v>
      </c>
      <c r="B253" s="1" t="s">
        <v>254</v>
      </c>
    </row>
    <row r="254" ht="14.25" customHeight="1">
      <c r="A254" s="1" t="s">
        <v>2</v>
      </c>
      <c r="B254" s="1" t="s">
        <v>255</v>
      </c>
    </row>
    <row r="255" ht="14.25" customHeight="1">
      <c r="A255" s="1" t="s">
        <v>2</v>
      </c>
      <c r="B255" s="1" t="s">
        <v>256</v>
      </c>
    </row>
    <row r="256" ht="14.25" customHeight="1">
      <c r="A256" s="1" t="s">
        <v>2</v>
      </c>
      <c r="B256" s="1" t="s">
        <v>257</v>
      </c>
    </row>
    <row r="257" ht="14.25" customHeight="1">
      <c r="A257" s="1" t="s">
        <v>2</v>
      </c>
      <c r="B257" s="1" t="s">
        <v>258</v>
      </c>
    </row>
    <row r="258" ht="14.25" customHeight="1">
      <c r="A258" s="1" t="s">
        <v>2</v>
      </c>
      <c r="B258" s="1" t="s">
        <v>259</v>
      </c>
    </row>
    <row r="259" ht="14.25" customHeight="1">
      <c r="A259" s="1" t="s">
        <v>2</v>
      </c>
      <c r="B259" s="1" t="s">
        <v>260</v>
      </c>
    </row>
    <row r="260" ht="14.25" customHeight="1">
      <c r="A260" s="1" t="s">
        <v>2</v>
      </c>
      <c r="B260" s="1" t="s">
        <v>261</v>
      </c>
    </row>
    <row r="261" ht="14.25" customHeight="1">
      <c r="A261" s="1" t="s">
        <v>2</v>
      </c>
      <c r="B261" s="1" t="s">
        <v>262</v>
      </c>
    </row>
    <row r="262" ht="14.25" customHeight="1">
      <c r="A262" s="1" t="s">
        <v>2</v>
      </c>
      <c r="B262" s="1" t="s">
        <v>263</v>
      </c>
    </row>
    <row r="263" ht="14.25" customHeight="1">
      <c r="A263" s="1" t="s">
        <v>2</v>
      </c>
      <c r="B263" s="1" t="s">
        <v>264</v>
      </c>
    </row>
    <row r="264" ht="14.25" customHeight="1">
      <c r="A264" s="1" t="s">
        <v>2</v>
      </c>
      <c r="B264" s="1" t="s">
        <v>265</v>
      </c>
    </row>
    <row r="265" ht="14.25" customHeight="1">
      <c r="A265" s="1" t="s">
        <v>2</v>
      </c>
      <c r="B265" s="1" t="s">
        <v>266</v>
      </c>
    </row>
    <row r="266" ht="14.25" customHeight="1">
      <c r="A266" s="1" t="s">
        <v>2</v>
      </c>
      <c r="B266" s="1" t="s">
        <v>267</v>
      </c>
    </row>
    <row r="267" ht="14.25" customHeight="1">
      <c r="A267" s="1" t="s">
        <v>2</v>
      </c>
      <c r="B267" s="1" t="s">
        <v>268</v>
      </c>
    </row>
    <row r="268" ht="14.25" customHeight="1">
      <c r="A268" s="1" t="s">
        <v>2</v>
      </c>
      <c r="B268" s="1" t="s">
        <v>269</v>
      </c>
    </row>
    <row r="269" ht="14.25" customHeight="1">
      <c r="A269" s="1" t="s">
        <v>2</v>
      </c>
      <c r="B269" s="1" t="s">
        <v>270</v>
      </c>
    </row>
    <row r="270" ht="14.25" customHeight="1">
      <c r="A270" s="1" t="s">
        <v>2</v>
      </c>
      <c r="B270" s="1" t="s">
        <v>271</v>
      </c>
    </row>
    <row r="271" ht="14.25" customHeight="1">
      <c r="A271" s="1" t="s">
        <v>2</v>
      </c>
      <c r="B271" s="1" t="s">
        <v>272</v>
      </c>
    </row>
    <row r="272" ht="14.25" customHeight="1">
      <c r="A272" s="1" t="s">
        <v>2</v>
      </c>
      <c r="B272" s="1" t="s">
        <v>273</v>
      </c>
    </row>
    <row r="273" ht="14.25" customHeight="1">
      <c r="A273" s="1" t="s">
        <v>2</v>
      </c>
      <c r="B273" s="1" t="s">
        <v>274</v>
      </c>
    </row>
    <row r="274" ht="14.25" customHeight="1">
      <c r="A274" s="1" t="s">
        <v>2</v>
      </c>
      <c r="B274" s="1" t="s">
        <v>275</v>
      </c>
    </row>
    <row r="275" ht="14.25" customHeight="1">
      <c r="A275" s="1" t="s">
        <v>2</v>
      </c>
      <c r="B275" s="1" t="s">
        <v>276</v>
      </c>
    </row>
    <row r="276" ht="14.25" customHeight="1">
      <c r="A276" s="1" t="s">
        <v>2</v>
      </c>
      <c r="B276" s="1" t="s">
        <v>277</v>
      </c>
    </row>
    <row r="277" ht="14.25" customHeight="1">
      <c r="A277" s="1" t="s">
        <v>2</v>
      </c>
      <c r="B277" s="1" t="s">
        <v>278</v>
      </c>
    </row>
    <row r="278" ht="14.25" customHeight="1">
      <c r="A278" s="1" t="s">
        <v>2</v>
      </c>
      <c r="B278" s="1" t="s">
        <v>279</v>
      </c>
    </row>
    <row r="279" ht="14.25" customHeight="1">
      <c r="A279" s="1" t="s">
        <v>2</v>
      </c>
      <c r="B279" s="1" t="s">
        <v>280</v>
      </c>
    </row>
    <row r="280" ht="14.25" customHeight="1">
      <c r="A280" s="1" t="s">
        <v>2</v>
      </c>
      <c r="B280" s="1" t="s">
        <v>281</v>
      </c>
    </row>
    <row r="281" ht="14.25" customHeight="1">
      <c r="A281" s="1" t="s">
        <v>2</v>
      </c>
      <c r="B281" s="1" t="s">
        <v>282</v>
      </c>
    </row>
    <row r="282" ht="14.25" customHeight="1">
      <c r="A282" s="1" t="s">
        <v>2</v>
      </c>
      <c r="B282" s="1" t="s">
        <v>283</v>
      </c>
    </row>
    <row r="283" ht="14.25" customHeight="1">
      <c r="A283" s="1" t="s">
        <v>2</v>
      </c>
      <c r="B283" s="1" t="s">
        <v>284</v>
      </c>
    </row>
    <row r="284" ht="14.25" customHeight="1">
      <c r="A284" s="1" t="s">
        <v>2</v>
      </c>
      <c r="B284" s="1" t="s">
        <v>285</v>
      </c>
    </row>
    <row r="285" ht="14.25" customHeight="1">
      <c r="A285" s="1" t="s">
        <v>2</v>
      </c>
      <c r="B285" s="1" t="s">
        <v>286</v>
      </c>
    </row>
    <row r="286" ht="14.25" customHeight="1">
      <c r="A286" s="1" t="s">
        <v>2</v>
      </c>
      <c r="B286" s="1" t="s">
        <v>287</v>
      </c>
    </row>
    <row r="287" ht="14.25" customHeight="1">
      <c r="A287" s="1" t="s">
        <v>2</v>
      </c>
      <c r="B287" s="1" t="s">
        <v>288</v>
      </c>
    </row>
    <row r="288" ht="14.25" customHeight="1">
      <c r="A288" s="1" t="s">
        <v>2</v>
      </c>
      <c r="B288" s="1" t="s">
        <v>289</v>
      </c>
    </row>
    <row r="289" ht="14.25" customHeight="1">
      <c r="A289" s="1" t="s">
        <v>2</v>
      </c>
      <c r="B289" s="1" t="s">
        <v>290</v>
      </c>
    </row>
    <row r="290" ht="14.25" customHeight="1">
      <c r="A290" s="1" t="s">
        <v>2</v>
      </c>
      <c r="B290" s="1" t="s">
        <v>291</v>
      </c>
    </row>
    <row r="291" ht="14.25" customHeight="1">
      <c r="A291" s="1" t="s">
        <v>2</v>
      </c>
      <c r="B291" s="1" t="s">
        <v>292</v>
      </c>
    </row>
    <row r="292" ht="14.25" customHeight="1">
      <c r="A292" s="1" t="s">
        <v>2</v>
      </c>
      <c r="B292" s="1" t="s">
        <v>293</v>
      </c>
    </row>
    <row r="293" ht="14.25" customHeight="1">
      <c r="A293" s="1" t="s">
        <v>2</v>
      </c>
      <c r="B293" s="1" t="s">
        <v>294</v>
      </c>
    </row>
    <row r="294" ht="14.25" customHeight="1">
      <c r="A294" s="1" t="s">
        <v>2</v>
      </c>
      <c r="B294" s="1" t="s">
        <v>295</v>
      </c>
    </row>
    <row r="295" ht="14.25" customHeight="1">
      <c r="A295" s="1" t="s">
        <v>2</v>
      </c>
      <c r="B295" s="1" t="s">
        <v>296</v>
      </c>
    </row>
    <row r="296" ht="14.25" customHeight="1">
      <c r="A296" s="1" t="s">
        <v>2</v>
      </c>
      <c r="B296" s="1" t="s">
        <v>297</v>
      </c>
    </row>
    <row r="297" ht="14.25" customHeight="1">
      <c r="A297" s="1" t="s">
        <v>2</v>
      </c>
      <c r="B297" s="1" t="s">
        <v>298</v>
      </c>
    </row>
    <row r="298" ht="14.25" customHeight="1">
      <c r="A298" s="1" t="s">
        <v>2</v>
      </c>
      <c r="B298" s="1" t="s">
        <v>299</v>
      </c>
    </row>
    <row r="299" ht="14.25" customHeight="1">
      <c r="A299" s="1" t="s">
        <v>2</v>
      </c>
      <c r="B299" s="1" t="s">
        <v>300</v>
      </c>
    </row>
    <row r="300" ht="14.25" customHeight="1">
      <c r="A300" s="1" t="s">
        <v>2</v>
      </c>
      <c r="B300" s="1" t="s">
        <v>301</v>
      </c>
    </row>
    <row r="301" ht="14.25" customHeight="1">
      <c r="A301" s="1" t="s">
        <v>2</v>
      </c>
      <c r="B301" s="1" t="s">
        <v>302</v>
      </c>
    </row>
    <row r="302" ht="14.25" customHeight="1">
      <c r="A302" s="1" t="s">
        <v>2</v>
      </c>
      <c r="B302" s="1" t="s">
        <v>303</v>
      </c>
    </row>
    <row r="303" ht="14.25" customHeight="1">
      <c r="A303" s="1" t="s">
        <v>2</v>
      </c>
      <c r="B303" s="1" t="s">
        <v>304</v>
      </c>
    </row>
    <row r="304" ht="14.25" customHeight="1">
      <c r="A304" s="1" t="s">
        <v>2</v>
      </c>
      <c r="B304" s="1" t="s">
        <v>305</v>
      </c>
    </row>
    <row r="305" ht="14.25" customHeight="1">
      <c r="A305" s="1" t="s">
        <v>2</v>
      </c>
      <c r="B305" s="1" t="s">
        <v>306</v>
      </c>
    </row>
    <row r="306" ht="14.25" customHeight="1">
      <c r="A306" s="1" t="s">
        <v>2</v>
      </c>
      <c r="B306" s="1" t="s">
        <v>307</v>
      </c>
    </row>
    <row r="307" ht="14.25" customHeight="1">
      <c r="A307" s="1" t="s">
        <v>2</v>
      </c>
      <c r="B307" s="1" t="s">
        <v>308</v>
      </c>
    </row>
    <row r="308" ht="14.25" customHeight="1">
      <c r="A308" s="1" t="s">
        <v>2</v>
      </c>
      <c r="B308" s="1" t="s">
        <v>309</v>
      </c>
    </row>
    <row r="309" ht="14.25" customHeight="1">
      <c r="A309" s="1" t="s">
        <v>2</v>
      </c>
      <c r="B309" s="1" t="s">
        <v>310</v>
      </c>
    </row>
    <row r="310" ht="14.25" customHeight="1">
      <c r="A310" s="1" t="s">
        <v>2</v>
      </c>
      <c r="B310" s="1" t="s">
        <v>311</v>
      </c>
    </row>
    <row r="311" ht="14.25" customHeight="1">
      <c r="A311" s="1" t="s">
        <v>2</v>
      </c>
      <c r="B311" s="1" t="s">
        <v>312</v>
      </c>
    </row>
    <row r="312" ht="14.25" customHeight="1">
      <c r="A312" s="1" t="s">
        <v>2</v>
      </c>
      <c r="B312" s="1" t="s">
        <v>313</v>
      </c>
    </row>
    <row r="313" ht="14.25" customHeight="1">
      <c r="A313" s="1" t="s">
        <v>2</v>
      </c>
      <c r="B313" s="1" t="s">
        <v>314</v>
      </c>
    </row>
    <row r="314" ht="14.25" customHeight="1">
      <c r="A314" s="1" t="s">
        <v>2</v>
      </c>
      <c r="B314" s="1" t="s">
        <v>315</v>
      </c>
    </row>
    <row r="315" ht="14.25" customHeight="1">
      <c r="A315" s="1" t="s">
        <v>2</v>
      </c>
      <c r="B315" s="1" t="s">
        <v>316</v>
      </c>
    </row>
    <row r="316" ht="14.25" customHeight="1">
      <c r="A316" s="1" t="s">
        <v>2</v>
      </c>
      <c r="B316" s="1" t="s">
        <v>317</v>
      </c>
    </row>
    <row r="317" ht="14.25" customHeight="1">
      <c r="A317" s="1" t="s">
        <v>2</v>
      </c>
      <c r="B317" s="1" t="s">
        <v>318</v>
      </c>
    </row>
    <row r="318" ht="14.25" customHeight="1">
      <c r="A318" s="1" t="s">
        <v>2</v>
      </c>
      <c r="B318" s="1" t="s">
        <v>319</v>
      </c>
    </row>
    <row r="319" ht="14.25" customHeight="1">
      <c r="A319" s="1" t="s">
        <v>2</v>
      </c>
      <c r="B319" s="1" t="s">
        <v>320</v>
      </c>
    </row>
    <row r="320" ht="14.25" customHeight="1">
      <c r="A320" s="1" t="s">
        <v>2</v>
      </c>
      <c r="B320" s="1" t="s">
        <v>321</v>
      </c>
    </row>
    <row r="321" ht="14.25" customHeight="1">
      <c r="A321" s="1" t="s">
        <v>2</v>
      </c>
      <c r="B321" s="1" t="s">
        <v>322</v>
      </c>
    </row>
    <row r="322" ht="14.25" customHeight="1">
      <c r="A322" s="1" t="s">
        <v>2</v>
      </c>
      <c r="B322" s="1" t="s">
        <v>323</v>
      </c>
    </row>
    <row r="323" ht="14.25" customHeight="1">
      <c r="A323" s="1" t="s">
        <v>2</v>
      </c>
      <c r="B323" s="1" t="s">
        <v>324</v>
      </c>
    </row>
    <row r="324" ht="14.25" customHeight="1">
      <c r="A324" s="1" t="s">
        <v>2</v>
      </c>
      <c r="B324" s="1" t="s">
        <v>325</v>
      </c>
    </row>
    <row r="325" ht="14.25" customHeight="1">
      <c r="A325" s="1" t="s">
        <v>2</v>
      </c>
      <c r="B325" s="1" t="s">
        <v>326</v>
      </c>
    </row>
    <row r="326" ht="14.25" customHeight="1">
      <c r="A326" s="1" t="s">
        <v>2</v>
      </c>
      <c r="B326" s="1" t="s">
        <v>327</v>
      </c>
    </row>
    <row r="327" ht="14.25" customHeight="1">
      <c r="A327" s="1" t="s">
        <v>2</v>
      </c>
      <c r="B327" s="1" t="s">
        <v>328</v>
      </c>
    </row>
    <row r="328" ht="14.25" customHeight="1">
      <c r="A328" s="1" t="s">
        <v>2</v>
      </c>
      <c r="B328" s="1" t="s">
        <v>329</v>
      </c>
    </row>
    <row r="329" ht="14.25" customHeight="1">
      <c r="A329" s="1" t="s">
        <v>2</v>
      </c>
      <c r="B329" s="1" t="s">
        <v>330</v>
      </c>
    </row>
    <row r="330" ht="14.25" customHeight="1">
      <c r="A330" s="1" t="s">
        <v>2</v>
      </c>
      <c r="B330" s="1" t="s">
        <v>331</v>
      </c>
    </row>
    <row r="331" ht="14.25" customHeight="1">
      <c r="A331" s="1" t="s">
        <v>2</v>
      </c>
      <c r="B331" s="1" t="s">
        <v>332</v>
      </c>
    </row>
    <row r="332" ht="14.25" customHeight="1">
      <c r="A332" s="1" t="s">
        <v>2</v>
      </c>
      <c r="B332" s="1" t="s">
        <v>333</v>
      </c>
    </row>
    <row r="333" ht="14.25" customHeight="1">
      <c r="A333" s="1" t="s">
        <v>2</v>
      </c>
      <c r="B333" s="1" t="s">
        <v>334</v>
      </c>
    </row>
    <row r="334" ht="14.25" customHeight="1">
      <c r="A334" s="1" t="s">
        <v>2</v>
      </c>
      <c r="B334" s="1" t="s">
        <v>335</v>
      </c>
    </row>
    <row r="335" ht="14.25" customHeight="1">
      <c r="A335" s="1" t="s">
        <v>2</v>
      </c>
      <c r="B335" s="1" t="s">
        <v>336</v>
      </c>
    </row>
    <row r="336" ht="14.25" customHeight="1">
      <c r="A336" s="1" t="s">
        <v>2</v>
      </c>
      <c r="B336" s="1" t="s">
        <v>337</v>
      </c>
    </row>
    <row r="337" ht="14.25" customHeight="1">
      <c r="A337" s="1" t="s">
        <v>2</v>
      </c>
      <c r="B337" s="1" t="s">
        <v>338</v>
      </c>
    </row>
    <row r="338" ht="14.25" customHeight="1">
      <c r="A338" s="1" t="s">
        <v>2</v>
      </c>
      <c r="B338" s="1" t="s">
        <v>339</v>
      </c>
    </row>
    <row r="339" ht="14.25" customHeight="1">
      <c r="A339" s="1" t="s">
        <v>2</v>
      </c>
      <c r="B339" s="1" t="s">
        <v>340</v>
      </c>
    </row>
    <row r="340" ht="14.25" customHeight="1">
      <c r="A340" s="1" t="s">
        <v>2</v>
      </c>
      <c r="B340" s="1" t="s">
        <v>341</v>
      </c>
    </row>
    <row r="341" ht="14.25" customHeight="1">
      <c r="A341" s="1" t="s">
        <v>2</v>
      </c>
      <c r="B341" s="1" t="s">
        <v>342</v>
      </c>
    </row>
    <row r="342" ht="14.25" customHeight="1">
      <c r="A342" s="1" t="s">
        <v>2</v>
      </c>
      <c r="B342" s="1" t="s">
        <v>343</v>
      </c>
    </row>
    <row r="343" ht="14.25" customHeight="1">
      <c r="A343" s="1" t="s">
        <v>2</v>
      </c>
      <c r="B343" s="1" t="s">
        <v>344</v>
      </c>
    </row>
    <row r="344" ht="14.25" customHeight="1">
      <c r="A344" s="1" t="s">
        <v>2</v>
      </c>
      <c r="B344" s="1" t="s">
        <v>345</v>
      </c>
    </row>
    <row r="345" ht="14.25" customHeight="1">
      <c r="A345" s="1" t="s">
        <v>2</v>
      </c>
      <c r="B345" s="1" t="s">
        <v>346</v>
      </c>
    </row>
    <row r="346" ht="14.25" customHeight="1">
      <c r="A346" s="1" t="s">
        <v>2</v>
      </c>
      <c r="B346" s="1" t="s">
        <v>347</v>
      </c>
    </row>
    <row r="347" ht="14.25" customHeight="1">
      <c r="A347" s="1" t="s">
        <v>2</v>
      </c>
      <c r="B347" s="1" t="s">
        <v>348</v>
      </c>
    </row>
    <row r="348" ht="14.25" customHeight="1">
      <c r="A348" s="1" t="s">
        <v>2</v>
      </c>
      <c r="B348" s="1" t="s">
        <v>349</v>
      </c>
    </row>
    <row r="349" ht="14.25" customHeight="1">
      <c r="A349" s="1" t="s">
        <v>2</v>
      </c>
      <c r="B349" s="1" t="s">
        <v>350</v>
      </c>
    </row>
    <row r="350" ht="14.25" customHeight="1">
      <c r="A350" s="1" t="s">
        <v>2</v>
      </c>
      <c r="B350" s="1" t="s">
        <v>351</v>
      </c>
    </row>
    <row r="351" ht="14.25" customHeight="1">
      <c r="A351" s="1" t="s">
        <v>2</v>
      </c>
      <c r="B351" s="1" t="s">
        <v>352</v>
      </c>
    </row>
    <row r="352" ht="14.25" customHeight="1">
      <c r="A352" s="1" t="s">
        <v>2</v>
      </c>
      <c r="B352" s="1" t="s">
        <v>353</v>
      </c>
    </row>
    <row r="353" ht="14.25" customHeight="1">
      <c r="A353" s="1" t="s">
        <v>2</v>
      </c>
      <c r="B353" s="1" t="s">
        <v>354</v>
      </c>
    </row>
    <row r="354" ht="14.25" customHeight="1">
      <c r="A354" s="1" t="s">
        <v>2</v>
      </c>
      <c r="B354" s="1" t="s">
        <v>355</v>
      </c>
    </row>
    <row r="355" ht="14.25" customHeight="1">
      <c r="A355" s="1" t="s">
        <v>2</v>
      </c>
      <c r="B355" s="1" t="s">
        <v>356</v>
      </c>
    </row>
    <row r="356" ht="14.25" customHeight="1">
      <c r="A356" s="1" t="s">
        <v>2</v>
      </c>
      <c r="B356" s="1" t="s">
        <v>357</v>
      </c>
    </row>
    <row r="357" ht="14.25" customHeight="1">
      <c r="A357" s="1" t="s">
        <v>2</v>
      </c>
      <c r="B357" s="1" t="s">
        <v>358</v>
      </c>
    </row>
    <row r="358" ht="14.25" customHeight="1">
      <c r="A358" s="1" t="s">
        <v>2</v>
      </c>
      <c r="B358" s="1" t="s">
        <v>359</v>
      </c>
    </row>
    <row r="359" ht="14.25" customHeight="1">
      <c r="A359" s="1" t="s">
        <v>2</v>
      </c>
      <c r="B359" s="1" t="s">
        <v>360</v>
      </c>
    </row>
    <row r="360" ht="14.25" customHeight="1">
      <c r="A360" s="1" t="s">
        <v>2</v>
      </c>
      <c r="B360" s="1" t="s">
        <v>361</v>
      </c>
    </row>
    <row r="361" ht="14.25" customHeight="1">
      <c r="A361" s="1" t="s">
        <v>2</v>
      </c>
      <c r="B361" s="1" t="s">
        <v>362</v>
      </c>
    </row>
    <row r="362" ht="14.25" customHeight="1">
      <c r="A362" s="1" t="s">
        <v>2</v>
      </c>
      <c r="B362" s="1" t="s">
        <v>363</v>
      </c>
    </row>
    <row r="363" ht="14.25" customHeight="1">
      <c r="A363" s="1" t="s">
        <v>2</v>
      </c>
      <c r="B363" s="1" t="s">
        <v>364</v>
      </c>
    </row>
    <row r="364" ht="14.25" customHeight="1">
      <c r="A364" s="1" t="s">
        <v>2</v>
      </c>
      <c r="B364" s="1" t="s">
        <v>365</v>
      </c>
    </row>
    <row r="365" ht="14.25" customHeight="1">
      <c r="A365" s="1" t="s">
        <v>2</v>
      </c>
      <c r="B365" s="1" t="s">
        <v>366</v>
      </c>
    </row>
    <row r="366" ht="14.25" customHeight="1">
      <c r="A366" s="1" t="s">
        <v>2</v>
      </c>
      <c r="B366" s="1" t="s">
        <v>367</v>
      </c>
    </row>
    <row r="367" ht="14.25" customHeight="1">
      <c r="A367" s="1" t="s">
        <v>2</v>
      </c>
      <c r="B367" s="1" t="s">
        <v>368</v>
      </c>
    </row>
    <row r="368" ht="14.25" customHeight="1">
      <c r="A368" s="1" t="s">
        <v>2</v>
      </c>
      <c r="B368" s="1" t="s">
        <v>369</v>
      </c>
    </row>
    <row r="369" ht="14.25" customHeight="1">
      <c r="A369" s="1" t="s">
        <v>2</v>
      </c>
      <c r="B369" s="1" t="s">
        <v>370</v>
      </c>
    </row>
    <row r="370" ht="14.25" customHeight="1">
      <c r="A370" s="1" t="s">
        <v>2</v>
      </c>
      <c r="B370" s="1" t="s">
        <v>371</v>
      </c>
    </row>
    <row r="371" ht="14.25" customHeight="1">
      <c r="A371" s="1" t="s">
        <v>2</v>
      </c>
      <c r="B371" s="1" t="s">
        <v>372</v>
      </c>
    </row>
    <row r="372" ht="14.25" customHeight="1">
      <c r="A372" s="1" t="s">
        <v>2</v>
      </c>
      <c r="B372" s="1" t="s">
        <v>373</v>
      </c>
    </row>
    <row r="373" ht="14.25" customHeight="1">
      <c r="A373" s="1" t="s">
        <v>2</v>
      </c>
      <c r="B373" s="1" t="s">
        <v>374</v>
      </c>
    </row>
    <row r="374" ht="14.25" customHeight="1">
      <c r="A374" s="1" t="s">
        <v>2</v>
      </c>
      <c r="B374" s="1" t="s">
        <v>375</v>
      </c>
    </row>
    <row r="375" ht="14.25" customHeight="1">
      <c r="A375" s="1" t="s">
        <v>2</v>
      </c>
      <c r="B375" s="1" t="s">
        <v>376</v>
      </c>
    </row>
    <row r="376" ht="14.25" customHeight="1">
      <c r="A376" s="1" t="s">
        <v>2</v>
      </c>
      <c r="B376" s="1" t="s">
        <v>377</v>
      </c>
    </row>
    <row r="377" ht="14.25" customHeight="1">
      <c r="A377" s="1" t="s">
        <v>2</v>
      </c>
      <c r="B377" s="1" t="s">
        <v>378</v>
      </c>
    </row>
    <row r="378" ht="14.25" customHeight="1">
      <c r="A378" s="1" t="s">
        <v>2</v>
      </c>
      <c r="B378" s="1" t="s">
        <v>379</v>
      </c>
    </row>
    <row r="379" ht="14.25" customHeight="1">
      <c r="A379" s="1" t="s">
        <v>2</v>
      </c>
      <c r="B379" s="1" t="s">
        <v>380</v>
      </c>
    </row>
    <row r="380" ht="14.25" customHeight="1">
      <c r="A380" s="1" t="s">
        <v>2</v>
      </c>
      <c r="B380" s="1" t="s">
        <v>381</v>
      </c>
    </row>
    <row r="381" ht="14.25" customHeight="1">
      <c r="A381" s="1" t="s">
        <v>2</v>
      </c>
      <c r="B381" s="1" t="s">
        <v>382</v>
      </c>
    </row>
    <row r="382" ht="14.25" customHeight="1">
      <c r="A382" s="1" t="s">
        <v>2</v>
      </c>
      <c r="B382" s="1" t="s">
        <v>383</v>
      </c>
    </row>
    <row r="383" ht="14.25" customHeight="1">
      <c r="A383" s="1" t="s">
        <v>2</v>
      </c>
      <c r="B383" s="1" t="s">
        <v>384</v>
      </c>
    </row>
    <row r="384" ht="14.25" customHeight="1">
      <c r="A384" s="1" t="s">
        <v>2</v>
      </c>
      <c r="B384" s="1" t="s">
        <v>385</v>
      </c>
    </row>
    <row r="385" ht="14.25" customHeight="1">
      <c r="A385" s="1" t="s">
        <v>2</v>
      </c>
      <c r="B385" s="1" t="s">
        <v>386</v>
      </c>
    </row>
    <row r="386" ht="14.25" customHeight="1">
      <c r="A386" s="1" t="s">
        <v>2</v>
      </c>
      <c r="B386" s="1" t="s">
        <v>387</v>
      </c>
    </row>
    <row r="387" ht="14.25" customHeight="1">
      <c r="A387" s="1" t="s">
        <v>2</v>
      </c>
      <c r="B387" s="1" t="s">
        <v>388</v>
      </c>
    </row>
    <row r="388" ht="14.25" customHeight="1">
      <c r="A388" s="1" t="s">
        <v>2</v>
      </c>
      <c r="B388" s="1" t="s">
        <v>389</v>
      </c>
    </row>
    <row r="389" ht="14.25" customHeight="1">
      <c r="A389" s="1" t="s">
        <v>2</v>
      </c>
      <c r="B389" s="1" t="s">
        <v>390</v>
      </c>
    </row>
    <row r="390" ht="14.25" customHeight="1">
      <c r="A390" s="1" t="s">
        <v>2</v>
      </c>
      <c r="B390" s="1" t="s">
        <v>391</v>
      </c>
    </row>
    <row r="391" ht="14.25" customHeight="1">
      <c r="A391" s="1" t="s">
        <v>2</v>
      </c>
      <c r="B391" s="1" t="s">
        <v>392</v>
      </c>
    </row>
    <row r="392" ht="14.25" customHeight="1">
      <c r="A392" s="1" t="s">
        <v>2</v>
      </c>
      <c r="B392" s="1" t="s">
        <v>393</v>
      </c>
    </row>
    <row r="393" ht="14.25" customHeight="1">
      <c r="A393" s="1" t="s">
        <v>2</v>
      </c>
      <c r="B393" s="1" t="s">
        <v>394</v>
      </c>
    </row>
    <row r="394" ht="14.25" customHeight="1">
      <c r="A394" s="1" t="s">
        <v>2</v>
      </c>
      <c r="B394" s="1" t="s">
        <v>395</v>
      </c>
    </row>
    <row r="395" ht="14.25" customHeight="1">
      <c r="A395" s="1" t="s">
        <v>2</v>
      </c>
      <c r="B395" s="1" t="s">
        <v>396</v>
      </c>
    </row>
    <row r="396" ht="14.25" customHeight="1">
      <c r="A396" s="1" t="s">
        <v>2</v>
      </c>
      <c r="B396" s="1" t="s">
        <v>397</v>
      </c>
    </row>
    <row r="397" ht="14.25" customHeight="1">
      <c r="A397" s="1" t="s">
        <v>2</v>
      </c>
      <c r="B397" s="1" t="s">
        <v>398</v>
      </c>
    </row>
    <row r="398" ht="14.25" customHeight="1">
      <c r="A398" s="1" t="s">
        <v>2</v>
      </c>
      <c r="B398" s="1" t="s">
        <v>399</v>
      </c>
    </row>
    <row r="399" ht="14.25" customHeight="1">
      <c r="A399" s="1" t="s">
        <v>2</v>
      </c>
      <c r="B399" s="1" t="s">
        <v>400</v>
      </c>
    </row>
    <row r="400" ht="14.25" customHeight="1">
      <c r="A400" s="1" t="s">
        <v>2</v>
      </c>
      <c r="B400" s="1" t="s">
        <v>401</v>
      </c>
    </row>
    <row r="401" ht="14.25" customHeight="1">
      <c r="A401" s="1" t="s">
        <v>2</v>
      </c>
      <c r="B401" s="1" t="s">
        <v>402</v>
      </c>
    </row>
    <row r="402" ht="14.25" customHeight="1">
      <c r="A402" s="1" t="s">
        <v>2</v>
      </c>
      <c r="B402" s="1" t="s">
        <v>403</v>
      </c>
    </row>
    <row r="403" ht="14.25" customHeight="1">
      <c r="A403" s="1" t="s">
        <v>2</v>
      </c>
      <c r="B403" s="1" t="s">
        <v>404</v>
      </c>
    </row>
    <row r="404" ht="14.25" customHeight="1">
      <c r="A404" s="1" t="s">
        <v>2</v>
      </c>
      <c r="B404" s="1" t="s">
        <v>405</v>
      </c>
    </row>
    <row r="405" ht="14.25" customHeight="1">
      <c r="A405" s="1" t="s">
        <v>2</v>
      </c>
      <c r="B405" s="1" t="s">
        <v>406</v>
      </c>
    </row>
    <row r="406" ht="14.25" customHeight="1">
      <c r="A406" s="1" t="s">
        <v>2</v>
      </c>
      <c r="B406" s="1" t="s">
        <v>407</v>
      </c>
    </row>
    <row r="407" ht="14.25" customHeight="1">
      <c r="A407" s="1" t="s">
        <v>2</v>
      </c>
      <c r="B407" s="1" t="s">
        <v>408</v>
      </c>
    </row>
    <row r="408" ht="14.25" customHeight="1">
      <c r="A408" s="1" t="s">
        <v>2</v>
      </c>
      <c r="B408" s="1" t="s">
        <v>409</v>
      </c>
    </row>
    <row r="409" ht="14.25" customHeight="1">
      <c r="A409" s="1" t="s">
        <v>2</v>
      </c>
      <c r="B409" s="1" t="s">
        <v>410</v>
      </c>
    </row>
    <row r="410" ht="14.25" customHeight="1">
      <c r="A410" s="1" t="s">
        <v>2</v>
      </c>
      <c r="B410" s="1" t="s">
        <v>411</v>
      </c>
    </row>
    <row r="411" ht="14.25" customHeight="1">
      <c r="A411" s="1" t="s">
        <v>2</v>
      </c>
      <c r="B411" s="1" t="s">
        <v>412</v>
      </c>
    </row>
    <row r="412" ht="14.25" customHeight="1">
      <c r="A412" s="1" t="s">
        <v>2</v>
      </c>
      <c r="B412" s="1" t="s">
        <v>413</v>
      </c>
    </row>
    <row r="413" ht="14.25" customHeight="1">
      <c r="A413" s="1" t="s">
        <v>2</v>
      </c>
      <c r="B413" s="1" t="s">
        <v>414</v>
      </c>
    </row>
    <row r="414" ht="14.25" customHeight="1">
      <c r="A414" s="1" t="s">
        <v>2</v>
      </c>
      <c r="B414" s="1" t="s">
        <v>415</v>
      </c>
    </row>
    <row r="415" ht="14.25" customHeight="1">
      <c r="A415" s="1" t="s">
        <v>2</v>
      </c>
      <c r="B415" s="1" t="s">
        <v>416</v>
      </c>
    </row>
    <row r="416" ht="14.25" customHeight="1">
      <c r="A416" s="1" t="s">
        <v>2</v>
      </c>
      <c r="B416" s="1" t="s">
        <v>417</v>
      </c>
    </row>
    <row r="417" ht="14.25" customHeight="1">
      <c r="A417" s="1" t="s">
        <v>2</v>
      </c>
      <c r="B417" s="1" t="s">
        <v>418</v>
      </c>
    </row>
    <row r="418" ht="14.25" customHeight="1">
      <c r="A418" s="1" t="s">
        <v>2</v>
      </c>
      <c r="B418" s="1" t="s">
        <v>419</v>
      </c>
    </row>
    <row r="419" ht="14.25" customHeight="1">
      <c r="A419" s="1" t="s">
        <v>2</v>
      </c>
      <c r="B419" s="1" t="s">
        <v>420</v>
      </c>
    </row>
    <row r="420" ht="14.25" customHeight="1">
      <c r="A420" s="1" t="s">
        <v>2</v>
      </c>
      <c r="B420" s="1" t="s">
        <v>421</v>
      </c>
    </row>
    <row r="421" ht="14.25" customHeight="1">
      <c r="A421" s="1" t="s">
        <v>2</v>
      </c>
      <c r="B421" s="1" t="s">
        <v>422</v>
      </c>
    </row>
    <row r="422" ht="14.25" customHeight="1">
      <c r="A422" s="1" t="s">
        <v>2</v>
      </c>
      <c r="B422" s="1" t="s">
        <v>423</v>
      </c>
    </row>
    <row r="423" ht="14.25" customHeight="1">
      <c r="A423" s="1" t="s">
        <v>2</v>
      </c>
      <c r="B423" s="1" t="s">
        <v>424</v>
      </c>
    </row>
    <row r="424" ht="14.25" customHeight="1">
      <c r="A424" s="1" t="s">
        <v>2</v>
      </c>
      <c r="B424" s="1" t="s">
        <v>425</v>
      </c>
    </row>
    <row r="425" ht="14.25" customHeight="1">
      <c r="A425" s="1" t="s">
        <v>2</v>
      </c>
      <c r="B425" s="1" t="s">
        <v>426</v>
      </c>
    </row>
    <row r="426" ht="14.25" customHeight="1">
      <c r="A426" s="1" t="s">
        <v>2</v>
      </c>
      <c r="B426" s="1" t="s">
        <v>427</v>
      </c>
    </row>
    <row r="427" ht="14.25" customHeight="1">
      <c r="A427" s="1" t="s">
        <v>2</v>
      </c>
      <c r="B427" s="1" t="s">
        <v>428</v>
      </c>
    </row>
    <row r="428" ht="14.25" customHeight="1">
      <c r="A428" s="1" t="s">
        <v>2</v>
      </c>
      <c r="B428" s="1" t="s">
        <v>429</v>
      </c>
    </row>
    <row r="429" ht="14.25" customHeight="1">
      <c r="A429" s="1" t="s">
        <v>2</v>
      </c>
      <c r="B429" s="1" t="s">
        <v>430</v>
      </c>
    </row>
    <row r="430" ht="14.25" customHeight="1">
      <c r="A430" s="1" t="s">
        <v>2</v>
      </c>
      <c r="B430" s="1" t="s">
        <v>431</v>
      </c>
    </row>
    <row r="431" ht="14.25" customHeight="1">
      <c r="A431" s="1" t="s">
        <v>2</v>
      </c>
      <c r="B431" s="1" t="s">
        <v>432</v>
      </c>
    </row>
    <row r="432" ht="14.25" customHeight="1">
      <c r="A432" s="1" t="s">
        <v>2</v>
      </c>
      <c r="B432" s="1" t="s">
        <v>433</v>
      </c>
    </row>
    <row r="433" ht="14.25" customHeight="1">
      <c r="A433" s="1" t="s">
        <v>2</v>
      </c>
      <c r="B433" s="1" t="s">
        <v>434</v>
      </c>
    </row>
    <row r="434" ht="14.25" customHeight="1">
      <c r="A434" s="1" t="s">
        <v>2</v>
      </c>
      <c r="B434" s="1" t="s">
        <v>435</v>
      </c>
    </row>
    <row r="435" ht="14.25" customHeight="1">
      <c r="A435" s="1" t="s">
        <v>2</v>
      </c>
      <c r="B435" s="1" t="s">
        <v>436</v>
      </c>
    </row>
    <row r="436" ht="14.25" customHeight="1">
      <c r="A436" s="1" t="s">
        <v>2</v>
      </c>
      <c r="B436" s="1" t="s">
        <v>437</v>
      </c>
    </row>
    <row r="437" ht="14.25" customHeight="1">
      <c r="A437" s="1" t="s">
        <v>2</v>
      </c>
      <c r="B437" s="1" t="s">
        <v>438</v>
      </c>
    </row>
    <row r="438" ht="14.25" customHeight="1">
      <c r="A438" s="1" t="s">
        <v>2</v>
      </c>
      <c r="B438" s="1" t="s">
        <v>439</v>
      </c>
    </row>
    <row r="439" ht="14.25" customHeight="1">
      <c r="A439" s="1" t="s">
        <v>2</v>
      </c>
      <c r="B439" s="1" t="s">
        <v>440</v>
      </c>
    </row>
    <row r="440" ht="14.25" customHeight="1">
      <c r="A440" s="1" t="s">
        <v>2</v>
      </c>
      <c r="B440" s="1" t="s">
        <v>441</v>
      </c>
    </row>
    <row r="441" ht="14.25" customHeight="1">
      <c r="A441" s="1" t="s">
        <v>2</v>
      </c>
      <c r="B441" s="1" t="s">
        <v>442</v>
      </c>
    </row>
    <row r="442" ht="14.25" customHeight="1">
      <c r="A442" s="1" t="s">
        <v>2</v>
      </c>
      <c r="B442" s="1" t="s">
        <v>443</v>
      </c>
    </row>
    <row r="443" ht="14.25" customHeight="1">
      <c r="A443" s="1" t="s">
        <v>2</v>
      </c>
      <c r="B443" s="1" t="s">
        <v>444</v>
      </c>
    </row>
    <row r="444" ht="14.25" customHeight="1">
      <c r="A444" s="1" t="s">
        <v>2</v>
      </c>
      <c r="B444" s="1" t="s">
        <v>445</v>
      </c>
    </row>
    <row r="445" ht="14.25" customHeight="1">
      <c r="A445" s="1" t="s">
        <v>2</v>
      </c>
      <c r="B445" s="1" t="s">
        <v>446</v>
      </c>
    </row>
    <row r="446" ht="14.25" customHeight="1">
      <c r="A446" s="1" t="s">
        <v>2</v>
      </c>
      <c r="B446" s="1" t="s">
        <v>447</v>
      </c>
    </row>
    <row r="447" ht="14.25" customHeight="1">
      <c r="A447" s="1" t="s">
        <v>2</v>
      </c>
      <c r="B447" s="1" t="s">
        <v>448</v>
      </c>
    </row>
    <row r="448" ht="14.25" customHeight="1">
      <c r="A448" s="1" t="s">
        <v>2</v>
      </c>
      <c r="B448" s="1" t="s">
        <v>449</v>
      </c>
    </row>
    <row r="449" ht="14.25" customHeight="1">
      <c r="A449" s="1" t="s">
        <v>2</v>
      </c>
      <c r="B449" s="1" t="s">
        <v>450</v>
      </c>
    </row>
    <row r="450" ht="14.25" customHeight="1">
      <c r="A450" s="1" t="s">
        <v>2</v>
      </c>
      <c r="B450" s="1" t="s">
        <v>451</v>
      </c>
    </row>
    <row r="451" ht="14.25" customHeight="1">
      <c r="A451" s="1" t="s">
        <v>2</v>
      </c>
      <c r="B451" s="1" t="s">
        <v>452</v>
      </c>
    </row>
    <row r="452" ht="14.25" customHeight="1">
      <c r="A452" s="1" t="s">
        <v>2</v>
      </c>
      <c r="B452" s="1" t="s">
        <v>453</v>
      </c>
    </row>
    <row r="453" ht="14.25" customHeight="1">
      <c r="A453" s="1" t="s">
        <v>2</v>
      </c>
      <c r="B453" s="1" t="s">
        <v>454</v>
      </c>
    </row>
    <row r="454" ht="14.25" customHeight="1">
      <c r="A454" s="1" t="s">
        <v>2</v>
      </c>
      <c r="B454" s="1" t="s">
        <v>455</v>
      </c>
    </row>
    <row r="455" ht="14.25" customHeight="1">
      <c r="A455" s="1" t="s">
        <v>2</v>
      </c>
      <c r="B455" s="1" t="s">
        <v>456</v>
      </c>
    </row>
    <row r="456" ht="14.25" customHeight="1">
      <c r="A456" s="1" t="s">
        <v>2</v>
      </c>
      <c r="B456" s="1" t="s">
        <v>457</v>
      </c>
    </row>
    <row r="457" ht="14.25" customHeight="1">
      <c r="A457" s="1" t="s">
        <v>2</v>
      </c>
      <c r="B457" s="1" t="s">
        <v>458</v>
      </c>
    </row>
    <row r="458" ht="14.25" customHeight="1">
      <c r="A458" s="1" t="s">
        <v>2</v>
      </c>
      <c r="B458" s="1" t="s">
        <v>459</v>
      </c>
    </row>
    <row r="459" ht="14.25" customHeight="1">
      <c r="A459" s="1" t="s">
        <v>2</v>
      </c>
      <c r="B459" s="1" t="s">
        <v>460</v>
      </c>
    </row>
    <row r="460" ht="14.25" customHeight="1">
      <c r="A460" s="1" t="s">
        <v>2</v>
      </c>
      <c r="B460" s="1" t="s">
        <v>461</v>
      </c>
    </row>
    <row r="461" ht="14.25" customHeight="1">
      <c r="A461" s="1" t="s">
        <v>2</v>
      </c>
      <c r="B461" s="1" t="s">
        <v>462</v>
      </c>
    </row>
    <row r="462" ht="14.25" customHeight="1">
      <c r="A462" s="1" t="s">
        <v>2</v>
      </c>
      <c r="B462" s="1" t="s">
        <v>463</v>
      </c>
    </row>
    <row r="463" ht="14.25" customHeight="1">
      <c r="A463" s="1" t="s">
        <v>2</v>
      </c>
      <c r="B463" s="1" t="s">
        <v>464</v>
      </c>
    </row>
    <row r="464" ht="14.25" customHeight="1">
      <c r="A464" s="1" t="s">
        <v>2</v>
      </c>
      <c r="B464" s="1" t="s">
        <v>465</v>
      </c>
    </row>
    <row r="465" ht="14.25" customHeight="1">
      <c r="A465" s="1" t="s">
        <v>2</v>
      </c>
      <c r="B465" s="1" t="s">
        <v>466</v>
      </c>
    </row>
    <row r="466" ht="14.25" customHeight="1">
      <c r="A466" s="1" t="s">
        <v>2</v>
      </c>
      <c r="B466" s="1" t="s">
        <v>467</v>
      </c>
    </row>
    <row r="467" ht="14.25" customHeight="1">
      <c r="A467" s="1" t="s">
        <v>2</v>
      </c>
      <c r="B467" s="1" t="s">
        <v>468</v>
      </c>
    </row>
    <row r="468" ht="14.25" customHeight="1">
      <c r="A468" s="1" t="s">
        <v>2</v>
      </c>
      <c r="B468" s="1" t="s">
        <v>469</v>
      </c>
    </row>
    <row r="469" ht="14.25" customHeight="1">
      <c r="A469" s="1" t="s">
        <v>2</v>
      </c>
      <c r="B469" s="1" t="s">
        <v>470</v>
      </c>
    </row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16.43"/>
    <col customWidth="1" min="3" max="3" width="15.71"/>
    <col customWidth="1" min="4" max="5" width="9.14"/>
    <col customWidth="1" min="6" max="14" width="8.71"/>
    <col customWidth="1" min="15" max="15" width="25.14"/>
    <col customWidth="1" min="16" max="21" width="8.71"/>
    <col customWidth="1" min="22" max="23" width="9.0"/>
    <col customWidth="1" min="24" max="46" width="8.71"/>
    <col customWidth="1" min="47" max="48" width="9.14"/>
    <col customWidth="1" min="49" max="54" width="8.71"/>
    <col customWidth="1" min="55" max="55" width="9.14"/>
    <col customWidth="1" min="56" max="62" width="8.71"/>
  </cols>
  <sheetData>
    <row r="1" ht="14.25" customHeight="1">
      <c r="A1" s="1" t="s">
        <v>471</v>
      </c>
      <c r="B1" s="1" t="s">
        <v>472</v>
      </c>
      <c r="C1" s="2" t="s">
        <v>473</v>
      </c>
      <c r="D1" s="2" t="s">
        <v>474</v>
      </c>
      <c r="E1" s="2" t="s">
        <v>475</v>
      </c>
      <c r="F1" s="1" t="s">
        <v>476</v>
      </c>
      <c r="G1" s="3" t="s">
        <v>477</v>
      </c>
      <c r="H1" s="1" t="s">
        <v>478</v>
      </c>
      <c r="I1" s="1" t="s">
        <v>479</v>
      </c>
      <c r="J1" s="1" t="s">
        <v>480</v>
      </c>
      <c r="K1" s="1" t="s">
        <v>481</v>
      </c>
      <c r="L1" s="1" t="s">
        <v>482</v>
      </c>
      <c r="M1" s="1" t="s">
        <v>483</v>
      </c>
      <c r="N1" s="1" t="s">
        <v>484</v>
      </c>
      <c r="O1" s="1" t="s">
        <v>485</v>
      </c>
      <c r="P1" s="1" t="s">
        <v>486</v>
      </c>
      <c r="Q1" s="1" t="s">
        <v>487</v>
      </c>
      <c r="R1" s="1" t="s">
        <v>488</v>
      </c>
      <c r="S1" s="1" t="s">
        <v>489</v>
      </c>
      <c r="T1" s="1" t="s">
        <v>490</v>
      </c>
      <c r="U1" s="1" t="s">
        <v>491</v>
      </c>
      <c r="V1" s="4" t="s">
        <v>492</v>
      </c>
      <c r="W1" s="4" t="s">
        <v>493</v>
      </c>
      <c r="X1" s="4" t="s">
        <v>494</v>
      </c>
      <c r="Y1" s="1" t="s">
        <v>495</v>
      </c>
      <c r="Z1" s="1" t="s">
        <v>496</v>
      </c>
      <c r="AA1" s="1" t="s">
        <v>497</v>
      </c>
      <c r="AB1" s="1" t="s">
        <v>498</v>
      </c>
      <c r="AC1" s="1" t="s">
        <v>499</v>
      </c>
      <c r="AD1" s="1" t="s">
        <v>500</v>
      </c>
      <c r="AE1" s="1" t="s">
        <v>501</v>
      </c>
      <c r="AF1" s="1" t="s">
        <v>502</v>
      </c>
      <c r="AG1" s="1" t="s">
        <v>503</v>
      </c>
      <c r="AH1" s="1" t="s">
        <v>504</v>
      </c>
      <c r="AI1" s="1" t="s">
        <v>505</v>
      </c>
      <c r="AJ1" s="1" t="s">
        <v>506</v>
      </c>
      <c r="AK1" s="1" t="s">
        <v>507</v>
      </c>
      <c r="AL1" s="1" t="s">
        <v>508</v>
      </c>
      <c r="AM1" s="4" t="s">
        <v>509</v>
      </c>
      <c r="AN1" s="1" t="s">
        <v>510</v>
      </c>
      <c r="AO1" s="4" t="s">
        <v>511</v>
      </c>
      <c r="AP1" s="1" t="s">
        <v>512</v>
      </c>
      <c r="AQ1" s="1" t="s">
        <v>513</v>
      </c>
      <c r="AR1" s="1" t="s">
        <v>514</v>
      </c>
      <c r="AS1" s="1" t="s">
        <v>515</v>
      </c>
      <c r="AT1" s="1" t="s">
        <v>516</v>
      </c>
      <c r="AU1" s="2" t="s">
        <v>517</v>
      </c>
      <c r="AV1" s="2" t="s">
        <v>518</v>
      </c>
      <c r="AW1" s="1" t="s">
        <v>519</v>
      </c>
      <c r="AX1" s="1" t="s">
        <v>520</v>
      </c>
      <c r="AY1" s="1" t="s">
        <v>521</v>
      </c>
      <c r="AZ1" s="1" t="s">
        <v>522</v>
      </c>
      <c r="BA1" s="1" t="s">
        <v>523</v>
      </c>
      <c r="BB1" s="1" t="s">
        <v>524</v>
      </c>
      <c r="BC1" s="2" t="s">
        <v>525</v>
      </c>
      <c r="BD1" s="1" t="s">
        <v>526</v>
      </c>
      <c r="BE1" s="1" t="s">
        <v>527</v>
      </c>
      <c r="BF1" s="1" t="s">
        <v>528</v>
      </c>
      <c r="BG1" s="1" t="s">
        <v>529</v>
      </c>
      <c r="BH1" s="1" t="s">
        <v>530</v>
      </c>
      <c r="BI1" s="5" t="s">
        <v>531</v>
      </c>
      <c r="BJ1" s="5" t="s">
        <v>532</v>
      </c>
    </row>
    <row r="2" ht="14.25" customHeight="1">
      <c r="A2" s="1">
        <v>153108.0</v>
      </c>
      <c r="B2" s="1" t="s">
        <v>533</v>
      </c>
      <c r="C2" s="2">
        <v>45991.9909722222</v>
      </c>
      <c r="D2" s="2"/>
      <c r="E2" s="2"/>
      <c r="F2" s="1" t="b">
        <v>1</v>
      </c>
      <c r="G2" s="4" t="b">
        <v>0</v>
      </c>
      <c r="H2" s="1" t="b">
        <v>0</v>
      </c>
      <c r="I2" s="1" t="b">
        <v>0</v>
      </c>
      <c r="J2" s="1" t="s">
        <v>534</v>
      </c>
      <c r="K2" s="1" t="s">
        <v>535</v>
      </c>
      <c r="L2" s="1" t="s">
        <v>536</v>
      </c>
      <c r="M2" s="1" t="s">
        <v>537</v>
      </c>
      <c r="N2" s="1">
        <v>0.0</v>
      </c>
      <c r="O2" s="1">
        <v>63.75</v>
      </c>
      <c r="P2" s="1">
        <v>0.0</v>
      </c>
      <c r="Q2" s="1">
        <v>0.0</v>
      </c>
      <c r="R2" s="1">
        <v>0.0</v>
      </c>
      <c r="S2" s="1" t="s">
        <v>538</v>
      </c>
      <c r="T2" s="1" t="s">
        <v>539</v>
      </c>
      <c r="U2" s="6"/>
      <c r="V2" s="4">
        <v>7217712.0</v>
      </c>
      <c r="W2" s="4" t="s">
        <v>540</v>
      </c>
      <c r="X2" s="4">
        <v>0.0</v>
      </c>
      <c r="Y2" s="1">
        <v>1.0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4">
        <v>0.0</v>
      </c>
      <c r="AN2" s="1">
        <v>0.0</v>
      </c>
      <c r="AO2" s="4">
        <v>0.0</v>
      </c>
      <c r="AP2" s="1">
        <f t="shared" ref="AP2:AP670" si="1">1-SUM(X2:AN2)</f>
        <v>0</v>
      </c>
      <c r="AQ2" s="1" t="s">
        <v>541</v>
      </c>
      <c r="AR2" s="1" t="s">
        <v>542</v>
      </c>
      <c r="AS2" s="1" t="s">
        <v>543</v>
      </c>
      <c r="AT2" s="1" t="s">
        <v>544</v>
      </c>
      <c r="AU2" s="2">
        <v>45991.0</v>
      </c>
      <c r="AV2" s="2">
        <v>46024.0340277778</v>
      </c>
      <c r="AW2" s="1">
        <v>0.0</v>
      </c>
      <c r="AX2" s="1">
        <v>318369.12</v>
      </c>
      <c r="AY2" s="1">
        <v>13.0</v>
      </c>
      <c r="AZ2" s="1">
        <v>1.0</v>
      </c>
      <c r="BA2" s="1">
        <v>0.0</v>
      </c>
      <c r="BB2" s="1">
        <v>0.0</v>
      </c>
      <c r="BC2" s="2">
        <v>45991.0</v>
      </c>
      <c r="BD2" s="1">
        <v>47.0</v>
      </c>
      <c r="BE2" s="1" t="s">
        <v>545</v>
      </c>
      <c r="BF2" s="1">
        <v>2025.0</v>
      </c>
      <c r="BG2" s="1" t="s">
        <v>546</v>
      </c>
      <c r="BH2" s="7" t="str">
        <f>VLOOKUP(B2,CookieClicks!D:O,12,FALSE)</f>
        <v>https://www.method.me/</v>
      </c>
      <c r="BI2" s="8" t="str">
        <f>IFERROR(__xludf.DUMMYFUNCTION("VLOOKUP(REGEXREPLACE(BH2,""[?].*"",""""),ContentBuckets!A:C,2,FALSE)"),"Homepage")</f>
        <v>Homepage</v>
      </c>
      <c r="BJ2" s="8" t="str">
        <f>IFERROR(__xludf.DUMMYFUNCTION("VLOOKUP(REGEXREPLACE(BH2,""[?].*"",""""),ContentBuckets!A:C,3,FALSE)"),"Other page")</f>
        <v>Other page</v>
      </c>
    </row>
    <row r="3" ht="14.25" customHeight="1">
      <c r="A3" s="1">
        <v>153109.0</v>
      </c>
      <c r="B3" s="1" t="s">
        <v>547</v>
      </c>
      <c r="C3" s="2">
        <v>45992.1291666667</v>
      </c>
      <c r="D3" s="2"/>
      <c r="E3" s="2"/>
      <c r="F3" s="1" t="b">
        <v>1</v>
      </c>
      <c r="G3" s="4" t="b">
        <v>0</v>
      </c>
      <c r="H3" s="1" t="b">
        <v>0</v>
      </c>
      <c r="I3" s="1" t="b">
        <v>0</v>
      </c>
      <c r="J3" s="1" t="s">
        <v>534</v>
      </c>
      <c r="K3" s="1" t="s">
        <v>535</v>
      </c>
      <c r="L3" s="1" t="s">
        <v>536</v>
      </c>
      <c r="M3" s="1" t="s">
        <v>537</v>
      </c>
      <c r="N3" s="1">
        <v>0.0</v>
      </c>
      <c r="O3" s="1">
        <v>53.25</v>
      </c>
      <c r="P3" s="1">
        <v>0.0</v>
      </c>
      <c r="Q3" s="1">
        <v>0.0</v>
      </c>
      <c r="R3" s="1">
        <v>28.0</v>
      </c>
      <c r="S3" s="1" t="s">
        <v>538</v>
      </c>
      <c r="T3" s="1" t="s">
        <v>539</v>
      </c>
      <c r="V3" s="4">
        <v>7218180.0</v>
      </c>
      <c r="W3" s="4" t="s">
        <v>540</v>
      </c>
      <c r="X3" s="4">
        <v>0.0</v>
      </c>
      <c r="Y3" s="1">
        <v>1.0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4">
        <v>0.0</v>
      </c>
      <c r="AN3" s="1">
        <v>0.0</v>
      </c>
      <c r="AO3" s="4">
        <v>0.0</v>
      </c>
      <c r="AP3" s="1">
        <f t="shared" si="1"/>
        <v>0</v>
      </c>
      <c r="AQ3" s="1" t="s">
        <v>548</v>
      </c>
      <c r="AR3" s="1" t="s">
        <v>549</v>
      </c>
      <c r="AU3" s="2"/>
      <c r="AV3" s="2">
        <v>46023.9819444444</v>
      </c>
      <c r="AW3" s="1">
        <v>9.0</v>
      </c>
      <c r="AX3" s="1">
        <v>0.0</v>
      </c>
      <c r="AY3" s="1">
        <v>214.0</v>
      </c>
      <c r="AZ3" s="1">
        <v>1.0</v>
      </c>
      <c r="BA3" s="1">
        <v>0.0</v>
      </c>
      <c r="BB3" s="1">
        <v>0.0</v>
      </c>
      <c r="BC3" s="2">
        <v>45992.0</v>
      </c>
      <c r="BD3" s="1">
        <v>48.0</v>
      </c>
      <c r="BE3" s="1" t="s">
        <v>550</v>
      </c>
      <c r="BF3" s="1">
        <v>2025.0</v>
      </c>
      <c r="BG3" s="1" t="s">
        <v>551</v>
      </c>
      <c r="BH3" s="7" t="str">
        <f>VLOOKUP(B3,CookieClicks!D:O,12,FALSE)</f>
        <v>https://www.method.me/</v>
      </c>
      <c r="BI3" s="8" t="str">
        <f>IFERROR(__xludf.DUMMYFUNCTION("VLOOKUP(REGEXREPLACE(BH3,""[?].*"",""""),ContentBuckets!A:C,2,FALSE)"),"Homepage")</f>
        <v>Homepage</v>
      </c>
      <c r="BJ3" s="8" t="str">
        <f>IFERROR(__xludf.DUMMYFUNCTION("VLOOKUP(REGEXREPLACE(BH3,""[?].*"",""""),ContentBuckets!A:C,3,FALSE)"),"Other page")</f>
        <v>Other page</v>
      </c>
    </row>
    <row r="4" ht="14.25" customHeight="1">
      <c r="A4" s="1">
        <v>153110.0</v>
      </c>
      <c r="B4" s="1" t="s">
        <v>552</v>
      </c>
      <c r="C4" s="2">
        <v>45992.1756944444</v>
      </c>
      <c r="D4" s="2"/>
      <c r="E4" s="2"/>
      <c r="F4" s="1" t="b">
        <v>1</v>
      </c>
      <c r="G4" s="4" t="b">
        <v>0</v>
      </c>
      <c r="H4" s="1" t="b">
        <v>0</v>
      </c>
      <c r="I4" s="1" t="b">
        <v>0</v>
      </c>
      <c r="J4" s="1" t="s">
        <v>534</v>
      </c>
      <c r="K4" s="1" t="s">
        <v>553</v>
      </c>
      <c r="L4" s="1" t="s">
        <v>554</v>
      </c>
      <c r="M4" s="1" t="s">
        <v>537</v>
      </c>
      <c r="N4" s="1">
        <v>0.0</v>
      </c>
      <c r="O4" s="1">
        <v>44.25</v>
      </c>
      <c r="P4" s="1">
        <v>0.0</v>
      </c>
      <c r="Q4" s="1">
        <v>0.0</v>
      </c>
      <c r="R4" s="1">
        <v>0.0</v>
      </c>
      <c r="S4" s="1" t="s">
        <v>538</v>
      </c>
      <c r="T4" s="1" t="s">
        <v>539</v>
      </c>
      <c r="V4" s="4">
        <v>7218307.0</v>
      </c>
      <c r="W4" s="4"/>
      <c r="X4" s="4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4">
        <v>0.0</v>
      </c>
      <c r="AN4" s="1">
        <v>1.0</v>
      </c>
      <c r="AO4" s="4">
        <v>0.0</v>
      </c>
      <c r="AP4" s="1">
        <f t="shared" si="1"/>
        <v>0</v>
      </c>
      <c r="AU4" s="2"/>
      <c r="AV4" s="2">
        <v>46024.0284722222</v>
      </c>
      <c r="AW4" s="1">
        <v>0.0</v>
      </c>
      <c r="AX4" s="1">
        <v>0.0</v>
      </c>
      <c r="AY4" s="1">
        <v>0.0</v>
      </c>
      <c r="AZ4" s="1">
        <v>1.0</v>
      </c>
      <c r="BA4" s="1">
        <v>0.0</v>
      </c>
      <c r="BB4" s="1">
        <v>0.0</v>
      </c>
      <c r="BC4" s="2">
        <v>45992.0</v>
      </c>
      <c r="BD4" s="1">
        <v>48.0</v>
      </c>
      <c r="BE4" s="1" t="s">
        <v>550</v>
      </c>
      <c r="BF4" s="1">
        <v>2025.0</v>
      </c>
      <c r="BG4" s="1" t="s">
        <v>555</v>
      </c>
      <c r="BH4" s="7" t="str">
        <f>VLOOKUP(B4,CookieClicks!D:O,12,FALSE)</f>
        <v>https://www.method.me/blog/construction-project-success-crm-solution/</v>
      </c>
      <c r="BI4" s="8" t="str">
        <f>IFERROR(__xludf.DUMMYFUNCTION("VLOOKUP(REGEXREPLACE(BH4,""[?].*"",""""),ContentBuckets!A:C,2,FALSE)"),"CRM")</f>
        <v>CRM</v>
      </c>
      <c r="BJ4" s="8" t="str">
        <f>IFERROR(__xludf.DUMMYFUNCTION("VLOOKUP(REGEXREPLACE(BH4,""[?].*"",""""),ContentBuckets!A:C,3,FALSE)"),"Blog")</f>
        <v>Blog</v>
      </c>
    </row>
    <row r="5" ht="14.25" customHeight="1">
      <c r="A5" s="1">
        <v>153111.0</v>
      </c>
      <c r="B5" s="1" t="s">
        <v>556</v>
      </c>
      <c r="C5" s="2">
        <v>45992.3256944444</v>
      </c>
      <c r="D5" s="2"/>
      <c r="E5" s="2">
        <v>46006.6875</v>
      </c>
      <c r="F5" s="1" t="b">
        <v>1</v>
      </c>
      <c r="G5" s="4" t="b">
        <v>0</v>
      </c>
      <c r="H5" s="1" t="b">
        <v>0</v>
      </c>
      <c r="I5" s="1" t="b">
        <v>0</v>
      </c>
      <c r="J5" s="1" t="s">
        <v>534</v>
      </c>
      <c r="K5" s="1" t="s">
        <v>535</v>
      </c>
      <c r="L5" s="1" t="s">
        <v>536</v>
      </c>
      <c r="M5" s="1" t="s">
        <v>537</v>
      </c>
      <c r="N5" s="1">
        <v>88.5</v>
      </c>
      <c r="O5" s="1">
        <v>70.5</v>
      </c>
      <c r="P5" s="1">
        <v>0.0</v>
      </c>
      <c r="Q5" s="1">
        <v>0.0</v>
      </c>
      <c r="R5" s="1">
        <v>28.0</v>
      </c>
      <c r="S5" s="1" t="s">
        <v>538</v>
      </c>
      <c r="T5" s="1" t="s">
        <v>539</v>
      </c>
      <c r="V5" s="4">
        <v>7204189.0</v>
      </c>
      <c r="W5" s="4" t="s">
        <v>540</v>
      </c>
      <c r="X5" s="4">
        <v>0.0</v>
      </c>
      <c r="Y5" s="1">
        <v>1.0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1">
        <v>0.0</v>
      </c>
      <c r="AL5" s="1">
        <v>0.0</v>
      </c>
      <c r="AM5" s="4">
        <v>0.0</v>
      </c>
      <c r="AN5" s="1">
        <v>0.0</v>
      </c>
      <c r="AO5" s="4">
        <v>0.0</v>
      </c>
      <c r="AP5" s="1">
        <f t="shared" si="1"/>
        <v>0</v>
      </c>
      <c r="AQ5" s="1" t="s">
        <v>557</v>
      </c>
      <c r="AR5" s="1" t="s">
        <v>549</v>
      </c>
      <c r="AU5" s="2">
        <v>45992.0</v>
      </c>
      <c r="AV5" s="2">
        <v>46024.0013888889</v>
      </c>
      <c r="AW5" s="1">
        <v>6.0</v>
      </c>
      <c r="AX5" s="1">
        <v>4570973.76</v>
      </c>
      <c r="AY5" s="1">
        <v>441.0</v>
      </c>
      <c r="AZ5" s="1">
        <v>2.0</v>
      </c>
      <c r="BA5" s="1">
        <v>0.0</v>
      </c>
      <c r="BB5" s="1">
        <v>0.0</v>
      </c>
      <c r="BC5" s="2">
        <v>45992.0</v>
      </c>
      <c r="BD5" s="1">
        <v>48.0</v>
      </c>
      <c r="BE5" s="1" t="s">
        <v>550</v>
      </c>
      <c r="BF5" s="1">
        <v>2025.0</v>
      </c>
      <c r="BG5" s="1" t="s">
        <v>558</v>
      </c>
      <c r="BH5" s="7" t="str">
        <f>VLOOKUP(B5,CookieClicks!D:O,12,FALSE)</f>
        <v>https://www.method.me/blog/quickbooks-customer-portal/</v>
      </c>
      <c r="BI5" s="8" t="str">
        <f>IFERROR(__xludf.DUMMYFUNCTION("VLOOKUP(REGEXREPLACE(BH5,""[?].*"",""""),ContentBuckets!A:C,2,FALSE)"),"Listicle - General")</f>
        <v>Listicle - General</v>
      </c>
      <c r="BJ5" s="8" t="str">
        <f>IFERROR(__xludf.DUMMYFUNCTION("VLOOKUP(REGEXREPLACE(BH5,""[?].*"",""""),ContentBuckets!A:C,3,FALSE)"),"Blog")</f>
        <v>Blog</v>
      </c>
    </row>
    <row r="6" ht="14.25" customHeight="1">
      <c r="A6" s="1">
        <v>153112.0</v>
      </c>
      <c r="B6" s="1" t="s">
        <v>559</v>
      </c>
      <c r="C6" s="2">
        <v>45992.3361111111</v>
      </c>
      <c r="D6" s="2"/>
      <c r="E6" s="2"/>
      <c r="F6" s="1" t="b">
        <v>1</v>
      </c>
      <c r="G6" s="4" t="b">
        <v>0</v>
      </c>
      <c r="H6" s="1" t="b">
        <v>0</v>
      </c>
      <c r="I6" s="1" t="b">
        <v>0</v>
      </c>
      <c r="J6" s="1" t="s">
        <v>534</v>
      </c>
      <c r="K6" s="1" t="s">
        <v>535</v>
      </c>
      <c r="L6" s="1" t="s">
        <v>536</v>
      </c>
      <c r="M6" s="1" t="s">
        <v>537</v>
      </c>
      <c r="N6" s="1">
        <v>0.0</v>
      </c>
      <c r="O6" s="1">
        <v>44.25</v>
      </c>
      <c r="P6" s="1">
        <v>0.0</v>
      </c>
      <c r="Q6" s="1">
        <v>0.0</v>
      </c>
      <c r="R6" s="1">
        <v>28.0</v>
      </c>
      <c r="S6" s="1" t="s">
        <v>538</v>
      </c>
      <c r="T6" s="1" t="s">
        <v>539</v>
      </c>
      <c r="V6" s="4">
        <v>7171808.0</v>
      </c>
      <c r="W6" s="4" t="s">
        <v>540</v>
      </c>
      <c r="X6" s="4">
        <v>0.0</v>
      </c>
      <c r="Y6" s="1">
        <v>1.0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  <c r="AK6" s="1">
        <v>0.0</v>
      </c>
      <c r="AL6" s="1">
        <v>0.0</v>
      </c>
      <c r="AM6" s="4">
        <v>0.0</v>
      </c>
      <c r="AN6" s="1">
        <v>0.0</v>
      </c>
      <c r="AO6" s="4">
        <v>0.0</v>
      </c>
      <c r="AP6" s="1">
        <f t="shared" si="1"/>
        <v>0</v>
      </c>
      <c r="AQ6" s="1" t="s">
        <v>557</v>
      </c>
      <c r="AR6" s="1" t="s">
        <v>560</v>
      </c>
      <c r="AT6" s="1" t="s">
        <v>561</v>
      </c>
      <c r="AU6" s="2">
        <v>45992.0</v>
      </c>
      <c r="AV6" s="2">
        <v>46023.9895833333</v>
      </c>
      <c r="AW6" s="1">
        <v>0.0</v>
      </c>
      <c r="AX6" s="1">
        <v>0.0</v>
      </c>
      <c r="AY6" s="1">
        <v>403.0</v>
      </c>
      <c r="AZ6" s="1">
        <v>1.0</v>
      </c>
      <c r="BA6" s="1">
        <v>0.0</v>
      </c>
      <c r="BB6" s="1">
        <v>0.0</v>
      </c>
      <c r="BC6" s="2">
        <v>45992.0</v>
      </c>
      <c r="BD6" s="1">
        <v>48.0</v>
      </c>
      <c r="BE6" s="1" t="s">
        <v>550</v>
      </c>
      <c r="BF6" s="1">
        <v>2025.0</v>
      </c>
      <c r="BG6" s="1" t="s">
        <v>558</v>
      </c>
      <c r="BH6" s="7" t="str">
        <f>VLOOKUP(B6,CookieClicks!D:O,12,FALSE)</f>
        <v>https://www.method.me/</v>
      </c>
      <c r="BI6" s="8" t="str">
        <f>IFERROR(__xludf.DUMMYFUNCTION("VLOOKUP(REGEXREPLACE(BH6,""[?].*"",""""),ContentBuckets!A:C,2,FALSE)"),"Homepage")</f>
        <v>Homepage</v>
      </c>
      <c r="BJ6" s="8" t="str">
        <f>IFERROR(__xludf.DUMMYFUNCTION("VLOOKUP(REGEXREPLACE(BH6,""[?].*"",""""),ContentBuckets!A:C,3,FALSE)"),"Other page")</f>
        <v>Other page</v>
      </c>
    </row>
    <row r="7" ht="14.25" customHeight="1">
      <c r="A7" s="1">
        <v>153113.0</v>
      </c>
      <c r="B7" s="1" t="s">
        <v>562</v>
      </c>
      <c r="C7" s="2">
        <v>45992.3416666667</v>
      </c>
      <c r="D7" s="2">
        <v>45992.3645833333</v>
      </c>
      <c r="E7" s="2"/>
      <c r="F7" s="1" t="b">
        <v>0</v>
      </c>
      <c r="G7" s="4" t="b">
        <v>1</v>
      </c>
      <c r="H7" s="1" t="b">
        <v>0</v>
      </c>
      <c r="I7" s="1" t="b">
        <v>0</v>
      </c>
      <c r="J7" s="1" t="s">
        <v>534</v>
      </c>
      <c r="K7" s="1" t="s">
        <v>553</v>
      </c>
      <c r="L7" s="1" t="s">
        <v>554</v>
      </c>
      <c r="M7" s="1" t="s">
        <v>537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 t="s">
        <v>538</v>
      </c>
      <c r="T7" s="1" t="s">
        <v>539</v>
      </c>
      <c r="V7" s="4">
        <v>7168930.0</v>
      </c>
      <c r="W7" s="4"/>
      <c r="X7" s="4">
        <v>1.0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  <c r="AK7" s="1">
        <v>0.0</v>
      </c>
      <c r="AL7" s="1">
        <v>0.0</v>
      </c>
      <c r="AM7" s="4">
        <v>0.0</v>
      </c>
      <c r="AN7" s="1">
        <v>0.0</v>
      </c>
      <c r="AO7" s="4">
        <v>0.0</v>
      </c>
      <c r="AP7" s="1">
        <f t="shared" si="1"/>
        <v>0</v>
      </c>
      <c r="AU7" s="2"/>
      <c r="AV7" s="2"/>
      <c r="AW7" s="1">
        <v>0.0</v>
      </c>
      <c r="AX7" s="1">
        <v>0.0</v>
      </c>
      <c r="AY7" s="1">
        <v>0.0</v>
      </c>
      <c r="AZ7" s="1">
        <v>1.0</v>
      </c>
      <c r="BA7" s="1">
        <v>0.0</v>
      </c>
      <c r="BB7" s="1">
        <v>0.0</v>
      </c>
      <c r="BC7" s="2">
        <v>45992.0</v>
      </c>
      <c r="BD7" s="1">
        <v>48.0</v>
      </c>
      <c r="BE7" s="1" t="s">
        <v>550</v>
      </c>
      <c r="BF7" s="1">
        <v>2025.0</v>
      </c>
      <c r="BG7" s="1" t="s">
        <v>558</v>
      </c>
      <c r="BH7" s="7" t="str">
        <f>VLOOKUP(B7,CookieClicks!D:O,12,FALSE)</f>
        <v>http://signup.method.me/methodcrm</v>
      </c>
      <c r="BI7" s="8" t="str">
        <f>IFERROR(__xludf.DUMMYFUNCTION("VLOOKUP(REGEXREPLACE(BH7,""[?].*"",""""),ContentBuckets!A:C,2,FALSE)"),"#N/A")</f>
        <v>#N/A</v>
      </c>
      <c r="BJ7" s="8" t="str">
        <f>IFERROR(__xludf.DUMMYFUNCTION("VLOOKUP(REGEXREPLACE(BH7,""[?].*"",""""),ContentBuckets!A:C,3,FALSE)"),"#N/A")</f>
        <v>#N/A</v>
      </c>
    </row>
    <row r="8" ht="14.25" customHeight="1">
      <c r="A8" s="1">
        <v>153114.0</v>
      </c>
      <c r="B8" s="1" t="s">
        <v>563</v>
      </c>
      <c r="C8" s="2">
        <v>45992.3465277778</v>
      </c>
      <c r="D8" s="2"/>
      <c r="E8" s="2"/>
      <c r="F8" s="1" t="b">
        <v>1</v>
      </c>
      <c r="G8" s="4" t="b">
        <v>0</v>
      </c>
      <c r="H8" s="1" t="b">
        <v>0</v>
      </c>
      <c r="I8" s="1" t="b">
        <v>0</v>
      </c>
      <c r="J8" s="1" t="s">
        <v>534</v>
      </c>
      <c r="K8" s="1" t="s">
        <v>535</v>
      </c>
      <c r="L8" s="1" t="s">
        <v>536</v>
      </c>
      <c r="M8" s="1" t="s">
        <v>537</v>
      </c>
      <c r="N8" s="1">
        <v>0.0</v>
      </c>
      <c r="O8" s="1">
        <v>44.25</v>
      </c>
      <c r="P8" s="1">
        <v>0.0</v>
      </c>
      <c r="Q8" s="1">
        <v>0.0</v>
      </c>
      <c r="R8" s="1">
        <v>28.0</v>
      </c>
      <c r="S8" s="1" t="s">
        <v>538</v>
      </c>
      <c r="T8" s="1" t="s">
        <v>539</v>
      </c>
      <c r="V8" s="4">
        <v>7218855.0</v>
      </c>
      <c r="W8" s="4"/>
      <c r="X8" s="4">
        <v>1.0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4">
        <v>0.0</v>
      </c>
      <c r="AN8" s="1">
        <v>0.0</v>
      </c>
      <c r="AO8" s="4">
        <v>0.0</v>
      </c>
      <c r="AP8" s="1">
        <f t="shared" si="1"/>
        <v>0</v>
      </c>
      <c r="AQ8" s="1" t="s">
        <v>557</v>
      </c>
      <c r="AR8" s="1" t="s">
        <v>564</v>
      </c>
      <c r="AU8" s="2">
        <v>45992.0</v>
      </c>
      <c r="AV8" s="2">
        <v>46024.0277777778</v>
      </c>
      <c r="AW8" s="1">
        <v>0.0</v>
      </c>
      <c r="AX8" s="1">
        <v>44332.44</v>
      </c>
      <c r="AY8" s="1">
        <v>564.0</v>
      </c>
      <c r="AZ8" s="1">
        <v>1.0</v>
      </c>
      <c r="BA8" s="1">
        <v>0.0</v>
      </c>
      <c r="BB8" s="1">
        <v>0.0</v>
      </c>
      <c r="BC8" s="2">
        <v>45992.0</v>
      </c>
      <c r="BD8" s="1">
        <v>48.0</v>
      </c>
      <c r="BE8" s="1" t="s">
        <v>550</v>
      </c>
      <c r="BF8" s="1">
        <v>2025.0</v>
      </c>
      <c r="BG8" s="1" t="s">
        <v>558</v>
      </c>
      <c r="BH8" s="7" t="str">
        <f>VLOOKUP(B8,CookieClicks!D:O,12,FALSE)</f>
        <v>https://signin.method.me/Password/Reset?rpcode=-nZQ0G03B%2bIuTre9Gdsw3ggkv!rw%3du%3dJPbRgJ7a-UmqVNiskXhWYwfMQB8a5</v>
      </c>
      <c r="BI8" s="8" t="str">
        <f>IFERROR(__xludf.DUMMYFUNCTION("VLOOKUP(REGEXREPLACE(BH8,""[?].*"",""""),ContentBuckets!A:C,2,FALSE)"),"#N/A")</f>
        <v>#N/A</v>
      </c>
      <c r="BJ8" s="8" t="str">
        <f>IFERROR(__xludf.DUMMYFUNCTION("VLOOKUP(REGEXREPLACE(BH8,""[?].*"",""""),ContentBuckets!A:C,3,FALSE)"),"#N/A")</f>
        <v>#N/A</v>
      </c>
    </row>
    <row r="9" ht="14.25" customHeight="1">
      <c r="A9" s="1">
        <v>153115.0</v>
      </c>
      <c r="B9" s="1" t="s">
        <v>565</v>
      </c>
      <c r="C9" s="2">
        <v>45992.3618055556</v>
      </c>
      <c r="D9" s="2">
        <v>46000.3784722222</v>
      </c>
      <c r="E9" s="2"/>
      <c r="F9" s="1" t="b">
        <v>0</v>
      </c>
      <c r="G9" s="4" t="b">
        <v>1</v>
      </c>
      <c r="H9" s="1" t="b">
        <v>0</v>
      </c>
      <c r="I9" s="1" t="b">
        <v>0</v>
      </c>
      <c r="J9" s="1" t="s">
        <v>534</v>
      </c>
      <c r="K9" s="1" t="s">
        <v>566</v>
      </c>
      <c r="L9" s="1" t="s">
        <v>567</v>
      </c>
      <c r="M9" s="1" t="s">
        <v>537</v>
      </c>
      <c r="N9" s="1">
        <v>0.0</v>
      </c>
      <c r="O9" s="1">
        <v>63.75</v>
      </c>
      <c r="P9" s="1">
        <v>0.0</v>
      </c>
      <c r="Q9" s="1">
        <v>0.0</v>
      </c>
      <c r="R9" s="1">
        <v>28.0</v>
      </c>
      <c r="S9" s="1" t="s">
        <v>538</v>
      </c>
      <c r="T9" s="1" t="s">
        <v>539</v>
      </c>
      <c r="V9" s="4">
        <v>7168930.0</v>
      </c>
      <c r="W9" s="4"/>
      <c r="X9" s="4">
        <v>1.0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1">
        <v>0.0</v>
      </c>
      <c r="AM9" s="4">
        <v>0.0</v>
      </c>
      <c r="AN9" s="1">
        <v>0.0</v>
      </c>
      <c r="AO9" s="4">
        <v>0.0</v>
      </c>
      <c r="AP9" s="1">
        <f t="shared" si="1"/>
        <v>0</v>
      </c>
      <c r="AQ9" s="1" t="s">
        <v>557</v>
      </c>
      <c r="AR9" s="1" t="s">
        <v>568</v>
      </c>
      <c r="AU9" s="2">
        <v>45992.0</v>
      </c>
      <c r="AV9" s="2">
        <v>46000.0180555556</v>
      </c>
      <c r="AW9" s="1">
        <v>15.0</v>
      </c>
      <c r="AX9" s="1">
        <v>933479.16</v>
      </c>
      <c r="AY9" s="1">
        <v>3208.0</v>
      </c>
      <c r="AZ9" s="1">
        <v>1.0</v>
      </c>
      <c r="BA9" s="1">
        <v>0.0</v>
      </c>
      <c r="BB9" s="1">
        <v>0.0</v>
      </c>
      <c r="BC9" s="2">
        <v>45992.0</v>
      </c>
      <c r="BD9" s="1">
        <v>48.0</v>
      </c>
      <c r="BE9" s="1" t="s">
        <v>550</v>
      </c>
      <c r="BF9" s="1">
        <v>2025.0</v>
      </c>
      <c r="BG9" s="1" t="s">
        <v>558</v>
      </c>
      <c r="BH9" s="7" t="str">
        <f>VLOOKUP(B9,CookieClicks!D:O,12,FALSE)</f>
        <v>http://signup.method.me/methodcrm</v>
      </c>
      <c r="BI9" s="8" t="str">
        <f>IFERROR(__xludf.DUMMYFUNCTION("VLOOKUP(REGEXREPLACE(BH9,""[?].*"",""""),ContentBuckets!A:C,2,FALSE)"),"#N/A")</f>
        <v>#N/A</v>
      </c>
      <c r="BJ9" s="8" t="str">
        <f>IFERROR(__xludf.DUMMYFUNCTION("VLOOKUP(REGEXREPLACE(BH9,""[?].*"",""""),ContentBuckets!A:C,3,FALSE)"),"#N/A")</f>
        <v>#N/A</v>
      </c>
    </row>
    <row r="10" ht="14.25" customHeight="1">
      <c r="A10" s="1">
        <v>153116.0</v>
      </c>
      <c r="B10" s="1" t="s">
        <v>569</v>
      </c>
      <c r="C10" s="2">
        <v>45992.4159722222</v>
      </c>
      <c r="D10" s="2"/>
      <c r="E10" s="2">
        <v>46009.4958333333</v>
      </c>
      <c r="F10" s="1" t="b">
        <v>1</v>
      </c>
      <c r="G10" s="4" t="b">
        <v>0</v>
      </c>
      <c r="H10" s="1" t="b">
        <v>0</v>
      </c>
      <c r="I10" s="1" t="b">
        <v>0</v>
      </c>
      <c r="J10" s="1" t="s">
        <v>534</v>
      </c>
      <c r="K10" s="1" t="s">
        <v>535</v>
      </c>
      <c r="L10" s="1" t="s">
        <v>536</v>
      </c>
      <c r="M10" s="1" t="s">
        <v>537</v>
      </c>
      <c r="N10" s="1">
        <v>72.75</v>
      </c>
      <c r="O10" s="1">
        <v>72.75</v>
      </c>
      <c r="P10" s="1">
        <v>0.0</v>
      </c>
      <c r="Q10" s="1">
        <v>0.0</v>
      </c>
      <c r="R10" s="1">
        <v>28.0</v>
      </c>
      <c r="S10" s="1" t="s">
        <v>538</v>
      </c>
      <c r="T10" s="1" t="s">
        <v>539</v>
      </c>
      <c r="V10" s="4">
        <v>7210242.0</v>
      </c>
      <c r="W10" s="4" t="s">
        <v>540</v>
      </c>
      <c r="X10" s="4">
        <v>0.0</v>
      </c>
      <c r="Y10" s="1">
        <v>1.0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4">
        <v>0.0</v>
      </c>
      <c r="AN10" s="1">
        <v>0.0</v>
      </c>
      <c r="AO10" s="4">
        <v>0.0</v>
      </c>
      <c r="AP10" s="1">
        <f t="shared" si="1"/>
        <v>0</v>
      </c>
      <c r="AQ10" s="1" t="s">
        <v>557</v>
      </c>
      <c r="AR10" s="1" t="s">
        <v>542</v>
      </c>
      <c r="AU10" s="2">
        <v>45992.0</v>
      </c>
      <c r="AV10" s="2">
        <v>46024.0034722222</v>
      </c>
      <c r="AW10" s="1">
        <v>56.0</v>
      </c>
      <c r="AX10" s="1">
        <v>2704501.32</v>
      </c>
      <c r="AY10" s="1">
        <v>1178.0</v>
      </c>
      <c r="AZ10" s="1">
        <v>1.0</v>
      </c>
      <c r="BA10" s="1">
        <v>0.0</v>
      </c>
      <c r="BB10" s="1">
        <v>1.0</v>
      </c>
      <c r="BC10" s="2">
        <v>45992.0</v>
      </c>
      <c r="BD10" s="1">
        <v>48.0</v>
      </c>
      <c r="BE10" s="1" t="s">
        <v>550</v>
      </c>
      <c r="BF10" s="1">
        <v>2025.0</v>
      </c>
      <c r="BG10" s="1" t="s">
        <v>558</v>
      </c>
      <c r="BH10" s="7" t="str">
        <f>VLOOKUP(B10,CookieClicks!D:O,12,FALSE)</f>
        <v>https://www.method.me/</v>
      </c>
      <c r="BI10" s="8" t="str">
        <f>IFERROR(__xludf.DUMMYFUNCTION("VLOOKUP(REGEXREPLACE(BH10,""[?].*"",""""),ContentBuckets!A:C,2,FALSE)"),"Homepage")</f>
        <v>Homepage</v>
      </c>
      <c r="BJ10" s="8" t="str">
        <f>IFERROR(__xludf.DUMMYFUNCTION("VLOOKUP(REGEXREPLACE(BH10,""[?].*"",""""),ContentBuckets!A:C,3,FALSE)"),"Other page")</f>
        <v>Other page</v>
      </c>
    </row>
    <row r="11" ht="14.25" customHeight="1">
      <c r="A11" s="1">
        <v>153119.0</v>
      </c>
      <c r="B11" s="1" t="s">
        <v>570</v>
      </c>
      <c r="C11" s="2">
        <v>45992.4611111111</v>
      </c>
      <c r="D11" s="2"/>
      <c r="E11" s="2">
        <v>46006.4611111111</v>
      </c>
      <c r="F11" s="1" t="b">
        <v>1</v>
      </c>
      <c r="G11" s="4" t="b">
        <v>0</v>
      </c>
      <c r="H11" s="1" t="b">
        <v>0</v>
      </c>
      <c r="I11" s="1" t="b">
        <v>0</v>
      </c>
      <c r="J11" s="1" t="s">
        <v>534</v>
      </c>
      <c r="K11" s="1" t="s">
        <v>535</v>
      </c>
      <c r="L11" s="1" t="s">
        <v>536</v>
      </c>
      <c r="M11" s="1" t="s">
        <v>537</v>
      </c>
      <c r="N11" s="1">
        <v>452.5</v>
      </c>
      <c r="O11" s="1">
        <v>127.5</v>
      </c>
      <c r="P11" s="1">
        <v>558.0</v>
      </c>
      <c r="Q11" s="1">
        <v>558.0</v>
      </c>
      <c r="R11" s="1">
        <v>28.0</v>
      </c>
      <c r="S11" s="1" t="s">
        <v>538</v>
      </c>
      <c r="T11" s="1" t="s">
        <v>539</v>
      </c>
      <c r="V11" s="4">
        <v>7191321.0</v>
      </c>
      <c r="W11" s="4" t="s">
        <v>540</v>
      </c>
      <c r="X11" s="4">
        <v>0.0</v>
      </c>
      <c r="Y11" s="1">
        <v>1.0</v>
      </c>
      <c r="Z11" s="1">
        <v>0.0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  <c r="AK11" s="1">
        <v>0.0</v>
      </c>
      <c r="AL11" s="1">
        <v>0.0</v>
      </c>
      <c r="AM11" s="4">
        <v>0.0</v>
      </c>
      <c r="AN11" s="1">
        <v>0.0</v>
      </c>
      <c r="AO11" s="4">
        <v>0.0</v>
      </c>
      <c r="AP11" s="1">
        <f t="shared" si="1"/>
        <v>0</v>
      </c>
      <c r="AQ11" s="1" t="s">
        <v>557</v>
      </c>
      <c r="AR11" s="1" t="s">
        <v>571</v>
      </c>
      <c r="AU11" s="2">
        <v>45992.0</v>
      </c>
      <c r="AV11" s="2">
        <v>46024.0270833333</v>
      </c>
      <c r="AW11" s="1">
        <v>0.0</v>
      </c>
      <c r="AX11" s="1">
        <v>2002376.52</v>
      </c>
      <c r="AY11" s="1">
        <v>1130.0</v>
      </c>
      <c r="AZ11" s="1">
        <v>2.0</v>
      </c>
      <c r="BA11" s="1">
        <v>0.0</v>
      </c>
      <c r="BB11" s="1">
        <v>12.0</v>
      </c>
      <c r="BC11" s="2">
        <v>45992.0</v>
      </c>
      <c r="BD11" s="1">
        <v>48.0</v>
      </c>
      <c r="BE11" s="1" t="s">
        <v>550</v>
      </c>
      <c r="BF11" s="1">
        <v>2025.0</v>
      </c>
      <c r="BG11" s="1" t="s">
        <v>558</v>
      </c>
      <c r="BH11" s="7" t="str">
        <f>VLOOKUP(B11,CookieClicks!D:O,12,FALSE)</f>
        <v>https://www.method.me/</v>
      </c>
      <c r="BI11" s="8" t="str">
        <f>IFERROR(__xludf.DUMMYFUNCTION("VLOOKUP(REGEXREPLACE(BH11,""[?].*"",""""),ContentBuckets!A:C,2,FALSE)"),"Homepage")</f>
        <v>Homepage</v>
      </c>
      <c r="BJ11" s="8" t="str">
        <f>IFERROR(__xludf.DUMMYFUNCTION("VLOOKUP(REGEXREPLACE(BH11,""[?].*"",""""),ContentBuckets!A:C,3,FALSE)"),"Other page")</f>
        <v>Other page</v>
      </c>
    </row>
    <row r="12" ht="14.25" customHeight="1">
      <c r="A12" s="1">
        <v>153120.0</v>
      </c>
      <c r="B12" s="1" t="s">
        <v>572</v>
      </c>
      <c r="C12" s="2">
        <v>45992.4763888889</v>
      </c>
      <c r="D12" s="2"/>
      <c r="E12" s="2">
        <v>46006.4861111111</v>
      </c>
      <c r="F12" s="1" t="b">
        <v>1</v>
      </c>
      <c r="G12" s="4" t="b">
        <v>0</v>
      </c>
      <c r="H12" s="1" t="b">
        <v>0</v>
      </c>
      <c r="I12" s="1" t="b">
        <v>0</v>
      </c>
      <c r="J12" s="1" t="s">
        <v>534</v>
      </c>
      <c r="K12" s="1" t="s">
        <v>535</v>
      </c>
      <c r="L12" s="1" t="s">
        <v>536</v>
      </c>
      <c r="M12" s="1" t="s">
        <v>537</v>
      </c>
      <c r="N12" s="1">
        <v>88.5</v>
      </c>
      <c r="O12" s="1">
        <v>116.0</v>
      </c>
      <c r="P12" s="1">
        <v>0.0</v>
      </c>
      <c r="Q12" s="1">
        <v>0.0</v>
      </c>
      <c r="R12" s="1">
        <v>28.0</v>
      </c>
      <c r="S12" s="1" t="s">
        <v>538</v>
      </c>
      <c r="T12" s="1" t="s">
        <v>539</v>
      </c>
      <c r="V12" s="4">
        <v>7219935.0</v>
      </c>
      <c r="W12" s="4" t="s">
        <v>540</v>
      </c>
      <c r="X12" s="4">
        <v>0.0</v>
      </c>
      <c r="Y12" s="1">
        <v>1.0</v>
      </c>
      <c r="Z12" s="1">
        <v>0.0</v>
      </c>
      <c r="AA12" s="1">
        <v>0.0</v>
      </c>
      <c r="AB12" s="1">
        <v>0.0</v>
      </c>
      <c r="AC12" s="1">
        <v>0.0</v>
      </c>
      <c r="AD12" s="1">
        <v>0.0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0.0</v>
      </c>
      <c r="AK12" s="1">
        <v>0.0</v>
      </c>
      <c r="AL12" s="1">
        <v>0.0</v>
      </c>
      <c r="AM12" s="4">
        <v>0.0</v>
      </c>
      <c r="AN12" s="1">
        <v>0.0</v>
      </c>
      <c r="AO12" s="4">
        <v>0.0</v>
      </c>
      <c r="AP12" s="1">
        <f t="shared" si="1"/>
        <v>0</v>
      </c>
      <c r="AQ12" s="1" t="s">
        <v>557</v>
      </c>
      <c r="AR12" s="1" t="s">
        <v>542</v>
      </c>
      <c r="AU12" s="2">
        <v>45992.0</v>
      </c>
      <c r="AV12" s="2">
        <v>46024.0125</v>
      </c>
      <c r="AW12" s="1">
        <v>0.0</v>
      </c>
      <c r="AX12" s="1">
        <v>877018.8</v>
      </c>
      <c r="AY12" s="1">
        <v>117.0</v>
      </c>
      <c r="AZ12" s="1">
        <v>2.0</v>
      </c>
      <c r="BA12" s="1">
        <v>0.0</v>
      </c>
      <c r="BB12" s="1">
        <v>1.0</v>
      </c>
      <c r="BC12" s="2">
        <v>45992.0</v>
      </c>
      <c r="BD12" s="1">
        <v>48.0</v>
      </c>
      <c r="BE12" s="1" t="s">
        <v>550</v>
      </c>
      <c r="BF12" s="1">
        <v>2025.0</v>
      </c>
      <c r="BG12" s="1" t="s">
        <v>558</v>
      </c>
      <c r="BH12" s="7" t="str">
        <f>VLOOKUP(B12,CookieClicks!D:O,12,FALSE)</f>
        <v>https://www.method.me/</v>
      </c>
      <c r="BI12" s="8" t="str">
        <f>IFERROR(__xludf.DUMMYFUNCTION("VLOOKUP(REGEXREPLACE(BH12,""[?].*"",""""),ContentBuckets!A:C,2,FALSE)"),"Homepage")</f>
        <v>Homepage</v>
      </c>
      <c r="BJ12" s="8" t="str">
        <f>IFERROR(__xludf.DUMMYFUNCTION("VLOOKUP(REGEXREPLACE(BH12,""[?].*"",""""),ContentBuckets!A:C,3,FALSE)"),"Other page")</f>
        <v>Other page</v>
      </c>
    </row>
    <row r="13" ht="14.25" customHeight="1">
      <c r="A13" s="1">
        <v>153121.0</v>
      </c>
      <c r="B13" s="1" t="s">
        <v>573</v>
      </c>
      <c r="C13" s="2">
        <v>45992.4972222222</v>
      </c>
      <c r="D13" s="2">
        <v>45992.5034722222</v>
      </c>
      <c r="E13" s="2"/>
      <c r="F13" s="1" t="b">
        <v>0</v>
      </c>
      <c r="G13" s="4" t="b">
        <v>0</v>
      </c>
      <c r="H13" s="1" t="b">
        <v>0</v>
      </c>
      <c r="I13" s="1" t="b">
        <v>0</v>
      </c>
      <c r="J13" s="1" t="s">
        <v>534</v>
      </c>
      <c r="K13" s="1" t="s">
        <v>535</v>
      </c>
      <c r="L13" s="1" t="s">
        <v>536</v>
      </c>
      <c r="M13" s="1" t="s">
        <v>537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 t="s">
        <v>538</v>
      </c>
      <c r="T13" s="1" t="s">
        <v>539</v>
      </c>
      <c r="V13" s="4">
        <v>7220141.0</v>
      </c>
      <c r="W13" s="4"/>
      <c r="X13" s="4">
        <v>0.0</v>
      </c>
      <c r="Y13" s="1">
        <v>0.0</v>
      </c>
      <c r="Z13" s="1">
        <v>0.0</v>
      </c>
      <c r="AA13" s="1">
        <v>1.0</v>
      </c>
      <c r="AB13" s="1">
        <v>0.0</v>
      </c>
      <c r="AC13" s="1">
        <v>0.0</v>
      </c>
      <c r="AD13" s="1">
        <v>0.0</v>
      </c>
      <c r="AE13" s="1">
        <v>0.0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  <c r="AK13" s="1">
        <v>0.0</v>
      </c>
      <c r="AL13" s="1">
        <v>0.0</v>
      </c>
      <c r="AM13" s="4">
        <v>0.0</v>
      </c>
      <c r="AN13" s="1">
        <v>0.0</v>
      </c>
      <c r="AO13" s="4">
        <v>0.0</v>
      </c>
      <c r="AP13" s="1">
        <f t="shared" si="1"/>
        <v>0</v>
      </c>
      <c r="AQ13" s="1" t="s">
        <v>557</v>
      </c>
      <c r="AU13" s="2"/>
      <c r="AV13" s="2"/>
      <c r="AW13" s="1">
        <v>0.0</v>
      </c>
      <c r="AX13" s="1">
        <v>0.0</v>
      </c>
      <c r="AY13" s="1">
        <v>0.0</v>
      </c>
      <c r="AZ13" s="1">
        <v>1.0</v>
      </c>
      <c r="BA13" s="1">
        <v>0.0</v>
      </c>
      <c r="BB13" s="1">
        <v>0.0</v>
      </c>
      <c r="BC13" s="2">
        <v>45992.0</v>
      </c>
      <c r="BD13" s="1">
        <v>48.0</v>
      </c>
      <c r="BE13" s="1" t="s">
        <v>550</v>
      </c>
      <c r="BF13" s="1">
        <v>2025.0</v>
      </c>
      <c r="BG13" s="1" t="s">
        <v>558</v>
      </c>
      <c r="BH13" s="1" t="str">
        <f>VLOOKUP(B13,CookieClicks!D:O,12,FALSE)</f>
        <v>https://grow.method.me/crm-quickbooks/?trc=86&amp;trk=how to add signature in quickbooks online&amp;trs=USA-G-QB-Bing&amp;msclkid=557a0cff02eb14d3c64065d2caeb7896&amp;utm_source=bing&amp;utm_medium=cpc&amp;utm_campaign=US - Generic 2020&amp;utm_term=how to add signature in quickbooks online&amp;utm_content=Generic</v>
      </c>
      <c r="BI13" s="8" t="str">
        <f>IFERROR(__xludf.DUMMYFUNCTION("VLOOKUP(REGEXREPLACE(BH13,""[?].*"",""""),ContentBuckets!A:C,2,FALSE)"),"#N/A")</f>
        <v>#N/A</v>
      </c>
      <c r="BJ13" s="8" t="str">
        <f>IFERROR(__xludf.DUMMYFUNCTION("VLOOKUP(REGEXREPLACE(BH13,""[?].*"",""""),ContentBuckets!A:C,3,FALSE)"),"#N/A")</f>
        <v>#N/A</v>
      </c>
    </row>
    <row r="14" ht="14.25" customHeight="1">
      <c r="A14" s="1">
        <v>153122.0</v>
      </c>
      <c r="B14" s="1" t="s">
        <v>574</v>
      </c>
      <c r="C14" s="2">
        <v>45992.5173611111</v>
      </c>
      <c r="D14" s="2"/>
      <c r="E14" s="2">
        <v>46007.5965277778</v>
      </c>
      <c r="F14" s="1" t="b">
        <v>1</v>
      </c>
      <c r="G14" s="4" t="b">
        <v>0</v>
      </c>
      <c r="H14" s="1" t="b">
        <v>0</v>
      </c>
      <c r="I14" s="1" t="b">
        <v>0</v>
      </c>
      <c r="J14" s="1" t="s">
        <v>534</v>
      </c>
      <c r="K14" s="1" t="s">
        <v>535</v>
      </c>
      <c r="L14" s="1" t="s">
        <v>536</v>
      </c>
      <c r="M14" s="1" t="s">
        <v>537</v>
      </c>
      <c r="N14" s="1">
        <v>165.0</v>
      </c>
      <c r="O14" s="1">
        <v>186.0</v>
      </c>
      <c r="P14" s="1">
        <v>0.0</v>
      </c>
      <c r="Q14" s="1">
        <v>0.0</v>
      </c>
      <c r="R14" s="1">
        <v>0.0</v>
      </c>
      <c r="S14" s="1" t="s">
        <v>538</v>
      </c>
      <c r="T14" s="1" t="s">
        <v>539</v>
      </c>
      <c r="V14" s="4">
        <v>6659644.0</v>
      </c>
      <c r="W14" s="4"/>
      <c r="X14" s="4">
        <v>0.0</v>
      </c>
      <c r="Y14" s="1">
        <v>0.0</v>
      </c>
      <c r="Z14" s="1">
        <v>0.0</v>
      </c>
      <c r="AA14" s="1">
        <v>1.0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4">
        <v>0.0</v>
      </c>
      <c r="AN14" s="1">
        <v>0.0</v>
      </c>
      <c r="AO14" s="4">
        <v>0.0</v>
      </c>
      <c r="AP14" s="1">
        <f t="shared" si="1"/>
        <v>0</v>
      </c>
      <c r="AQ14" s="1" t="s">
        <v>557</v>
      </c>
      <c r="AT14" s="1" t="s">
        <v>542</v>
      </c>
      <c r="AU14" s="2">
        <v>45992.0</v>
      </c>
      <c r="AV14" s="2">
        <v>46024.0354166667</v>
      </c>
      <c r="AW14" s="1">
        <v>13.0</v>
      </c>
      <c r="AX14" s="1">
        <v>8098044.12</v>
      </c>
      <c r="AY14" s="1">
        <v>1917.0</v>
      </c>
      <c r="AZ14" s="1">
        <v>4.0</v>
      </c>
      <c r="BA14" s="1">
        <v>0.0</v>
      </c>
      <c r="BB14" s="1">
        <v>10.0</v>
      </c>
      <c r="BC14" s="2">
        <v>45992.0</v>
      </c>
      <c r="BD14" s="1">
        <v>48.0</v>
      </c>
      <c r="BE14" s="1" t="s">
        <v>550</v>
      </c>
      <c r="BF14" s="1">
        <v>2025.0</v>
      </c>
      <c r="BG14" s="1" t="s">
        <v>558</v>
      </c>
      <c r="BH14" s="1" t="str">
        <f>VLOOKUP(B14,CookieClicks!D:O,12,FALSE)</f>
        <v>https://grow.method.me/crm-quickbooks/?trc=81&amp;trk=crm integrates with quickbooks&amp;trs=US-QBInt&amp;campaignid=1543381580&amp;adgroupid=100383660218&amp;adid=424373886646&amp;gad_source=1&amp;gad_campaignid=1543381580&amp;gclid=Cj0KCQjw64jDBhDXARIsABkk8J7ukkus1kvinzQTfDBa9T3cwLPvsAUFxay55glRRXyqwvQ1Qif88XkaAgwwEALw_wcB</v>
      </c>
      <c r="BI14" s="8" t="str">
        <f>IFERROR(__xludf.DUMMYFUNCTION("VLOOKUP(REGEXREPLACE(BH14,""[?].*"",""""),ContentBuckets!A:C,2,FALSE)"),"#N/A")</f>
        <v>#N/A</v>
      </c>
      <c r="BJ14" s="8" t="str">
        <f>IFERROR(__xludf.DUMMYFUNCTION("VLOOKUP(REGEXREPLACE(BH14,""[?].*"",""""),ContentBuckets!A:C,3,FALSE)"),"#N/A")</f>
        <v>#N/A</v>
      </c>
    </row>
    <row r="15" ht="14.25" customHeight="1">
      <c r="A15" s="1">
        <v>153124.0</v>
      </c>
      <c r="B15" s="1" t="s">
        <v>575</v>
      </c>
      <c r="C15" s="2">
        <v>45992.5319444444</v>
      </c>
      <c r="D15" s="2"/>
      <c r="E15" s="2"/>
      <c r="F15" s="1" t="b">
        <v>1</v>
      </c>
      <c r="G15" s="4" t="b">
        <v>0</v>
      </c>
      <c r="H15" s="1" t="b">
        <v>0</v>
      </c>
      <c r="I15" s="1" t="b">
        <v>0</v>
      </c>
      <c r="J15" s="1" t="s">
        <v>534</v>
      </c>
      <c r="K15" s="1" t="s">
        <v>535</v>
      </c>
      <c r="L15" s="1" t="s">
        <v>536</v>
      </c>
      <c r="M15" s="1" t="s">
        <v>537</v>
      </c>
      <c r="N15" s="1">
        <v>0.0</v>
      </c>
      <c r="O15" s="1">
        <v>63.75</v>
      </c>
      <c r="P15" s="1">
        <v>0.0</v>
      </c>
      <c r="Q15" s="1">
        <v>0.0</v>
      </c>
      <c r="R15" s="1">
        <v>28.0</v>
      </c>
      <c r="S15" s="1" t="s">
        <v>538</v>
      </c>
      <c r="T15" s="1" t="s">
        <v>539</v>
      </c>
      <c r="V15" s="4">
        <v>7220412.0</v>
      </c>
      <c r="W15" s="4"/>
      <c r="X15" s="4">
        <v>0.0</v>
      </c>
      <c r="Y15" s="1">
        <v>0.0</v>
      </c>
      <c r="Z15" s="1">
        <v>1.0</v>
      </c>
      <c r="AA15" s="1">
        <v>0.0</v>
      </c>
      <c r="AB15" s="1">
        <v>0.0</v>
      </c>
      <c r="AC15" s="1">
        <v>0.0</v>
      </c>
      <c r="AD15" s="1">
        <v>0.0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0.0</v>
      </c>
      <c r="AK15" s="1">
        <v>0.0</v>
      </c>
      <c r="AL15" s="1">
        <v>0.0</v>
      </c>
      <c r="AM15" s="4">
        <v>0.0</v>
      </c>
      <c r="AN15" s="1">
        <v>0.0</v>
      </c>
      <c r="AO15" s="4">
        <v>0.0</v>
      </c>
      <c r="AP15" s="1">
        <f t="shared" si="1"/>
        <v>0</v>
      </c>
      <c r="AQ15" s="1" t="s">
        <v>557</v>
      </c>
      <c r="AR15" s="1" t="s">
        <v>568</v>
      </c>
      <c r="AU15" s="2">
        <v>45992.0</v>
      </c>
      <c r="AV15" s="2">
        <v>46023.9819444444</v>
      </c>
      <c r="AW15" s="1">
        <v>0.0</v>
      </c>
      <c r="AX15" s="1">
        <v>610920.0</v>
      </c>
      <c r="AY15" s="1">
        <v>47.0</v>
      </c>
      <c r="AZ15" s="1">
        <v>1.0</v>
      </c>
      <c r="BA15" s="1">
        <v>0.0</v>
      </c>
      <c r="BB15" s="1">
        <v>0.0</v>
      </c>
      <c r="BC15" s="2">
        <v>45992.0</v>
      </c>
      <c r="BD15" s="1">
        <v>48.0</v>
      </c>
      <c r="BE15" s="1" t="s">
        <v>550</v>
      </c>
      <c r="BF15" s="1">
        <v>2025.0</v>
      </c>
      <c r="BG15" s="1" t="s">
        <v>558</v>
      </c>
      <c r="BH15" s="7" t="str">
        <f>VLOOKUP(B15,CookieClicks!D:O,12,FALSE)</f>
        <v>https://signup.method.me/QBOAppstoreSignup?offering=methodcrm</v>
      </c>
      <c r="BI15" s="8" t="str">
        <f>IFERROR(__xludf.DUMMYFUNCTION("VLOOKUP(REGEXREPLACE(BH15,""[?].*"",""""),ContentBuckets!A:C,2,FALSE)"),"#N/A")</f>
        <v>#N/A</v>
      </c>
      <c r="BJ15" s="8" t="str">
        <f>IFERROR(__xludf.DUMMYFUNCTION("VLOOKUP(REGEXREPLACE(BH15,""[?].*"",""""),ContentBuckets!A:C,3,FALSE)"),"#N/A")</f>
        <v>#N/A</v>
      </c>
    </row>
    <row r="16" ht="14.25" customHeight="1">
      <c r="A16" s="1">
        <v>153126.0</v>
      </c>
      <c r="B16" s="1" t="s">
        <v>576</v>
      </c>
      <c r="C16" s="2">
        <v>45992.5597222222</v>
      </c>
      <c r="D16" s="2"/>
      <c r="E16" s="2"/>
      <c r="F16" s="1" t="b">
        <v>1</v>
      </c>
      <c r="G16" s="4" t="b">
        <v>0</v>
      </c>
      <c r="H16" s="1" t="b">
        <v>0</v>
      </c>
      <c r="I16" s="1" t="b">
        <v>0</v>
      </c>
      <c r="J16" s="1" t="s">
        <v>534</v>
      </c>
      <c r="K16" s="1" t="s">
        <v>535</v>
      </c>
      <c r="L16" s="1" t="s">
        <v>536</v>
      </c>
      <c r="M16" s="1" t="s">
        <v>537</v>
      </c>
      <c r="N16" s="1">
        <v>0.0</v>
      </c>
      <c r="O16" s="1">
        <v>44.25</v>
      </c>
      <c r="P16" s="1">
        <v>0.0</v>
      </c>
      <c r="Q16" s="1">
        <v>0.0</v>
      </c>
      <c r="R16" s="1">
        <v>0.0</v>
      </c>
      <c r="S16" s="1" t="s">
        <v>538</v>
      </c>
      <c r="T16" s="1" t="s">
        <v>539</v>
      </c>
      <c r="V16" s="4">
        <v>7220589.0</v>
      </c>
      <c r="W16" s="4"/>
      <c r="X16" s="4">
        <v>0.0</v>
      </c>
      <c r="Y16" s="1">
        <v>0.0</v>
      </c>
      <c r="Z16" s="1">
        <v>0.0</v>
      </c>
      <c r="AA16" s="1">
        <v>1.0</v>
      </c>
      <c r="AB16" s="1">
        <v>0.0</v>
      </c>
      <c r="AC16" s="1">
        <v>0.0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  <c r="AK16" s="1">
        <v>0.0</v>
      </c>
      <c r="AL16" s="1">
        <v>0.0</v>
      </c>
      <c r="AM16" s="4">
        <v>0.0</v>
      </c>
      <c r="AN16" s="1">
        <v>0.0</v>
      </c>
      <c r="AO16" s="4">
        <v>0.0</v>
      </c>
      <c r="AP16" s="1">
        <f t="shared" si="1"/>
        <v>0</v>
      </c>
      <c r="AU16" s="2">
        <v>45992.0</v>
      </c>
      <c r="AV16" s="2">
        <v>46024.0375</v>
      </c>
      <c r="AW16" s="1">
        <v>1.0</v>
      </c>
      <c r="AX16" s="1">
        <v>117120.0</v>
      </c>
      <c r="AY16" s="1">
        <v>331.0</v>
      </c>
      <c r="AZ16" s="1">
        <v>1.0</v>
      </c>
      <c r="BA16" s="1">
        <v>0.0</v>
      </c>
      <c r="BB16" s="1">
        <v>0.0</v>
      </c>
      <c r="BC16" s="2">
        <v>45992.0</v>
      </c>
      <c r="BD16" s="1">
        <v>48.0</v>
      </c>
      <c r="BE16" s="1" t="s">
        <v>550</v>
      </c>
      <c r="BF16" s="1">
        <v>2025.0</v>
      </c>
      <c r="BG16" s="1" t="s">
        <v>558</v>
      </c>
      <c r="BH16" s="1" t="str">
        <f>VLOOKUP(B16,CookieClicks!D:O,12,FALSE)</f>
        <v>https://grow.method.me/crm-quickbooks/?trc=81&amp;trk=quickbooks crm&amp;trs=USA-QB-G_Ex&amp;campaignid=22265826203&amp;adgroupid=176758613473&amp;adid=734012603510&amp;gad_source=1&amp;gad_campaignid=22265826203&amp;gbraid=0AAAAAD3ItnbQ-scslMn1OtVxbVSWxN2mJ&amp;gclid=CjwKCAiAlrXJBhBAEiwA-5pgwvitKEc_ApMEwccMJJ-0vo8UrY40YDAv2UXM6GNodmORrMYKZy6gOhoC3A0QAvD_BwE</v>
      </c>
      <c r="BI16" s="8" t="str">
        <f>IFERROR(__xludf.DUMMYFUNCTION("VLOOKUP(REGEXREPLACE(BH16,""[?].*"",""""),ContentBuckets!A:C,2,FALSE)"),"#N/A")</f>
        <v>#N/A</v>
      </c>
      <c r="BJ16" s="8" t="str">
        <f>IFERROR(__xludf.DUMMYFUNCTION("VLOOKUP(REGEXREPLACE(BH16,""[?].*"",""""),ContentBuckets!A:C,3,FALSE)"),"#N/A")</f>
        <v>#N/A</v>
      </c>
    </row>
    <row r="17" ht="14.25" customHeight="1">
      <c r="A17" s="1">
        <v>153127.0</v>
      </c>
      <c r="B17" s="1" t="s">
        <v>577</v>
      </c>
      <c r="C17" s="2">
        <v>45992.5840277778</v>
      </c>
      <c r="D17" s="2"/>
      <c r="E17" s="2">
        <v>46006.6631944444</v>
      </c>
      <c r="F17" s="1" t="b">
        <v>1</v>
      </c>
      <c r="G17" s="4" t="b">
        <v>0</v>
      </c>
      <c r="H17" s="1" t="b">
        <v>0</v>
      </c>
      <c r="I17" s="1" t="b">
        <v>0</v>
      </c>
      <c r="J17" s="1" t="s">
        <v>534</v>
      </c>
      <c r="K17" s="1" t="s">
        <v>535</v>
      </c>
      <c r="L17" s="1" t="s">
        <v>536</v>
      </c>
      <c r="M17" s="1" t="s">
        <v>537</v>
      </c>
      <c r="N17" s="1">
        <v>59.0</v>
      </c>
      <c r="O17" s="1">
        <v>59.0</v>
      </c>
      <c r="P17" s="1">
        <v>0.0</v>
      </c>
      <c r="Q17" s="1">
        <v>0.0</v>
      </c>
      <c r="R17" s="1">
        <v>28.0</v>
      </c>
      <c r="T17" s="1" t="s">
        <v>539</v>
      </c>
      <c r="V17" s="4">
        <v>7158239.0</v>
      </c>
      <c r="W17" s="4"/>
      <c r="X17" s="4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  <c r="AD17" s="1">
        <v>0.0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0.0</v>
      </c>
      <c r="AK17" s="1">
        <v>0.0</v>
      </c>
      <c r="AL17" s="1">
        <v>0.0</v>
      </c>
      <c r="AM17" s="4">
        <v>0.0</v>
      </c>
      <c r="AN17" s="1">
        <v>0.0</v>
      </c>
      <c r="AO17" s="4">
        <v>0.0</v>
      </c>
      <c r="AP17" s="1">
        <f t="shared" si="1"/>
        <v>1</v>
      </c>
      <c r="AQ17" s="1" t="s">
        <v>557</v>
      </c>
      <c r="AR17" s="1" t="s">
        <v>578</v>
      </c>
      <c r="AT17" s="1" t="s">
        <v>579</v>
      </c>
      <c r="AU17" s="2">
        <v>45992.0</v>
      </c>
      <c r="AV17" s="2">
        <v>46024.0097222222</v>
      </c>
      <c r="AW17" s="1">
        <v>1.0</v>
      </c>
      <c r="AX17" s="1">
        <v>0.0</v>
      </c>
      <c r="AY17" s="1">
        <v>24.0</v>
      </c>
      <c r="AZ17" s="1">
        <v>1.0</v>
      </c>
      <c r="BA17" s="1">
        <v>0.0</v>
      </c>
      <c r="BB17" s="1">
        <v>6.0</v>
      </c>
      <c r="BC17" s="2">
        <v>45992.0</v>
      </c>
      <c r="BD17" s="1">
        <v>48.0</v>
      </c>
      <c r="BE17" s="1" t="s">
        <v>550</v>
      </c>
      <c r="BF17" s="1">
        <v>2025.0</v>
      </c>
      <c r="BG17" s="1" t="s">
        <v>558</v>
      </c>
      <c r="BH17" s="7" t="str">
        <f>VLOOKUP(B17,CookieClicks!D:O,12,FALSE)</f>
        <v>https://signin.method.me/error?errorCode=165&amp;returnUrl=https%3A%2F%2Fcandhcraneservices.method.me%2Fapps%2FDefault.aspx%23%2Ff71e8a16-2653-4e1e-89d3-37753dce28a2</v>
      </c>
      <c r="BI17" s="8" t="str">
        <f>IFERROR(__xludf.DUMMYFUNCTION("VLOOKUP(REGEXREPLACE(BH17,""[?].*"",""""),ContentBuckets!A:C,2,FALSE)"),"#N/A")</f>
        <v>#N/A</v>
      </c>
      <c r="BJ17" s="8" t="str">
        <f>IFERROR(__xludf.DUMMYFUNCTION("VLOOKUP(REGEXREPLACE(BH17,""[?].*"",""""),ContentBuckets!A:C,3,FALSE)"),"#N/A")</f>
        <v>#N/A</v>
      </c>
    </row>
    <row r="18" ht="14.25" customHeight="1">
      <c r="A18" s="1">
        <v>153128.0</v>
      </c>
      <c r="B18" s="1" t="s">
        <v>580</v>
      </c>
      <c r="C18" s="2">
        <v>45992.5840277778</v>
      </c>
      <c r="D18" s="2">
        <v>45999.6736111111</v>
      </c>
      <c r="E18" s="2"/>
      <c r="F18" s="1" t="b">
        <v>0</v>
      </c>
      <c r="G18" s="4" t="b">
        <v>1</v>
      </c>
      <c r="H18" s="1" t="b">
        <v>0</v>
      </c>
      <c r="I18" s="1" t="b">
        <v>0</v>
      </c>
      <c r="J18" s="1" t="s">
        <v>534</v>
      </c>
      <c r="K18" s="1" t="s">
        <v>566</v>
      </c>
      <c r="L18" s="1" t="s">
        <v>567</v>
      </c>
      <c r="M18" s="1" t="s">
        <v>537</v>
      </c>
      <c r="N18" s="1">
        <v>0.0</v>
      </c>
      <c r="O18" s="1">
        <v>44.25</v>
      </c>
      <c r="P18" s="1">
        <v>0.0</v>
      </c>
      <c r="Q18" s="1">
        <v>0.0</v>
      </c>
      <c r="R18" s="1">
        <v>0.0</v>
      </c>
      <c r="S18" s="1" t="s">
        <v>538</v>
      </c>
      <c r="T18" s="1" t="s">
        <v>539</v>
      </c>
      <c r="V18" s="4">
        <v>7220805.0</v>
      </c>
      <c r="W18" s="4"/>
      <c r="X18" s="4">
        <v>1.0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  <c r="AD18" s="1">
        <v>0.0</v>
      </c>
      <c r="AE18" s="1">
        <v>0.0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  <c r="AK18" s="1">
        <v>0.0</v>
      </c>
      <c r="AL18" s="1">
        <v>0.0</v>
      </c>
      <c r="AM18" s="4">
        <v>0.0</v>
      </c>
      <c r="AN18" s="1">
        <v>0.0</v>
      </c>
      <c r="AO18" s="4">
        <v>0.0</v>
      </c>
      <c r="AP18" s="1">
        <f t="shared" si="1"/>
        <v>0</v>
      </c>
      <c r="AU18" s="2"/>
      <c r="AV18" s="2">
        <v>45999.00625</v>
      </c>
      <c r="AW18" s="1">
        <v>0.0</v>
      </c>
      <c r="AX18" s="1">
        <v>0.0</v>
      </c>
      <c r="AY18" s="1">
        <v>0.0</v>
      </c>
      <c r="AZ18" s="1">
        <v>1.0</v>
      </c>
      <c r="BA18" s="1">
        <v>0.0</v>
      </c>
      <c r="BB18" s="1">
        <v>0.0</v>
      </c>
      <c r="BC18" s="2">
        <v>45992.0</v>
      </c>
      <c r="BD18" s="1">
        <v>48.0</v>
      </c>
      <c r="BE18" s="1" t="s">
        <v>550</v>
      </c>
      <c r="BF18" s="1">
        <v>2025.0</v>
      </c>
      <c r="BG18" s="1" t="s">
        <v>546</v>
      </c>
      <c r="BH18" s="7" t="str">
        <f>VLOOKUP(B18,CookieClicks!D:O,12,FALSE)</f>
        <v>http://signup.method.me/methodcrm?_gl=1*16dqon3*_gcl_au*NjAzNTg3NTQzLjE3NjQ2MDk3Mjc.*_ga*MjEyOTUxMjU4MC4xNzY0NjA5NzM0*_ga_L2HEZNW53E*czE3NjQ2MDk3MzQkbzEkZzAkdDE3NjQ2MDk3MzUkajU5JGwwJGgxNjczNjM2NjYx&amp;_ga=2.54480033.848033626.1764609734-2129512580.1764609734</v>
      </c>
      <c r="BI18" s="8" t="str">
        <f>IFERROR(__xludf.DUMMYFUNCTION("VLOOKUP(REGEXREPLACE(BH18,""[?].*"",""""),ContentBuckets!A:C,2,FALSE)"),"#N/A")</f>
        <v>#N/A</v>
      </c>
      <c r="BJ18" s="8" t="str">
        <f>IFERROR(__xludf.DUMMYFUNCTION("VLOOKUP(REGEXREPLACE(BH18,""[?].*"",""""),ContentBuckets!A:C,3,FALSE)"),"#N/A")</f>
        <v>#N/A</v>
      </c>
    </row>
    <row r="19" ht="14.25" customHeight="1">
      <c r="A19" s="1">
        <v>153129.0</v>
      </c>
      <c r="B19" s="1" t="s">
        <v>581</v>
      </c>
      <c r="C19" s="2">
        <v>45992.6131944444</v>
      </c>
      <c r="D19" s="2"/>
      <c r="E19" s="2"/>
      <c r="F19" s="1" t="b">
        <v>1</v>
      </c>
      <c r="G19" s="4" t="b">
        <v>0</v>
      </c>
      <c r="H19" s="1" t="b">
        <v>0</v>
      </c>
      <c r="I19" s="1" t="b">
        <v>0</v>
      </c>
      <c r="J19" s="1" t="s">
        <v>534</v>
      </c>
      <c r="K19" s="1" t="s">
        <v>553</v>
      </c>
      <c r="L19" s="1" t="s">
        <v>554</v>
      </c>
      <c r="M19" s="1" t="s">
        <v>537</v>
      </c>
      <c r="N19" s="1">
        <v>0.0</v>
      </c>
      <c r="O19" s="1">
        <v>44.25</v>
      </c>
      <c r="P19" s="1">
        <v>0.0</v>
      </c>
      <c r="Q19" s="1">
        <v>0.0</v>
      </c>
      <c r="R19" s="1">
        <v>0.0</v>
      </c>
      <c r="S19" s="1" t="s">
        <v>538</v>
      </c>
      <c r="T19" s="1" t="s">
        <v>539</v>
      </c>
      <c r="V19" s="4">
        <v>7221061.0</v>
      </c>
      <c r="W19" s="4"/>
      <c r="X19" s="4">
        <v>1.0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  <c r="AK19" s="1">
        <v>0.0</v>
      </c>
      <c r="AL19" s="1">
        <v>0.0</v>
      </c>
      <c r="AM19" s="4">
        <v>0.0</v>
      </c>
      <c r="AN19" s="1">
        <v>0.0</v>
      </c>
      <c r="AO19" s="4">
        <v>0.0</v>
      </c>
      <c r="AP19" s="1">
        <f t="shared" si="1"/>
        <v>0</v>
      </c>
      <c r="AU19" s="2"/>
      <c r="AV19" s="2">
        <v>46023.9930555556</v>
      </c>
      <c r="AW19" s="1">
        <v>0.0</v>
      </c>
      <c r="AX19" s="1">
        <v>0.0</v>
      </c>
      <c r="AY19" s="1">
        <v>0.0</v>
      </c>
      <c r="AZ19" s="1">
        <v>1.0</v>
      </c>
      <c r="BA19" s="1">
        <v>0.0</v>
      </c>
      <c r="BB19" s="1">
        <v>0.0</v>
      </c>
      <c r="BC19" s="2">
        <v>45992.0</v>
      </c>
      <c r="BD19" s="1">
        <v>48.0</v>
      </c>
      <c r="BE19" s="1" t="s">
        <v>550</v>
      </c>
      <c r="BF19" s="1">
        <v>2025.0</v>
      </c>
      <c r="BG19" s="1" t="s">
        <v>558</v>
      </c>
      <c r="BH19" s="7" t="str">
        <f>VLOOKUP(B19,CookieClicks!D:O,12,FALSE)</f>
        <v>https://signin.method.me/?returnUrl=https%3A%2F%2Fumjca.methodportal.com%2Fapps%2F</v>
      </c>
      <c r="BI19" s="8" t="str">
        <f>IFERROR(__xludf.DUMMYFUNCTION("VLOOKUP(REGEXREPLACE(BH19,""[?].*"",""""),ContentBuckets!A:C,2,FALSE)"),"#N/A")</f>
        <v>#N/A</v>
      </c>
      <c r="BJ19" s="8" t="str">
        <f>IFERROR(__xludf.DUMMYFUNCTION("VLOOKUP(REGEXREPLACE(BH19,""[?].*"",""""),ContentBuckets!A:C,3,FALSE)"),"#N/A")</f>
        <v>#N/A</v>
      </c>
    </row>
    <row r="20" ht="14.25" customHeight="1">
      <c r="A20" s="1">
        <v>153130.0</v>
      </c>
      <c r="B20" s="1" t="s">
        <v>582</v>
      </c>
      <c r="C20" s="2">
        <v>45992.6291666667</v>
      </c>
      <c r="D20" s="2">
        <v>46000.4236111111</v>
      </c>
      <c r="E20" s="2"/>
      <c r="F20" s="1" t="b">
        <v>0</v>
      </c>
      <c r="G20" s="4" t="b">
        <v>1</v>
      </c>
      <c r="H20" s="1" t="b">
        <v>0</v>
      </c>
      <c r="I20" s="1" t="b">
        <v>0</v>
      </c>
      <c r="J20" s="1" t="s">
        <v>534</v>
      </c>
      <c r="K20" s="1" t="s">
        <v>553</v>
      </c>
      <c r="L20" s="1" t="s">
        <v>554</v>
      </c>
      <c r="M20" s="1" t="s">
        <v>537</v>
      </c>
      <c r="N20" s="1">
        <v>0.0</v>
      </c>
      <c r="O20" s="1">
        <v>44.25</v>
      </c>
      <c r="P20" s="1">
        <v>0.0</v>
      </c>
      <c r="Q20" s="1">
        <v>0.0</v>
      </c>
      <c r="R20" s="1">
        <v>0.0</v>
      </c>
      <c r="S20" s="1" t="s">
        <v>538</v>
      </c>
      <c r="T20" s="1" t="s">
        <v>539</v>
      </c>
      <c r="V20" s="4">
        <v>7155332.0</v>
      </c>
      <c r="W20" s="4" t="s">
        <v>540</v>
      </c>
      <c r="X20" s="4">
        <v>0.0</v>
      </c>
      <c r="Y20" s="1">
        <v>0.6</v>
      </c>
      <c r="Z20" s="1">
        <v>0.0</v>
      </c>
      <c r="AA20" s="1">
        <v>0.4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4">
        <v>0.0</v>
      </c>
      <c r="AN20" s="1">
        <v>0.0</v>
      </c>
      <c r="AO20" s="4">
        <v>0.0</v>
      </c>
      <c r="AP20" s="1">
        <f t="shared" si="1"/>
        <v>0</v>
      </c>
      <c r="AU20" s="2"/>
      <c r="AV20" s="2">
        <v>46000.0152777778</v>
      </c>
      <c r="AW20" s="1">
        <v>0.0</v>
      </c>
      <c r="AX20" s="1">
        <v>0.0</v>
      </c>
      <c r="AY20" s="1">
        <v>0.0</v>
      </c>
      <c r="AZ20" s="1">
        <v>1.0</v>
      </c>
      <c r="BA20" s="1">
        <v>0.0</v>
      </c>
      <c r="BB20" s="1">
        <v>0.0</v>
      </c>
      <c r="BC20" s="2">
        <v>45992.0</v>
      </c>
      <c r="BD20" s="1">
        <v>48.0</v>
      </c>
      <c r="BE20" s="1" t="s">
        <v>550</v>
      </c>
      <c r="BF20" s="1">
        <v>2025.0</v>
      </c>
      <c r="BG20" s="1" t="s">
        <v>558</v>
      </c>
      <c r="BH20" s="1" t="str">
        <f>VLOOKUP(B20,CookieClicks!D:O,12,FALSE)</f>
        <v>https://grow.method.me/multi-entity/?trc=81&amp;trk=multi-account crm&amp;trs=US-Multi-entity&amp;campaignid=22836319657&amp;adgroupid=183992915458&amp;adid=765768443211&amp;gad_source=1&amp;gad_campaignid=22836319657&amp;gbraid=0AAAAAD3ItnZcCORda2sETHQ4nib78uZ3B&amp;gclid=Cj0KCQiArOvIBhDLARIsAPwJXOaKqhQhO0cz3xMBJwlL3cEyFuApzdc6oy79yWcGj6HiTsVqGqWRzxkaAhctEALw_wcB</v>
      </c>
      <c r="BI20" s="8" t="str">
        <f>IFERROR(__xludf.DUMMYFUNCTION("VLOOKUP(REGEXREPLACE(BH20,""[?].*"",""""),ContentBuckets!A:C,2,FALSE)"),"#N/A")</f>
        <v>#N/A</v>
      </c>
      <c r="BJ20" s="8" t="str">
        <f>IFERROR(__xludf.DUMMYFUNCTION("VLOOKUP(REGEXREPLACE(BH20,""[?].*"",""""),ContentBuckets!A:C,3,FALSE)"),"#N/A")</f>
        <v>#N/A</v>
      </c>
    </row>
    <row r="21" ht="14.25" customHeight="1">
      <c r="A21" s="1">
        <v>153131.0</v>
      </c>
      <c r="B21" s="1" t="s">
        <v>583</v>
      </c>
      <c r="C21" s="2">
        <v>45992.6402777778</v>
      </c>
      <c r="D21" s="2"/>
      <c r="E21" s="2"/>
      <c r="F21" s="1" t="b">
        <v>1</v>
      </c>
      <c r="G21" s="4" t="b">
        <v>0</v>
      </c>
      <c r="H21" s="1" t="b">
        <v>0</v>
      </c>
      <c r="I21" s="1" t="b">
        <v>0</v>
      </c>
      <c r="J21" s="1" t="s">
        <v>534</v>
      </c>
      <c r="K21" s="1" t="s">
        <v>535</v>
      </c>
      <c r="L21" s="1" t="s">
        <v>536</v>
      </c>
      <c r="M21" s="1" t="s">
        <v>537</v>
      </c>
      <c r="N21" s="1">
        <v>0.0</v>
      </c>
      <c r="O21" s="1">
        <v>63.75</v>
      </c>
      <c r="P21" s="1">
        <v>0.0</v>
      </c>
      <c r="Q21" s="1">
        <v>0.0</v>
      </c>
      <c r="R21" s="1">
        <v>0.0</v>
      </c>
      <c r="S21" s="1" t="s">
        <v>538</v>
      </c>
      <c r="T21" s="1" t="s">
        <v>539</v>
      </c>
      <c r="V21" s="4">
        <v>7221267.0</v>
      </c>
      <c r="W21" s="4"/>
      <c r="X21" s="4">
        <v>0.0</v>
      </c>
      <c r="Y21" s="1">
        <v>0.0</v>
      </c>
      <c r="Z21" s="1">
        <v>0.0</v>
      </c>
      <c r="AA21" s="1">
        <v>1.0</v>
      </c>
      <c r="AB21" s="1">
        <v>0.0</v>
      </c>
      <c r="AC21" s="1">
        <v>0.0</v>
      </c>
      <c r="AD21" s="1">
        <v>0.0</v>
      </c>
      <c r="AE21" s="1">
        <v>0.0</v>
      </c>
      <c r="AF21" s="1">
        <v>0.0</v>
      </c>
      <c r="AG21" s="1">
        <v>0.0</v>
      </c>
      <c r="AH21" s="1">
        <v>0.0</v>
      </c>
      <c r="AI21" s="1">
        <v>0.0</v>
      </c>
      <c r="AJ21" s="1">
        <v>0.0</v>
      </c>
      <c r="AK21" s="1">
        <v>0.0</v>
      </c>
      <c r="AL21" s="1">
        <v>0.0</v>
      </c>
      <c r="AM21" s="4">
        <v>0.0</v>
      </c>
      <c r="AN21" s="1">
        <v>0.0</v>
      </c>
      <c r="AO21" s="4">
        <v>0.0</v>
      </c>
      <c r="AP21" s="1">
        <f t="shared" si="1"/>
        <v>0</v>
      </c>
      <c r="AQ21" s="1" t="s">
        <v>557</v>
      </c>
      <c r="AT21" s="1" t="s">
        <v>584</v>
      </c>
      <c r="AU21" s="2">
        <v>45992.0</v>
      </c>
      <c r="AV21" s="2">
        <v>46024.0173611111</v>
      </c>
      <c r="AW21" s="1">
        <v>1.0</v>
      </c>
      <c r="AX21" s="1">
        <v>4891.68</v>
      </c>
      <c r="AY21" s="1">
        <v>89.0</v>
      </c>
      <c r="AZ21" s="1">
        <v>1.0</v>
      </c>
      <c r="BA21" s="1">
        <v>0.0</v>
      </c>
      <c r="BB21" s="1">
        <v>0.0</v>
      </c>
      <c r="BC21" s="2">
        <v>45992.0</v>
      </c>
      <c r="BD21" s="1">
        <v>48.0</v>
      </c>
      <c r="BE21" s="1" t="s">
        <v>550</v>
      </c>
      <c r="BF21" s="1">
        <v>2025.0</v>
      </c>
      <c r="BG21" s="1" t="s">
        <v>558</v>
      </c>
      <c r="BH21" s="1" t="str">
        <f>VLOOKUP(B21,CookieClicks!D:O,12,FALSE)</f>
        <v>https://grow.method.me/qb-payment/?trc=81&amp;trk=quickbooks online payment processing&amp;trs=US-payment&amp;campaignid=19733246298&amp;adgroupid=146278163933&amp;adid=649435146420&amp;gad_source=1&amp;gad_campaignid=19733246298&amp;gbraid=0AAAAAD3ItnZi9CFAjVhQFCFOFcYmyOWup&amp;gclid=CjwKCAiAlrXJBhBAEiwA-5pgwvgqW2qm5b78Drd4wf59_QQVxH1WepiBjaJvI-eC_MsZ_LDbnGVEVxoC8okQAvD_BwE</v>
      </c>
      <c r="BI21" s="8" t="str">
        <f>IFERROR(__xludf.DUMMYFUNCTION("VLOOKUP(REGEXREPLACE(BH21,""[?].*"",""""),ContentBuckets!A:C,2,FALSE)"),"#N/A")</f>
        <v>#N/A</v>
      </c>
      <c r="BJ21" s="8" t="str">
        <f>IFERROR(__xludf.DUMMYFUNCTION("VLOOKUP(REGEXREPLACE(BH21,""[?].*"",""""),ContentBuckets!A:C,3,FALSE)"),"#N/A")</f>
        <v>#N/A</v>
      </c>
    </row>
    <row r="22" ht="14.25" customHeight="1">
      <c r="A22" s="1">
        <v>153132.0</v>
      </c>
      <c r="B22" s="1" t="s">
        <v>585</v>
      </c>
      <c r="C22" s="2">
        <v>45992.6868055556</v>
      </c>
      <c r="D22" s="2"/>
      <c r="E22" s="2">
        <v>46007.7916666667</v>
      </c>
      <c r="F22" s="1" t="b">
        <v>1</v>
      </c>
      <c r="G22" s="4" t="b">
        <v>0</v>
      </c>
      <c r="H22" s="1" t="b">
        <v>0</v>
      </c>
      <c r="I22" s="1" t="b">
        <v>0</v>
      </c>
      <c r="J22" s="1" t="s">
        <v>534</v>
      </c>
      <c r="K22" s="1" t="s">
        <v>535</v>
      </c>
      <c r="L22" s="1" t="s">
        <v>536</v>
      </c>
      <c r="M22" s="1" t="s">
        <v>537</v>
      </c>
      <c r="N22" s="1">
        <v>44.25</v>
      </c>
      <c r="O22" s="1">
        <v>44.25</v>
      </c>
      <c r="P22" s="1">
        <v>0.0</v>
      </c>
      <c r="Q22" s="1">
        <v>0.0</v>
      </c>
      <c r="R22" s="1">
        <v>28.0</v>
      </c>
      <c r="S22" s="1" t="s">
        <v>538</v>
      </c>
      <c r="T22" s="1" t="s">
        <v>539</v>
      </c>
      <c r="V22" s="4">
        <v>7034286.0</v>
      </c>
      <c r="W22" s="4" t="s">
        <v>540</v>
      </c>
      <c r="X22" s="4">
        <v>0.0</v>
      </c>
      <c r="Y22" s="1">
        <v>1.0</v>
      </c>
      <c r="Z22" s="1">
        <v>0.0</v>
      </c>
      <c r="AA22" s="1">
        <v>0.0</v>
      </c>
      <c r="AB22" s="1">
        <v>0.0</v>
      </c>
      <c r="AC22" s="1">
        <v>0.0</v>
      </c>
      <c r="AD22" s="1">
        <v>0.0</v>
      </c>
      <c r="AE22" s="1">
        <v>0.0</v>
      </c>
      <c r="AF22" s="1">
        <v>0.0</v>
      </c>
      <c r="AG22" s="1">
        <v>0.0</v>
      </c>
      <c r="AH22" s="1">
        <v>0.0</v>
      </c>
      <c r="AI22" s="1">
        <v>0.0</v>
      </c>
      <c r="AJ22" s="1">
        <v>0.0</v>
      </c>
      <c r="AK22" s="1">
        <v>0.0</v>
      </c>
      <c r="AL22" s="1">
        <v>0.0</v>
      </c>
      <c r="AM22" s="4">
        <v>0.0</v>
      </c>
      <c r="AN22" s="1">
        <v>0.0</v>
      </c>
      <c r="AO22" s="4">
        <v>0.0</v>
      </c>
      <c r="AP22" s="1">
        <f t="shared" si="1"/>
        <v>0</v>
      </c>
      <c r="AQ22" s="1" t="s">
        <v>557</v>
      </c>
      <c r="AR22" s="1" t="s">
        <v>571</v>
      </c>
      <c r="AT22" s="1" t="s">
        <v>586</v>
      </c>
      <c r="AU22" s="2">
        <v>45992.0</v>
      </c>
      <c r="AV22" s="2">
        <v>46024.0368055556</v>
      </c>
      <c r="AW22" s="1">
        <v>3.0</v>
      </c>
      <c r="AX22" s="1">
        <v>996361.8</v>
      </c>
      <c r="AY22" s="1">
        <v>89.0</v>
      </c>
      <c r="AZ22" s="1">
        <v>1.0</v>
      </c>
      <c r="BA22" s="1">
        <v>0.0</v>
      </c>
      <c r="BB22" s="1">
        <v>0.0</v>
      </c>
      <c r="BC22" s="2">
        <v>45992.0</v>
      </c>
      <c r="BD22" s="1">
        <v>48.0</v>
      </c>
      <c r="BE22" s="1" t="s">
        <v>550</v>
      </c>
      <c r="BF22" s="1">
        <v>2025.0</v>
      </c>
      <c r="BG22" s="1" t="s">
        <v>558</v>
      </c>
      <c r="BH22" s="7" t="str">
        <f>VLOOKUP(B22,CookieClicks!D:O,12,FALSE)</f>
        <v>https://www.method.me/crm-quickbooks/pricing/</v>
      </c>
      <c r="BI22" s="8" t="str">
        <f>IFERROR(__xludf.DUMMYFUNCTION("VLOOKUP(REGEXREPLACE(BH22,""[?].*"",""""),ContentBuckets!A:C,2,FALSE)"),"/crm-quickbooks/")</f>
        <v>/crm-quickbooks/</v>
      </c>
      <c r="BJ22" s="8" t="str">
        <f>IFERROR(__xludf.DUMMYFUNCTION("VLOOKUP(REGEXREPLACE(BH22,""[?].*"",""""),ContentBuckets!A:C,3,FALSE)"),"Other page")</f>
        <v>Other page</v>
      </c>
    </row>
    <row r="23" ht="14.25" customHeight="1">
      <c r="A23" s="1">
        <v>153134.0</v>
      </c>
      <c r="B23" s="1" t="s">
        <v>587</v>
      </c>
      <c r="C23" s="2">
        <v>45992.76875</v>
      </c>
      <c r="D23" s="2"/>
      <c r="E23" s="2"/>
      <c r="F23" s="1" t="b">
        <v>1</v>
      </c>
      <c r="G23" s="4" t="b">
        <v>0</v>
      </c>
      <c r="H23" s="1" t="b">
        <v>0</v>
      </c>
      <c r="I23" s="1" t="b">
        <v>0</v>
      </c>
      <c r="J23" s="1" t="s">
        <v>534</v>
      </c>
      <c r="K23" s="1" t="s">
        <v>566</v>
      </c>
      <c r="L23" s="1" t="s">
        <v>567</v>
      </c>
      <c r="M23" s="1" t="s">
        <v>537</v>
      </c>
      <c r="N23" s="1">
        <v>0.0</v>
      </c>
      <c r="O23" s="1">
        <v>109.5</v>
      </c>
      <c r="P23" s="1">
        <v>0.0</v>
      </c>
      <c r="Q23" s="1">
        <v>0.0</v>
      </c>
      <c r="R23" s="1">
        <v>28.0</v>
      </c>
      <c r="S23" s="1" t="s">
        <v>538</v>
      </c>
      <c r="T23" s="1" t="s">
        <v>539</v>
      </c>
      <c r="V23" s="4">
        <v>7012113.0</v>
      </c>
      <c r="W23" s="4" t="s">
        <v>588</v>
      </c>
      <c r="X23" s="4">
        <v>0.0</v>
      </c>
      <c r="Y23" s="1">
        <v>0.4</v>
      </c>
      <c r="Z23" s="1">
        <v>0.0</v>
      </c>
      <c r="AA23" s="1">
        <v>0.0</v>
      </c>
      <c r="AB23" s="1">
        <v>0.0</v>
      </c>
      <c r="AC23" s="1">
        <v>0.6002</v>
      </c>
      <c r="AD23" s="1">
        <v>0.0</v>
      </c>
      <c r="AE23" s="1">
        <v>0.0</v>
      </c>
      <c r="AF23" s="1">
        <v>0.0</v>
      </c>
      <c r="AG23" s="1">
        <v>0.0</v>
      </c>
      <c r="AH23" s="1">
        <v>0.0</v>
      </c>
      <c r="AI23" s="1">
        <v>0.0</v>
      </c>
      <c r="AJ23" s="1">
        <v>0.0</v>
      </c>
      <c r="AK23" s="1">
        <v>0.0</v>
      </c>
      <c r="AL23" s="1">
        <v>0.0</v>
      </c>
      <c r="AM23" s="4">
        <v>0.0</v>
      </c>
      <c r="AN23" s="1">
        <v>0.0</v>
      </c>
      <c r="AO23" s="4">
        <v>0.0</v>
      </c>
      <c r="AP23" s="1">
        <f t="shared" si="1"/>
        <v>-0.0002</v>
      </c>
      <c r="AQ23" s="1" t="s">
        <v>557</v>
      </c>
      <c r="AR23" s="1" t="s">
        <v>571</v>
      </c>
      <c r="AT23" s="1" t="s">
        <v>589</v>
      </c>
      <c r="AU23" s="2">
        <v>45993.0</v>
      </c>
      <c r="AV23" s="2">
        <v>46023.9951388889</v>
      </c>
      <c r="AW23" s="1">
        <v>25.0</v>
      </c>
      <c r="AX23" s="1">
        <v>404158.8</v>
      </c>
      <c r="AY23" s="1">
        <v>732.0</v>
      </c>
      <c r="AZ23" s="1">
        <v>2.0</v>
      </c>
      <c r="BA23" s="1">
        <v>0.0</v>
      </c>
      <c r="BB23" s="1">
        <v>0.0</v>
      </c>
      <c r="BC23" s="2">
        <v>45992.0</v>
      </c>
      <c r="BD23" s="1">
        <v>48.0</v>
      </c>
      <c r="BE23" s="1" t="s">
        <v>550</v>
      </c>
      <c r="BF23" s="1">
        <v>2025.0</v>
      </c>
      <c r="BG23" s="1" t="s">
        <v>558</v>
      </c>
      <c r="BH23" s="7" t="str">
        <f>VLOOKUP(B23,CookieClicks!D:O,12,FALSE)</f>
        <v>https://www.method.me/</v>
      </c>
      <c r="BI23" s="8" t="str">
        <f>IFERROR(__xludf.DUMMYFUNCTION("VLOOKUP(REGEXREPLACE(BH23,""[?].*"",""""),ContentBuckets!A:C,2,FALSE)"),"Homepage")</f>
        <v>Homepage</v>
      </c>
      <c r="BJ23" s="8" t="str">
        <f>IFERROR(__xludf.DUMMYFUNCTION("VLOOKUP(REGEXREPLACE(BH23,""[?].*"",""""),ContentBuckets!A:C,3,FALSE)"),"Other page")</f>
        <v>Other page</v>
      </c>
    </row>
    <row r="24" ht="14.25" customHeight="1">
      <c r="A24" s="1">
        <v>153135.0</v>
      </c>
      <c r="B24" s="1" t="s">
        <v>590</v>
      </c>
      <c r="C24" s="2">
        <v>45992.8034722222</v>
      </c>
      <c r="D24" s="2"/>
      <c r="E24" s="2"/>
      <c r="F24" s="1" t="b">
        <v>1</v>
      </c>
      <c r="G24" s="4" t="b">
        <v>0</v>
      </c>
      <c r="H24" s="1" t="b">
        <v>0</v>
      </c>
      <c r="I24" s="1" t="b">
        <v>0</v>
      </c>
      <c r="J24" s="1" t="s">
        <v>534</v>
      </c>
      <c r="K24" s="1" t="s">
        <v>535</v>
      </c>
      <c r="L24" s="1" t="s">
        <v>536</v>
      </c>
      <c r="M24" s="1" t="s">
        <v>537</v>
      </c>
      <c r="N24" s="1">
        <v>0.0</v>
      </c>
      <c r="O24" s="1">
        <v>62.25</v>
      </c>
      <c r="P24" s="1">
        <v>0.0</v>
      </c>
      <c r="Q24" s="1">
        <v>0.0</v>
      </c>
      <c r="R24" s="1">
        <v>28.0</v>
      </c>
      <c r="S24" s="1" t="s">
        <v>538</v>
      </c>
      <c r="T24" s="1" t="s">
        <v>539</v>
      </c>
      <c r="V24" s="4">
        <v>7203163.0</v>
      </c>
      <c r="W24" s="4" t="s">
        <v>540</v>
      </c>
      <c r="X24" s="4">
        <v>0.0</v>
      </c>
      <c r="Y24" s="1">
        <v>0.5</v>
      </c>
      <c r="Z24" s="1">
        <v>0.0</v>
      </c>
      <c r="AA24" s="1">
        <v>0.5</v>
      </c>
      <c r="AB24" s="1">
        <v>0.0</v>
      </c>
      <c r="AC24" s="1">
        <v>0.0</v>
      </c>
      <c r="AD24" s="1">
        <v>0.0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  <c r="AK24" s="1">
        <v>0.0</v>
      </c>
      <c r="AL24" s="1">
        <v>0.0</v>
      </c>
      <c r="AM24" s="4">
        <v>0.0</v>
      </c>
      <c r="AN24" s="1">
        <v>0.0</v>
      </c>
      <c r="AO24" s="4">
        <v>0.0</v>
      </c>
      <c r="AP24" s="1">
        <f t="shared" si="1"/>
        <v>0</v>
      </c>
      <c r="AQ24" s="1" t="s">
        <v>557</v>
      </c>
      <c r="AR24" s="1" t="s">
        <v>591</v>
      </c>
      <c r="AT24" s="1" t="s">
        <v>592</v>
      </c>
      <c r="AU24" s="2">
        <v>45992.0</v>
      </c>
      <c r="AV24" s="2">
        <v>46023.9944444444</v>
      </c>
      <c r="AW24" s="1">
        <v>0.0</v>
      </c>
      <c r="AX24" s="1">
        <v>0.0</v>
      </c>
      <c r="AY24" s="1">
        <v>0.0</v>
      </c>
      <c r="AZ24" s="1">
        <v>1.0</v>
      </c>
      <c r="BA24" s="1">
        <v>0.0</v>
      </c>
      <c r="BB24" s="1">
        <v>0.0</v>
      </c>
      <c r="BC24" s="2">
        <v>45992.0</v>
      </c>
      <c r="BD24" s="1">
        <v>48.0</v>
      </c>
      <c r="BE24" s="1" t="s">
        <v>550</v>
      </c>
      <c r="BF24" s="1">
        <v>2025.0</v>
      </c>
      <c r="BG24" s="1" t="s">
        <v>558</v>
      </c>
      <c r="BH24" s="7" t="str">
        <f>VLOOKUP(B24,CookieClicks!D:O,12,FALSE)</f>
        <v>https://www.method.me/</v>
      </c>
      <c r="BI24" s="8" t="str">
        <f>IFERROR(__xludf.DUMMYFUNCTION("VLOOKUP(REGEXREPLACE(BH24,""[?].*"",""""),ContentBuckets!A:C,2,FALSE)"),"Homepage")</f>
        <v>Homepage</v>
      </c>
      <c r="BJ24" s="8" t="str">
        <f>IFERROR(__xludf.DUMMYFUNCTION("VLOOKUP(REGEXREPLACE(BH24,""[?].*"",""""),ContentBuckets!A:C,3,FALSE)"),"Other page")</f>
        <v>Other page</v>
      </c>
    </row>
    <row r="25" ht="14.25" customHeight="1">
      <c r="A25" s="1">
        <v>153136.0</v>
      </c>
      <c r="B25" s="1" t="s">
        <v>593</v>
      </c>
      <c r="C25" s="2">
        <v>45992.8270833333</v>
      </c>
      <c r="D25" s="2"/>
      <c r="E25" s="2"/>
      <c r="F25" s="1" t="b">
        <v>1</v>
      </c>
      <c r="G25" s="4" t="b">
        <v>0</v>
      </c>
      <c r="H25" s="1" t="b">
        <v>0</v>
      </c>
      <c r="I25" s="1" t="b">
        <v>0</v>
      </c>
      <c r="J25" s="1" t="s">
        <v>534</v>
      </c>
      <c r="K25" s="1" t="s">
        <v>553</v>
      </c>
      <c r="L25" s="1" t="s">
        <v>554</v>
      </c>
      <c r="M25" s="1" t="s">
        <v>537</v>
      </c>
      <c r="N25" s="1">
        <v>0.0</v>
      </c>
      <c r="O25" s="1">
        <v>26.25</v>
      </c>
      <c r="P25" s="1">
        <v>0.0</v>
      </c>
      <c r="Q25" s="1">
        <v>0.0</v>
      </c>
      <c r="R25" s="1">
        <v>0.0</v>
      </c>
      <c r="S25" s="1" t="s">
        <v>538</v>
      </c>
      <c r="T25" s="1" t="s">
        <v>539</v>
      </c>
      <c r="V25" s="4">
        <v>7222319.0</v>
      </c>
      <c r="W25" s="4" t="s">
        <v>540</v>
      </c>
      <c r="X25" s="4">
        <v>0.0</v>
      </c>
      <c r="Y25" s="1">
        <v>1.0</v>
      </c>
      <c r="Z25" s="1">
        <v>0.0</v>
      </c>
      <c r="AA25" s="1">
        <v>0.0</v>
      </c>
      <c r="AB25" s="1">
        <v>0.0</v>
      </c>
      <c r="AC25" s="1">
        <v>0.0</v>
      </c>
      <c r="AD25" s="1">
        <v>0.0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0.0</v>
      </c>
      <c r="AK25" s="1">
        <v>0.0</v>
      </c>
      <c r="AL25" s="1">
        <v>0.0</v>
      </c>
      <c r="AM25" s="4">
        <v>0.0</v>
      </c>
      <c r="AN25" s="1">
        <v>0.0</v>
      </c>
      <c r="AO25" s="4">
        <v>0.0</v>
      </c>
      <c r="AP25" s="1">
        <f t="shared" si="1"/>
        <v>0</v>
      </c>
      <c r="AU25" s="2"/>
      <c r="AV25" s="2">
        <v>46024.0069444444</v>
      </c>
      <c r="AW25" s="1">
        <v>0.0</v>
      </c>
      <c r="AX25" s="1">
        <v>0.0</v>
      </c>
      <c r="AY25" s="1">
        <v>0.0</v>
      </c>
      <c r="AZ25" s="1">
        <v>1.0</v>
      </c>
      <c r="BA25" s="1">
        <v>0.0</v>
      </c>
      <c r="BB25" s="1">
        <v>0.0</v>
      </c>
      <c r="BC25" s="2">
        <v>45992.0</v>
      </c>
      <c r="BD25" s="1">
        <v>48.0</v>
      </c>
      <c r="BE25" s="1" t="s">
        <v>550</v>
      </c>
      <c r="BF25" s="1">
        <v>2025.0</v>
      </c>
      <c r="BG25" s="1" t="s">
        <v>594</v>
      </c>
      <c r="BH25" s="7" t="str">
        <f>VLOOKUP(B25,CookieClicks!D:O,12,FALSE)</f>
        <v>http://signup.method.me/donor/</v>
      </c>
      <c r="BI25" s="8" t="str">
        <f>IFERROR(__xludf.DUMMYFUNCTION("VLOOKUP(REGEXREPLACE(BH25,""[?].*"",""""),ContentBuckets!A:C,2,FALSE)"),"#N/A")</f>
        <v>#N/A</v>
      </c>
      <c r="BJ25" s="8" t="str">
        <f>IFERROR(__xludf.DUMMYFUNCTION("VLOOKUP(REGEXREPLACE(BH25,""[?].*"",""""),ContentBuckets!A:C,3,FALSE)"),"#N/A")</f>
        <v>#N/A</v>
      </c>
    </row>
    <row r="26" ht="14.25" customHeight="1">
      <c r="A26" s="1">
        <v>153138.0</v>
      </c>
      <c r="B26" s="1" t="s">
        <v>595</v>
      </c>
      <c r="C26" s="2">
        <v>45992.93125</v>
      </c>
      <c r="D26" s="2"/>
      <c r="E26" s="2"/>
      <c r="F26" s="1" t="b">
        <v>1</v>
      </c>
      <c r="G26" s="4" t="b">
        <v>0</v>
      </c>
      <c r="H26" s="1" t="b">
        <v>0</v>
      </c>
      <c r="I26" s="1" t="b">
        <v>0</v>
      </c>
      <c r="J26" s="1" t="s">
        <v>534</v>
      </c>
      <c r="K26" s="1" t="s">
        <v>535</v>
      </c>
      <c r="L26" s="1" t="s">
        <v>536</v>
      </c>
      <c r="M26" s="1" t="s">
        <v>537</v>
      </c>
      <c r="N26" s="1">
        <v>0.0</v>
      </c>
      <c r="O26" s="1">
        <v>81.0</v>
      </c>
      <c r="P26" s="1">
        <v>0.0</v>
      </c>
      <c r="Q26" s="1">
        <v>0.0</v>
      </c>
      <c r="R26" s="1">
        <v>28.0</v>
      </c>
      <c r="S26" s="1" t="s">
        <v>538</v>
      </c>
      <c r="T26" s="1" t="s">
        <v>539</v>
      </c>
      <c r="V26" s="4">
        <v>7222778.0</v>
      </c>
      <c r="W26" s="4"/>
      <c r="X26" s="4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  <c r="AD26" s="1">
        <v>0.0</v>
      </c>
      <c r="AE26" s="1">
        <v>0.0</v>
      </c>
      <c r="AF26" s="1">
        <v>0.0</v>
      </c>
      <c r="AG26" s="1">
        <v>0.0</v>
      </c>
      <c r="AH26" s="1">
        <v>0.0</v>
      </c>
      <c r="AI26" s="1">
        <v>0.0</v>
      </c>
      <c r="AJ26" s="1">
        <v>0.0</v>
      </c>
      <c r="AK26" s="1">
        <v>0.0</v>
      </c>
      <c r="AL26" s="1">
        <v>0.0</v>
      </c>
      <c r="AM26" s="4">
        <v>0.0</v>
      </c>
      <c r="AN26" s="1">
        <v>0.0</v>
      </c>
      <c r="AO26" s="4">
        <v>0.0</v>
      </c>
      <c r="AP26" s="1">
        <f t="shared" si="1"/>
        <v>1</v>
      </c>
      <c r="AQ26" s="1" t="s">
        <v>557</v>
      </c>
      <c r="AR26" s="1" t="s">
        <v>578</v>
      </c>
      <c r="AU26" s="2">
        <v>45992.0</v>
      </c>
      <c r="AV26" s="2">
        <v>46024.0256944444</v>
      </c>
      <c r="AW26" s="1">
        <v>0.0</v>
      </c>
      <c r="AX26" s="1">
        <v>6600.0</v>
      </c>
      <c r="AY26" s="1">
        <v>26.0</v>
      </c>
      <c r="AZ26" s="1">
        <v>2.0</v>
      </c>
      <c r="BA26" s="1">
        <v>0.0</v>
      </c>
      <c r="BB26" s="1">
        <v>0.0</v>
      </c>
      <c r="BC26" s="2">
        <v>45992.0</v>
      </c>
      <c r="BD26" s="1">
        <v>48.0</v>
      </c>
      <c r="BE26" s="1" t="s">
        <v>550</v>
      </c>
      <c r="BF26" s="1">
        <v>2025.0</v>
      </c>
      <c r="BG26" s="1" t="s">
        <v>558</v>
      </c>
      <c r="BH26" s="7" t="str">
        <f>VLOOKUP(B26,CookieClicks!D:O,12,FALSE)</f>
        <v>http://signup.method.me/methodcrm?_gl=1*35xga*_gcl_au*OTA4NzE2NzI5LjE3NjQ2NDU2NTg.*_ga*MTI1ODgwNDgzOS4xNzY0NjQ1NjU4*_ga_L2HEZNW53E*czE3NjQ2NDU2NTgkbzEkZzAkdDE3NjQ2NDU2NTgkajYwJGwwJGgzNDc2MjkzNDg.&amp;_ga=2.76960469.1538964529.1764645658-1258804839.1764645658</v>
      </c>
      <c r="BI26" s="8" t="str">
        <f>IFERROR(__xludf.DUMMYFUNCTION("VLOOKUP(REGEXREPLACE(BH26,""[?].*"",""""),ContentBuckets!A:C,2,FALSE)"),"#N/A")</f>
        <v>#N/A</v>
      </c>
      <c r="BJ26" s="8" t="str">
        <f>IFERROR(__xludf.DUMMYFUNCTION("VLOOKUP(REGEXREPLACE(BH26,""[?].*"",""""),ContentBuckets!A:C,3,FALSE)"),"#N/A")</f>
        <v>#N/A</v>
      </c>
    </row>
    <row r="27" ht="14.25" customHeight="1">
      <c r="A27" s="1">
        <v>153139.0</v>
      </c>
      <c r="B27" s="1" t="s">
        <v>596</v>
      </c>
      <c r="C27" s="2">
        <v>45992.95625</v>
      </c>
      <c r="D27" s="2"/>
      <c r="E27" s="2"/>
      <c r="F27" s="1" t="b">
        <v>1</v>
      </c>
      <c r="G27" s="4" t="b">
        <v>0</v>
      </c>
      <c r="H27" s="1" t="b">
        <v>0</v>
      </c>
      <c r="I27" s="1" t="b">
        <v>0</v>
      </c>
      <c r="J27" s="1" t="s">
        <v>534</v>
      </c>
      <c r="K27" s="1" t="s">
        <v>566</v>
      </c>
      <c r="L27" s="1" t="s">
        <v>567</v>
      </c>
      <c r="M27" s="1" t="s">
        <v>537</v>
      </c>
      <c r="N27" s="1">
        <v>0.0</v>
      </c>
      <c r="O27" s="1">
        <v>44.25</v>
      </c>
      <c r="P27" s="1">
        <v>0.0</v>
      </c>
      <c r="Q27" s="1">
        <v>0.0</v>
      </c>
      <c r="R27" s="1">
        <v>28.0</v>
      </c>
      <c r="S27" s="1" t="s">
        <v>538</v>
      </c>
      <c r="T27" s="1" t="s">
        <v>539</v>
      </c>
      <c r="V27" s="4">
        <v>7222681.0</v>
      </c>
      <c r="W27" s="4"/>
      <c r="X27" s="4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1.0</v>
      </c>
      <c r="AD27" s="1">
        <v>0.0</v>
      </c>
      <c r="AE27" s="1">
        <v>0.0</v>
      </c>
      <c r="AF27" s="1">
        <v>0.0</v>
      </c>
      <c r="AG27" s="1">
        <v>0.0</v>
      </c>
      <c r="AH27" s="1">
        <v>0.0</v>
      </c>
      <c r="AI27" s="1">
        <v>0.0</v>
      </c>
      <c r="AJ27" s="1">
        <v>0.0</v>
      </c>
      <c r="AK27" s="1">
        <v>0.0</v>
      </c>
      <c r="AL27" s="1">
        <v>0.0</v>
      </c>
      <c r="AM27" s="4">
        <v>0.0</v>
      </c>
      <c r="AN27" s="1">
        <v>0.0</v>
      </c>
      <c r="AO27" s="4">
        <v>0.0</v>
      </c>
      <c r="AP27" s="1">
        <f t="shared" si="1"/>
        <v>0</v>
      </c>
      <c r="AQ27" s="1" t="s">
        <v>557</v>
      </c>
      <c r="AR27" s="1" t="s">
        <v>571</v>
      </c>
      <c r="AT27" s="1" t="s">
        <v>597</v>
      </c>
      <c r="AU27" s="2">
        <v>45992.0</v>
      </c>
      <c r="AV27" s="2">
        <v>46024.0298611111</v>
      </c>
      <c r="AW27" s="1">
        <v>0.0</v>
      </c>
      <c r="AX27" s="1">
        <v>1943.4</v>
      </c>
      <c r="AY27" s="1">
        <v>3.0</v>
      </c>
      <c r="AZ27" s="1">
        <v>1.0</v>
      </c>
      <c r="BA27" s="1">
        <v>0.0</v>
      </c>
      <c r="BB27" s="1">
        <v>0.0</v>
      </c>
      <c r="BC27" s="2">
        <v>45992.0</v>
      </c>
      <c r="BD27" s="1">
        <v>48.0</v>
      </c>
      <c r="BE27" s="1" t="s">
        <v>550</v>
      </c>
      <c r="BF27" s="1">
        <v>2025.0</v>
      </c>
      <c r="BG27" s="1" t="s">
        <v>558</v>
      </c>
      <c r="BH27" s="7" t="str">
        <f>VLOOKUP(B27,CookieClicks!D:O,12,FALSE)</f>
        <v>https://www.method.me/</v>
      </c>
      <c r="BI27" s="8" t="str">
        <f>IFERROR(__xludf.DUMMYFUNCTION("VLOOKUP(REGEXREPLACE(BH27,""[?].*"",""""),ContentBuckets!A:C,2,FALSE)"),"Homepage")</f>
        <v>Homepage</v>
      </c>
      <c r="BJ27" s="8" t="str">
        <f>IFERROR(__xludf.DUMMYFUNCTION("VLOOKUP(REGEXREPLACE(BH27,""[?].*"",""""),ContentBuckets!A:C,3,FALSE)"),"Other page")</f>
        <v>Other page</v>
      </c>
    </row>
    <row r="28" ht="14.25" customHeight="1">
      <c r="A28" s="1">
        <v>153140.0</v>
      </c>
      <c r="B28" s="1" t="s">
        <v>598</v>
      </c>
      <c r="C28" s="2">
        <v>45992.9576388889</v>
      </c>
      <c r="D28" s="2"/>
      <c r="E28" s="2"/>
      <c r="F28" s="1" t="b">
        <v>1</v>
      </c>
      <c r="G28" s="4" t="b">
        <v>0</v>
      </c>
      <c r="H28" s="1" t="b">
        <v>0</v>
      </c>
      <c r="I28" s="1" t="b">
        <v>0</v>
      </c>
      <c r="J28" s="1" t="s">
        <v>534</v>
      </c>
      <c r="K28" s="1" t="s">
        <v>553</v>
      </c>
      <c r="L28" s="1" t="s">
        <v>599</v>
      </c>
      <c r="M28" s="1" t="s">
        <v>537</v>
      </c>
      <c r="N28" s="1">
        <v>0.0</v>
      </c>
      <c r="O28" s="1">
        <v>44.25</v>
      </c>
      <c r="P28" s="1">
        <v>0.0</v>
      </c>
      <c r="Q28" s="1">
        <v>0.0</v>
      </c>
      <c r="R28" s="1">
        <v>0.0</v>
      </c>
      <c r="S28" s="1" t="s">
        <v>538</v>
      </c>
      <c r="T28" s="1" t="s">
        <v>539</v>
      </c>
      <c r="V28" s="4">
        <v>7222912.0</v>
      </c>
      <c r="W28" s="4"/>
      <c r="X28" s="4">
        <v>0.0</v>
      </c>
      <c r="Y28" s="1">
        <v>0.0</v>
      </c>
      <c r="Z28" s="1">
        <v>0.0</v>
      </c>
      <c r="AA28" s="1">
        <v>1.0</v>
      </c>
      <c r="AB28" s="1">
        <v>0.0</v>
      </c>
      <c r="AC28" s="1">
        <v>0.0</v>
      </c>
      <c r="AD28" s="1">
        <v>0.0</v>
      </c>
      <c r="AE28" s="1">
        <v>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  <c r="AK28" s="1">
        <v>0.0</v>
      </c>
      <c r="AL28" s="1">
        <v>0.0</v>
      </c>
      <c r="AM28" s="4">
        <v>0.0</v>
      </c>
      <c r="AN28" s="1">
        <v>0.0</v>
      </c>
      <c r="AO28" s="4">
        <v>0.0</v>
      </c>
      <c r="AP28" s="1">
        <f t="shared" si="1"/>
        <v>0</v>
      </c>
      <c r="AU28" s="2"/>
      <c r="AV28" s="2">
        <v>46023.98125</v>
      </c>
      <c r="AW28" s="1">
        <v>0.0</v>
      </c>
      <c r="AX28" s="1">
        <v>0.0</v>
      </c>
      <c r="AY28" s="1">
        <v>0.0</v>
      </c>
      <c r="AZ28" s="1">
        <v>1.0</v>
      </c>
      <c r="BA28" s="1">
        <v>0.0</v>
      </c>
      <c r="BB28" s="1">
        <v>0.0</v>
      </c>
      <c r="BC28" s="2">
        <v>45992.0</v>
      </c>
      <c r="BD28" s="1">
        <v>48.0</v>
      </c>
      <c r="BE28" s="1" t="s">
        <v>550</v>
      </c>
      <c r="BF28" s="1">
        <v>2025.0</v>
      </c>
      <c r="BG28" s="1" t="s">
        <v>558</v>
      </c>
      <c r="BH28" s="7" t="str">
        <f>VLOOKUP(B28,CookieClicks!D:O,12,FALSE)</f>
        <v>https://www.method.me/?trc=81&amp;trk=PMax&amp;trs=PMax-FS&amp;campaignid=21074820200&amp;adgroupid&amp;adid&amp;gad_source=5&amp;gad_campaignid=21077580125</v>
      </c>
      <c r="BI28" s="8" t="str">
        <f>IFERROR(__xludf.DUMMYFUNCTION("VLOOKUP(REGEXREPLACE(BH28,""[?].*"",""""),ContentBuckets!A:C,2,FALSE)"),"Homepage")</f>
        <v>Homepage</v>
      </c>
      <c r="BJ28" s="8" t="str">
        <f>IFERROR(__xludf.DUMMYFUNCTION("VLOOKUP(REGEXREPLACE(BH28,""[?].*"",""""),ContentBuckets!A:C,3,FALSE)"),"Other page")</f>
        <v>Other page</v>
      </c>
    </row>
    <row r="29" ht="14.25" customHeight="1">
      <c r="A29" s="1">
        <v>153141.0</v>
      </c>
      <c r="B29" s="1" t="s">
        <v>600</v>
      </c>
      <c r="C29" s="2">
        <v>45992.9722222222</v>
      </c>
      <c r="D29" s="2"/>
      <c r="E29" s="2">
        <v>46006.5319444444</v>
      </c>
      <c r="F29" s="1" t="b">
        <v>1</v>
      </c>
      <c r="G29" s="4" t="b">
        <v>0</v>
      </c>
      <c r="H29" s="1" t="b">
        <v>0</v>
      </c>
      <c r="I29" s="1" t="b">
        <v>0</v>
      </c>
      <c r="J29" s="1" t="s">
        <v>601</v>
      </c>
      <c r="K29" s="1" t="s">
        <v>535</v>
      </c>
      <c r="L29" s="1" t="s">
        <v>536</v>
      </c>
      <c r="M29" s="1" t="s">
        <v>537</v>
      </c>
      <c r="N29" s="1">
        <v>53.1</v>
      </c>
      <c r="O29" s="1">
        <v>59.0</v>
      </c>
      <c r="P29" s="1">
        <v>0.0</v>
      </c>
      <c r="Q29" s="1">
        <v>0.0</v>
      </c>
      <c r="R29" s="1">
        <v>28.0</v>
      </c>
      <c r="T29" s="1" t="s">
        <v>539</v>
      </c>
      <c r="V29" s="4">
        <v>7222975.0</v>
      </c>
      <c r="W29" s="4"/>
      <c r="X29" s="4">
        <v>1.0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  <c r="AD29" s="1">
        <v>0.0</v>
      </c>
      <c r="AE29" s="1">
        <v>0.0</v>
      </c>
      <c r="AF29" s="1">
        <v>0.0</v>
      </c>
      <c r="AG29" s="1">
        <v>0.0</v>
      </c>
      <c r="AH29" s="1">
        <v>0.0</v>
      </c>
      <c r="AI29" s="1">
        <v>0.0</v>
      </c>
      <c r="AJ29" s="1">
        <v>0.0</v>
      </c>
      <c r="AK29" s="1">
        <v>0.0</v>
      </c>
      <c r="AL29" s="1">
        <v>0.0</v>
      </c>
      <c r="AM29" s="4">
        <v>0.0</v>
      </c>
      <c r="AN29" s="1">
        <v>0.0</v>
      </c>
      <c r="AO29" s="4">
        <v>0.0</v>
      </c>
      <c r="AP29" s="1">
        <f t="shared" si="1"/>
        <v>0</v>
      </c>
      <c r="AQ29" s="1" t="s">
        <v>557</v>
      </c>
      <c r="AR29" s="1" t="s">
        <v>564</v>
      </c>
      <c r="AU29" s="2">
        <v>45993.0</v>
      </c>
      <c r="AV29" s="2">
        <v>46024.0423611111</v>
      </c>
      <c r="AW29" s="1">
        <v>2.0</v>
      </c>
      <c r="AX29" s="1">
        <v>1592809.92</v>
      </c>
      <c r="AY29" s="1">
        <v>843.0</v>
      </c>
      <c r="AZ29" s="1">
        <v>1.0</v>
      </c>
      <c r="BA29" s="1">
        <v>0.0</v>
      </c>
      <c r="BB29" s="1">
        <v>5.0</v>
      </c>
      <c r="BC29" s="2">
        <v>45992.0</v>
      </c>
      <c r="BD29" s="1">
        <v>48.0</v>
      </c>
      <c r="BE29" s="1" t="s">
        <v>550</v>
      </c>
      <c r="BF29" s="1">
        <v>2025.0</v>
      </c>
      <c r="BG29" s="1" t="s">
        <v>558</v>
      </c>
      <c r="BH29" s="7" t="str">
        <f>VLOOKUP(B29,CookieClicks!D:O,12,FALSE)</f>
        <v>http://signup.method.me/methodcrm/</v>
      </c>
      <c r="BI29" s="8" t="str">
        <f>IFERROR(__xludf.DUMMYFUNCTION("VLOOKUP(REGEXREPLACE(BH29,""[?].*"",""""),ContentBuckets!A:C,2,FALSE)"),"#N/A")</f>
        <v>#N/A</v>
      </c>
      <c r="BJ29" s="8" t="str">
        <f>IFERROR(__xludf.DUMMYFUNCTION("VLOOKUP(REGEXREPLACE(BH29,""[?].*"",""""),ContentBuckets!A:C,3,FALSE)"),"#N/A")</f>
        <v>#N/A</v>
      </c>
    </row>
    <row r="30" ht="14.25" customHeight="1">
      <c r="A30" s="1">
        <v>153142.0</v>
      </c>
      <c r="B30" s="1" t="s">
        <v>602</v>
      </c>
      <c r="C30" s="2">
        <v>45993.0347222222</v>
      </c>
      <c r="D30" s="2"/>
      <c r="E30" s="2"/>
      <c r="F30" s="1" t="b">
        <v>1</v>
      </c>
      <c r="G30" s="4" t="b">
        <v>0</v>
      </c>
      <c r="H30" s="1" t="b">
        <v>0</v>
      </c>
      <c r="I30" s="1" t="b">
        <v>0</v>
      </c>
      <c r="J30" s="1" t="s">
        <v>534</v>
      </c>
      <c r="K30" s="1" t="s">
        <v>535</v>
      </c>
      <c r="L30" s="1" t="s">
        <v>536</v>
      </c>
      <c r="M30" s="1" t="s">
        <v>537</v>
      </c>
      <c r="N30" s="1">
        <v>0.0</v>
      </c>
      <c r="O30" s="1">
        <v>53.25</v>
      </c>
      <c r="P30" s="1">
        <v>0.0</v>
      </c>
      <c r="Q30" s="1">
        <v>0.0</v>
      </c>
      <c r="R30" s="1">
        <v>0.0</v>
      </c>
      <c r="S30" s="1" t="s">
        <v>538</v>
      </c>
      <c r="T30" s="1" t="s">
        <v>539</v>
      </c>
      <c r="V30" s="4">
        <v>7223248.0</v>
      </c>
      <c r="W30" s="4"/>
      <c r="X30" s="4">
        <v>0.0</v>
      </c>
      <c r="Y30" s="1">
        <v>0.0</v>
      </c>
      <c r="Z30" s="1">
        <v>0.0</v>
      </c>
      <c r="AA30" s="1">
        <v>1.0</v>
      </c>
      <c r="AB30" s="1">
        <v>0.0</v>
      </c>
      <c r="AC30" s="1">
        <v>0.0</v>
      </c>
      <c r="AD30" s="1">
        <v>0.0</v>
      </c>
      <c r="AE30" s="1">
        <v>0.0</v>
      </c>
      <c r="AF30" s="1">
        <v>0.0</v>
      </c>
      <c r="AG30" s="1">
        <v>0.0</v>
      </c>
      <c r="AH30" s="1">
        <v>0.0</v>
      </c>
      <c r="AI30" s="1">
        <v>0.0</v>
      </c>
      <c r="AJ30" s="1">
        <v>0.0</v>
      </c>
      <c r="AK30" s="1">
        <v>0.0</v>
      </c>
      <c r="AL30" s="1">
        <v>0.0</v>
      </c>
      <c r="AM30" s="4">
        <v>0.0</v>
      </c>
      <c r="AN30" s="1">
        <v>0.0</v>
      </c>
      <c r="AO30" s="4">
        <v>0.0</v>
      </c>
      <c r="AP30" s="1">
        <f t="shared" si="1"/>
        <v>0</v>
      </c>
      <c r="AU30" s="2"/>
      <c r="AV30" s="2">
        <v>46024.0104166667</v>
      </c>
      <c r="AW30" s="1">
        <v>0.0</v>
      </c>
      <c r="AX30" s="1">
        <v>0.0</v>
      </c>
      <c r="AY30" s="1">
        <v>0.0</v>
      </c>
      <c r="AZ30" s="1">
        <v>1.0</v>
      </c>
      <c r="BA30" s="1">
        <v>0.0</v>
      </c>
      <c r="BB30" s="1">
        <v>0.0</v>
      </c>
      <c r="BC30" s="2">
        <v>45993.0</v>
      </c>
      <c r="BD30" s="1">
        <v>48.0</v>
      </c>
      <c r="BE30" s="1" t="s">
        <v>550</v>
      </c>
      <c r="BF30" s="1">
        <v>2025.0</v>
      </c>
      <c r="BG30" s="1" t="s">
        <v>558</v>
      </c>
      <c r="BH30" s="1" t="str">
        <f>VLOOKUP(B30,CookieClicks!D:O,12,FALSE)</f>
        <v>https://grow.method.me/crm-quickbooks/?trc=86&amp;trk=quickbook estimate&amp;trs=USA-G-QB-Bing&amp;msclkid=9d5a77cb2b2b167e1c921ee5569f174b&amp;utm_source=bing&amp;utm_medium=cpc&amp;utm_campaign=US - Generic 2020&amp;utm_term=quickbook estimate&amp;utm_content=Generic</v>
      </c>
      <c r="BI30" s="8" t="str">
        <f>IFERROR(__xludf.DUMMYFUNCTION("VLOOKUP(REGEXREPLACE(BH30,""[?].*"",""""),ContentBuckets!A:C,2,FALSE)"),"#N/A")</f>
        <v>#N/A</v>
      </c>
      <c r="BJ30" s="8" t="str">
        <f>IFERROR(__xludf.DUMMYFUNCTION("VLOOKUP(REGEXREPLACE(BH30,""[?].*"",""""),ContentBuckets!A:C,3,FALSE)"),"#N/A")</f>
        <v>#N/A</v>
      </c>
    </row>
    <row r="31" ht="14.25" customHeight="1">
      <c r="A31" s="1">
        <v>153143.0</v>
      </c>
      <c r="B31" s="1" t="s">
        <v>603</v>
      </c>
      <c r="C31" s="2">
        <v>45993.2965277778</v>
      </c>
      <c r="D31" s="2"/>
      <c r="E31" s="2"/>
      <c r="F31" s="1" t="b">
        <v>1</v>
      </c>
      <c r="G31" s="4" t="b">
        <v>0</v>
      </c>
      <c r="H31" s="1" t="b">
        <v>0</v>
      </c>
      <c r="I31" s="1" t="b">
        <v>0</v>
      </c>
      <c r="J31" s="1" t="s">
        <v>534</v>
      </c>
      <c r="K31" s="1" t="s">
        <v>535</v>
      </c>
      <c r="L31" s="1" t="s">
        <v>536</v>
      </c>
      <c r="M31" s="1" t="s">
        <v>537</v>
      </c>
      <c r="N31" s="1">
        <v>0.0</v>
      </c>
      <c r="O31" s="1">
        <v>236.25</v>
      </c>
      <c r="P31" s="1">
        <v>0.0</v>
      </c>
      <c r="Q31" s="1">
        <v>0.0</v>
      </c>
      <c r="R31" s="1">
        <v>28.0</v>
      </c>
      <c r="S31" s="1" t="s">
        <v>538</v>
      </c>
      <c r="T31" s="1" t="s">
        <v>539</v>
      </c>
      <c r="V31" s="4">
        <v>7224530.0</v>
      </c>
      <c r="W31" s="4" t="s">
        <v>540</v>
      </c>
      <c r="X31" s="4">
        <v>0.0</v>
      </c>
      <c r="Y31" s="1">
        <v>1.0</v>
      </c>
      <c r="Z31" s="1">
        <v>0.0</v>
      </c>
      <c r="AA31" s="1">
        <v>0.0</v>
      </c>
      <c r="AB31" s="1">
        <v>0.0</v>
      </c>
      <c r="AC31" s="1">
        <v>0.0</v>
      </c>
      <c r="AD31" s="1">
        <v>0.0</v>
      </c>
      <c r="AE31" s="1">
        <v>0.0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  <c r="AK31" s="1">
        <v>0.0</v>
      </c>
      <c r="AL31" s="1">
        <v>0.0</v>
      </c>
      <c r="AM31" s="4">
        <v>0.0</v>
      </c>
      <c r="AN31" s="1">
        <v>0.0</v>
      </c>
      <c r="AO31" s="4">
        <v>0.0</v>
      </c>
      <c r="AP31" s="1">
        <f t="shared" si="1"/>
        <v>0</v>
      </c>
      <c r="AQ31" s="1" t="s">
        <v>604</v>
      </c>
      <c r="AR31" s="1" t="s">
        <v>591</v>
      </c>
      <c r="AU31" s="2">
        <v>45993.0</v>
      </c>
      <c r="AV31" s="2">
        <v>46023.9930555556</v>
      </c>
      <c r="AW31" s="1">
        <v>4.0</v>
      </c>
      <c r="AX31" s="1">
        <v>154369.32</v>
      </c>
      <c r="AY31" s="1">
        <v>1305.0</v>
      </c>
      <c r="AZ31" s="1">
        <v>2.0</v>
      </c>
      <c r="BA31" s="1">
        <v>0.0</v>
      </c>
      <c r="BB31" s="1">
        <v>1.0</v>
      </c>
      <c r="BC31" s="2">
        <v>45993.0</v>
      </c>
      <c r="BD31" s="1">
        <v>48.0</v>
      </c>
      <c r="BE31" s="1" t="s">
        <v>550</v>
      </c>
      <c r="BF31" s="1">
        <v>2025.0</v>
      </c>
      <c r="BG31" s="1" t="s">
        <v>605</v>
      </c>
      <c r="BH31" s="7" t="str">
        <f>VLOOKUP(B31,CookieClicks!D:O,12,FALSE)</f>
        <v>https://www.method.me/</v>
      </c>
      <c r="BI31" s="8" t="str">
        <f>IFERROR(__xludf.DUMMYFUNCTION("VLOOKUP(REGEXREPLACE(BH31,""[?].*"",""""),ContentBuckets!A:C,2,FALSE)"),"Homepage")</f>
        <v>Homepage</v>
      </c>
      <c r="BJ31" s="8" t="str">
        <f>IFERROR(__xludf.DUMMYFUNCTION("VLOOKUP(REGEXREPLACE(BH31,""[?].*"",""""),ContentBuckets!A:C,3,FALSE)"),"Other page")</f>
        <v>Other page</v>
      </c>
    </row>
    <row r="32" ht="14.25" customHeight="1">
      <c r="A32" s="1">
        <v>153144.0</v>
      </c>
      <c r="B32" s="1" t="s">
        <v>606</v>
      </c>
      <c r="C32" s="2">
        <v>45993.3055555556</v>
      </c>
      <c r="D32" s="2">
        <v>46000.6416666667</v>
      </c>
      <c r="E32" s="2"/>
      <c r="F32" s="1" t="b">
        <v>0</v>
      </c>
      <c r="G32" s="4" t="b">
        <v>0</v>
      </c>
      <c r="H32" s="1" t="b">
        <v>0</v>
      </c>
      <c r="I32" s="1" t="b">
        <v>0</v>
      </c>
      <c r="J32" s="1" t="s">
        <v>534</v>
      </c>
      <c r="K32" s="1" t="s">
        <v>535</v>
      </c>
      <c r="L32" s="1" t="s">
        <v>536</v>
      </c>
      <c r="M32" s="1" t="s">
        <v>537</v>
      </c>
      <c r="N32" s="1">
        <v>0.0</v>
      </c>
      <c r="O32" s="1">
        <v>44.25</v>
      </c>
      <c r="P32" s="1">
        <v>0.0</v>
      </c>
      <c r="Q32" s="1">
        <v>0.0</v>
      </c>
      <c r="R32" s="1">
        <v>0.0</v>
      </c>
      <c r="S32" s="1" t="s">
        <v>538</v>
      </c>
      <c r="T32" s="1" t="s">
        <v>539</v>
      </c>
      <c r="V32" s="4">
        <v>7224570.0</v>
      </c>
      <c r="W32" s="4"/>
      <c r="X32" s="4">
        <v>1.0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  <c r="AD32" s="1">
        <v>0.0</v>
      </c>
      <c r="AE32" s="1">
        <v>0.0</v>
      </c>
      <c r="AF32" s="1">
        <v>0.0</v>
      </c>
      <c r="AG32" s="1">
        <v>0.0</v>
      </c>
      <c r="AH32" s="1">
        <v>0.0</v>
      </c>
      <c r="AI32" s="1">
        <v>0.0</v>
      </c>
      <c r="AJ32" s="1">
        <v>0.0</v>
      </c>
      <c r="AK32" s="1">
        <v>0.0</v>
      </c>
      <c r="AL32" s="1">
        <v>0.0</v>
      </c>
      <c r="AM32" s="4">
        <v>0.0</v>
      </c>
      <c r="AN32" s="1">
        <v>0.0</v>
      </c>
      <c r="AO32" s="4">
        <v>0.0</v>
      </c>
      <c r="AP32" s="1">
        <f t="shared" si="1"/>
        <v>0</v>
      </c>
      <c r="AU32" s="2"/>
      <c r="AV32" s="2">
        <v>46000.0416666667</v>
      </c>
      <c r="AW32" s="1">
        <v>0.0</v>
      </c>
      <c r="AX32" s="1">
        <v>0.0</v>
      </c>
      <c r="AY32" s="1">
        <v>0.0</v>
      </c>
      <c r="AZ32" s="1">
        <v>1.0</v>
      </c>
      <c r="BA32" s="1">
        <v>0.0</v>
      </c>
      <c r="BB32" s="1">
        <v>0.0</v>
      </c>
      <c r="BC32" s="2">
        <v>45993.0</v>
      </c>
      <c r="BD32" s="1">
        <v>48.0</v>
      </c>
      <c r="BE32" s="1" t="s">
        <v>550</v>
      </c>
      <c r="BF32" s="1">
        <v>2025.0</v>
      </c>
      <c r="BG32" s="1" t="s">
        <v>558</v>
      </c>
      <c r="BH32" s="7" t="str">
        <f>VLOOKUP(B32,CookieClicks!D:O,12,FALSE)</f>
        <v>https://signin.method.me/?returnUrl=https%3A%2F%2Fumjca.methodportal.com%2Fapps%2F</v>
      </c>
      <c r="BI32" s="8" t="str">
        <f>IFERROR(__xludf.DUMMYFUNCTION("VLOOKUP(REGEXREPLACE(BH32,""[?].*"",""""),ContentBuckets!A:C,2,FALSE)"),"#N/A")</f>
        <v>#N/A</v>
      </c>
      <c r="BJ32" s="8" t="str">
        <f>IFERROR(__xludf.DUMMYFUNCTION("VLOOKUP(REGEXREPLACE(BH32,""[?].*"",""""),ContentBuckets!A:C,3,FALSE)"),"#N/A")</f>
        <v>#N/A</v>
      </c>
    </row>
    <row r="33" ht="14.25" customHeight="1">
      <c r="A33" s="1">
        <v>153145.0</v>
      </c>
      <c r="B33" s="1" t="s">
        <v>607</v>
      </c>
      <c r="C33" s="2">
        <v>45993.3333333333</v>
      </c>
      <c r="D33" s="2"/>
      <c r="E33" s="2"/>
      <c r="F33" s="1" t="b">
        <v>1</v>
      </c>
      <c r="G33" s="4" t="b">
        <v>0</v>
      </c>
      <c r="H33" s="1" t="b">
        <v>0</v>
      </c>
      <c r="I33" s="1" t="b">
        <v>0</v>
      </c>
      <c r="J33" s="1" t="s">
        <v>534</v>
      </c>
      <c r="K33" s="1" t="s">
        <v>535</v>
      </c>
      <c r="L33" s="1" t="s">
        <v>536</v>
      </c>
      <c r="M33" s="1" t="s">
        <v>537</v>
      </c>
      <c r="N33" s="1">
        <v>0.0</v>
      </c>
      <c r="O33" s="1">
        <v>54.75</v>
      </c>
      <c r="P33" s="1">
        <v>0.0</v>
      </c>
      <c r="Q33" s="1">
        <v>0.0</v>
      </c>
      <c r="R33" s="1">
        <v>28.0</v>
      </c>
      <c r="S33" s="1" t="s">
        <v>538</v>
      </c>
      <c r="T33" s="1" t="s">
        <v>539</v>
      </c>
      <c r="V33" s="4">
        <v>7224692.0</v>
      </c>
      <c r="W33" s="4"/>
      <c r="X33" s="4">
        <v>0.0</v>
      </c>
      <c r="Y33" s="1">
        <v>0.0</v>
      </c>
      <c r="Z33" s="1">
        <v>1.0</v>
      </c>
      <c r="AA33" s="1">
        <v>0.0</v>
      </c>
      <c r="AB33" s="1">
        <v>0.0</v>
      </c>
      <c r="AC33" s="1">
        <v>0.0</v>
      </c>
      <c r="AD33" s="1">
        <v>0.0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0.0</v>
      </c>
      <c r="AK33" s="1">
        <v>0.0</v>
      </c>
      <c r="AL33" s="1">
        <v>0.0</v>
      </c>
      <c r="AM33" s="4">
        <v>0.0</v>
      </c>
      <c r="AN33" s="1">
        <v>0.0</v>
      </c>
      <c r="AO33" s="4">
        <v>0.0</v>
      </c>
      <c r="AP33" s="1">
        <f t="shared" si="1"/>
        <v>0</v>
      </c>
      <c r="AQ33" s="1" t="s">
        <v>557</v>
      </c>
      <c r="AR33" s="1" t="s">
        <v>608</v>
      </c>
      <c r="AU33" s="2">
        <v>45993.0</v>
      </c>
      <c r="AV33" s="2">
        <v>46023.9986111111</v>
      </c>
      <c r="AW33" s="1">
        <v>2.0</v>
      </c>
      <c r="AX33" s="1">
        <v>0.0</v>
      </c>
      <c r="AY33" s="1">
        <v>1550.0</v>
      </c>
      <c r="AZ33" s="1">
        <v>1.0</v>
      </c>
      <c r="BA33" s="1">
        <v>0.0</v>
      </c>
      <c r="BB33" s="1">
        <v>0.0</v>
      </c>
      <c r="BC33" s="2">
        <v>45993.0</v>
      </c>
      <c r="BD33" s="1">
        <v>48.0</v>
      </c>
      <c r="BE33" s="1" t="s">
        <v>550</v>
      </c>
      <c r="BF33" s="1">
        <v>2025.0</v>
      </c>
      <c r="BG33" s="1" t="s">
        <v>558</v>
      </c>
      <c r="BH33" s="7" t="str">
        <f>VLOOKUP(B33,CookieClicks!D:O,12,FALSE)</f>
        <v>https://signup.method.me/QBOAppstoreSignup?offering=methodcrm</v>
      </c>
      <c r="BI33" s="8" t="str">
        <f>IFERROR(__xludf.DUMMYFUNCTION("VLOOKUP(REGEXREPLACE(BH33,""[?].*"",""""),ContentBuckets!A:C,2,FALSE)"),"#N/A")</f>
        <v>#N/A</v>
      </c>
      <c r="BJ33" s="8" t="str">
        <f>IFERROR(__xludf.DUMMYFUNCTION("VLOOKUP(REGEXREPLACE(BH33,""[?].*"",""""),ContentBuckets!A:C,3,FALSE)"),"#N/A")</f>
        <v>#N/A</v>
      </c>
    </row>
    <row r="34" ht="14.25" customHeight="1">
      <c r="A34" s="1">
        <v>153146.0</v>
      </c>
      <c r="B34" s="1" t="s">
        <v>609</v>
      </c>
      <c r="C34" s="2">
        <v>45993.3347222222</v>
      </c>
      <c r="D34" s="2"/>
      <c r="E34" s="2"/>
      <c r="F34" s="1" t="b">
        <v>1</v>
      </c>
      <c r="G34" s="4" t="b">
        <v>0</v>
      </c>
      <c r="H34" s="1" t="b">
        <v>0</v>
      </c>
      <c r="I34" s="1" t="b">
        <v>0</v>
      </c>
      <c r="J34" s="1" t="s">
        <v>534</v>
      </c>
      <c r="K34" s="1" t="s">
        <v>535</v>
      </c>
      <c r="L34" s="1" t="s">
        <v>536</v>
      </c>
      <c r="M34" s="1" t="s">
        <v>537</v>
      </c>
      <c r="N34" s="1">
        <v>0.0</v>
      </c>
      <c r="O34" s="1">
        <v>150.75</v>
      </c>
      <c r="P34" s="1">
        <v>0.0</v>
      </c>
      <c r="Q34" s="1">
        <v>0.0</v>
      </c>
      <c r="R34" s="1">
        <v>28.0</v>
      </c>
      <c r="S34" s="1" t="s">
        <v>538</v>
      </c>
      <c r="T34" s="1" t="s">
        <v>539</v>
      </c>
      <c r="V34" s="4">
        <v>7148020.0</v>
      </c>
      <c r="W34" s="4"/>
      <c r="X34" s="4">
        <v>1.0</v>
      </c>
      <c r="Y34" s="1">
        <v>0.0</v>
      </c>
      <c r="Z34" s="1">
        <v>0.0</v>
      </c>
      <c r="AA34" s="1">
        <v>0.0</v>
      </c>
      <c r="AB34" s="1">
        <v>0.0</v>
      </c>
      <c r="AC34" s="1">
        <v>0.0</v>
      </c>
      <c r="AD34" s="1">
        <v>0.0</v>
      </c>
      <c r="AE34" s="1">
        <v>0.0</v>
      </c>
      <c r="AF34" s="1">
        <v>0.0</v>
      </c>
      <c r="AG34" s="1">
        <v>0.0</v>
      </c>
      <c r="AH34" s="1">
        <v>0.0</v>
      </c>
      <c r="AI34" s="1">
        <v>0.0</v>
      </c>
      <c r="AJ34" s="1">
        <v>0.0</v>
      </c>
      <c r="AK34" s="1">
        <v>0.0</v>
      </c>
      <c r="AL34" s="1">
        <v>0.0</v>
      </c>
      <c r="AM34" s="4">
        <v>0.0</v>
      </c>
      <c r="AN34" s="1">
        <v>0.0</v>
      </c>
      <c r="AO34" s="4">
        <v>0.0</v>
      </c>
      <c r="AP34" s="1">
        <f t="shared" si="1"/>
        <v>0</v>
      </c>
      <c r="AQ34" s="1" t="s">
        <v>557</v>
      </c>
      <c r="AR34" s="1" t="s">
        <v>542</v>
      </c>
      <c r="AT34" s="1" t="s">
        <v>610</v>
      </c>
      <c r="AU34" s="2">
        <v>45993.0</v>
      </c>
      <c r="AV34" s="2">
        <v>46024.0381944444</v>
      </c>
      <c r="AW34" s="1">
        <v>30.0</v>
      </c>
      <c r="AX34" s="1">
        <v>183336.0</v>
      </c>
      <c r="AY34" s="1">
        <v>1068.0</v>
      </c>
      <c r="AZ34" s="1">
        <v>3.0</v>
      </c>
      <c r="BA34" s="1">
        <v>0.0</v>
      </c>
      <c r="BB34" s="1">
        <v>0.0</v>
      </c>
      <c r="BC34" s="2">
        <v>45993.0</v>
      </c>
      <c r="BD34" s="1">
        <v>48.0</v>
      </c>
      <c r="BE34" s="1" t="s">
        <v>550</v>
      </c>
      <c r="BF34" s="1">
        <v>2025.0</v>
      </c>
      <c r="BG34" s="1" t="s">
        <v>558</v>
      </c>
      <c r="BH34" s="7" t="str">
        <f>VLOOKUP(B34,CookieClicks!D:O,12,FALSE)</f>
        <v>https://www.method.me/industries/field-service-management-software/?utm_source=chatgpt.com</v>
      </c>
      <c r="BI34" s="8" t="str">
        <f>IFERROR(__xludf.DUMMYFUNCTION("VLOOKUP(REGEXREPLACE(BH34,""[?].*"",""""),ContentBuckets!A:C,2,FALSE)"),"Industries page")</f>
        <v>Industries page</v>
      </c>
      <c r="BJ34" s="8" t="str">
        <f>IFERROR(__xludf.DUMMYFUNCTION("VLOOKUP(REGEXREPLACE(BH34,""[?].*"",""""),ContentBuckets!A:C,3,FALSE)"),"Other page")</f>
        <v>Other page</v>
      </c>
    </row>
    <row r="35" ht="14.25" customHeight="1">
      <c r="A35" s="1">
        <v>153147.0</v>
      </c>
      <c r="B35" s="1" t="s">
        <v>611</v>
      </c>
      <c r="C35" s="2">
        <v>45993.3597222222</v>
      </c>
      <c r="D35" s="2"/>
      <c r="E35" s="2"/>
      <c r="F35" s="1" t="b">
        <v>1</v>
      </c>
      <c r="G35" s="4" t="b">
        <v>0</v>
      </c>
      <c r="H35" s="1" t="b">
        <v>0</v>
      </c>
      <c r="I35" s="1" t="b">
        <v>0</v>
      </c>
      <c r="J35" s="1" t="s">
        <v>534</v>
      </c>
      <c r="K35" s="1" t="s">
        <v>612</v>
      </c>
      <c r="L35" s="1" t="s">
        <v>567</v>
      </c>
      <c r="M35" s="1" t="s">
        <v>537</v>
      </c>
      <c r="N35" s="1">
        <v>0.0</v>
      </c>
      <c r="O35" s="1">
        <v>44.25</v>
      </c>
      <c r="P35" s="1">
        <v>0.0</v>
      </c>
      <c r="Q35" s="1">
        <v>0.0</v>
      </c>
      <c r="R35" s="1">
        <v>28.0</v>
      </c>
      <c r="S35" s="1" t="s">
        <v>538</v>
      </c>
      <c r="T35" s="1" t="s">
        <v>539</v>
      </c>
      <c r="V35" s="4">
        <v>7224805.0</v>
      </c>
      <c r="W35" s="4"/>
      <c r="X35" s="4">
        <v>0.0</v>
      </c>
      <c r="Y35" s="1">
        <v>0.0</v>
      </c>
      <c r="Z35" s="1">
        <v>0.0</v>
      </c>
      <c r="AA35" s="1">
        <v>1.0</v>
      </c>
      <c r="AB35" s="1">
        <v>0.0</v>
      </c>
      <c r="AC35" s="1">
        <v>0.0</v>
      </c>
      <c r="AD35" s="1">
        <v>0.0</v>
      </c>
      <c r="AE35" s="1">
        <v>0.0</v>
      </c>
      <c r="AF35" s="1">
        <v>0.0</v>
      </c>
      <c r="AG35" s="1">
        <v>0.0</v>
      </c>
      <c r="AH35" s="1">
        <v>0.0</v>
      </c>
      <c r="AI35" s="1">
        <v>0.0</v>
      </c>
      <c r="AJ35" s="1">
        <v>0.0</v>
      </c>
      <c r="AK35" s="1">
        <v>0.0</v>
      </c>
      <c r="AL35" s="1">
        <v>0.0</v>
      </c>
      <c r="AM35" s="4">
        <v>0.0</v>
      </c>
      <c r="AN35" s="1">
        <v>0.0</v>
      </c>
      <c r="AO35" s="4">
        <v>0.0</v>
      </c>
      <c r="AP35" s="1">
        <f t="shared" si="1"/>
        <v>0</v>
      </c>
      <c r="AR35" s="1" t="s">
        <v>564</v>
      </c>
      <c r="AU35" s="2"/>
      <c r="AV35" s="2">
        <v>46024.0229166667</v>
      </c>
      <c r="AW35" s="1">
        <v>0.0</v>
      </c>
      <c r="AX35" s="1">
        <v>0.0</v>
      </c>
      <c r="AY35" s="1">
        <v>0.0</v>
      </c>
      <c r="AZ35" s="1">
        <v>1.0</v>
      </c>
      <c r="BA35" s="1">
        <v>0.0</v>
      </c>
      <c r="BB35" s="1">
        <v>0.0</v>
      </c>
      <c r="BC35" s="2">
        <v>45993.0</v>
      </c>
      <c r="BD35" s="1">
        <v>48.0</v>
      </c>
      <c r="BE35" s="1" t="s">
        <v>550</v>
      </c>
      <c r="BF35" s="1">
        <v>2025.0</v>
      </c>
      <c r="BG35" s="1" t="s">
        <v>558</v>
      </c>
      <c r="BH35" s="1" t="str">
        <f>VLOOKUP(B35,CookieClicks!D:O,12,FALSE)</f>
        <v>https://grow.method.me/quickbooks-fsm/?trc=81&amp;trk=quickbooks work order management&amp;trs=US-WorkOrder&amp;campaignid=12406628869&amp;adgroupid=118144098877&amp;adid=500417359916&amp;gad_source=1&amp;gad_campaignid=12406628869&amp;gbraid=0AAAAAD3Itnbb-v0p7Dw7Bhdk7OpsQaId8&amp;gclid=Cj0KCQiAubrJBhCbARIsAHIdxD9PhuzgzFx4d3Oeatq_oulj9ZdbZgTzuwu80IJCqEK0UFsHKWmAAL4aAnntEALw_wcB</v>
      </c>
      <c r="BI35" s="8" t="str">
        <f>IFERROR(__xludf.DUMMYFUNCTION("VLOOKUP(REGEXREPLACE(BH35,""[?].*"",""""),ContentBuckets!A:C,2,FALSE)"),"#N/A")</f>
        <v>#N/A</v>
      </c>
      <c r="BJ35" s="8" t="str">
        <f>IFERROR(__xludf.DUMMYFUNCTION("VLOOKUP(REGEXREPLACE(BH35,""[?].*"",""""),ContentBuckets!A:C,3,FALSE)"),"#N/A")</f>
        <v>#N/A</v>
      </c>
    </row>
    <row r="36" ht="14.25" customHeight="1">
      <c r="A36" s="1">
        <v>153157.0</v>
      </c>
      <c r="B36" s="1" t="s">
        <v>613</v>
      </c>
      <c r="C36" s="2">
        <v>45993.4402777778</v>
      </c>
      <c r="D36" s="2"/>
      <c r="E36" s="2"/>
      <c r="F36" s="1" t="b">
        <v>1</v>
      </c>
      <c r="G36" s="4" t="b">
        <v>0</v>
      </c>
      <c r="H36" s="1" t="b">
        <v>0</v>
      </c>
      <c r="I36" s="1" t="b">
        <v>0</v>
      </c>
      <c r="J36" s="1" t="s">
        <v>534</v>
      </c>
      <c r="K36" s="1" t="s">
        <v>535</v>
      </c>
      <c r="L36" s="1" t="s">
        <v>536</v>
      </c>
      <c r="M36" s="1" t="s">
        <v>537</v>
      </c>
      <c r="N36" s="1">
        <v>0.0</v>
      </c>
      <c r="O36" s="1">
        <v>62.25</v>
      </c>
      <c r="P36" s="1">
        <v>0.0</v>
      </c>
      <c r="Q36" s="1">
        <v>0.0</v>
      </c>
      <c r="R36" s="1">
        <v>28.0</v>
      </c>
      <c r="S36" s="1" t="s">
        <v>538</v>
      </c>
      <c r="T36" s="1" t="s">
        <v>539</v>
      </c>
      <c r="V36" s="4">
        <v>7225423.0</v>
      </c>
      <c r="W36" s="4"/>
      <c r="X36" s="4">
        <v>0.0</v>
      </c>
      <c r="Y36" s="1">
        <v>0.0</v>
      </c>
      <c r="Z36" s="1">
        <v>0.0</v>
      </c>
      <c r="AA36" s="1">
        <v>1.0</v>
      </c>
      <c r="AB36" s="1">
        <v>0.0</v>
      </c>
      <c r="AC36" s="1">
        <v>0.0</v>
      </c>
      <c r="AD36" s="1">
        <v>0.0</v>
      </c>
      <c r="AE36" s="1">
        <v>0.0</v>
      </c>
      <c r="AF36" s="1">
        <v>0.0</v>
      </c>
      <c r="AG36" s="1">
        <v>0.0</v>
      </c>
      <c r="AH36" s="1">
        <v>0.0</v>
      </c>
      <c r="AI36" s="1">
        <v>0.0</v>
      </c>
      <c r="AJ36" s="1">
        <v>0.0</v>
      </c>
      <c r="AK36" s="1">
        <v>0.0</v>
      </c>
      <c r="AL36" s="1">
        <v>0.0</v>
      </c>
      <c r="AM36" s="4">
        <v>0.0</v>
      </c>
      <c r="AN36" s="1">
        <v>0.0</v>
      </c>
      <c r="AO36" s="4">
        <v>0.0</v>
      </c>
      <c r="AP36" s="1">
        <f t="shared" si="1"/>
        <v>0</v>
      </c>
      <c r="AQ36" s="1" t="s">
        <v>557</v>
      </c>
      <c r="AR36" s="1" t="s">
        <v>542</v>
      </c>
      <c r="AU36" s="2">
        <v>45995.0</v>
      </c>
      <c r="AV36" s="2">
        <v>46024.00625</v>
      </c>
      <c r="AW36" s="1">
        <v>0.0</v>
      </c>
      <c r="AX36" s="1">
        <v>0.0</v>
      </c>
      <c r="AY36" s="1">
        <v>583.0</v>
      </c>
      <c r="AZ36" s="1">
        <v>1.0</v>
      </c>
      <c r="BA36" s="1">
        <v>0.0</v>
      </c>
      <c r="BB36" s="1">
        <v>0.0</v>
      </c>
      <c r="BC36" s="2">
        <v>45993.0</v>
      </c>
      <c r="BD36" s="1">
        <v>48.0</v>
      </c>
      <c r="BE36" s="1" t="s">
        <v>550</v>
      </c>
      <c r="BF36" s="1">
        <v>2025.0</v>
      </c>
      <c r="BG36" s="1" t="s">
        <v>558</v>
      </c>
      <c r="BH36" s="1" t="str">
        <f>VLOOKUP(B36,CookieClicks!D:O,12,FALSE)</f>
        <v>https://grow.method.me/crm-quickbooks/?trc=81&amp;trk=quickbooks crm&amp;trs=USA-QB-G_Ex&amp;campaignid=22265826203&amp;adgroupid=176758613473&amp;adid=734012603510&amp;gad_source=1&amp;gad_campaignid=22265826203&amp;gbraid=0AAAAAD3ItnbZS3z8l6nzYVFFMJ1qRT6ol&amp;gclid=Cj0KCQiAubrJBhCbARIsAHIdxD91Aj2WQqPOZpBBh09mY5kWzXBsLLrHYQVGPGApxr6fWSq1XW-0KsgaAk0GEALw_wcB</v>
      </c>
      <c r="BI36" s="8" t="str">
        <f>IFERROR(__xludf.DUMMYFUNCTION("VLOOKUP(REGEXREPLACE(BH36,""[?].*"",""""),ContentBuckets!A:C,2,FALSE)"),"#N/A")</f>
        <v>#N/A</v>
      </c>
      <c r="BJ36" s="8" t="str">
        <f>IFERROR(__xludf.DUMMYFUNCTION("VLOOKUP(REGEXREPLACE(BH36,""[?].*"",""""),ContentBuckets!A:C,3,FALSE)"),"#N/A")</f>
        <v>#N/A</v>
      </c>
    </row>
    <row r="37" ht="14.25" customHeight="1">
      <c r="A37" s="1">
        <v>153158.0</v>
      </c>
      <c r="B37" s="1" t="s">
        <v>614</v>
      </c>
      <c r="C37" s="2">
        <v>45993.4465277778</v>
      </c>
      <c r="D37" s="2"/>
      <c r="E37" s="2"/>
      <c r="F37" s="1" t="b">
        <v>1</v>
      </c>
      <c r="G37" s="4" t="b">
        <v>0</v>
      </c>
      <c r="H37" s="1" t="b">
        <v>0</v>
      </c>
      <c r="I37" s="1" t="b">
        <v>0</v>
      </c>
      <c r="J37" s="1" t="s">
        <v>534</v>
      </c>
      <c r="K37" s="1" t="s">
        <v>535</v>
      </c>
      <c r="L37" s="1" t="s">
        <v>536</v>
      </c>
      <c r="M37" s="1" t="s">
        <v>537</v>
      </c>
      <c r="N37" s="1">
        <v>0.0</v>
      </c>
      <c r="O37" s="1">
        <v>54.75</v>
      </c>
      <c r="P37" s="1">
        <v>0.0</v>
      </c>
      <c r="Q37" s="1">
        <v>0.0</v>
      </c>
      <c r="R37" s="1">
        <v>28.0</v>
      </c>
      <c r="S37" s="1" t="s">
        <v>538</v>
      </c>
      <c r="T37" s="1" t="s">
        <v>539</v>
      </c>
      <c r="V37" s="4">
        <v>7225452.0</v>
      </c>
      <c r="W37" s="4" t="s">
        <v>540</v>
      </c>
      <c r="X37" s="4">
        <v>0.0</v>
      </c>
      <c r="Y37" s="1">
        <v>1.0</v>
      </c>
      <c r="Z37" s="1">
        <v>0.0</v>
      </c>
      <c r="AA37" s="1">
        <v>0.0</v>
      </c>
      <c r="AB37" s="1">
        <v>0.0</v>
      </c>
      <c r="AC37" s="1">
        <v>0.0</v>
      </c>
      <c r="AD37" s="1">
        <v>0.0</v>
      </c>
      <c r="AE37" s="1">
        <v>0.0</v>
      </c>
      <c r="AF37" s="1">
        <v>0.0</v>
      </c>
      <c r="AG37" s="1">
        <v>0.0</v>
      </c>
      <c r="AH37" s="1">
        <v>0.0</v>
      </c>
      <c r="AI37" s="1">
        <v>0.0</v>
      </c>
      <c r="AJ37" s="1">
        <v>0.0</v>
      </c>
      <c r="AK37" s="1">
        <v>0.0</v>
      </c>
      <c r="AL37" s="1">
        <v>0.0</v>
      </c>
      <c r="AM37" s="4">
        <v>0.0</v>
      </c>
      <c r="AN37" s="1">
        <v>0.0</v>
      </c>
      <c r="AO37" s="4">
        <v>0.0</v>
      </c>
      <c r="AP37" s="1">
        <f t="shared" si="1"/>
        <v>0</v>
      </c>
      <c r="AQ37" s="1" t="s">
        <v>541</v>
      </c>
      <c r="AR37" s="1" t="s">
        <v>542</v>
      </c>
      <c r="AU37" s="2">
        <v>45993.0</v>
      </c>
      <c r="AV37" s="2">
        <v>46024.0298611111</v>
      </c>
      <c r="AW37" s="1">
        <v>0.0</v>
      </c>
      <c r="AX37" s="1">
        <v>93603.72</v>
      </c>
      <c r="AY37" s="1">
        <v>241.0</v>
      </c>
      <c r="AZ37" s="1">
        <v>1.0</v>
      </c>
      <c r="BA37" s="1">
        <v>0.0</v>
      </c>
      <c r="BB37" s="1">
        <v>0.0</v>
      </c>
      <c r="BC37" s="2">
        <v>45993.0</v>
      </c>
      <c r="BD37" s="1">
        <v>48.0</v>
      </c>
      <c r="BE37" s="1" t="s">
        <v>550</v>
      </c>
      <c r="BF37" s="1">
        <v>2025.0</v>
      </c>
      <c r="BG37" s="1" t="s">
        <v>546</v>
      </c>
      <c r="BH37" s="7" t="str">
        <f>VLOOKUP(B37,CookieClicks!D:O,12,FALSE)</f>
        <v>https://www.method.me/</v>
      </c>
      <c r="BI37" s="8" t="str">
        <f>IFERROR(__xludf.DUMMYFUNCTION("VLOOKUP(REGEXREPLACE(BH37,""[?].*"",""""),ContentBuckets!A:C,2,FALSE)"),"Homepage")</f>
        <v>Homepage</v>
      </c>
      <c r="BJ37" s="8" t="str">
        <f>IFERROR(__xludf.DUMMYFUNCTION("VLOOKUP(REGEXREPLACE(BH37,""[?].*"",""""),ContentBuckets!A:C,3,FALSE)"),"Other page")</f>
        <v>Other page</v>
      </c>
    </row>
    <row r="38" ht="14.25" customHeight="1">
      <c r="A38" s="1">
        <v>153159.0</v>
      </c>
      <c r="B38" s="1" t="s">
        <v>615</v>
      </c>
      <c r="C38" s="2">
        <v>45993.4631944444</v>
      </c>
      <c r="D38" s="2"/>
      <c r="E38" s="2"/>
      <c r="F38" s="1" t="b">
        <v>1</v>
      </c>
      <c r="G38" s="4" t="b">
        <v>0</v>
      </c>
      <c r="H38" s="1" t="b">
        <v>0</v>
      </c>
      <c r="I38" s="1" t="b">
        <v>0</v>
      </c>
      <c r="J38" s="1" t="s">
        <v>534</v>
      </c>
      <c r="K38" s="1" t="s">
        <v>612</v>
      </c>
      <c r="L38" s="1" t="s">
        <v>567</v>
      </c>
      <c r="M38" s="1" t="s">
        <v>537</v>
      </c>
      <c r="N38" s="1">
        <v>0.0</v>
      </c>
      <c r="O38" s="1">
        <v>54.75</v>
      </c>
      <c r="P38" s="1">
        <v>0.0</v>
      </c>
      <c r="Q38" s="1">
        <v>0.0</v>
      </c>
      <c r="R38" s="1">
        <v>28.0</v>
      </c>
      <c r="S38" s="1" t="s">
        <v>538</v>
      </c>
      <c r="T38" s="1" t="s">
        <v>539</v>
      </c>
      <c r="V38" s="4">
        <v>7225548.0</v>
      </c>
      <c r="W38" s="4" t="s">
        <v>540</v>
      </c>
      <c r="X38" s="4">
        <v>0.0</v>
      </c>
      <c r="Y38" s="1">
        <v>1.0</v>
      </c>
      <c r="Z38" s="1">
        <v>0.0</v>
      </c>
      <c r="AA38" s="1">
        <v>0.0</v>
      </c>
      <c r="AB38" s="1">
        <v>0.0</v>
      </c>
      <c r="AC38" s="1">
        <v>0.0</v>
      </c>
      <c r="AD38" s="1">
        <v>0.0</v>
      </c>
      <c r="AE38" s="1">
        <v>0.0</v>
      </c>
      <c r="AF38" s="1">
        <v>0.0</v>
      </c>
      <c r="AG38" s="1">
        <v>0.0</v>
      </c>
      <c r="AH38" s="1">
        <v>0.0</v>
      </c>
      <c r="AI38" s="1">
        <v>0.0</v>
      </c>
      <c r="AJ38" s="1">
        <v>0.0</v>
      </c>
      <c r="AK38" s="1">
        <v>0.0</v>
      </c>
      <c r="AL38" s="1">
        <v>0.0</v>
      </c>
      <c r="AM38" s="4">
        <v>0.0</v>
      </c>
      <c r="AN38" s="1">
        <v>0.0</v>
      </c>
      <c r="AO38" s="4">
        <v>0.0</v>
      </c>
      <c r="AP38" s="1">
        <f t="shared" si="1"/>
        <v>0</v>
      </c>
      <c r="AQ38" s="1" t="s">
        <v>557</v>
      </c>
      <c r="AR38" s="1" t="s">
        <v>568</v>
      </c>
      <c r="AT38" s="1" t="s">
        <v>616</v>
      </c>
      <c r="AU38" s="2">
        <v>45993.0</v>
      </c>
      <c r="AV38" s="2">
        <v>46023.9986111111</v>
      </c>
      <c r="AW38" s="1">
        <v>0.0</v>
      </c>
      <c r="AX38" s="1">
        <v>0.0</v>
      </c>
      <c r="AY38" s="1">
        <v>1.0</v>
      </c>
      <c r="AZ38" s="1">
        <v>1.0</v>
      </c>
      <c r="BA38" s="1">
        <v>0.0</v>
      </c>
      <c r="BB38" s="1">
        <v>0.0</v>
      </c>
      <c r="BC38" s="2">
        <v>45993.0</v>
      </c>
      <c r="BD38" s="1">
        <v>48.0</v>
      </c>
      <c r="BE38" s="1" t="s">
        <v>550</v>
      </c>
      <c r="BF38" s="1">
        <v>2025.0</v>
      </c>
      <c r="BG38" s="1" t="s">
        <v>558</v>
      </c>
      <c r="BH38" s="7" t="str">
        <f>VLOOKUP(B38,CookieClicks!D:O,12,FALSE)</f>
        <v>https://www.method.me/</v>
      </c>
      <c r="BI38" s="8" t="str">
        <f>IFERROR(__xludf.DUMMYFUNCTION("VLOOKUP(REGEXREPLACE(BH38,""[?].*"",""""),ContentBuckets!A:C,2,FALSE)"),"Homepage")</f>
        <v>Homepage</v>
      </c>
      <c r="BJ38" s="8" t="str">
        <f>IFERROR(__xludf.DUMMYFUNCTION("VLOOKUP(REGEXREPLACE(BH38,""[?].*"",""""),ContentBuckets!A:C,3,FALSE)"),"Other page")</f>
        <v>Other page</v>
      </c>
    </row>
    <row r="39" ht="14.25" customHeight="1">
      <c r="A39" s="1">
        <v>153160.0</v>
      </c>
      <c r="B39" s="1" t="s">
        <v>617</v>
      </c>
      <c r="C39" s="2">
        <v>45993.46875</v>
      </c>
      <c r="D39" s="2"/>
      <c r="E39" s="2">
        <v>46010.6131944444</v>
      </c>
      <c r="F39" s="1" t="b">
        <v>1</v>
      </c>
      <c r="G39" s="4" t="b">
        <v>0</v>
      </c>
      <c r="H39" s="1" t="b">
        <v>0</v>
      </c>
      <c r="I39" s="1" t="b">
        <v>0</v>
      </c>
      <c r="J39" s="1" t="s">
        <v>534</v>
      </c>
      <c r="K39" s="1" t="s">
        <v>566</v>
      </c>
      <c r="L39" s="1" t="s">
        <v>567</v>
      </c>
      <c r="M39" s="1" t="s">
        <v>537</v>
      </c>
      <c r="N39" s="1">
        <v>318.75</v>
      </c>
      <c r="O39" s="1">
        <v>318.75</v>
      </c>
      <c r="P39" s="1">
        <v>0.0</v>
      </c>
      <c r="Q39" s="1">
        <v>0.0</v>
      </c>
      <c r="R39" s="1">
        <v>28.0</v>
      </c>
      <c r="S39" s="1" t="s">
        <v>538</v>
      </c>
      <c r="T39" s="1" t="s">
        <v>539</v>
      </c>
      <c r="V39" s="4">
        <v>7224722.0</v>
      </c>
      <c r="W39" s="4"/>
      <c r="X39" s="4">
        <v>0.0</v>
      </c>
      <c r="Y39" s="1">
        <v>0.0</v>
      </c>
      <c r="Z39" s="1">
        <v>0.0</v>
      </c>
      <c r="AA39" s="1">
        <v>1.0</v>
      </c>
      <c r="AB39" s="1">
        <v>0.0</v>
      </c>
      <c r="AC39" s="1">
        <v>0.0</v>
      </c>
      <c r="AD39" s="1">
        <v>0.0</v>
      </c>
      <c r="AE39" s="1">
        <v>0.0</v>
      </c>
      <c r="AF39" s="1">
        <v>0.0</v>
      </c>
      <c r="AG39" s="1">
        <v>0.0</v>
      </c>
      <c r="AH39" s="1">
        <v>0.0</v>
      </c>
      <c r="AI39" s="1">
        <v>0.0</v>
      </c>
      <c r="AJ39" s="1">
        <v>0.0</v>
      </c>
      <c r="AK39" s="1">
        <v>0.0</v>
      </c>
      <c r="AL39" s="1">
        <v>0.0</v>
      </c>
      <c r="AM39" s="4">
        <v>0.0</v>
      </c>
      <c r="AN39" s="1">
        <v>0.0</v>
      </c>
      <c r="AO39" s="4">
        <v>0.0</v>
      </c>
      <c r="AP39" s="1">
        <f t="shared" si="1"/>
        <v>0</v>
      </c>
      <c r="AQ39" s="1" t="s">
        <v>557</v>
      </c>
      <c r="AR39" s="1" t="s">
        <v>560</v>
      </c>
      <c r="AT39" s="1" t="s">
        <v>618</v>
      </c>
      <c r="AU39" s="2">
        <v>45996.0</v>
      </c>
      <c r="AV39" s="2">
        <v>46024.0402777778</v>
      </c>
      <c r="AW39" s="1">
        <v>36.0</v>
      </c>
      <c r="AX39" s="1">
        <v>3509037.0</v>
      </c>
      <c r="AY39" s="1">
        <v>2882.0</v>
      </c>
      <c r="AZ39" s="1">
        <v>5.0</v>
      </c>
      <c r="BA39" s="1">
        <v>0.0</v>
      </c>
      <c r="BB39" s="1">
        <v>3.0</v>
      </c>
      <c r="BC39" s="2">
        <v>45993.0</v>
      </c>
      <c r="BD39" s="1">
        <v>48.0</v>
      </c>
      <c r="BE39" s="1" t="s">
        <v>550</v>
      </c>
      <c r="BF39" s="1">
        <v>2025.0</v>
      </c>
      <c r="BG39" s="1" t="s">
        <v>558</v>
      </c>
      <c r="BH39" s="1" t="str">
        <f>VLOOKUP(B39,CookieClicks!D:O,12,FALSE)</f>
        <v>https://grow.method.me/crm-quickbooks/?trc=81&amp;trk=quickbooks crm&amp;trs=USA-QB-G_Ex&amp;campaignid=22265826203&amp;adgroupid=176758613473&amp;adid=734012603510&amp;gad_source=1&amp;gad_campaignid=22265826203&amp;gbraid=0AAAAAD3ItnbZS3z8l6nzYVFFMJ1qRT6ol&amp;gclid=Cj0KCQiAubrJBhCbARIsAHIdxD9TJfHqIbvGNWgRIlJBUeVw2pz6Co67n1sZyTh7dICR2olwrmUWYYYaAty5EALw_wcB</v>
      </c>
      <c r="BI39" s="8" t="str">
        <f>IFERROR(__xludf.DUMMYFUNCTION("VLOOKUP(REGEXREPLACE(BH39,""[?].*"",""""),ContentBuckets!A:C,2,FALSE)"),"#N/A")</f>
        <v>#N/A</v>
      </c>
      <c r="BJ39" s="8" t="str">
        <f>IFERROR(__xludf.DUMMYFUNCTION("VLOOKUP(REGEXREPLACE(BH39,""[?].*"",""""),ContentBuckets!A:C,3,FALSE)"),"#N/A")</f>
        <v>#N/A</v>
      </c>
    </row>
    <row r="40" ht="14.25" customHeight="1">
      <c r="A40" s="1">
        <v>153161.0</v>
      </c>
      <c r="B40" s="1" t="s">
        <v>619</v>
      </c>
      <c r="C40" s="2">
        <v>45993.4743055556</v>
      </c>
      <c r="D40" s="2"/>
      <c r="E40" s="2"/>
      <c r="F40" s="1" t="b">
        <v>1</v>
      </c>
      <c r="G40" s="4" t="b">
        <v>0</v>
      </c>
      <c r="H40" s="1" t="b">
        <v>0</v>
      </c>
      <c r="I40" s="1" t="b">
        <v>0</v>
      </c>
      <c r="J40" s="1" t="s">
        <v>534</v>
      </c>
      <c r="K40" s="1" t="s">
        <v>553</v>
      </c>
      <c r="L40" s="1" t="s">
        <v>554</v>
      </c>
      <c r="M40" s="1" t="s">
        <v>537</v>
      </c>
      <c r="N40" s="1">
        <v>0.0</v>
      </c>
      <c r="O40" s="1">
        <v>44.25</v>
      </c>
      <c r="P40" s="1">
        <v>0.0</v>
      </c>
      <c r="Q40" s="1">
        <v>0.0</v>
      </c>
      <c r="R40" s="1">
        <v>0.0</v>
      </c>
      <c r="S40" s="1" t="s">
        <v>538</v>
      </c>
      <c r="T40" s="1" t="s">
        <v>539</v>
      </c>
      <c r="V40" s="4">
        <v>7225705.0</v>
      </c>
      <c r="W40" s="4"/>
      <c r="X40" s="4">
        <v>0.0</v>
      </c>
      <c r="Y40" s="1">
        <v>0.0</v>
      </c>
      <c r="Z40" s="1">
        <v>0.0</v>
      </c>
      <c r="AA40" s="1">
        <v>1.0</v>
      </c>
      <c r="AB40" s="1">
        <v>0.0</v>
      </c>
      <c r="AC40" s="1">
        <v>0.0</v>
      </c>
      <c r="AD40" s="1">
        <v>0.0</v>
      </c>
      <c r="AE40" s="1">
        <v>0.0</v>
      </c>
      <c r="AF40" s="1">
        <v>0.0</v>
      </c>
      <c r="AG40" s="1">
        <v>0.0</v>
      </c>
      <c r="AH40" s="1">
        <v>0.0</v>
      </c>
      <c r="AI40" s="1">
        <v>0.0</v>
      </c>
      <c r="AJ40" s="1">
        <v>0.0</v>
      </c>
      <c r="AK40" s="1">
        <v>0.0</v>
      </c>
      <c r="AL40" s="1">
        <v>0.0</v>
      </c>
      <c r="AM40" s="4">
        <v>0.0</v>
      </c>
      <c r="AN40" s="1">
        <v>0.0</v>
      </c>
      <c r="AO40" s="4">
        <v>0.0</v>
      </c>
      <c r="AP40" s="1">
        <f t="shared" si="1"/>
        <v>0</v>
      </c>
      <c r="AU40" s="2"/>
      <c r="AV40" s="2">
        <v>46024.0201388889</v>
      </c>
      <c r="AW40" s="1">
        <v>0.0</v>
      </c>
      <c r="AX40" s="1">
        <v>0.0</v>
      </c>
      <c r="AY40" s="1">
        <v>0.0</v>
      </c>
      <c r="AZ40" s="1">
        <v>1.0</v>
      </c>
      <c r="BA40" s="1">
        <v>0.0</v>
      </c>
      <c r="BB40" s="1">
        <v>0.0</v>
      </c>
      <c r="BC40" s="2">
        <v>45993.0</v>
      </c>
      <c r="BD40" s="1">
        <v>48.0</v>
      </c>
      <c r="BE40" s="1" t="s">
        <v>550</v>
      </c>
      <c r="BF40" s="1">
        <v>2025.0</v>
      </c>
      <c r="BG40" s="1" t="s">
        <v>558</v>
      </c>
      <c r="BH40" s="7" t="str">
        <f>VLOOKUP(B40,CookieClicks!D:O,12,FALSE)</f>
        <v>https://grow.method.me/crm-quickbooks/?trk=capterra&amp;trc=78&amp;trs=Capterra_destinationURL&amp;utm_source=capterra&amp;utm_medium=cpc&amp;utm_campaign=destinationURL&amp;gdmcid=c29c73e3-2013-4457-9593-8e7a2867d847</v>
      </c>
      <c r="BI40" s="8" t="str">
        <f>IFERROR(__xludf.DUMMYFUNCTION("VLOOKUP(REGEXREPLACE(BH40,""[?].*"",""""),ContentBuckets!A:C,2,FALSE)"),"#N/A")</f>
        <v>#N/A</v>
      </c>
      <c r="BJ40" s="8" t="str">
        <f>IFERROR(__xludf.DUMMYFUNCTION("VLOOKUP(REGEXREPLACE(BH40,""[?].*"",""""),ContentBuckets!A:C,3,FALSE)"),"#N/A")</f>
        <v>#N/A</v>
      </c>
    </row>
    <row r="41" ht="14.25" customHeight="1">
      <c r="A41" s="1">
        <v>153162.0</v>
      </c>
      <c r="B41" s="1" t="s">
        <v>620</v>
      </c>
      <c r="C41" s="2">
        <v>45993.4840277778</v>
      </c>
      <c r="D41" s="2"/>
      <c r="E41" s="2"/>
      <c r="F41" s="1" t="b">
        <v>1</v>
      </c>
      <c r="G41" s="4" t="b">
        <v>0</v>
      </c>
      <c r="H41" s="1" t="b">
        <v>0</v>
      </c>
      <c r="I41" s="1" t="b">
        <v>0</v>
      </c>
      <c r="J41" s="1" t="s">
        <v>534</v>
      </c>
      <c r="K41" s="1" t="s">
        <v>535</v>
      </c>
      <c r="L41" s="1" t="s">
        <v>536</v>
      </c>
      <c r="M41" s="1" t="s">
        <v>537</v>
      </c>
      <c r="N41" s="1">
        <v>0.0</v>
      </c>
      <c r="O41" s="1">
        <v>63.75</v>
      </c>
      <c r="P41" s="1">
        <v>0.0</v>
      </c>
      <c r="Q41" s="1">
        <v>0.0</v>
      </c>
      <c r="R41" s="1">
        <v>0.0</v>
      </c>
      <c r="S41" s="1" t="s">
        <v>538</v>
      </c>
      <c r="T41" s="1" t="s">
        <v>539</v>
      </c>
      <c r="V41" s="4">
        <v>7168038.0</v>
      </c>
      <c r="W41" s="4" t="s">
        <v>540</v>
      </c>
      <c r="X41" s="4">
        <v>0.0</v>
      </c>
      <c r="Y41" s="1">
        <v>1.0</v>
      </c>
      <c r="Z41" s="1">
        <v>0.0</v>
      </c>
      <c r="AA41" s="1">
        <v>0.0</v>
      </c>
      <c r="AB41" s="1">
        <v>0.0</v>
      </c>
      <c r="AC41" s="1">
        <v>0.0</v>
      </c>
      <c r="AD41" s="1">
        <v>0.0</v>
      </c>
      <c r="AE41" s="1">
        <v>0.0</v>
      </c>
      <c r="AF41" s="1">
        <v>0.0</v>
      </c>
      <c r="AG41" s="1">
        <v>0.0</v>
      </c>
      <c r="AH41" s="1">
        <v>0.0</v>
      </c>
      <c r="AI41" s="1">
        <v>0.0</v>
      </c>
      <c r="AJ41" s="1">
        <v>0.0</v>
      </c>
      <c r="AK41" s="1">
        <v>0.0</v>
      </c>
      <c r="AL41" s="1">
        <v>0.0</v>
      </c>
      <c r="AM41" s="4">
        <v>0.0</v>
      </c>
      <c r="AN41" s="1">
        <v>0.0</v>
      </c>
      <c r="AO41" s="4">
        <v>0.0</v>
      </c>
      <c r="AP41" s="1">
        <f t="shared" si="1"/>
        <v>0</v>
      </c>
      <c r="AU41" s="2"/>
      <c r="AV41" s="2">
        <v>46024.0298611111</v>
      </c>
      <c r="AW41" s="1">
        <v>0.0</v>
      </c>
      <c r="AX41" s="1">
        <v>0.0</v>
      </c>
      <c r="AY41" s="1">
        <v>0.0</v>
      </c>
      <c r="AZ41" s="1">
        <v>1.0</v>
      </c>
      <c r="BA41" s="1">
        <v>0.0</v>
      </c>
      <c r="BB41" s="1">
        <v>0.0</v>
      </c>
      <c r="BC41" s="2">
        <v>45993.0</v>
      </c>
      <c r="BD41" s="1">
        <v>48.0</v>
      </c>
      <c r="BE41" s="1" t="s">
        <v>550</v>
      </c>
      <c r="BF41" s="1">
        <v>2025.0</v>
      </c>
      <c r="BG41" s="1" t="s">
        <v>546</v>
      </c>
      <c r="BH41" s="7" t="str">
        <f>VLOOKUP(B41,CookieClicks!D:O,12,FALSE)</f>
        <v>https://www.method.me/</v>
      </c>
      <c r="BI41" s="8" t="str">
        <f>IFERROR(__xludf.DUMMYFUNCTION("VLOOKUP(REGEXREPLACE(BH41,""[?].*"",""""),ContentBuckets!A:C,2,FALSE)"),"Homepage")</f>
        <v>Homepage</v>
      </c>
      <c r="BJ41" s="8" t="str">
        <f>IFERROR(__xludf.DUMMYFUNCTION("VLOOKUP(REGEXREPLACE(BH41,""[?].*"",""""),ContentBuckets!A:C,3,FALSE)"),"Other page")</f>
        <v>Other page</v>
      </c>
    </row>
    <row r="42" ht="14.25" customHeight="1">
      <c r="A42" s="1">
        <v>153163.0</v>
      </c>
      <c r="B42" s="1" t="s">
        <v>621</v>
      </c>
      <c r="C42" s="2">
        <v>45993.4909722222</v>
      </c>
      <c r="D42" s="2"/>
      <c r="E42" s="2"/>
      <c r="F42" s="1" t="b">
        <v>1</v>
      </c>
      <c r="G42" s="4" t="b">
        <v>0</v>
      </c>
      <c r="H42" s="1" t="b">
        <v>0</v>
      </c>
      <c r="I42" s="1" t="b">
        <v>0</v>
      </c>
      <c r="J42" s="1" t="s">
        <v>534</v>
      </c>
      <c r="K42" s="1" t="s">
        <v>622</v>
      </c>
      <c r="L42" s="1" t="s">
        <v>623</v>
      </c>
      <c r="M42" s="1" t="s">
        <v>537</v>
      </c>
      <c r="N42" s="1">
        <v>0.0</v>
      </c>
      <c r="O42" s="1">
        <v>44.25</v>
      </c>
      <c r="P42" s="1">
        <v>0.0</v>
      </c>
      <c r="Q42" s="1">
        <v>0.0</v>
      </c>
      <c r="R42" s="1">
        <v>0.0</v>
      </c>
      <c r="S42" s="1" t="s">
        <v>538</v>
      </c>
      <c r="T42" s="1" t="s">
        <v>539</v>
      </c>
      <c r="V42" s="4">
        <v>7225592.0</v>
      </c>
      <c r="W42" s="4" t="s">
        <v>540</v>
      </c>
      <c r="X42" s="4">
        <v>0.0</v>
      </c>
      <c r="Y42" s="1">
        <v>1.0</v>
      </c>
      <c r="Z42" s="1">
        <v>0.0</v>
      </c>
      <c r="AA42" s="1">
        <v>0.0</v>
      </c>
      <c r="AB42" s="1">
        <v>0.0</v>
      </c>
      <c r="AC42" s="1">
        <v>0.0</v>
      </c>
      <c r="AD42" s="1">
        <v>0.0</v>
      </c>
      <c r="AE42" s="1">
        <v>0.0</v>
      </c>
      <c r="AF42" s="1">
        <v>0.0</v>
      </c>
      <c r="AG42" s="1">
        <v>0.0</v>
      </c>
      <c r="AH42" s="1">
        <v>0.0</v>
      </c>
      <c r="AI42" s="1">
        <v>0.0</v>
      </c>
      <c r="AJ42" s="1">
        <v>0.0</v>
      </c>
      <c r="AK42" s="1">
        <v>0.0</v>
      </c>
      <c r="AL42" s="1">
        <v>0.0</v>
      </c>
      <c r="AM42" s="4">
        <v>0.0</v>
      </c>
      <c r="AN42" s="1">
        <v>0.0</v>
      </c>
      <c r="AO42" s="4">
        <v>0.0</v>
      </c>
      <c r="AP42" s="1">
        <f t="shared" si="1"/>
        <v>0</v>
      </c>
      <c r="AU42" s="2"/>
      <c r="AV42" s="2">
        <v>46023.9868055556</v>
      </c>
      <c r="AW42" s="1">
        <v>0.0</v>
      </c>
      <c r="AX42" s="1">
        <v>0.0</v>
      </c>
      <c r="AY42" s="1">
        <v>0.0</v>
      </c>
      <c r="AZ42" s="1">
        <v>1.0</v>
      </c>
      <c r="BA42" s="1">
        <v>0.0</v>
      </c>
      <c r="BB42" s="1">
        <v>0.0</v>
      </c>
      <c r="BC42" s="2">
        <v>45993.0</v>
      </c>
      <c r="BD42" s="1">
        <v>48.0</v>
      </c>
      <c r="BE42" s="1" t="s">
        <v>550</v>
      </c>
      <c r="BF42" s="1">
        <v>2025.0</v>
      </c>
      <c r="BG42" s="1" t="s">
        <v>624</v>
      </c>
      <c r="BH42" s="7" t="str">
        <f>VLOOKUP(B42,CookieClicks!D:O,12,FALSE)</f>
        <v>https://www.method.me/</v>
      </c>
      <c r="BI42" s="8" t="str">
        <f>IFERROR(__xludf.DUMMYFUNCTION("VLOOKUP(REGEXREPLACE(BH42,""[?].*"",""""),ContentBuckets!A:C,2,FALSE)"),"Homepage")</f>
        <v>Homepage</v>
      </c>
      <c r="BJ42" s="8" t="str">
        <f>IFERROR(__xludf.DUMMYFUNCTION("VLOOKUP(REGEXREPLACE(BH42,""[?].*"",""""),ContentBuckets!A:C,3,FALSE)"),"Other page")</f>
        <v>Other page</v>
      </c>
    </row>
    <row r="43" ht="14.25" customHeight="1">
      <c r="A43" s="1">
        <v>153164.0</v>
      </c>
      <c r="B43" s="1" t="s">
        <v>625</v>
      </c>
      <c r="C43" s="2">
        <v>45993.5041666667</v>
      </c>
      <c r="D43" s="2"/>
      <c r="E43" s="2"/>
      <c r="F43" s="1" t="b">
        <v>1</v>
      </c>
      <c r="G43" s="4" t="b">
        <v>0</v>
      </c>
      <c r="H43" s="1" t="b">
        <v>0</v>
      </c>
      <c r="I43" s="1" t="b">
        <v>0</v>
      </c>
      <c r="J43" s="1" t="s">
        <v>534</v>
      </c>
      <c r="K43" s="1" t="s">
        <v>535</v>
      </c>
      <c r="L43" s="1" t="s">
        <v>536</v>
      </c>
      <c r="M43" s="1" t="s">
        <v>537</v>
      </c>
      <c r="N43" s="1">
        <v>0.0</v>
      </c>
      <c r="O43" s="1">
        <v>44.25</v>
      </c>
      <c r="P43" s="1">
        <v>0.0</v>
      </c>
      <c r="Q43" s="1">
        <v>0.0</v>
      </c>
      <c r="R43" s="1">
        <v>0.0</v>
      </c>
      <c r="S43" s="1" t="s">
        <v>538</v>
      </c>
      <c r="T43" s="1" t="s">
        <v>539</v>
      </c>
      <c r="V43" s="4">
        <v>7225967.0</v>
      </c>
      <c r="W43" s="4"/>
      <c r="X43" s="4">
        <v>0.0</v>
      </c>
      <c r="Y43" s="1">
        <v>0.0</v>
      </c>
      <c r="Z43" s="1">
        <v>1.0</v>
      </c>
      <c r="AA43" s="1">
        <v>0.0</v>
      </c>
      <c r="AB43" s="1">
        <v>0.0</v>
      </c>
      <c r="AC43" s="1">
        <v>0.0</v>
      </c>
      <c r="AD43" s="1">
        <v>0.0</v>
      </c>
      <c r="AE43" s="1">
        <v>0.0</v>
      </c>
      <c r="AF43" s="1">
        <v>0.0</v>
      </c>
      <c r="AG43" s="1">
        <v>0.0</v>
      </c>
      <c r="AH43" s="1">
        <v>0.0</v>
      </c>
      <c r="AI43" s="1">
        <v>0.0</v>
      </c>
      <c r="AJ43" s="1">
        <v>0.0</v>
      </c>
      <c r="AK43" s="1">
        <v>0.0</v>
      </c>
      <c r="AL43" s="1">
        <v>0.0</v>
      </c>
      <c r="AM43" s="4">
        <v>0.0</v>
      </c>
      <c r="AN43" s="1">
        <v>0.0</v>
      </c>
      <c r="AO43" s="4">
        <v>0.0</v>
      </c>
      <c r="AP43" s="1">
        <f t="shared" si="1"/>
        <v>0</v>
      </c>
      <c r="AQ43" s="1" t="s">
        <v>541</v>
      </c>
      <c r="AU43" s="2">
        <v>45993.0</v>
      </c>
      <c r="AV43" s="2">
        <v>46023.9979166667</v>
      </c>
      <c r="AW43" s="1">
        <v>13.0</v>
      </c>
      <c r="AX43" s="1">
        <v>621726.72</v>
      </c>
      <c r="AY43" s="1">
        <v>178.0</v>
      </c>
      <c r="AZ43" s="1">
        <v>1.0</v>
      </c>
      <c r="BA43" s="1">
        <v>0.0</v>
      </c>
      <c r="BB43" s="1">
        <v>0.0</v>
      </c>
      <c r="BC43" s="2">
        <v>45993.0</v>
      </c>
      <c r="BD43" s="1">
        <v>48.0</v>
      </c>
      <c r="BE43" s="1" t="s">
        <v>550</v>
      </c>
      <c r="BF43" s="1">
        <v>2025.0</v>
      </c>
      <c r="BG43" s="1" t="s">
        <v>546</v>
      </c>
      <c r="BH43" s="7" t="str">
        <f>VLOOKUP(B43,CookieClicks!D:O,12,FALSE)</f>
        <v>https://signup.method.me/QBOAppstoreSignup?offering=methodcrm</v>
      </c>
      <c r="BI43" s="8" t="str">
        <f>IFERROR(__xludf.DUMMYFUNCTION("VLOOKUP(REGEXREPLACE(BH43,""[?].*"",""""),ContentBuckets!A:C,2,FALSE)"),"#N/A")</f>
        <v>#N/A</v>
      </c>
      <c r="BJ43" s="8" t="str">
        <f>IFERROR(__xludf.DUMMYFUNCTION("VLOOKUP(REGEXREPLACE(BH43,""[?].*"",""""),ContentBuckets!A:C,3,FALSE)"),"#N/A")</f>
        <v>#N/A</v>
      </c>
    </row>
    <row r="44" ht="14.25" customHeight="1">
      <c r="A44" s="1">
        <v>153165.0</v>
      </c>
      <c r="B44" s="1" t="s">
        <v>626</v>
      </c>
      <c r="C44" s="2">
        <v>45993.5277777778</v>
      </c>
      <c r="D44" s="2"/>
      <c r="E44" s="2"/>
      <c r="F44" s="1" t="b">
        <v>1</v>
      </c>
      <c r="G44" s="4" t="b">
        <v>0</v>
      </c>
      <c r="H44" s="1" t="b">
        <v>0</v>
      </c>
      <c r="I44" s="1" t="b">
        <v>0</v>
      </c>
      <c r="J44" s="1" t="s">
        <v>534</v>
      </c>
      <c r="K44" s="1" t="s">
        <v>535</v>
      </c>
      <c r="L44" s="1" t="s">
        <v>536</v>
      </c>
      <c r="M44" s="1" t="s">
        <v>537</v>
      </c>
      <c r="N44" s="1">
        <v>0.0</v>
      </c>
      <c r="O44" s="1">
        <v>145.5</v>
      </c>
      <c r="P44" s="1">
        <v>0.0</v>
      </c>
      <c r="Q44" s="1">
        <v>0.0</v>
      </c>
      <c r="R44" s="1">
        <v>28.0</v>
      </c>
      <c r="S44" s="1" t="s">
        <v>538</v>
      </c>
      <c r="T44" s="1" t="s">
        <v>539</v>
      </c>
      <c r="V44" s="4">
        <v>7226145.0</v>
      </c>
      <c r="W44" s="4" t="s">
        <v>540</v>
      </c>
      <c r="X44" s="4">
        <v>0.0</v>
      </c>
      <c r="Y44" s="1">
        <v>1.0</v>
      </c>
      <c r="Z44" s="1">
        <v>0.0</v>
      </c>
      <c r="AA44" s="1">
        <v>0.0</v>
      </c>
      <c r="AB44" s="1">
        <v>0.0</v>
      </c>
      <c r="AC44" s="1">
        <v>0.0</v>
      </c>
      <c r="AD44" s="1">
        <v>0.0</v>
      </c>
      <c r="AE44" s="1">
        <v>0.0</v>
      </c>
      <c r="AF44" s="1">
        <v>0.0</v>
      </c>
      <c r="AG44" s="1">
        <v>0.0</v>
      </c>
      <c r="AH44" s="1">
        <v>0.0</v>
      </c>
      <c r="AI44" s="1">
        <v>0.0</v>
      </c>
      <c r="AJ44" s="1">
        <v>0.0</v>
      </c>
      <c r="AK44" s="1">
        <v>0.0</v>
      </c>
      <c r="AL44" s="1">
        <v>0.0</v>
      </c>
      <c r="AM44" s="4">
        <v>0.0</v>
      </c>
      <c r="AN44" s="1">
        <v>0.0</v>
      </c>
      <c r="AO44" s="4">
        <v>0.0</v>
      </c>
      <c r="AP44" s="1">
        <f t="shared" si="1"/>
        <v>0</v>
      </c>
      <c r="AQ44" s="1" t="s">
        <v>541</v>
      </c>
      <c r="AR44" s="1" t="s">
        <v>571</v>
      </c>
      <c r="AU44" s="2">
        <v>45993.0</v>
      </c>
      <c r="AV44" s="2">
        <v>46023.9888888889</v>
      </c>
      <c r="AW44" s="1">
        <v>6.0</v>
      </c>
      <c r="AX44" s="1">
        <v>920222.76</v>
      </c>
      <c r="AY44" s="1">
        <v>405.0</v>
      </c>
      <c r="AZ44" s="1">
        <v>2.0</v>
      </c>
      <c r="BA44" s="1">
        <v>0.0</v>
      </c>
      <c r="BB44" s="1">
        <v>0.0</v>
      </c>
      <c r="BC44" s="2">
        <v>45993.0</v>
      </c>
      <c r="BD44" s="1">
        <v>48.0</v>
      </c>
      <c r="BE44" s="1" t="s">
        <v>550</v>
      </c>
      <c r="BF44" s="1">
        <v>2025.0</v>
      </c>
      <c r="BG44" s="1" t="s">
        <v>546</v>
      </c>
      <c r="BH44" s="7" t="str">
        <f>VLOOKUP(B44,CookieClicks!D:O,12,FALSE)</f>
        <v>https://www.method.me/</v>
      </c>
      <c r="BI44" s="8" t="str">
        <f>IFERROR(__xludf.DUMMYFUNCTION("VLOOKUP(REGEXREPLACE(BH44,""[?].*"",""""),ContentBuckets!A:C,2,FALSE)"),"Homepage")</f>
        <v>Homepage</v>
      </c>
      <c r="BJ44" s="8" t="str">
        <f>IFERROR(__xludf.DUMMYFUNCTION("VLOOKUP(REGEXREPLACE(BH44,""[?].*"",""""),ContentBuckets!A:C,3,FALSE)"),"Other page")</f>
        <v>Other page</v>
      </c>
    </row>
    <row r="45" ht="14.25" customHeight="1">
      <c r="A45" s="1">
        <v>153166.0</v>
      </c>
      <c r="B45" s="1" t="s">
        <v>627</v>
      </c>
      <c r="C45" s="2">
        <v>45993.5375</v>
      </c>
      <c r="D45" s="2"/>
      <c r="E45" s="2">
        <v>45994.54375</v>
      </c>
      <c r="F45" s="1" t="b">
        <v>1</v>
      </c>
      <c r="G45" s="4" t="b">
        <v>0</v>
      </c>
      <c r="H45" s="1" t="b">
        <v>0</v>
      </c>
      <c r="I45" s="1" t="b">
        <v>0</v>
      </c>
      <c r="J45" s="1" t="s">
        <v>601</v>
      </c>
      <c r="K45" s="1" t="s">
        <v>535</v>
      </c>
      <c r="L45" s="1" t="s">
        <v>536</v>
      </c>
      <c r="M45" s="1" t="s">
        <v>537</v>
      </c>
      <c r="N45" s="1">
        <v>54.45</v>
      </c>
      <c r="O45" s="1">
        <v>63.75</v>
      </c>
      <c r="P45" s="1">
        <v>387.5</v>
      </c>
      <c r="Q45" s="1">
        <v>387.5</v>
      </c>
      <c r="R45" s="1">
        <v>28.0</v>
      </c>
      <c r="S45" s="1" t="s">
        <v>538</v>
      </c>
      <c r="T45" s="1" t="s">
        <v>539</v>
      </c>
      <c r="V45" s="4">
        <v>7033836.0</v>
      </c>
      <c r="W45" s="4" t="s">
        <v>540</v>
      </c>
      <c r="X45" s="4">
        <v>0.0</v>
      </c>
      <c r="Y45" s="1">
        <v>0.4</v>
      </c>
      <c r="Z45" s="1">
        <v>0.0</v>
      </c>
      <c r="AA45" s="1">
        <v>0.0</v>
      </c>
      <c r="AB45" s="1">
        <v>0.0</v>
      </c>
      <c r="AC45" s="1">
        <v>0.15</v>
      </c>
      <c r="AD45" s="1">
        <v>0.0</v>
      </c>
      <c r="AE45" s="1">
        <v>0.0</v>
      </c>
      <c r="AF45" s="1">
        <v>0.0</v>
      </c>
      <c r="AG45" s="1">
        <v>0.0</v>
      </c>
      <c r="AH45" s="1">
        <v>0.45</v>
      </c>
      <c r="AI45" s="1">
        <v>0.0</v>
      </c>
      <c r="AJ45" s="1">
        <v>0.0</v>
      </c>
      <c r="AK45" s="1">
        <v>0.0</v>
      </c>
      <c r="AL45" s="1">
        <v>0.0</v>
      </c>
      <c r="AM45" s="4">
        <v>0.0</v>
      </c>
      <c r="AN45" s="1">
        <v>0.0</v>
      </c>
      <c r="AO45" s="4">
        <v>0.0</v>
      </c>
      <c r="AP45" s="1">
        <f t="shared" si="1"/>
        <v>0</v>
      </c>
      <c r="AQ45" s="1" t="s">
        <v>541</v>
      </c>
      <c r="AR45" s="1" t="s">
        <v>608</v>
      </c>
      <c r="AU45" s="2">
        <v>45993.0</v>
      </c>
      <c r="AV45" s="2">
        <v>46023.9868055556</v>
      </c>
      <c r="AW45" s="1">
        <v>22.0</v>
      </c>
      <c r="AX45" s="1">
        <v>0.0</v>
      </c>
      <c r="AY45" s="1">
        <v>429.0</v>
      </c>
      <c r="AZ45" s="1">
        <v>1.0</v>
      </c>
      <c r="BA45" s="1">
        <v>0.0</v>
      </c>
      <c r="BB45" s="1">
        <v>6.0</v>
      </c>
      <c r="BC45" s="2">
        <v>45993.0</v>
      </c>
      <c r="BD45" s="1">
        <v>48.0</v>
      </c>
      <c r="BE45" s="1" t="s">
        <v>550</v>
      </c>
      <c r="BF45" s="1">
        <v>2025.0</v>
      </c>
      <c r="BG45" s="1" t="s">
        <v>546</v>
      </c>
      <c r="BH45" s="7" t="str">
        <f>VLOOKUP(B45,CookieClicks!D:O,12,FALSE)</f>
        <v>https://www.method.me/crm-quickbooks/pricing/</v>
      </c>
      <c r="BI45" s="8" t="str">
        <f>IFERROR(__xludf.DUMMYFUNCTION("VLOOKUP(REGEXREPLACE(BH45,""[?].*"",""""),ContentBuckets!A:C,2,FALSE)"),"/crm-quickbooks/")</f>
        <v>/crm-quickbooks/</v>
      </c>
      <c r="BJ45" s="8" t="str">
        <f>IFERROR(__xludf.DUMMYFUNCTION("VLOOKUP(REGEXREPLACE(BH45,""[?].*"",""""),ContentBuckets!A:C,3,FALSE)"),"Other page")</f>
        <v>Other page</v>
      </c>
    </row>
    <row r="46" ht="14.25" customHeight="1">
      <c r="A46" s="1">
        <v>153167.0</v>
      </c>
      <c r="B46" s="1" t="s">
        <v>628</v>
      </c>
      <c r="C46" s="2">
        <v>45993.5388888889</v>
      </c>
      <c r="D46" s="2"/>
      <c r="E46" s="2"/>
      <c r="F46" s="1" t="b">
        <v>1</v>
      </c>
      <c r="G46" s="4" t="b">
        <v>0</v>
      </c>
      <c r="H46" s="1" t="b">
        <v>0</v>
      </c>
      <c r="I46" s="1" t="b">
        <v>0</v>
      </c>
      <c r="J46" s="1" t="s">
        <v>534</v>
      </c>
      <c r="K46" s="1" t="s">
        <v>553</v>
      </c>
      <c r="L46" s="1" t="s">
        <v>554</v>
      </c>
      <c r="M46" s="1" t="s">
        <v>537</v>
      </c>
      <c r="N46" s="1">
        <v>0.0</v>
      </c>
      <c r="O46" s="1">
        <v>44.25</v>
      </c>
      <c r="P46" s="1">
        <v>0.0</v>
      </c>
      <c r="Q46" s="1">
        <v>0.0</v>
      </c>
      <c r="R46" s="1">
        <v>0.0</v>
      </c>
      <c r="S46" s="1" t="s">
        <v>538</v>
      </c>
      <c r="T46" s="1" t="s">
        <v>539</v>
      </c>
      <c r="V46" s="4">
        <v>7171683.0</v>
      </c>
      <c r="W46" s="4" t="s">
        <v>540</v>
      </c>
      <c r="X46" s="4">
        <v>0.0</v>
      </c>
      <c r="Y46" s="1">
        <v>1.0</v>
      </c>
      <c r="Z46" s="1">
        <v>0.0</v>
      </c>
      <c r="AA46" s="1">
        <v>0.0</v>
      </c>
      <c r="AB46" s="1">
        <v>0.0</v>
      </c>
      <c r="AC46" s="1">
        <v>0.0</v>
      </c>
      <c r="AD46" s="1">
        <v>0.0</v>
      </c>
      <c r="AE46" s="1">
        <v>0.0</v>
      </c>
      <c r="AF46" s="1">
        <v>0.0</v>
      </c>
      <c r="AG46" s="1">
        <v>0.0</v>
      </c>
      <c r="AH46" s="1">
        <v>0.0</v>
      </c>
      <c r="AI46" s="1">
        <v>0.0</v>
      </c>
      <c r="AJ46" s="1">
        <v>0.0</v>
      </c>
      <c r="AK46" s="1">
        <v>0.0</v>
      </c>
      <c r="AL46" s="1">
        <v>0.0</v>
      </c>
      <c r="AM46" s="4">
        <v>0.0</v>
      </c>
      <c r="AN46" s="1">
        <v>0.0</v>
      </c>
      <c r="AO46" s="4">
        <v>0.0</v>
      </c>
      <c r="AP46" s="1">
        <f t="shared" si="1"/>
        <v>0</v>
      </c>
      <c r="AU46" s="2"/>
      <c r="AV46" s="2">
        <v>46023.9993055556</v>
      </c>
      <c r="AW46" s="1">
        <v>0.0</v>
      </c>
      <c r="AX46" s="1">
        <v>0.0</v>
      </c>
      <c r="AY46" s="1">
        <v>0.0</v>
      </c>
      <c r="AZ46" s="1">
        <v>1.0</v>
      </c>
      <c r="BA46" s="1">
        <v>0.0</v>
      </c>
      <c r="BB46" s="1">
        <v>0.0</v>
      </c>
      <c r="BC46" s="2">
        <v>45993.0</v>
      </c>
      <c r="BD46" s="1">
        <v>48.0</v>
      </c>
      <c r="BE46" s="1" t="s">
        <v>550</v>
      </c>
      <c r="BF46" s="1">
        <v>2025.0</v>
      </c>
      <c r="BG46" s="1" t="s">
        <v>629</v>
      </c>
      <c r="BH46" s="7" t="str">
        <f>VLOOKUP(B46,CookieClicks!D:O,12,FALSE)</f>
        <v>https://www.method.me/crm-quickbooks/integrations/</v>
      </c>
      <c r="BI46" s="8" t="str">
        <f>IFERROR(__xludf.DUMMYFUNCTION("VLOOKUP(REGEXREPLACE(BH46,""[?].*"",""""),ContentBuckets!A:C,2,FALSE)"),"/crm-quickbooks/")</f>
        <v>/crm-quickbooks/</v>
      </c>
      <c r="BJ46" s="8" t="str">
        <f>IFERROR(__xludf.DUMMYFUNCTION("VLOOKUP(REGEXREPLACE(BH46,""[?].*"",""""),ContentBuckets!A:C,3,FALSE)"),"Other page")</f>
        <v>Other page</v>
      </c>
    </row>
    <row r="47" ht="14.25" customHeight="1">
      <c r="A47" s="1">
        <v>153169.0</v>
      </c>
      <c r="B47" s="1" t="s">
        <v>630</v>
      </c>
      <c r="C47" s="2">
        <v>45993.6180555556</v>
      </c>
      <c r="D47" s="2"/>
      <c r="E47" s="2">
        <v>45993.6270833333</v>
      </c>
      <c r="F47" s="1" t="b">
        <v>1</v>
      </c>
      <c r="G47" s="4" t="b">
        <v>0</v>
      </c>
      <c r="H47" s="1" t="b">
        <v>0</v>
      </c>
      <c r="I47" s="1" t="b">
        <v>0</v>
      </c>
      <c r="J47" s="1" t="s">
        <v>534</v>
      </c>
      <c r="K47" s="1" t="s">
        <v>535</v>
      </c>
      <c r="L47" s="1" t="s">
        <v>536</v>
      </c>
      <c r="M47" s="1" t="s">
        <v>537</v>
      </c>
      <c r="N47" s="1">
        <v>164.25</v>
      </c>
      <c r="O47" s="1">
        <v>164.25</v>
      </c>
      <c r="P47" s="1">
        <v>0.0</v>
      </c>
      <c r="Q47" s="1">
        <v>0.0</v>
      </c>
      <c r="R47" s="1">
        <v>28.0</v>
      </c>
      <c r="S47" s="1" t="s">
        <v>538</v>
      </c>
      <c r="T47" s="1" t="s">
        <v>539</v>
      </c>
      <c r="V47" s="4">
        <v>7226908.0</v>
      </c>
      <c r="W47" s="4"/>
      <c r="X47" s="4">
        <v>1.0</v>
      </c>
      <c r="Y47" s="1">
        <v>0.0</v>
      </c>
      <c r="Z47" s="1">
        <v>0.0</v>
      </c>
      <c r="AA47" s="1">
        <v>0.0</v>
      </c>
      <c r="AB47" s="1">
        <v>0.0</v>
      </c>
      <c r="AC47" s="1">
        <v>0.0</v>
      </c>
      <c r="AD47" s="1">
        <v>0.0</v>
      </c>
      <c r="AE47" s="1">
        <v>0.0</v>
      </c>
      <c r="AF47" s="1">
        <v>0.0</v>
      </c>
      <c r="AG47" s="1">
        <v>0.0</v>
      </c>
      <c r="AH47" s="1">
        <v>0.0</v>
      </c>
      <c r="AI47" s="1">
        <v>0.0</v>
      </c>
      <c r="AJ47" s="1">
        <v>0.0</v>
      </c>
      <c r="AK47" s="1">
        <v>0.0</v>
      </c>
      <c r="AL47" s="1">
        <v>0.0</v>
      </c>
      <c r="AM47" s="4">
        <v>0.0</v>
      </c>
      <c r="AN47" s="1">
        <v>0.0</v>
      </c>
      <c r="AO47" s="4">
        <v>0.0</v>
      </c>
      <c r="AP47" s="1">
        <f t="shared" si="1"/>
        <v>0</v>
      </c>
      <c r="AQ47" s="1" t="s">
        <v>557</v>
      </c>
      <c r="AR47" s="1" t="s">
        <v>542</v>
      </c>
      <c r="AT47" s="1" t="s">
        <v>631</v>
      </c>
      <c r="AU47" s="2">
        <v>45993.0</v>
      </c>
      <c r="AV47" s="2">
        <v>46023.9881944444</v>
      </c>
      <c r="AW47" s="1">
        <v>8.0</v>
      </c>
      <c r="AX47" s="1">
        <v>1757076.0</v>
      </c>
      <c r="AY47" s="1">
        <v>176.0</v>
      </c>
      <c r="AZ47" s="1">
        <v>3.0</v>
      </c>
      <c r="BA47" s="1">
        <v>0.0</v>
      </c>
      <c r="BB47" s="1">
        <v>1.0</v>
      </c>
      <c r="BC47" s="2">
        <v>45993.0</v>
      </c>
      <c r="BD47" s="1">
        <v>48.0</v>
      </c>
      <c r="BE47" s="1" t="s">
        <v>550</v>
      </c>
      <c r="BF47" s="1">
        <v>2025.0</v>
      </c>
      <c r="BG47" s="1" t="s">
        <v>558</v>
      </c>
      <c r="BH47" s="7" t="str">
        <f>VLOOKUP(B47,CookieClicks!D:O,12,FALSE)</f>
        <v>https://signin.method.me/</v>
      </c>
      <c r="BI47" s="8" t="str">
        <f>IFERROR(__xludf.DUMMYFUNCTION("VLOOKUP(REGEXREPLACE(BH47,""[?].*"",""""),ContentBuckets!A:C,2,FALSE)"),"#N/A")</f>
        <v>#N/A</v>
      </c>
      <c r="BJ47" s="8" t="str">
        <f>IFERROR(__xludf.DUMMYFUNCTION("VLOOKUP(REGEXREPLACE(BH47,""[?].*"",""""),ContentBuckets!A:C,3,FALSE)"),"#N/A")</f>
        <v>#N/A</v>
      </c>
    </row>
    <row r="48" ht="14.25" customHeight="1">
      <c r="A48" s="1">
        <v>153170.0</v>
      </c>
      <c r="B48" s="1" t="s">
        <v>632</v>
      </c>
      <c r="C48" s="2">
        <v>45993.6236111111</v>
      </c>
      <c r="D48" s="2"/>
      <c r="E48" s="2"/>
      <c r="F48" s="1" t="b">
        <v>1</v>
      </c>
      <c r="G48" s="4" t="b">
        <v>1</v>
      </c>
      <c r="H48" s="1" t="b">
        <v>0</v>
      </c>
      <c r="I48" s="1" t="b">
        <v>0</v>
      </c>
      <c r="J48" s="1" t="s">
        <v>534</v>
      </c>
      <c r="K48" s="1" t="s">
        <v>535</v>
      </c>
      <c r="L48" s="1" t="s">
        <v>536</v>
      </c>
      <c r="M48" s="1" t="s">
        <v>537</v>
      </c>
      <c r="N48" s="1">
        <v>0.0</v>
      </c>
      <c r="O48" s="1">
        <v>44.25</v>
      </c>
      <c r="P48" s="1">
        <v>0.0</v>
      </c>
      <c r="Q48" s="1">
        <v>0.0</v>
      </c>
      <c r="R48" s="1">
        <v>0.0</v>
      </c>
      <c r="S48" s="1" t="s">
        <v>538</v>
      </c>
      <c r="T48" s="1" t="s">
        <v>539</v>
      </c>
      <c r="V48" s="4">
        <v>7200361.0</v>
      </c>
      <c r="W48" s="4" t="s">
        <v>540</v>
      </c>
      <c r="X48" s="4">
        <v>0.0</v>
      </c>
      <c r="Y48" s="1">
        <v>1.0</v>
      </c>
      <c r="Z48" s="1">
        <v>0.0</v>
      </c>
      <c r="AA48" s="1">
        <v>0.0</v>
      </c>
      <c r="AB48" s="1">
        <v>0.0</v>
      </c>
      <c r="AC48" s="1">
        <v>0.0</v>
      </c>
      <c r="AD48" s="1">
        <v>0.0</v>
      </c>
      <c r="AE48" s="1">
        <v>0.0</v>
      </c>
      <c r="AF48" s="1">
        <v>0.0</v>
      </c>
      <c r="AG48" s="1">
        <v>0.0</v>
      </c>
      <c r="AH48" s="1">
        <v>0.0</v>
      </c>
      <c r="AI48" s="1">
        <v>0.0</v>
      </c>
      <c r="AJ48" s="1">
        <v>0.0</v>
      </c>
      <c r="AK48" s="1">
        <v>0.0</v>
      </c>
      <c r="AL48" s="1">
        <v>0.0</v>
      </c>
      <c r="AM48" s="4">
        <v>0.0</v>
      </c>
      <c r="AN48" s="1">
        <v>0.0</v>
      </c>
      <c r="AO48" s="4">
        <v>0.0</v>
      </c>
      <c r="AP48" s="1">
        <f t="shared" si="1"/>
        <v>0</v>
      </c>
      <c r="AU48" s="2"/>
      <c r="AV48" s="2">
        <v>46024.0111111111</v>
      </c>
      <c r="AW48" s="1">
        <v>0.0</v>
      </c>
      <c r="AX48" s="1">
        <v>0.0</v>
      </c>
      <c r="AY48" s="1">
        <v>0.0</v>
      </c>
      <c r="AZ48" s="1">
        <v>1.0</v>
      </c>
      <c r="BA48" s="1">
        <v>0.0</v>
      </c>
      <c r="BB48" s="1">
        <v>0.0</v>
      </c>
      <c r="BC48" s="2">
        <v>45993.0</v>
      </c>
      <c r="BD48" s="1">
        <v>48.0</v>
      </c>
      <c r="BE48" s="1" t="s">
        <v>550</v>
      </c>
      <c r="BF48" s="1">
        <v>2025.0</v>
      </c>
      <c r="BG48" s="1" t="s">
        <v>546</v>
      </c>
      <c r="BH48" s="7" t="str">
        <f>VLOOKUP(B48,CookieClicks!D:O,12,FALSE)</f>
        <v>https://www.method.me/</v>
      </c>
      <c r="BI48" s="8" t="str">
        <f>IFERROR(__xludf.DUMMYFUNCTION("VLOOKUP(REGEXREPLACE(BH48,""[?].*"",""""),ContentBuckets!A:C,2,FALSE)"),"Homepage")</f>
        <v>Homepage</v>
      </c>
      <c r="BJ48" s="8" t="str">
        <f>IFERROR(__xludf.DUMMYFUNCTION("VLOOKUP(REGEXREPLACE(BH48,""[?].*"",""""),ContentBuckets!A:C,3,FALSE)"),"Other page")</f>
        <v>Other page</v>
      </c>
    </row>
    <row r="49" ht="14.25" customHeight="1">
      <c r="A49" s="1">
        <v>153172.0</v>
      </c>
      <c r="B49" s="1" t="s">
        <v>633</v>
      </c>
      <c r="C49" s="2">
        <v>45993.6659722222</v>
      </c>
      <c r="D49" s="2"/>
      <c r="E49" s="2"/>
      <c r="F49" s="1" t="b">
        <v>1</v>
      </c>
      <c r="G49" s="4" t="b">
        <v>0</v>
      </c>
      <c r="H49" s="1" t="b">
        <v>0</v>
      </c>
      <c r="I49" s="1" t="b">
        <v>0</v>
      </c>
      <c r="J49" s="1" t="s">
        <v>534</v>
      </c>
      <c r="K49" s="1" t="s">
        <v>535</v>
      </c>
      <c r="L49" s="1" t="s">
        <v>536</v>
      </c>
      <c r="M49" s="1" t="s">
        <v>537</v>
      </c>
      <c r="N49" s="1">
        <v>0.0</v>
      </c>
      <c r="O49" s="1">
        <v>44.25</v>
      </c>
      <c r="P49" s="1">
        <v>0.0</v>
      </c>
      <c r="Q49" s="1">
        <v>0.0</v>
      </c>
      <c r="R49" s="1">
        <v>0.0</v>
      </c>
      <c r="S49" s="1" t="s">
        <v>538</v>
      </c>
      <c r="T49" s="1" t="s">
        <v>539</v>
      </c>
      <c r="V49" s="4">
        <v>7227287.0</v>
      </c>
      <c r="W49" s="4"/>
      <c r="X49" s="4">
        <v>0.0</v>
      </c>
      <c r="Y49" s="1">
        <v>0.0</v>
      </c>
      <c r="Z49" s="1">
        <v>0.0</v>
      </c>
      <c r="AA49" s="1">
        <v>1.0</v>
      </c>
      <c r="AB49" s="1">
        <v>0.0</v>
      </c>
      <c r="AC49" s="1">
        <v>0.0</v>
      </c>
      <c r="AD49" s="1">
        <v>0.0</v>
      </c>
      <c r="AE49" s="1">
        <v>0.0</v>
      </c>
      <c r="AF49" s="1">
        <v>0.0</v>
      </c>
      <c r="AG49" s="1">
        <v>0.0</v>
      </c>
      <c r="AH49" s="1">
        <v>0.0</v>
      </c>
      <c r="AI49" s="1">
        <v>0.0</v>
      </c>
      <c r="AJ49" s="1">
        <v>0.0</v>
      </c>
      <c r="AK49" s="1">
        <v>0.0</v>
      </c>
      <c r="AL49" s="1">
        <v>0.0</v>
      </c>
      <c r="AM49" s="4">
        <v>0.0</v>
      </c>
      <c r="AN49" s="1">
        <v>0.0</v>
      </c>
      <c r="AO49" s="4">
        <v>0.0</v>
      </c>
      <c r="AP49" s="1">
        <f t="shared" si="1"/>
        <v>0</v>
      </c>
      <c r="AT49" s="1" t="s">
        <v>634</v>
      </c>
      <c r="AU49" s="2">
        <v>45993.0</v>
      </c>
      <c r="AV49" s="2">
        <v>46023.9923611111</v>
      </c>
      <c r="AW49" s="1">
        <v>5.0</v>
      </c>
      <c r="AX49" s="1">
        <v>0.0</v>
      </c>
      <c r="AY49" s="1">
        <v>26.0</v>
      </c>
      <c r="AZ49" s="1">
        <v>1.0</v>
      </c>
      <c r="BA49" s="1">
        <v>0.0</v>
      </c>
      <c r="BB49" s="1">
        <v>0.0</v>
      </c>
      <c r="BC49" s="2">
        <v>45993.0</v>
      </c>
      <c r="BD49" s="1">
        <v>48.0</v>
      </c>
      <c r="BE49" s="1" t="s">
        <v>550</v>
      </c>
      <c r="BF49" s="1">
        <v>2025.0</v>
      </c>
      <c r="BG49" s="1" t="s">
        <v>558</v>
      </c>
      <c r="BH49" s="1" t="str">
        <f>VLOOKUP(B49,CookieClicks!D:O,12,FALSE)</f>
        <v>https://grow.method.me/best-quickbooks-crm/?trc=86&amp;trk=grow.method.me&amp;trs=Bing-PMax&amp;msclkid=9f4239fb50c21fa5297050d40275a688&amp;utm_source=bing&amp;utm_medium=cpc&amp;utm_campaign=Bing - PMAX&amp;utm_term=grow.method.me&amp;utm_content=US - retargeting</v>
      </c>
      <c r="BI49" s="8" t="str">
        <f>IFERROR(__xludf.DUMMYFUNCTION("VLOOKUP(REGEXREPLACE(BH49,""[?].*"",""""),ContentBuckets!A:C,2,FALSE)"),"#N/A")</f>
        <v>#N/A</v>
      </c>
      <c r="BJ49" s="8" t="str">
        <f>IFERROR(__xludf.DUMMYFUNCTION("VLOOKUP(REGEXREPLACE(BH49,""[?].*"",""""),ContentBuckets!A:C,3,FALSE)"),"#N/A")</f>
        <v>#N/A</v>
      </c>
    </row>
    <row r="50" ht="14.25" customHeight="1">
      <c r="A50" s="1">
        <v>153173.0</v>
      </c>
      <c r="B50" s="1" t="s">
        <v>635</v>
      </c>
      <c r="C50" s="2">
        <v>45993.6763888889</v>
      </c>
      <c r="D50" s="2"/>
      <c r="E50" s="2"/>
      <c r="F50" s="1" t="b">
        <v>1</v>
      </c>
      <c r="G50" s="4" t="b">
        <v>0</v>
      </c>
      <c r="H50" s="1" t="b">
        <v>0</v>
      </c>
      <c r="I50" s="1" t="b">
        <v>0</v>
      </c>
      <c r="J50" s="1" t="s">
        <v>534</v>
      </c>
      <c r="K50" s="1" t="s">
        <v>535</v>
      </c>
      <c r="L50" s="1" t="s">
        <v>536</v>
      </c>
      <c r="M50" s="1" t="s">
        <v>537</v>
      </c>
      <c r="N50" s="1">
        <v>0.0</v>
      </c>
      <c r="O50" s="1">
        <v>44.25</v>
      </c>
      <c r="P50" s="1">
        <v>0.0</v>
      </c>
      <c r="Q50" s="1">
        <v>0.0</v>
      </c>
      <c r="R50" s="1">
        <v>28.0</v>
      </c>
      <c r="S50" s="1" t="s">
        <v>538</v>
      </c>
      <c r="T50" s="1" t="s">
        <v>539</v>
      </c>
      <c r="V50" s="4">
        <v>7227385.0</v>
      </c>
      <c r="W50" s="4" t="s">
        <v>540</v>
      </c>
      <c r="X50" s="4">
        <v>0.0</v>
      </c>
      <c r="Y50" s="1">
        <v>1.0</v>
      </c>
      <c r="Z50" s="1">
        <v>0.0</v>
      </c>
      <c r="AA50" s="1">
        <v>0.0</v>
      </c>
      <c r="AB50" s="1">
        <v>0.0</v>
      </c>
      <c r="AC50" s="1">
        <v>0.0</v>
      </c>
      <c r="AD50" s="1">
        <v>0.0</v>
      </c>
      <c r="AE50" s="1">
        <v>0.0</v>
      </c>
      <c r="AF50" s="1">
        <v>0.0</v>
      </c>
      <c r="AG50" s="1">
        <v>0.0</v>
      </c>
      <c r="AH50" s="1">
        <v>0.0</v>
      </c>
      <c r="AI50" s="1">
        <v>0.0</v>
      </c>
      <c r="AJ50" s="1">
        <v>0.0</v>
      </c>
      <c r="AK50" s="1">
        <v>0.0</v>
      </c>
      <c r="AL50" s="1">
        <v>0.0</v>
      </c>
      <c r="AM50" s="4">
        <v>0.0</v>
      </c>
      <c r="AN50" s="1">
        <v>0.0</v>
      </c>
      <c r="AO50" s="4">
        <v>0.0</v>
      </c>
      <c r="AP50" s="1">
        <f t="shared" si="1"/>
        <v>0</v>
      </c>
      <c r="AQ50" s="1" t="s">
        <v>557</v>
      </c>
      <c r="AR50" s="1" t="s">
        <v>542</v>
      </c>
      <c r="AU50" s="2">
        <v>45993.0</v>
      </c>
      <c r="AV50" s="2">
        <v>46024.0361111111</v>
      </c>
      <c r="AW50" s="1">
        <v>22.0</v>
      </c>
      <c r="AX50" s="1">
        <v>953108.28</v>
      </c>
      <c r="AY50" s="1">
        <v>398.0</v>
      </c>
      <c r="AZ50" s="1">
        <v>1.0</v>
      </c>
      <c r="BA50" s="1">
        <v>0.0</v>
      </c>
      <c r="BB50" s="1">
        <v>0.0</v>
      </c>
      <c r="BC50" s="2">
        <v>45993.0</v>
      </c>
      <c r="BD50" s="1">
        <v>48.0</v>
      </c>
      <c r="BE50" s="1" t="s">
        <v>550</v>
      </c>
      <c r="BF50" s="1">
        <v>2025.0</v>
      </c>
      <c r="BG50" s="1" t="s">
        <v>558</v>
      </c>
      <c r="BH50" s="7" t="str">
        <f>VLOOKUP(B50,CookieClicks!D:O,12,FALSE)</f>
        <v>https://www.method.me/</v>
      </c>
      <c r="BI50" s="8" t="str">
        <f>IFERROR(__xludf.DUMMYFUNCTION("VLOOKUP(REGEXREPLACE(BH50,""[?].*"",""""),ContentBuckets!A:C,2,FALSE)"),"Homepage")</f>
        <v>Homepage</v>
      </c>
      <c r="BJ50" s="8" t="str">
        <f>IFERROR(__xludf.DUMMYFUNCTION("VLOOKUP(REGEXREPLACE(BH50,""[?].*"",""""),ContentBuckets!A:C,3,FALSE)"),"Other page")</f>
        <v>Other page</v>
      </c>
    </row>
    <row r="51" ht="14.25" customHeight="1">
      <c r="A51" s="1">
        <v>153174.0</v>
      </c>
      <c r="B51" s="1" t="s">
        <v>636</v>
      </c>
      <c r="C51" s="2">
        <v>45993.6902777778</v>
      </c>
      <c r="D51" s="2"/>
      <c r="E51" s="2"/>
      <c r="F51" s="1" t="b">
        <v>1</v>
      </c>
      <c r="G51" s="4" t="b">
        <v>0</v>
      </c>
      <c r="H51" s="1" t="b">
        <v>0</v>
      </c>
      <c r="I51" s="1" t="b">
        <v>0</v>
      </c>
      <c r="J51" s="1" t="s">
        <v>534</v>
      </c>
      <c r="K51" s="1" t="s">
        <v>535</v>
      </c>
      <c r="L51" s="1" t="s">
        <v>536</v>
      </c>
      <c r="M51" s="1" t="s">
        <v>537</v>
      </c>
      <c r="N51" s="1">
        <v>0.0</v>
      </c>
      <c r="O51" s="1">
        <v>63.75</v>
      </c>
      <c r="P51" s="1">
        <v>0.0</v>
      </c>
      <c r="Q51" s="1">
        <v>0.0</v>
      </c>
      <c r="R51" s="1">
        <v>28.0</v>
      </c>
      <c r="S51" s="1" t="s">
        <v>538</v>
      </c>
      <c r="T51" s="1" t="s">
        <v>539</v>
      </c>
      <c r="V51" s="4">
        <v>7227482.0</v>
      </c>
      <c r="W51" s="4" t="s">
        <v>540</v>
      </c>
      <c r="X51" s="4">
        <v>0.0</v>
      </c>
      <c r="Y51" s="1">
        <v>1.0</v>
      </c>
      <c r="Z51" s="1">
        <v>0.0</v>
      </c>
      <c r="AA51" s="1">
        <v>0.0</v>
      </c>
      <c r="AB51" s="1">
        <v>0.0</v>
      </c>
      <c r="AC51" s="1">
        <v>0.0</v>
      </c>
      <c r="AD51" s="1">
        <v>0.0</v>
      </c>
      <c r="AE51" s="1">
        <v>0.0</v>
      </c>
      <c r="AF51" s="1">
        <v>0.0</v>
      </c>
      <c r="AG51" s="1">
        <v>0.0</v>
      </c>
      <c r="AH51" s="1">
        <v>0.0</v>
      </c>
      <c r="AI51" s="1">
        <v>0.0</v>
      </c>
      <c r="AJ51" s="1">
        <v>0.0</v>
      </c>
      <c r="AK51" s="1">
        <v>0.0</v>
      </c>
      <c r="AL51" s="1">
        <v>0.0</v>
      </c>
      <c r="AM51" s="4">
        <v>0.0</v>
      </c>
      <c r="AN51" s="1">
        <v>0.0</v>
      </c>
      <c r="AO51" s="4">
        <v>0.0</v>
      </c>
      <c r="AP51" s="1">
        <f t="shared" si="1"/>
        <v>0</v>
      </c>
      <c r="AR51" s="1" t="s">
        <v>564</v>
      </c>
      <c r="AU51" s="2"/>
      <c r="AV51" s="2">
        <v>46024.0097222222</v>
      </c>
      <c r="AW51" s="1">
        <v>0.0</v>
      </c>
      <c r="AX51" s="1">
        <v>0.0</v>
      </c>
      <c r="AY51" s="1">
        <v>0.0</v>
      </c>
      <c r="AZ51" s="1">
        <v>1.0</v>
      </c>
      <c r="BA51" s="1">
        <v>0.0</v>
      </c>
      <c r="BB51" s="1">
        <v>0.0</v>
      </c>
      <c r="BC51" s="2">
        <v>45993.0</v>
      </c>
      <c r="BD51" s="1">
        <v>48.0</v>
      </c>
      <c r="BE51" s="1" t="s">
        <v>550</v>
      </c>
      <c r="BF51" s="1">
        <v>2025.0</v>
      </c>
      <c r="BG51" s="1" t="s">
        <v>558</v>
      </c>
      <c r="BH51" s="7" t="str">
        <f>VLOOKUP(B51,CookieClicks!D:O,12,FALSE)</f>
        <v>https://www.method.me/</v>
      </c>
      <c r="BI51" s="8" t="str">
        <f>IFERROR(__xludf.DUMMYFUNCTION("VLOOKUP(REGEXREPLACE(BH51,""[?].*"",""""),ContentBuckets!A:C,2,FALSE)"),"Homepage")</f>
        <v>Homepage</v>
      </c>
      <c r="BJ51" s="8" t="str">
        <f>IFERROR(__xludf.DUMMYFUNCTION("VLOOKUP(REGEXREPLACE(BH51,""[?].*"",""""),ContentBuckets!A:C,3,FALSE)"),"Other page")</f>
        <v>Other page</v>
      </c>
    </row>
    <row r="52" ht="14.25" customHeight="1">
      <c r="A52" s="1">
        <v>153175.0</v>
      </c>
      <c r="B52" s="1" t="s">
        <v>637</v>
      </c>
      <c r="C52" s="2">
        <v>45993.6909722222</v>
      </c>
      <c r="D52" s="2"/>
      <c r="E52" s="2"/>
      <c r="F52" s="1" t="b">
        <v>1</v>
      </c>
      <c r="G52" s="4" t="b">
        <v>0</v>
      </c>
      <c r="H52" s="1" t="b">
        <v>0</v>
      </c>
      <c r="I52" s="1" t="b">
        <v>0</v>
      </c>
      <c r="J52" s="1" t="s">
        <v>534</v>
      </c>
      <c r="K52" s="1" t="s">
        <v>566</v>
      </c>
      <c r="L52" s="1" t="s">
        <v>567</v>
      </c>
      <c r="M52" s="1" t="s">
        <v>537</v>
      </c>
      <c r="N52" s="1">
        <v>0.0</v>
      </c>
      <c r="O52" s="1">
        <v>132.75</v>
      </c>
      <c r="P52" s="1">
        <v>0.0</v>
      </c>
      <c r="Q52" s="1">
        <v>0.0</v>
      </c>
      <c r="R52" s="1">
        <v>0.0</v>
      </c>
      <c r="S52" s="1" t="s">
        <v>538</v>
      </c>
      <c r="T52" s="1" t="s">
        <v>539</v>
      </c>
      <c r="V52" s="4">
        <v>7227496.0</v>
      </c>
      <c r="W52" s="4"/>
      <c r="X52" s="4">
        <v>1.0</v>
      </c>
      <c r="Y52" s="1">
        <v>0.0</v>
      </c>
      <c r="Z52" s="1">
        <v>0.0</v>
      </c>
      <c r="AA52" s="1">
        <v>0.0</v>
      </c>
      <c r="AB52" s="1">
        <v>0.0</v>
      </c>
      <c r="AC52" s="1">
        <v>0.0</v>
      </c>
      <c r="AD52" s="1">
        <v>0.0</v>
      </c>
      <c r="AE52" s="1">
        <v>0.0</v>
      </c>
      <c r="AF52" s="1">
        <v>0.0</v>
      </c>
      <c r="AG52" s="1">
        <v>0.0</v>
      </c>
      <c r="AH52" s="1">
        <v>0.0</v>
      </c>
      <c r="AI52" s="1">
        <v>0.0</v>
      </c>
      <c r="AJ52" s="1">
        <v>0.0</v>
      </c>
      <c r="AK52" s="1">
        <v>0.0</v>
      </c>
      <c r="AL52" s="1">
        <v>0.0</v>
      </c>
      <c r="AM52" s="4">
        <v>0.0</v>
      </c>
      <c r="AN52" s="1">
        <v>0.0</v>
      </c>
      <c r="AO52" s="4">
        <v>0.0</v>
      </c>
      <c r="AP52" s="1">
        <f t="shared" si="1"/>
        <v>0</v>
      </c>
      <c r="AQ52" s="1" t="s">
        <v>557</v>
      </c>
      <c r="AT52" s="1" t="s">
        <v>638</v>
      </c>
      <c r="AU52" s="2">
        <v>45993.0</v>
      </c>
      <c r="AV52" s="2">
        <v>46024.0090277778</v>
      </c>
      <c r="AW52" s="1">
        <v>1.0</v>
      </c>
      <c r="AX52" s="1">
        <v>0.0</v>
      </c>
      <c r="AY52" s="1">
        <v>92.0</v>
      </c>
      <c r="AZ52" s="1">
        <v>3.0</v>
      </c>
      <c r="BA52" s="1">
        <v>0.0</v>
      </c>
      <c r="BB52" s="1">
        <v>0.0</v>
      </c>
      <c r="BC52" s="2">
        <v>45993.0</v>
      </c>
      <c r="BD52" s="1">
        <v>48.0</v>
      </c>
      <c r="BE52" s="1" t="s">
        <v>550</v>
      </c>
      <c r="BF52" s="1">
        <v>2025.0</v>
      </c>
      <c r="BG52" s="1" t="s">
        <v>558</v>
      </c>
      <c r="BH52" s="7" t="str">
        <f>VLOOKUP(B52,CookieClicks!D:O,12,FALSE)</f>
        <v>http://signup.method.me/?offering=methodcrm</v>
      </c>
      <c r="BI52" s="8" t="str">
        <f>IFERROR(__xludf.DUMMYFUNCTION("VLOOKUP(REGEXREPLACE(BH52,""[?].*"",""""),ContentBuckets!A:C,2,FALSE)"),"#N/A")</f>
        <v>#N/A</v>
      </c>
      <c r="BJ52" s="8" t="str">
        <f>IFERROR(__xludf.DUMMYFUNCTION("VLOOKUP(REGEXREPLACE(BH52,""[?].*"",""""),ContentBuckets!A:C,3,FALSE)"),"#N/A")</f>
        <v>#N/A</v>
      </c>
    </row>
    <row r="53" ht="14.25" customHeight="1">
      <c r="A53" s="1">
        <v>153176.0</v>
      </c>
      <c r="B53" s="1" t="s">
        <v>639</v>
      </c>
      <c r="C53" s="2">
        <v>45993.7201388889</v>
      </c>
      <c r="D53" s="2"/>
      <c r="E53" s="2"/>
      <c r="F53" s="1" t="b">
        <v>1</v>
      </c>
      <c r="G53" s="4" t="b">
        <v>0</v>
      </c>
      <c r="H53" s="1" t="b">
        <v>0</v>
      </c>
      <c r="I53" s="1" t="b">
        <v>0</v>
      </c>
      <c r="J53" s="1" t="s">
        <v>534</v>
      </c>
      <c r="K53" s="1" t="s">
        <v>553</v>
      </c>
      <c r="L53" s="1" t="s">
        <v>554</v>
      </c>
      <c r="M53" s="1" t="s">
        <v>537</v>
      </c>
      <c r="N53" s="1">
        <v>0.0</v>
      </c>
      <c r="O53" s="1">
        <v>44.25</v>
      </c>
      <c r="P53" s="1">
        <v>0.0</v>
      </c>
      <c r="Q53" s="1">
        <v>0.0</v>
      </c>
      <c r="R53" s="1">
        <v>0.0</v>
      </c>
      <c r="S53" s="1" t="s">
        <v>538</v>
      </c>
      <c r="T53" s="1" t="s">
        <v>539</v>
      </c>
      <c r="V53" s="4">
        <v>7227716.0</v>
      </c>
      <c r="W53" s="4"/>
      <c r="X53" s="4">
        <v>0.0</v>
      </c>
      <c r="Y53" s="1">
        <v>0.0</v>
      </c>
      <c r="Z53" s="1">
        <v>0.0</v>
      </c>
      <c r="AA53" s="1">
        <v>1.0</v>
      </c>
      <c r="AB53" s="1">
        <v>0.0</v>
      </c>
      <c r="AC53" s="1">
        <v>0.0</v>
      </c>
      <c r="AD53" s="1">
        <v>0.0</v>
      </c>
      <c r="AE53" s="1">
        <v>0.0</v>
      </c>
      <c r="AF53" s="1">
        <v>0.0</v>
      </c>
      <c r="AG53" s="1">
        <v>0.0</v>
      </c>
      <c r="AH53" s="1">
        <v>0.0</v>
      </c>
      <c r="AI53" s="1">
        <v>0.0</v>
      </c>
      <c r="AJ53" s="1">
        <v>0.0</v>
      </c>
      <c r="AK53" s="1">
        <v>0.0</v>
      </c>
      <c r="AL53" s="1">
        <v>0.0</v>
      </c>
      <c r="AM53" s="4">
        <v>0.0</v>
      </c>
      <c r="AN53" s="1">
        <v>0.0</v>
      </c>
      <c r="AO53" s="4">
        <v>0.0</v>
      </c>
      <c r="AP53" s="1">
        <f t="shared" si="1"/>
        <v>0</v>
      </c>
      <c r="AU53" s="2"/>
      <c r="AV53" s="2">
        <v>46024.0083333333</v>
      </c>
      <c r="AW53" s="1">
        <v>0.0</v>
      </c>
      <c r="AX53" s="1">
        <v>0.0</v>
      </c>
      <c r="AY53" s="1">
        <v>0.0</v>
      </c>
      <c r="AZ53" s="1">
        <v>1.0</v>
      </c>
      <c r="BA53" s="1">
        <v>0.0</v>
      </c>
      <c r="BB53" s="1">
        <v>0.0</v>
      </c>
      <c r="BC53" s="2">
        <v>45993.0</v>
      </c>
      <c r="BD53" s="1">
        <v>48.0</v>
      </c>
      <c r="BE53" s="1" t="s">
        <v>550</v>
      </c>
      <c r="BF53" s="1">
        <v>2025.0</v>
      </c>
      <c r="BG53" s="1" t="s">
        <v>558</v>
      </c>
      <c r="BH53" s="1" t="str">
        <f>VLOOKUP(B53,CookieClicks!D:O,12,FALSE)</f>
        <v>https://grow.method.me/crm-quickbooks/?trc=86&amp;trk=custom invoice quickbooks&amp;trs=USA-G-QB-Bing&amp;msclkid=6baba474e41013e1c2edcd5b81029a7c&amp;utm_source=bing&amp;utm_medium=cpc&amp;utm_campaign=US - Generic 2020&amp;utm_term=custom invoice quickbooks&amp;utm_content=Generic</v>
      </c>
      <c r="BI53" s="8" t="str">
        <f>IFERROR(__xludf.DUMMYFUNCTION("VLOOKUP(REGEXREPLACE(BH53,""[?].*"",""""),ContentBuckets!A:C,2,FALSE)"),"#N/A")</f>
        <v>#N/A</v>
      </c>
      <c r="BJ53" s="8" t="str">
        <f>IFERROR(__xludf.DUMMYFUNCTION("VLOOKUP(REGEXREPLACE(BH53,""[?].*"",""""),ContentBuckets!A:C,3,FALSE)"),"#N/A")</f>
        <v>#N/A</v>
      </c>
    </row>
    <row r="54" ht="14.25" customHeight="1">
      <c r="A54" s="1">
        <v>153177.0</v>
      </c>
      <c r="B54" s="1" t="s">
        <v>640</v>
      </c>
      <c r="C54" s="2">
        <v>45993.7256944444</v>
      </c>
      <c r="D54" s="2"/>
      <c r="E54" s="2"/>
      <c r="F54" s="1" t="b">
        <v>1</v>
      </c>
      <c r="G54" s="4" t="b">
        <v>0</v>
      </c>
      <c r="H54" s="1" t="b">
        <v>0</v>
      </c>
      <c r="I54" s="1" t="b">
        <v>0</v>
      </c>
      <c r="J54" s="1" t="s">
        <v>534</v>
      </c>
      <c r="K54" s="1" t="s">
        <v>566</v>
      </c>
      <c r="L54" s="1" t="s">
        <v>567</v>
      </c>
      <c r="M54" s="1" t="s">
        <v>537</v>
      </c>
      <c r="N54" s="1">
        <v>0.0</v>
      </c>
      <c r="O54" s="1">
        <v>44.25</v>
      </c>
      <c r="P54" s="1">
        <v>0.0</v>
      </c>
      <c r="Q54" s="1">
        <v>0.0</v>
      </c>
      <c r="R54" s="1">
        <v>28.0</v>
      </c>
      <c r="S54" s="1" t="s">
        <v>538</v>
      </c>
      <c r="T54" s="1" t="s">
        <v>539</v>
      </c>
      <c r="V54" s="4">
        <v>7226948.0</v>
      </c>
      <c r="W54" s="4" t="s">
        <v>540</v>
      </c>
      <c r="X54" s="4">
        <v>0.0</v>
      </c>
      <c r="Y54" s="1">
        <v>0.5</v>
      </c>
      <c r="Z54" s="1">
        <v>0.0</v>
      </c>
      <c r="AA54" s="1">
        <v>0.5</v>
      </c>
      <c r="AB54" s="1">
        <v>0.0</v>
      </c>
      <c r="AC54" s="1">
        <v>0.0</v>
      </c>
      <c r="AD54" s="1">
        <v>0.0</v>
      </c>
      <c r="AE54" s="1">
        <v>0.0</v>
      </c>
      <c r="AF54" s="1">
        <v>0.0</v>
      </c>
      <c r="AG54" s="1">
        <v>0.0</v>
      </c>
      <c r="AH54" s="1">
        <v>0.0</v>
      </c>
      <c r="AI54" s="1">
        <v>0.0</v>
      </c>
      <c r="AJ54" s="1">
        <v>0.0</v>
      </c>
      <c r="AK54" s="1">
        <v>0.0</v>
      </c>
      <c r="AL54" s="1">
        <v>0.0</v>
      </c>
      <c r="AM54" s="4">
        <v>0.0</v>
      </c>
      <c r="AN54" s="1">
        <v>0.0</v>
      </c>
      <c r="AO54" s="4">
        <v>0.0</v>
      </c>
      <c r="AP54" s="1">
        <f t="shared" si="1"/>
        <v>0</v>
      </c>
      <c r="AR54" s="1" t="s">
        <v>560</v>
      </c>
      <c r="AU54" s="2"/>
      <c r="AV54" s="2">
        <v>46024.0180555556</v>
      </c>
      <c r="AW54" s="1">
        <v>0.0</v>
      </c>
      <c r="AX54" s="1">
        <v>0.0</v>
      </c>
      <c r="AY54" s="1">
        <v>0.0</v>
      </c>
      <c r="AZ54" s="1">
        <v>1.0</v>
      </c>
      <c r="BA54" s="1">
        <v>0.0</v>
      </c>
      <c r="BB54" s="1">
        <v>0.0</v>
      </c>
      <c r="BC54" s="2">
        <v>45993.0</v>
      </c>
      <c r="BD54" s="1">
        <v>48.0</v>
      </c>
      <c r="BE54" s="1" t="s">
        <v>550</v>
      </c>
      <c r="BF54" s="1">
        <v>2025.0</v>
      </c>
      <c r="BG54" s="1" t="s">
        <v>558</v>
      </c>
      <c r="BH54" s="7" t="str">
        <f>VLOOKUP(B54,CookieClicks!D:O,12,FALSE)</f>
        <v>https://www.method.me/</v>
      </c>
      <c r="BI54" s="8" t="str">
        <f>IFERROR(__xludf.DUMMYFUNCTION("VLOOKUP(REGEXREPLACE(BH54,""[?].*"",""""),ContentBuckets!A:C,2,FALSE)"),"Homepage")</f>
        <v>Homepage</v>
      </c>
      <c r="BJ54" s="8" t="str">
        <f>IFERROR(__xludf.DUMMYFUNCTION("VLOOKUP(REGEXREPLACE(BH54,""[?].*"",""""),ContentBuckets!A:C,3,FALSE)"),"Other page")</f>
        <v>Other page</v>
      </c>
    </row>
    <row r="55" ht="14.25" customHeight="1">
      <c r="A55" s="1">
        <v>153178.0</v>
      </c>
      <c r="B55" s="1" t="s">
        <v>641</v>
      </c>
      <c r="C55" s="2">
        <v>45993.7354166667</v>
      </c>
      <c r="D55" s="2"/>
      <c r="E55" s="2">
        <v>45995.6013888889</v>
      </c>
      <c r="F55" s="1" t="b">
        <v>1</v>
      </c>
      <c r="G55" s="4" t="b">
        <v>0</v>
      </c>
      <c r="H55" s="1" t="b">
        <v>0</v>
      </c>
      <c r="I55" s="1" t="b">
        <v>0</v>
      </c>
      <c r="J55" s="1" t="s">
        <v>534</v>
      </c>
      <c r="K55" s="1" t="s">
        <v>535</v>
      </c>
      <c r="L55" s="1" t="s">
        <v>536</v>
      </c>
      <c r="M55" s="1" t="s">
        <v>537</v>
      </c>
      <c r="N55" s="1">
        <v>44.25</v>
      </c>
      <c r="O55" s="1">
        <v>44.25</v>
      </c>
      <c r="P55" s="1">
        <v>0.0</v>
      </c>
      <c r="Q55" s="1">
        <v>0.0</v>
      </c>
      <c r="R55" s="1">
        <v>28.0</v>
      </c>
      <c r="S55" s="1" t="s">
        <v>538</v>
      </c>
      <c r="T55" s="1" t="s">
        <v>539</v>
      </c>
      <c r="V55" s="4">
        <v>7227818.0</v>
      </c>
      <c r="W55" s="4" t="s">
        <v>540</v>
      </c>
      <c r="X55" s="4">
        <v>0.0</v>
      </c>
      <c r="Y55" s="1">
        <v>1.0</v>
      </c>
      <c r="Z55" s="1">
        <v>0.0</v>
      </c>
      <c r="AA55" s="1">
        <v>0.0</v>
      </c>
      <c r="AB55" s="1">
        <v>0.0</v>
      </c>
      <c r="AC55" s="1">
        <v>0.0</v>
      </c>
      <c r="AD55" s="1">
        <v>0.0</v>
      </c>
      <c r="AE55" s="1">
        <v>0.0</v>
      </c>
      <c r="AF55" s="1">
        <v>0.0</v>
      </c>
      <c r="AG55" s="1">
        <v>0.0</v>
      </c>
      <c r="AH55" s="1">
        <v>0.0</v>
      </c>
      <c r="AI55" s="1">
        <v>0.0</v>
      </c>
      <c r="AJ55" s="1">
        <v>0.0</v>
      </c>
      <c r="AK55" s="1">
        <v>0.0</v>
      </c>
      <c r="AL55" s="1">
        <v>0.0</v>
      </c>
      <c r="AM55" s="4">
        <v>0.0</v>
      </c>
      <c r="AN55" s="1">
        <v>0.0</v>
      </c>
      <c r="AO55" s="4">
        <v>0.0</v>
      </c>
      <c r="AP55" s="1">
        <f t="shared" si="1"/>
        <v>0</v>
      </c>
      <c r="AQ55" s="1" t="s">
        <v>557</v>
      </c>
      <c r="AR55" s="1" t="s">
        <v>564</v>
      </c>
      <c r="AU55" s="2">
        <v>45993.0</v>
      </c>
      <c r="AV55" s="2">
        <v>46024.0409722222</v>
      </c>
      <c r="AW55" s="1">
        <v>2.0</v>
      </c>
      <c r="AX55" s="1">
        <v>457119.0</v>
      </c>
      <c r="AY55" s="1">
        <v>690.0</v>
      </c>
      <c r="AZ55" s="1">
        <v>1.0</v>
      </c>
      <c r="BA55" s="1">
        <v>0.0</v>
      </c>
      <c r="BB55" s="1">
        <v>1.0</v>
      </c>
      <c r="BC55" s="2">
        <v>45993.0</v>
      </c>
      <c r="BD55" s="1">
        <v>48.0</v>
      </c>
      <c r="BE55" s="1" t="s">
        <v>550</v>
      </c>
      <c r="BF55" s="1">
        <v>2025.0</v>
      </c>
      <c r="BG55" s="1" t="s">
        <v>558</v>
      </c>
      <c r="BH55" s="7" t="str">
        <f>VLOOKUP(B55,CookieClicks!D:O,12,FALSE)</f>
        <v>https://www.method.me/</v>
      </c>
      <c r="BI55" s="8" t="str">
        <f>IFERROR(__xludf.DUMMYFUNCTION("VLOOKUP(REGEXREPLACE(BH55,""[?].*"",""""),ContentBuckets!A:C,2,FALSE)"),"Homepage")</f>
        <v>Homepage</v>
      </c>
      <c r="BJ55" s="8" t="str">
        <f>IFERROR(__xludf.DUMMYFUNCTION("VLOOKUP(REGEXREPLACE(BH55,""[?].*"",""""),ContentBuckets!A:C,3,FALSE)"),"Other page")</f>
        <v>Other page</v>
      </c>
    </row>
    <row r="56" ht="14.25" customHeight="1">
      <c r="A56" s="1">
        <v>153179.0</v>
      </c>
      <c r="B56" s="1" t="s">
        <v>642</v>
      </c>
      <c r="C56" s="2">
        <v>45993.7479166667</v>
      </c>
      <c r="D56" s="2">
        <v>46014.4215277778</v>
      </c>
      <c r="E56" s="2">
        <v>45994.6631944444</v>
      </c>
      <c r="F56" s="1" t="b">
        <v>0</v>
      </c>
      <c r="G56" s="4" t="b">
        <v>1</v>
      </c>
      <c r="H56" s="1" t="b">
        <v>0</v>
      </c>
      <c r="I56" s="1" t="b">
        <v>0</v>
      </c>
      <c r="J56" s="1" t="s">
        <v>534</v>
      </c>
      <c r="K56" s="1" t="s">
        <v>535</v>
      </c>
      <c r="L56" s="1" t="s">
        <v>536</v>
      </c>
      <c r="M56" s="1" t="s">
        <v>537</v>
      </c>
      <c r="N56" s="1">
        <v>0.0</v>
      </c>
      <c r="O56" s="1">
        <v>63.75</v>
      </c>
      <c r="P56" s="1">
        <v>0.0</v>
      </c>
      <c r="Q56" s="1">
        <v>0.0</v>
      </c>
      <c r="R56" s="1">
        <v>0.0</v>
      </c>
      <c r="S56" s="1" t="s">
        <v>538</v>
      </c>
      <c r="T56" s="1" t="s">
        <v>539</v>
      </c>
      <c r="V56" s="4">
        <v>6729572.0</v>
      </c>
      <c r="W56" s="4"/>
      <c r="X56" s="4">
        <v>0.0</v>
      </c>
      <c r="Y56" s="1">
        <v>0.0</v>
      </c>
      <c r="Z56" s="1">
        <v>0.0</v>
      </c>
      <c r="AA56" s="1">
        <v>1.0</v>
      </c>
      <c r="AB56" s="1">
        <v>0.0</v>
      </c>
      <c r="AC56" s="1">
        <v>0.0</v>
      </c>
      <c r="AD56" s="1">
        <v>0.0</v>
      </c>
      <c r="AE56" s="1">
        <v>0.0</v>
      </c>
      <c r="AF56" s="1">
        <v>0.0</v>
      </c>
      <c r="AG56" s="1">
        <v>0.0</v>
      </c>
      <c r="AH56" s="1">
        <v>0.0</v>
      </c>
      <c r="AI56" s="1">
        <v>0.0</v>
      </c>
      <c r="AJ56" s="1">
        <v>0.0</v>
      </c>
      <c r="AK56" s="1">
        <v>0.0</v>
      </c>
      <c r="AL56" s="1">
        <v>0.0</v>
      </c>
      <c r="AM56" s="4">
        <v>0.0</v>
      </c>
      <c r="AN56" s="1">
        <v>0.0</v>
      </c>
      <c r="AO56" s="4">
        <v>0.0</v>
      </c>
      <c r="AP56" s="1">
        <f t="shared" si="1"/>
        <v>0</v>
      </c>
      <c r="AU56" s="2"/>
      <c r="AV56" s="2">
        <v>46014.0125</v>
      </c>
      <c r="AW56" s="1">
        <v>0.0</v>
      </c>
      <c r="AX56" s="1">
        <v>0.0</v>
      </c>
      <c r="AY56" s="1">
        <v>0.0</v>
      </c>
      <c r="AZ56" s="1">
        <v>1.0</v>
      </c>
      <c r="BA56" s="1">
        <v>0.0</v>
      </c>
      <c r="BB56" s="1">
        <v>0.0</v>
      </c>
      <c r="BC56" s="2">
        <v>45993.0</v>
      </c>
      <c r="BD56" s="1">
        <v>48.0</v>
      </c>
      <c r="BE56" s="1" t="s">
        <v>550</v>
      </c>
      <c r="BF56" s="1">
        <v>2025.0</v>
      </c>
      <c r="BG56" s="1" t="s">
        <v>558</v>
      </c>
      <c r="BH56" s="1" t="str">
        <f>VLOOKUP(B56,CookieClicks!D:O,12,FALSE)</f>
        <v>https://grow.method.me/crm-quickbooks/?trc=81&amp;trk=crm works with quickbooks&amp;trs=USA-QB-G_Ex&amp;campaignid=22265826203&amp;adgroupid=176758613473&amp;adid=734012603510&amp;gad_source=1&amp;gad_campaignid=22265826203&amp;gbraid=0AAAAAD3ItnY8dYj6EgtzuDGCW8YS03VZf&amp;gclid=CjwKCAjwp_LDBhBCEiwAK7FnkurcoCbN_VHZKoD3F3-xeGHISK-ND6ZLXrhGH384yLRCm7EqUXDdVBoCtFYQAvD_BwE</v>
      </c>
      <c r="BI56" s="8" t="str">
        <f>IFERROR(__xludf.DUMMYFUNCTION("VLOOKUP(REGEXREPLACE(BH56,""[?].*"",""""),ContentBuckets!A:C,2,FALSE)"),"#N/A")</f>
        <v>#N/A</v>
      </c>
      <c r="BJ56" s="8" t="str">
        <f>IFERROR(__xludf.DUMMYFUNCTION("VLOOKUP(REGEXREPLACE(BH56,""[?].*"",""""),ContentBuckets!A:C,3,FALSE)"),"#N/A")</f>
        <v>#N/A</v>
      </c>
    </row>
    <row r="57" ht="14.25" customHeight="1">
      <c r="A57" s="1">
        <v>153180.0</v>
      </c>
      <c r="B57" s="1" t="s">
        <v>643</v>
      </c>
      <c r="C57" s="2">
        <v>45993.8027777778</v>
      </c>
      <c r="D57" s="2"/>
      <c r="E57" s="2"/>
      <c r="F57" s="1" t="b">
        <v>1</v>
      </c>
      <c r="G57" s="4" t="b">
        <v>0</v>
      </c>
      <c r="H57" s="1" t="b">
        <v>0</v>
      </c>
      <c r="I57" s="1" t="b">
        <v>0</v>
      </c>
      <c r="J57" s="1" t="s">
        <v>534</v>
      </c>
      <c r="K57" s="1" t="s">
        <v>535</v>
      </c>
      <c r="L57" s="1" t="s">
        <v>536</v>
      </c>
      <c r="M57" s="1" t="s">
        <v>537</v>
      </c>
      <c r="N57" s="1">
        <v>0.0</v>
      </c>
      <c r="O57" s="1">
        <v>53.25</v>
      </c>
      <c r="P57" s="1">
        <v>0.0</v>
      </c>
      <c r="Q57" s="1">
        <v>0.0</v>
      </c>
      <c r="R57" s="1">
        <v>28.0</v>
      </c>
      <c r="S57" s="1" t="s">
        <v>538</v>
      </c>
      <c r="T57" s="1" t="s">
        <v>539</v>
      </c>
      <c r="V57" s="4">
        <v>7228093.0</v>
      </c>
      <c r="W57" s="4"/>
      <c r="X57" s="4">
        <v>0.0</v>
      </c>
      <c r="Y57" s="1">
        <v>0.0</v>
      </c>
      <c r="Z57" s="1">
        <v>0.0</v>
      </c>
      <c r="AA57" s="1">
        <v>1.0</v>
      </c>
      <c r="AB57" s="1">
        <v>0.0</v>
      </c>
      <c r="AC57" s="1">
        <v>0.0</v>
      </c>
      <c r="AD57" s="1">
        <v>0.0</v>
      </c>
      <c r="AE57" s="1">
        <v>0.0</v>
      </c>
      <c r="AF57" s="1">
        <v>0.0</v>
      </c>
      <c r="AG57" s="1">
        <v>0.0</v>
      </c>
      <c r="AH57" s="1">
        <v>0.0</v>
      </c>
      <c r="AI57" s="1">
        <v>0.0</v>
      </c>
      <c r="AJ57" s="1">
        <v>0.0</v>
      </c>
      <c r="AK57" s="1">
        <v>0.0</v>
      </c>
      <c r="AL57" s="1">
        <v>0.0</v>
      </c>
      <c r="AM57" s="4">
        <v>0.0</v>
      </c>
      <c r="AN57" s="1">
        <v>0.0</v>
      </c>
      <c r="AO57" s="4">
        <v>0.0</v>
      </c>
      <c r="AP57" s="1">
        <f t="shared" si="1"/>
        <v>0</v>
      </c>
      <c r="AQ57" s="1" t="s">
        <v>557</v>
      </c>
      <c r="AR57" s="1" t="s">
        <v>578</v>
      </c>
      <c r="AU57" s="2">
        <v>45993.0</v>
      </c>
      <c r="AV57" s="2">
        <v>46024.0430555556</v>
      </c>
      <c r="AW57" s="1">
        <v>0.0</v>
      </c>
      <c r="AX57" s="1">
        <v>0.0</v>
      </c>
      <c r="AY57" s="1">
        <v>0.0</v>
      </c>
      <c r="AZ57" s="1">
        <v>1.0</v>
      </c>
      <c r="BA57" s="1">
        <v>0.0</v>
      </c>
      <c r="BB57" s="1">
        <v>0.0</v>
      </c>
      <c r="BC57" s="2">
        <v>45993.0</v>
      </c>
      <c r="BD57" s="1">
        <v>48.0</v>
      </c>
      <c r="BE57" s="1" t="s">
        <v>550</v>
      </c>
      <c r="BF57" s="1">
        <v>2025.0</v>
      </c>
      <c r="BG57" s="1" t="s">
        <v>558</v>
      </c>
      <c r="BH57" s="1" t="str">
        <f>VLOOKUP(B57,CookieClicks!D:O,12,FALSE)</f>
        <v>https://grow.method.me/crm-quickbooks/?trc=81&amp;trk=crm integrates with quickbooks&amp;trs=US-QBInt-Ex&amp;campaignid=22265826203&amp;adgroupid=186545727779&amp;adid=777091446185&amp;gad_source=1&amp;gad_campaignid=22265826203&amp;gbraid=0AAAAAD3Itnam2j5nHWVuXmJuoGB4QHUV1&amp;gclid=Cj0KCQiAubrJBhCbARIsAHIdxD8sT4zpzABpZFGx3n1JzaoHNFaaUsR3ntg8deFRNjmBN_2jm3OixmsaApvvEALw_wcB</v>
      </c>
      <c r="BI57" s="8" t="str">
        <f>IFERROR(__xludf.DUMMYFUNCTION("VLOOKUP(REGEXREPLACE(BH57,""[?].*"",""""),ContentBuckets!A:C,2,FALSE)"),"#N/A")</f>
        <v>#N/A</v>
      </c>
      <c r="BJ57" s="8" t="str">
        <f>IFERROR(__xludf.DUMMYFUNCTION("VLOOKUP(REGEXREPLACE(BH57,""[?].*"",""""),ContentBuckets!A:C,3,FALSE)"),"#N/A")</f>
        <v>#N/A</v>
      </c>
    </row>
    <row r="58" ht="14.25" customHeight="1">
      <c r="A58" s="1">
        <v>153181.0</v>
      </c>
      <c r="B58" s="1" t="s">
        <v>644</v>
      </c>
      <c r="C58" s="2">
        <v>45993.8347222222</v>
      </c>
      <c r="D58" s="2"/>
      <c r="E58" s="2"/>
      <c r="F58" s="1" t="b">
        <v>1</v>
      </c>
      <c r="G58" s="4" t="b">
        <v>0</v>
      </c>
      <c r="H58" s="1" t="b">
        <v>0</v>
      </c>
      <c r="I58" s="1" t="b">
        <v>0</v>
      </c>
      <c r="J58" s="1" t="s">
        <v>534</v>
      </c>
      <c r="K58" s="1" t="s">
        <v>535</v>
      </c>
      <c r="L58" s="1" t="s">
        <v>536</v>
      </c>
      <c r="M58" s="1" t="s">
        <v>537</v>
      </c>
      <c r="N58" s="1">
        <v>0.0</v>
      </c>
      <c r="O58" s="1">
        <v>53.25</v>
      </c>
      <c r="P58" s="1">
        <v>0.0</v>
      </c>
      <c r="Q58" s="1">
        <v>0.0</v>
      </c>
      <c r="R58" s="1">
        <v>28.0</v>
      </c>
      <c r="S58" s="1" t="s">
        <v>538</v>
      </c>
      <c r="T58" s="1" t="s">
        <v>539</v>
      </c>
      <c r="V58" s="4">
        <v>7228190.0</v>
      </c>
      <c r="W58" s="4" t="s">
        <v>540</v>
      </c>
      <c r="X58" s="4">
        <v>0.0</v>
      </c>
      <c r="Y58" s="1">
        <v>1.0</v>
      </c>
      <c r="Z58" s="1">
        <v>0.0</v>
      </c>
      <c r="AA58" s="1">
        <v>0.0</v>
      </c>
      <c r="AB58" s="1">
        <v>0.0</v>
      </c>
      <c r="AC58" s="1">
        <v>0.0</v>
      </c>
      <c r="AD58" s="1">
        <v>0.0</v>
      </c>
      <c r="AE58" s="1">
        <v>0.0</v>
      </c>
      <c r="AF58" s="1">
        <v>0.0</v>
      </c>
      <c r="AG58" s="1">
        <v>0.0</v>
      </c>
      <c r="AH58" s="1">
        <v>0.0</v>
      </c>
      <c r="AI58" s="1">
        <v>0.0</v>
      </c>
      <c r="AJ58" s="1">
        <v>0.0</v>
      </c>
      <c r="AK58" s="1">
        <v>0.0</v>
      </c>
      <c r="AL58" s="1">
        <v>0.0</v>
      </c>
      <c r="AM58" s="4">
        <v>0.0</v>
      </c>
      <c r="AN58" s="1">
        <v>0.0</v>
      </c>
      <c r="AO58" s="4">
        <v>0.0</v>
      </c>
      <c r="AP58" s="1">
        <f t="shared" si="1"/>
        <v>0</v>
      </c>
      <c r="AQ58" s="1" t="s">
        <v>557</v>
      </c>
      <c r="AR58" s="1" t="s">
        <v>542</v>
      </c>
      <c r="AU58" s="2">
        <v>45993.0</v>
      </c>
      <c r="AV58" s="2">
        <v>46024.0388888889</v>
      </c>
      <c r="AW58" s="1">
        <v>1.0</v>
      </c>
      <c r="AX58" s="1">
        <v>315672.96</v>
      </c>
      <c r="AY58" s="1">
        <v>67.0</v>
      </c>
      <c r="AZ58" s="1">
        <v>1.0</v>
      </c>
      <c r="BA58" s="1">
        <v>0.0</v>
      </c>
      <c r="BB58" s="1">
        <v>0.0</v>
      </c>
      <c r="BC58" s="2">
        <v>45993.0</v>
      </c>
      <c r="BD58" s="1">
        <v>48.0</v>
      </c>
      <c r="BE58" s="1" t="s">
        <v>550</v>
      </c>
      <c r="BF58" s="1">
        <v>2025.0</v>
      </c>
      <c r="BG58" s="1" t="s">
        <v>558</v>
      </c>
      <c r="BH58" s="7" t="str">
        <f>VLOOKUP(B58,CookieClicks!D:O,12,FALSE)</f>
        <v>https://www.method.me/</v>
      </c>
      <c r="BI58" s="8" t="str">
        <f>IFERROR(__xludf.DUMMYFUNCTION("VLOOKUP(REGEXREPLACE(BH58,""[?].*"",""""),ContentBuckets!A:C,2,FALSE)"),"Homepage")</f>
        <v>Homepage</v>
      </c>
      <c r="BJ58" s="8" t="str">
        <f>IFERROR(__xludf.DUMMYFUNCTION("VLOOKUP(REGEXREPLACE(BH58,""[?].*"",""""),ContentBuckets!A:C,3,FALSE)"),"Other page")</f>
        <v>Other page</v>
      </c>
    </row>
    <row r="59" ht="14.25" customHeight="1">
      <c r="A59" s="1">
        <v>153182.0</v>
      </c>
      <c r="B59" s="1" t="s">
        <v>645</v>
      </c>
      <c r="C59" s="2">
        <v>45993.8659722222</v>
      </c>
      <c r="D59" s="2"/>
      <c r="E59" s="2"/>
      <c r="F59" s="1" t="b">
        <v>1</v>
      </c>
      <c r="G59" s="4" t="b">
        <v>0</v>
      </c>
      <c r="H59" s="1" t="b">
        <v>0</v>
      </c>
      <c r="I59" s="1" t="b">
        <v>0</v>
      </c>
      <c r="J59" s="1" t="s">
        <v>534</v>
      </c>
      <c r="K59" s="1" t="s">
        <v>535</v>
      </c>
      <c r="L59" s="1" t="s">
        <v>536</v>
      </c>
      <c r="M59" s="1" t="s">
        <v>537</v>
      </c>
      <c r="N59" s="1">
        <v>0.0</v>
      </c>
      <c r="O59" s="1">
        <v>105.75</v>
      </c>
      <c r="P59" s="1">
        <v>0.0</v>
      </c>
      <c r="Q59" s="1">
        <v>0.0</v>
      </c>
      <c r="R59" s="1">
        <v>28.0</v>
      </c>
      <c r="S59" s="1" t="s">
        <v>538</v>
      </c>
      <c r="T59" s="1" t="s">
        <v>539</v>
      </c>
      <c r="V59" s="4">
        <v>7225937.0</v>
      </c>
      <c r="W59" s="4"/>
      <c r="X59" s="4">
        <v>1.0</v>
      </c>
      <c r="Y59" s="1">
        <v>0.0</v>
      </c>
      <c r="Z59" s="1">
        <v>0.0</v>
      </c>
      <c r="AA59" s="1">
        <v>0.0</v>
      </c>
      <c r="AB59" s="1">
        <v>0.0</v>
      </c>
      <c r="AC59" s="1">
        <v>0.0</v>
      </c>
      <c r="AD59" s="1">
        <v>0.0</v>
      </c>
      <c r="AE59" s="1">
        <v>0.0</v>
      </c>
      <c r="AF59" s="1">
        <v>0.0</v>
      </c>
      <c r="AG59" s="1">
        <v>0.0</v>
      </c>
      <c r="AH59" s="1">
        <v>0.0</v>
      </c>
      <c r="AI59" s="1">
        <v>0.0</v>
      </c>
      <c r="AJ59" s="1">
        <v>0.0</v>
      </c>
      <c r="AK59" s="1">
        <v>0.0</v>
      </c>
      <c r="AL59" s="1">
        <v>0.0</v>
      </c>
      <c r="AM59" s="4">
        <v>0.0</v>
      </c>
      <c r="AN59" s="1">
        <v>0.0</v>
      </c>
      <c r="AO59" s="4">
        <v>0.0</v>
      </c>
      <c r="AP59" s="1">
        <f t="shared" si="1"/>
        <v>0</v>
      </c>
      <c r="AQ59" s="1" t="s">
        <v>541</v>
      </c>
      <c r="AR59" s="1" t="s">
        <v>568</v>
      </c>
      <c r="AT59" s="1" t="s">
        <v>646</v>
      </c>
      <c r="AU59" s="2">
        <v>45993.0</v>
      </c>
      <c r="AV59" s="2">
        <v>46023.9805555556</v>
      </c>
      <c r="AW59" s="1">
        <v>15.0</v>
      </c>
      <c r="AX59" s="1">
        <v>1404293.04</v>
      </c>
      <c r="AY59" s="1">
        <v>1030.0</v>
      </c>
      <c r="AZ59" s="1">
        <v>3.0</v>
      </c>
      <c r="BA59" s="1">
        <v>0.0</v>
      </c>
      <c r="BB59" s="1">
        <v>0.0</v>
      </c>
      <c r="BC59" s="2">
        <v>45993.0</v>
      </c>
      <c r="BD59" s="1">
        <v>48.0</v>
      </c>
      <c r="BE59" s="1" t="s">
        <v>550</v>
      </c>
      <c r="BF59" s="1">
        <v>2025.0</v>
      </c>
      <c r="BG59" s="1" t="s">
        <v>546</v>
      </c>
      <c r="BH59" s="7" t="str">
        <f>VLOOKUP(B59,CookieClicks!D:O,12,FALSE)</f>
        <v>https://www.method.me/</v>
      </c>
      <c r="BI59" s="8" t="str">
        <f>IFERROR(__xludf.DUMMYFUNCTION("VLOOKUP(REGEXREPLACE(BH59,""[?].*"",""""),ContentBuckets!A:C,2,FALSE)"),"Homepage")</f>
        <v>Homepage</v>
      </c>
      <c r="BJ59" s="8" t="str">
        <f>IFERROR(__xludf.DUMMYFUNCTION("VLOOKUP(REGEXREPLACE(BH59,""[?].*"",""""),ContentBuckets!A:C,3,FALSE)"),"Other page")</f>
        <v>Other page</v>
      </c>
    </row>
    <row r="60" ht="14.25" customHeight="1">
      <c r="A60" s="1">
        <v>153183.0</v>
      </c>
      <c r="B60" s="1" t="s">
        <v>647</v>
      </c>
      <c r="C60" s="2">
        <v>45993.8791666667</v>
      </c>
      <c r="D60" s="2"/>
      <c r="E60" s="2"/>
      <c r="F60" s="1" t="b">
        <v>1</v>
      </c>
      <c r="G60" s="4" t="b">
        <v>0</v>
      </c>
      <c r="H60" s="1" t="b">
        <v>0</v>
      </c>
      <c r="I60" s="1" t="b">
        <v>0</v>
      </c>
      <c r="J60" s="1" t="s">
        <v>534</v>
      </c>
      <c r="K60" s="1" t="s">
        <v>535</v>
      </c>
      <c r="L60" s="1" t="s">
        <v>536</v>
      </c>
      <c r="M60" s="1" t="s">
        <v>537</v>
      </c>
      <c r="N60" s="1">
        <v>0.0</v>
      </c>
      <c r="O60" s="1">
        <v>44.25</v>
      </c>
      <c r="P60" s="1">
        <v>0.0</v>
      </c>
      <c r="Q60" s="1">
        <v>0.0</v>
      </c>
      <c r="R60" s="1">
        <v>0.0</v>
      </c>
      <c r="S60" s="1" t="s">
        <v>538</v>
      </c>
      <c r="T60" s="1" t="s">
        <v>539</v>
      </c>
      <c r="V60" s="4">
        <v>7228418.0</v>
      </c>
      <c r="W60" s="4" t="s">
        <v>540</v>
      </c>
      <c r="X60" s="4">
        <v>0.0</v>
      </c>
      <c r="Y60" s="1">
        <v>1.0</v>
      </c>
      <c r="Z60" s="1">
        <v>0.0</v>
      </c>
      <c r="AA60" s="1">
        <v>0.0</v>
      </c>
      <c r="AB60" s="1">
        <v>0.0</v>
      </c>
      <c r="AC60" s="1">
        <v>0.0</v>
      </c>
      <c r="AD60" s="1">
        <v>0.0</v>
      </c>
      <c r="AE60" s="1">
        <v>0.0</v>
      </c>
      <c r="AF60" s="1">
        <v>0.0</v>
      </c>
      <c r="AG60" s="1">
        <v>0.0</v>
      </c>
      <c r="AH60" s="1">
        <v>0.0</v>
      </c>
      <c r="AI60" s="1">
        <v>0.0</v>
      </c>
      <c r="AJ60" s="1">
        <v>0.0</v>
      </c>
      <c r="AK60" s="1">
        <v>0.0</v>
      </c>
      <c r="AL60" s="1">
        <v>0.0</v>
      </c>
      <c r="AM60" s="4">
        <v>0.0</v>
      </c>
      <c r="AN60" s="1">
        <v>0.0</v>
      </c>
      <c r="AO60" s="4">
        <v>0.0</v>
      </c>
      <c r="AP60" s="1">
        <f t="shared" si="1"/>
        <v>0</v>
      </c>
      <c r="AU60" s="2"/>
      <c r="AV60" s="2">
        <v>46024.0027777778</v>
      </c>
      <c r="AW60" s="1">
        <v>0.0</v>
      </c>
      <c r="AX60" s="1">
        <v>0.0</v>
      </c>
      <c r="AY60" s="1">
        <v>0.0</v>
      </c>
      <c r="AZ60" s="1">
        <v>1.0</v>
      </c>
      <c r="BA60" s="1">
        <v>0.0</v>
      </c>
      <c r="BB60" s="1">
        <v>0.0</v>
      </c>
      <c r="BC60" s="2">
        <v>45993.0</v>
      </c>
      <c r="BD60" s="1">
        <v>48.0</v>
      </c>
      <c r="BE60" s="1" t="s">
        <v>550</v>
      </c>
      <c r="BF60" s="1">
        <v>2025.0</v>
      </c>
      <c r="BG60" s="1" t="s">
        <v>624</v>
      </c>
      <c r="BH60" s="7" t="str">
        <f>VLOOKUP(B60,CookieClicks!D:O,12,FALSE)</f>
        <v>https://signin.method.me/</v>
      </c>
      <c r="BI60" s="8" t="str">
        <f>IFERROR(__xludf.DUMMYFUNCTION("VLOOKUP(REGEXREPLACE(BH60,""[?].*"",""""),ContentBuckets!A:C,2,FALSE)"),"#N/A")</f>
        <v>#N/A</v>
      </c>
      <c r="BJ60" s="8" t="str">
        <f>IFERROR(__xludf.DUMMYFUNCTION("VLOOKUP(REGEXREPLACE(BH60,""[?].*"",""""),ContentBuckets!A:C,3,FALSE)"),"#N/A")</f>
        <v>#N/A</v>
      </c>
    </row>
    <row r="61" ht="14.25" customHeight="1">
      <c r="A61" s="1">
        <v>153184.0</v>
      </c>
      <c r="B61" s="1" t="s">
        <v>648</v>
      </c>
      <c r="C61" s="2">
        <v>45993.9145833333</v>
      </c>
      <c r="D61" s="2">
        <v>46008.7520833333</v>
      </c>
      <c r="E61" s="2"/>
      <c r="F61" s="1" t="b">
        <v>0</v>
      </c>
      <c r="G61" s="4" t="b">
        <v>0</v>
      </c>
      <c r="H61" s="1" t="b">
        <v>0</v>
      </c>
      <c r="I61" s="1" t="b">
        <v>0</v>
      </c>
      <c r="J61" s="1" t="s">
        <v>534</v>
      </c>
      <c r="K61" s="1" t="s">
        <v>622</v>
      </c>
      <c r="L61" s="1" t="s">
        <v>623</v>
      </c>
      <c r="M61" s="1" t="s">
        <v>537</v>
      </c>
      <c r="N61" s="1">
        <v>0.0</v>
      </c>
      <c r="O61" s="1">
        <v>53.25</v>
      </c>
      <c r="P61" s="1">
        <v>0.0</v>
      </c>
      <c r="Q61" s="1">
        <v>0.0</v>
      </c>
      <c r="R61" s="1">
        <v>28.0</v>
      </c>
      <c r="S61" s="1" t="s">
        <v>538</v>
      </c>
      <c r="T61" s="1" t="s">
        <v>539</v>
      </c>
      <c r="V61" s="4">
        <v>7214453.0</v>
      </c>
      <c r="W61" s="4" t="s">
        <v>540</v>
      </c>
      <c r="X61" s="4">
        <v>0.0</v>
      </c>
      <c r="Y61" s="1">
        <v>1.0</v>
      </c>
      <c r="Z61" s="1">
        <v>0.0</v>
      </c>
      <c r="AA61" s="1">
        <v>0.0</v>
      </c>
      <c r="AB61" s="1">
        <v>0.0</v>
      </c>
      <c r="AC61" s="1">
        <v>0.0</v>
      </c>
      <c r="AD61" s="1">
        <v>0.0</v>
      </c>
      <c r="AE61" s="1">
        <v>0.0</v>
      </c>
      <c r="AF61" s="1">
        <v>0.0</v>
      </c>
      <c r="AG61" s="1">
        <v>0.0</v>
      </c>
      <c r="AH61" s="1">
        <v>0.0</v>
      </c>
      <c r="AI61" s="1">
        <v>0.0</v>
      </c>
      <c r="AJ61" s="1">
        <v>0.0</v>
      </c>
      <c r="AK61" s="1">
        <v>0.0</v>
      </c>
      <c r="AL61" s="1">
        <v>0.0</v>
      </c>
      <c r="AM61" s="4">
        <v>0.0</v>
      </c>
      <c r="AN61" s="1">
        <v>0.0</v>
      </c>
      <c r="AO61" s="4">
        <v>0.0</v>
      </c>
      <c r="AP61" s="1">
        <f t="shared" si="1"/>
        <v>0</v>
      </c>
      <c r="AR61" s="1" t="s">
        <v>564</v>
      </c>
      <c r="AU61" s="2"/>
      <c r="AV61" s="2">
        <v>46007.9958333333</v>
      </c>
      <c r="AW61" s="1">
        <v>0.0</v>
      </c>
      <c r="AX61" s="1">
        <v>0.0</v>
      </c>
      <c r="AY61" s="1">
        <v>0.0</v>
      </c>
      <c r="AZ61" s="1">
        <v>1.0</v>
      </c>
      <c r="BA61" s="1">
        <v>0.0</v>
      </c>
      <c r="BB61" s="1">
        <v>0.0</v>
      </c>
      <c r="BC61" s="2">
        <v>45993.0</v>
      </c>
      <c r="BD61" s="1">
        <v>48.0</v>
      </c>
      <c r="BE61" s="1" t="s">
        <v>550</v>
      </c>
      <c r="BF61" s="1">
        <v>2025.0</v>
      </c>
      <c r="BG61" s="1" t="s">
        <v>649</v>
      </c>
      <c r="BH61" s="7" t="str">
        <f>VLOOKUP(B61,CookieClicks!D:O,12,FALSE)</f>
        <v>https://www.method.me/</v>
      </c>
      <c r="BI61" s="8" t="str">
        <f>IFERROR(__xludf.DUMMYFUNCTION("VLOOKUP(REGEXREPLACE(BH61,""[?].*"",""""),ContentBuckets!A:C,2,FALSE)"),"Homepage")</f>
        <v>Homepage</v>
      </c>
      <c r="BJ61" s="8" t="str">
        <f>IFERROR(__xludf.DUMMYFUNCTION("VLOOKUP(REGEXREPLACE(BH61,""[?].*"",""""),ContentBuckets!A:C,3,FALSE)"),"Other page")</f>
        <v>Other page</v>
      </c>
    </row>
    <row r="62" ht="14.25" customHeight="1">
      <c r="A62" s="1">
        <v>153185.0</v>
      </c>
      <c r="B62" s="1" t="s">
        <v>650</v>
      </c>
      <c r="C62" s="2">
        <v>45993.9444444444</v>
      </c>
      <c r="D62" s="2">
        <v>46000.5006944444</v>
      </c>
      <c r="E62" s="2"/>
      <c r="F62" s="1" t="b">
        <v>0</v>
      </c>
      <c r="G62" s="4" t="b">
        <v>0</v>
      </c>
      <c r="H62" s="1" t="b">
        <v>0</v>
      </c>
      <c r="I62" s="1" t="b">
        <v>0</v>
      </c>
      <c r="J62" s="1" t="s">
        <v>534</v>
      </c>
      <c r="K62" s="1" t="s">
        <v>535</v>
      </c>
      <c r="L62" s="1" t="s">
        <v>536</v>
      </c>
      <c r="M62" s="1" t="s">
        <v>537</v>
      </c>
      <c r="N62" s="1">
        <v>0.0</v>
      </c>
      <c r="O62" s="1">
        <v>44.25</v>
      </c>
      <c r="P62" s="1">
        <v>0.0</v>
      </c>
      <c r="Q62" s="1">
        <v>0.0</v>
      </c>
      <c r="R62" s="1">
        <v>28.0</v>
      </c>
      <c r="S62" s="1" t="s">
        <v>538</v>
      </c>
      <c r="T62" s="1" t="s">
        <v>539</v>
      </c>
      <c r="V62" s="4">
        <v>7228602.0</v>
      </c>
      <c r="W62" s="4" t="s">
        <v>540</v>
      </c>
      <c r="X62" s="4">
        <v>0.0</v>
      </c>
      <c r="Y62" s="1">
        <v>1.0</v>
      </c>
      <c r="Z62" s="1">
        <v>0.0</v>
      </c>
      <c r="AA62" s="1">
        <v>0.0</v>
      </c>
      <c r="AB62" s="1">
        <v>0.0</v>
      </c>
      <c r="AC62" s="1">
        <v>0.0</v>
      </c>
      <c r="AD62" s="1">
        <v>0.0</v>
      </c>
      <c r="AE62" s="1">
        <v>0.0</v>
      </c>
      <c r="AF62" s="1">
        <v>0.0</v>
      </c>
      <c r="AG62" s="1">
        <v>0.0</v>
      </c>
      <c r="AH62" s="1">
        <v>0.0</v>
      </c>
      <c r="AI62" s="1">
        <v>0.0</v>
      </c>
      <c r="AJ62" s="1">
        <v>0.0</v>
      </c>
      <c r="AK62" s="1">
        <v>0.0</v>
      </c>
      <c r="AL62" s="1">
        <v>0.0</v>
      </c>
      <c r="AM62" s="4">
        <v>0.0</v>
      </c>
      <c r="AN62" s="1">
        <v>0.0</v>
      </c>
      <c r="AO62" s="4">
        <v>0.0</v>
      </c>
      <c r="AP62" s="1">
        <f t="shared" si="1"/>
        <v>0</v>
      </c>
      <c r="AQ62" s="1" t="s">
        <v>557</v>
      </c>
      <c r="AR62" s="1" t="s">
        <v>560</v>
      </c>
      <c r="AT62" s="1" t="s">
        <v>651</v>
      </c>
      <c r="AU62" s="2">
        <v>45993.0</v>
      </c>
      <c r="AV62" s="2">
        <v>46000.0465277778</v>
      </c>
      <c r="AW62" s="1">
        <v>0.0</v>
      </c>
      <c r="AX62" s="1">
        <v>307515.12</v>
      </c>
      <c r="AY62" s="1">
        <v>1308.0</v>
      </c>
      <c r="AZ62" s="1">
        <v>1.0</v>
      </c>
      <c r="BA62" s="1">
        <v>0.0</v>
      </c>
      <c r="BB62" s="1">
        <v>0.0</v>
      </c>
      <c r="BC62" s="2">
        <v>45993.0</v>
      </c>
      <c r="BD62" s="1">
        <v>48.0</v>
      </c>
      <c r="BE62" s="1" t="s">
        <v>550</v>
      </c>
      <c r="BF62" s="1">
        <v>2025.0</v>
      </c>
      <c r="BG62" s="1" t="s">
        <v>558</v>
      </c>
      <c r="BH62" s="7" t="str">
        <f>VLOOKUP(B62,CookieClicks!D:O,12,FALSE)</f>
        <v>https://www.method.me/</v>
      </c>
      <c r="BI62" s="8" t="str">
        <f>IFERROR(__xludf.DUMMYFUNCTION("VLOOKUP(REGEXREPLACE(BH62,""[?].*"",""""),ContentBuckets!A:C,2,FALSE)"),"Homepage")</f>
        <v>Homepage</v>
      </c>
      <c r="BJ62" s="8" t="str">
        <f>IFERROR(__xludf.DUMMYFUNCTION("VLOOKUP(REGEXREPLACE(BH62,""[?].*"",""""),ContentBuckets!A:C,3,FALSE)"),"Other page")</f>
        <v>Other page</v>
      </c>
    </row>
    <row r="63" ht="14.25" customHeight="1">
      <c r="A63" s="1">
        <v>153186.0</v>
      </c>
      <c r="B63" s="1" t="s">
        <v>652</v>
      </c>
      <c r="C63" s="2">
        <v>45994.0194444444</v>
      </c>
      <c r="D63" s="2">
        <v>46023.4819444444</v>
      </c>
      <c r="E63" s="2"/>
      <c r="F63" s="1" t="b">
        <v>0</v>
      </c>
      <c r="G63" s="4" t="b">
        <v>0</v>
      </c>
      <c r="H63" s="1" t="b">
        <v>0</v>
      </c>
      <c r="I63" s="1" t="b">
        <v>0</v>
      </c>
      <c r="J63" s="1" t="s">
        <v>534</v>
      </c>
      <c r="K63" s="1" t="s">
        <v>535</v>
      </c>
      <c r="L63" s="1" t="s">
        <v>536</v>
      </c>
      <c r="M63" s="1" t="s">
        <v>537</v>
      </c>
      <c r="N63" s="1">
        <v>0.0</v>
      </c>
      <c r="O63" s="1">
        <v>186.75</v>
      </c>
      <c r="P63" s="1">
        <v>0.0</v>
      </c>
      <c r="Q63" s="1">
        <v>0.0</v>
      </c>
      <c r="R63" s="1">
        <v>0.0</v>
      </c>
      <c r="S63" s="1" t="s">
        <v>538</v>
      </c>
      <c r="T63" s="1" t="s">
        <v>539</v>
      </c>
      <c r="V63" s="4">
        <v>7228836.0</v>
      </c>
      <c r="W63" s="4" t="s">
        <v>653</v>
      </c>
      <c r="X63" s="4">
        <v>0.0</v>
      </c>
      <c r="Y63" s="1">
        <v>1.0</v>
      </c>
      <c r="Z63" s="1">
        <v>0.0</v>
      </c>
      <c r="AA63" s="1">
        <v>0.0</v>
      </c>
      <c r="AB63" s="1">
        <v>0.0</v>
      </c>
      <c r="AC63" s="1">
        <v>0.0</v>
      </c>
      <c r="AD63" s="1">
        <v>0.0</v>
      </c>
      <c r="AE63" s="1">
        <v>0.0</v>
      </c>
      <c r="AF63" s="1">
        <v>0.0</v>
      </c>
      <c r="AG63" s="1">
        <v>0.0</v>
      </c>
      <c r="AH63" s="1">
        <v>0.0</v>
      </c>
      <c r="AI63" s="1">
        <v>0.0</v>
      </c>
      <c r="AJ63" s="1">
        <v>0.0</v>
      </c>
      <c r="AK63" s="1">
        <v>0.0</v>
      </c>
      <c r="AL63" s="1">
        <v>0.0</v>
      </c>
      <c r="AM63" s="4">
        <v>0.0</v>
      </c>
      <c r="AN63" s="1">
        <v>0.0</v>
      </c>
      <c r="AO63" s="4">
        <v>0.0</v>
      </c>
      <c r="AP63" s="1">
        <f t="shared" si="1"/>
        <v>0</v>
      </c>
      <c r="AQ63" s="1" t="s">
        <v>557</v>
      </c>
      <c r="AU63" s="2">
        <v>45994.0</v>
      </c>
      <c r="AV63" s="2">
        <v>46022.9923611111</v>
      </c>
      <c r="AW63" s="1">
        <v>1.0</v>
      </c>
      <c r="AX63" s="1">
        <v>76824.0</v>
      </c>
      <c r="AY63" s="1">
        <v>16.0</v>
      </c>
      <c r="AZ63" s="1">
        <v>3.0</v>
      </c>
      <c r="BA63" s="1">
        <v>0.0</v>
      </c>
      <c r="BB63" s="1">
        <v>0.0</v>
      </c>
      <c r="BC63" s="2">
        <v>45994.0</v>
      </c>
      <c r="BD63" s="1">
        <v>48.0</v>
      </c>
      <c r="BE63" s="1" t="s">
        <v>550</v>
      </c>
      <c r="BF63" s="1">
        <v>2025.0</v>
      </c>
      <c r="BG63" s="1" t="s">
        <v>558</v>
      </c>
      <c r="BH63" s="7" t="str">
        <f>VLOOKUP(B63,CookieClicks!D:O,12,FALSE)</f>
        <v>https://www.method.me/</v>
      </c>
      <c r="BI63" s="8" t="str">
        <f>IFERROR(__xludf.DUMMYFUNCTION("VLOOKUP(REGEXREPLACE(BH63,""[?].*"",""""),ContentBuckets!A:C,2,FALSE)"),"Homepage")</f>
        <v>Homepage</v>
      </c>
      <c r="BJ63" s="8" t="str">
        <f>IFERROR(__xludf.DUMMYFUNCTION("VLOOKUP(REGEXREPLACE(BH63,""[?].*"",""""),ContentBuckets!A:C,3,FALSE)"),"Other page")</f>
        <v>Other page</v>
      </c>
    </row>
    <row r="64" ht="14.25" customHeight="1">
      <c r="A64" s="1">
        <v>153187.0</v>
      </c>
      <c r="B64" s="1" t="s">
        <v>654</v>
      </c>
      <c r="C64" s="2">
        <v>45994.0465277778</v>
      </c>
      <c r="D64" s="2">
        <v>46020.4305555556</v>
      </c>
      <c r="E64" s="2"/>
      <c r="F64" s="1" t="b">
        <v>0</v>
      </c>
      <c r="G64" s="4" t="b">
        <v>0</v>
      </c>
      <c r="H64" s="1" t="b">
        <v>0</v>
      </c>
      <c r="I64" s="1" t="b">
        <v>0</v>
      </c>
      <c r="J64" s="1" t="s">
        <v>534</v>
      </c>
      <c r="K64" s="1" t="s">
        <v>566</v>
      </c>
      <c r="L64" s="1" t="s">
        <v>567</v>
      </c>
      <c r="M64" s="1" t="s">
        <v>537</v>
      </c>
      <c r="N64" s="1">
        <v>0.0</v>
      </c>
      <c r="O64" s="1">
        <v>53.25</v>
      </c>
      <c r="P64" s="1">
        <v>0.0</v>
      </c>
      <c r="Q64" s="1">
        <v>0.0</v>
      </c>
      <c r="R64" s="1">
        <v>28.0</v>
      </c>
      <c r="S64" s="1" t="s">
        <v>538</v>
      </c>
      <c r="T64" s="1" t="s">
        <v>539</v>
      </c>
      <c r="V64" s="4">
        <v>7228931.0</v>
      </c>
      <c r="W64" s="4" t="s">
        <v>653</v>
      </c>
      <c r="X64" s="4">
        <v>0.0</v>
      </c>
      <c r="Y64" s="1">
        <v>1.0</v>
      </c>
      <c r="Z64" s="1">
        <v>0.0</v>
      </c>
      <c r="AA64" s="1">
        <v>0.0</v>
      </c>
      <c r="AB64" s="1">
        <v>0.0</v>
      </c>
      <c r="AC64" s="1">
        <v>0.0</v>
      </c>
      <c r="AD64" s="1">
        <v>0.0</v>
      </c>
      <c r="AE64" s="1">
        <v>0.0</v>
      </c>
      <c r="AF64" s="1">
        <v>0.0</v>
      </c>
      <c r="AG64" s="1">
        <v>0.0</v>
      </c>
      <c r="AH64" s="1">
        <v>0.0</v>
      </c>
      <c r="AI64" s="1">
        <v>0.0</v>
      </c>
      <c r="AJ64" s="1">
        <v>0.0</v>
      </c>
      <c r="AK64" s="1">
        <v>0.0</v>
      </c>
      <c r="AL64" s="1">
        <v>0.0</v>
      </c>
      <c r="AM64" s="4">
        <v>0.0</v>
      </c>
      <c r="AN64" s="1">
        <v>0.0</v>
      </c>
      <c r="AO64" s="4">
        <v>0.0</v>
      </c>
      <c r="AP64" s="1">
        <f t="shared" si="1"/>
        <v>0</v>
      </c>
      <c r="AR64" s="1" t="s">
        <v>578</v>
      </c>
      <c r="AU64" s="2"/>
      <c r="AV64" s="2">
        <v>46020.0340277778</v>
      </c>
      <c r="AW64" s="1">
        <v>0.0</v>
      </c>
      <c r="AX64" s="1">
        <v>0.0</v>
      </c>
      <c r="AY64" s="1">
        <v>0.0</v>
      </c>
      <c r="AZ64" s="1">
        <v>1.0</v>
      </c>
      <c r="BA64" s="1">
        <v>0.0</v>
      </c>
      <c r="BB64" s="1">
        <v>0.0</v>
      </c>
      <c r="BC64" s="2">
        <v>45994.0</v>
      </c>
      <c r="BD64" s="1">
        <v>48.0</v>
      </c>
      <c r="BE64" s="1" t="s">
        <v>550</v>
      </c>
      <c r="BF64" s="1">
        <v>2025.0</v>
      </c>
      <c r="BG64" s="1" t="s">
        <v>655</v>
      </c>
      <c r="BH64" s="7" t="str">
        <f>VLOOKUP(B64,CookieClicks!D:O,12,FALSE)</f>
        <v>https://www.method.me/</v>
      </c>
      <c r="BI64" s="8" t="str">
        <f>IFERROR(__xludf.DUMMYFUNCTION("VLOOKUP(REGEXREPLACE(BH64,""[?].*"",""""),ContentBuckets!A:C,2,FALSE)"),"Homepage")</f>
        <v>Homepage</v>
      </c>
      <c r="BJ64" s="8" t="str">
        <f>IFERROR(__xludf.DUMMYFUNCTION("VLOOKUP(REGEXREPLACE(BH64,""[?].*"",""""),ContentBuckets!A:C,3,FALSE)"),"Other page")</f>
        <v>Other page</v>
      </c>
    </row>
    <row r="65" ht="14.25" customHeight="1">
      <c r="A65" s="1">
        <v>153188.0</v>
      </c>
      <c r="B65" s="1" t="s">
        <v>656</v>
      </c>
      <c r="C65" s="2">
        <v>45994.0541666667</v>
      </c>
      <c r="D65" s="2"/>
      <c r="E65" s="2"/>
      <c r="F65" s="1" t="b">
        <v>1</v>
      </c>
      <c r="G65" s="4" t="b">
        <v>0</v>
      </c>
      <c r="H65" s="1" t="b">
        <v>0</v>
      </c>
      <c r="I65" s="1" t="b">
        <v>0</v>
      </c>
      <c r="J65" s="1" t="s">
        <v>534</v>
      </c>
      <c r="K65" s="1" t="s">
        <v>566</v>
      </c>
      <c r="L65" s="1" t="s">
        <v>567</v>
      </c>
      <c r="M65" s="1" t="s">
        <v>537</v>
      </c>
      <c r="N65" s="1">
        <v>0.0</v>
      </c>
      <c r="O65" s="1">
        <v>44.25</v>
      </c>
      <c r="P65" s="1">
        <v>0.0</v>
      </c>
      <c r="Q65" s="1">
        <v>0.0</v>
      </c>
      <c r="R65" s="1">
        <v>0.0</v>
      </c>
      <c r="S65" s="1" t="s">
        <v>538</v>
      </c>
      <c r="T65" s="1" t="s">
        <v>539</v>
      </c>
      <c r="V65" s="4">
        <v>7228947.0</v>
      </c>
      <c r="W65" s="4" t="s">
        <v>540</v>
      </c>
      <c r="X65" s="4">
        <v>0.0</v>
      </c>
      <c r="Y65" s="1">
        <v>1.0</v>
      </c>
      <c r="Z65" s="1">
        <v>0.0</v>
      </c>
      <c r="AA65" s="1">
        <v>0.0</v>
      </c>
      <c r="AB65" s="1">
        <v>0.0</v>
      </c>
      <c r="AC65" s="1">
        <v>0.0</v>
      </c>
      <c r="AD65" s="1">
        <v>0.0</v>
      </c>
      <c r="AE65" s="1">
        <v>0.0</v>
      </c>
      <c r="AF65" s="1">
        <v>0.0</v>
      </c>
      <c r="AG65" s="1">
        <v>0.0</v>
      </c>
      <c r="AH65" s="1">
        <v>0.0</v>
      </c>
      <c r="AI65" s="1">
        <v>0.0</v>
      </c>
      <c r="AJ65" s="1">
        <v>0.0</v>
      </c>
      <c r="AK65" s="1">
        <v>0.0</v>
      </c>
      <c r="AL65" s="1">
        <v>0.0</v>
      </c>
      <c r="AM65" s="4">
        <v>0.0</v>
      </c>
      <c r="AN65" s="1">
        <v>0.0</v>
      </c>
      <c r="AO65" s="4">
        <v>0.0</v>
      </c>
      <c r="AP65" s="1">
        <f t="shared" si="1"/>
        <v>0</v>
      </c>
      <c r="AU65" s="2"/>
      <c r="AV65" s="2">
        <v>46024.0201388889</v>
      </c>
      <c r="AW65" s="1">
        <v>0.0</v>
      </c>
      <c r="AX65" s="1">
        <v>0.0</v>
      </c>
      <c r="AY65" s="1">
        <v>0.0</v>
      </c>
      <c r="AZ65" s="1">
        <v>1.0</v>
      </c>
      <c r="BA65" s="1">
        <v>0.0</v>
      </c>
      <c r="BB65" s="1">
        <v>0.0</v>
      </c>
      <c r="BC65" s="2">
        <v>45994.0</v>
      </c>
      <c r="BD65" s="1">
        <v>48.0</v>
      </c>
      <c r="BE65" s="1" t="s">
        <v>550</v>
      </c>
      <c r="BF65" s="1">
        <v>2025.0</v>
      </c>
      <c r="BG65" s="1" t="s">
        <v>657</v>
      </c>
      <c r="BH65" s="7" t="str">
        <f>VLOOKUP(B65,CookieClicks!D:O,12,FALSE)</f>
        <v>https://signin.method.me/</v>
      </c>
      <c r="BI65" s="8" t="str">
        <f>IFERROR(__xludf.DUMMYFUNCTION("VLOOKUP(REGEXREPLACE(BH65,""[?].*"",""""),ContentBuckets!A:C,2,FALSE)"),"#N/A")</f>
        <v>#N/A</v>
      </c>
      <c r="BJ65" s="8" t="str">
        <f>IFERROR(__xludf.DUMMYFUNCTION("VLOOKUP(REGEXREPLACE(BH65,""[?].*"",""""),ContentBuckets!A:C,3,FALSE)"),"#N/A")</f>
        <v>#N/A</v>
      </c>
    </row>
    <row r="66" ht="14.25" customHeight="1">
      <c r="A66" s="1">
        <v>153189.0</v>
      </c>
      <c r="B66" s="1" t="s">
        <v>658</v>
      </c>
      <c r="C66" s="2">
        <v>45994.1611111111</v>
      </c>
      <c r="D66" s="2">
        <v>46008.8291666667</v>
      </c>
      <c r="E66" s="2"/>
      <c r="F66" s="1" t="b">
        <v>0</v>
      </c>
      <c r="G66" s="4" t="b">
        <v>0</v>
      </c>
      <c r="H66" s="1" t="b">
        <v>0</v>
      </c>
      <c r="I66" s="1" t="b">
        <v>0</v>
      </c>
      <c r="J66" s="1" t="s">
        <v>534</v>
      </c>
      <c r="K66" s="1" t="s">
        <v>535</v>
      </c>
      <c r="L66" s="1" t="s">
        <v>536</v>
      </c>
      <c r="M66" s="1" t="s">
        <v>537</v>
      </c>
      <c r="N66" s="1">
        <v>0.0</v>
      </c>
      <c r="O66" s="1">
        <v>54.75</v>
      </c>
      <c r="P66" s="1">
        <v>0.0</v>
      </c>
      <c r="Q66" s="1">
        <v>0.0</v>
      </c>
      <c r="R66" s="1">
        <v>0.0</v>
      </c>
      <c r="S66" s="1" t="s">
        <v>538</v>
      </c>
      <c r="T66" s="1" t="s">
        <v>539</v>
      </c>
      <c r="V66" s="4">
        <v>7229263.0</v>
      </c>
      <c r="W66" s="4"/>
      <c r="X66" s="4">
        <v>1.0</v>
      </c>
      <c r="Y66" s="1">
        <v>0.0</v>
      </c>
      <c r="Z66" s="1">
        <v>0.0</v>
      </c>
      <c r="AA66" s="1">
        <v>0.0</v>
      </c>
      <c r="AB66" s="1">
        <v>0.0</v>
      </c>
      <c r="AC66" s="1">
        <v>0.0</v>
      </c>
      <c r="AD66" s="1">
        <v>0.0</v>
      </c>
      <c r="AE66" s="1">
        <v>0.0</v>
      </c>
      <c r="AF66" s="1">
        <v>0.0</v>
      </c>
      <c r="AG66" s="1">
        <v>0.0</v>
      </c>
      <c r="AH66" s="1">
        <v>0.0</v>
      </c>
      <c r="AI66" s="1">
        <v>0.0</v>
      </c>
      <c r="AJ66" s="1">
        <v>0.0</v>
      </c>
      <c r="AK66" s="1">
        <v>0.0</v>
      </c>
      <c r="AL66" s="1">
        <v>0.0</v>
      </c>
      <c r="AM66" s="4">
        <v>0.0</v>
      </c>
      <c r="AN66" s="1">
        <v>0.0</v>
      </c>
      <c r="AO66" s="4">
        <v>0.0</v>
      </c>
      <c r="AP66" s="1">
        <f t="shared" si="1"/>
        <v>0</v>
      </c>
      <c r="AQ66" s="1" t="s">
        <v>659</v>
      </c>
      <c r="AU66" s="2">
        <v>45994.0</v>
      </c>
      <c r="AV66" s="2">
        <v>46008.0506944444</v>
      </c>
      <c r="AW66" s="1">
        <v>0.0</v>
      </c>
      <c r="AX66" s="1">
        <v>3298800.0</v>
      </c>
      <c r="AY66" s="1">
        <v>448.0</v>
      </c>
      <c r="AZ66" s="1">
        <v>1.0</v>
      </c>
      <c r="BA66" s="1">
        <v>0.0</v>
      </c>
      <c r="BB66" s="1">
        <v>0.0</v>
      </c>
      <c r="BC66" s="2">
        <v>45994.0</v>
      </c>
      <c r="BD66" s="1">
        <v>48.0</v>
      </c>
      <c r="BE66" s="1" t="s">
        <v>550</v>
      </c>
      <c r="BF66" s="1">
        <v>2025.0</v>
      </c>
      <c r="BG66" s="1" t="s">
        <v>660</v>
      </c>
      <c r="BH66" s="7" t="str">
        <f>VLOOKUP(B66,CookieClicks!D:O,12,FALSE)</f>
        <v>http://signup.method.me/methodcrm/</v>
      </c>
      <c r="BI66" s="8" t="str">
        <f>IFERROR(__xludf.DUMMYFUNCTION("VLOOKUP(REGEXREPLACE(BH66,""[?].*"",""""),ContentBuckets!A:C,2,FALSE)"),"#N/A")</f>
        <v>#N/A</v>
      </c>
      <c r="BJ66" s="8" t="str">
        <f>IFERROR(__xludf.DUMMYFUNCTION("VLOOKUP(REGEXREPLACE(BH66,""[?].*"",""""),ContentBuckets!A:C,3,FALSE)"),"#N/A")</f>
        <v>#N/A</v>
      </c>
    </row>
    <row r="67" ht="14.25" customHeight="1">
      <c r="A67" s="1">
        <v>153190.0</v>
      </c>
      <c r="B67" s="1" t="s">
        <v>661</v>
      </c>
      <c r="C67" s="2">
        <v>45994.2395833333</v>
      </c>
      <c r="D67" s="2"/>
      <c r="E67" s="2"/>
      <c r="F67" s="1" t="b">
        <v>1</v>
      </c>
      <c r="G67" s="4" t="b">
        <v>0</v>
      </c>
      <c r="H67" s="1" t="b">
        <v>0</v>
      </c>
      <c r="I67" s="1" t="b">
        <v>0</v>
      </c>
      <c r="J67" s="1" t="s">
        <v>534</v>
      </c>
      <c r="K67" s="1" t="s">
        <v>566</v>
      </c>
      <c r="L67" s="1" t="s">
        <v>567</v>
      </c>
      <c r="M67" s="1" t="s">
        <v>537</v>
      </c>
      <c r="N67" s="1">
        <v>0.0</v>
      </c>
      <c r="O67" s="1">
        <v>44.25</v>
      </c>
      <c r="P67" s="1">
        <v>0.0</v>
      </c>
      <c r="Q67" s="1">
        <v>0.0</v>
      </c>
      <c r="R67" s="1">
        <v>0.0</v>
      </c>
      <c r="S67" s="1" t="s">
        <v>538</v>
      </c>
      <c r="T67" s="1" t="s">
        <v>539</v>
      </c>
      <c r="V67" s="4">
        <v>7229509.0</v>
      </c>
      <c r="W67" s="4"/>
      <c r="X67" s="4">
        <v>1.0</v>
      </c>
      <c r="Y67" s="1">
        <v>0.0</v>
      </c>
      <c r="Z67" s="1">
        <v>0.0</v>
      </c>
      <c r="AA67" s="1">
        <v>0.0</v>
      </c>
      <c r="AB67" s="1">
        <v>0.0</v>
      </c>
      <c r="AC67" s="1">
        <v>0.0</v>
      </c>
      <c r="AD67" s="1">
        <v>0.0</v>
      </c>
      <c r="AE67" s="1">
        <v>0.0</v>
      </c>
      <c r="AF67" s="1">
        <v>0.0</v>
      </c>
      <c r="AG67" s="1">
        <v>0.0</v>
      </c>
      <c r="AH67" s="1">
        <v>0.0</v>
      </c>
      <c r="AI67" s="1">
        <v>0.0</v>
      </c>
      <c r="AJ67" s="1">
        <v>0.0</v>
      </c>
      <c r="AK67" s="1">
        <v>0.0</v>
      </c>
      <c r="AL67" s="1">
        <v>0.0</v>
      </c>
      <c r="AM67" s="4">
        <v>0.0</v>
      </c>
      <c r="AN67" s="1">
        <v>0.0</v>
      </c>
      <c r="AO67" s="4">
        <v>0.0</v>
      </c>
      <c r="AP67" s="1">
        <f t="shared" si="1"/>
        <v>0</v>
      </c>
      <c r="AU67" s="2"/>
      <c r="AV67" s="2">
        <v>46024.0409722222</v>
      </c>
      <c r="AW67" s="1">
        <v>0.0</v>
      </c>
      <c r="AX67" s="1">
        <v>0.0</v>
      </c>
      <c r="AY67" s="1">
        <v>0.0</v>
      </c>
      <c r="AZ67" s="1">
        <v>1.0</v>
      </c>
      <c r="BA67" s="1">
        <v>0.0</v>
      </c>
      <c r="BB67" s="1">
        <v>0.0</v>
      </c>
      <c r="BC67" s="2">
        <v>45994.0</v>
      </c>
      <c r="BD67" s="1">
        <v>48.0</v>
      </c>
      <c r="BE67" s="1" t="s">
        <v>550</v>
      </c>
      <c r="BF67" s="1">
        <v>2025.0</v>
      </c>
      <c r="BG67" s="1" t="s">
        <v>662</v>
      </c>
      <c r="BH67" s="7" t="str">
        <f>VLOOKUP(B67,CookieClicks!D:O,12,FALSE)</f>
        <v>https://www.method.me/</v>
      </c>
      <c r="BI67" s="8" t="str">
        <f>IFERROR(__xludf.DUMMYFUNCTION("VLOOKUP(REGEXREPLACE(BH67,""[?].*"",""""),ContentBuckets!A:C,2,FALSE)"),"Homepage")</f>
        <v>Homepage</v>
      </c>
      <c r="BJ67" s="8" t="str">
        <f>IFERROR(__xludf.DUMMYFUNCTION("VLOOKUP(REGEXREPLACE(BH67,""[?].*"",""""),ContentBuckets!A:C,3,FALSE)"),"Other page")</f>
        <v>Other page</v>
      </c>
    </row>
    <row r="68" ht="14.25" customHeight="1">
      <c r="A68" s="1">
        <v>153191.0</v>
      </c>
      <c r="B68" s="1" t="s">
        <v>663</v>
      </c>
      <c r="C68" s="2">
        <v>45994.2868055556</v>
      </c>
      <c r="D68" s="2"/>
      <c r="E68" s="2"/>
      <c r="F68" s="1" t="b">
        <v>1</v>
      </c>
      <c r="G68" s="4" t="b">
        <v>0</v>
      </c>
      <c r="H68" s="1" t="b">
        <v>0</v>
      </c>
      <c r="I68" s="1" t="b">
        <v>0</v>
      </c>
      <c r="J68" s="1" t="s">
        <v>534</v>
      </c>
      <c r="K68" s="1" t="s">
        <v>535</v>
      </c>
      <c r="L68" s="1" t="s">
        <v>536</v>
      </c>
      <c r="M68" s="1" t="s">
        <v>537</v>
      </c>
      <c r="N68" s="1">
        <v>0.0</v>
      </c>
      <c r="O68" s="1">
        <v>54.75</v>
      </c>
      <c r="P68" s="1">
        <v>0.0</v>
      </c>
      <c r="Q68" s="1">
        <v>0.0</v>
      </c>
      <c r="R68" s="1">
        <v>28.0</v>
      </c>
      <c r="S68" s="1" t="s">
        <v>538</v>
      </c>
      <c r="T68" s="1" t="s">
        <v>539</v>
      </c>
      <c r="V68" s="4">
        <v>7229653.0</v>
      </c>
      <c r="W68" s="4"/>
      <c r="X68" s="4">
        <v>0.0</v>
      </c>
      <c r="Y68" s="1">
        <v>0.0</v>
      </c>
      <c r="Z68" s="1">
        <v>0.0</v>
      </c>
      <c r="AA68" s="1">
        <v>1.0</v>
      </c>
      <c r="AB68" s="1">
        <v>0.0</v>
      </c>
      <c r="AC68" s="1">
        <v>0.0</v>
      </c>
      <c r="AD68" s="1">
        <v>0.0</v>
      </c>
      <c r="AE68" s="1">
        <v>0.0</v>
      </c>
      <c r="AF68" s="1">
        <v>0.0</v>
      </c>
      <c r="AG68" s="1">
        <v>0.0</v>
      </c>
      <c r="AH68" s="1">
        <v>0.0</v>
      </c>
      <c r="AI68" s="1">
        <v>0.0</v>
      </c>
      <c r="AJ68" s="1">
        <v>0.0</v>
      </c>
      <c r="AK68" s="1">
        <v>0.0</v>
      </c>
      <c r="AL68" s="1">
        <v>0.0</v>
      </c>
      <c r="AM68" s="4">
        <v>0.0</v>
      </c>
      <c r="AN68" s="1">
        <v>0.0</v>
      </c>
      <c r="AO68" s="4">
        <v>0.0</v>
      </c>
      <c r="AP68" s="1">
        <f t="shared" si="1"/>
        <v>0</v>
      </c>
      <c r="AR68" s="1" t="s">
        <v>608</v>
      </c>
      <c r="AU68" s="2"/>
      <c r="AV68" s="2">
        <v>46023.9944444444</v>
      </c>
      <c r="AW68" s="1">
        <v>0.0</v>
      </c>
      <c r="AX68" s="1">
        <v>0.0</v>
      </c>
      <c r="AY68" s="1">
        <v>0.0</v>
      </c>
      <c r="AZ68" s="1">
        <v>1.0</v>
      </c>
      <c r="BA68" s="1">
        <v>0.0</v>
      </c>
      <c r="BB68" s="1">
        <v>0.0</v>
      </c>
      <c r="BC68" s="2">
        <v>45994.0</v>
      </c>
      <c r="BD68" s="1">
        <v>48.0</v>
      </c>
      <c r="BE68" s="1" t="s">
        <v>550</v>
      </c>
      <c r="BF68" s="1">
        <v>2025.0</v>
      </c>
      <c r="BG68" s="1" t="s">
        <v>558</v>
      </c>
      <c r="BH68" s="7" t="str">
        <f>VLOOKUP(B68,CookieClicks!D:O,12,FALSE)</f>
        <v>https://grow.method.me/quickbooks-crm-fb/?trc=517&amp;trk=BOF&amp;trs=FB-Lookalike&amp;utm_source=Facebook&amp;utm_medium=PPC&amp;utm_campaign=Banner_trial&amp;utm_id=120213444289450307&amp;utm_content=120215433569050307&amp;utm_term=120215433408020307&amp;fbclid=IwY2xjawOdA8ZleHRuA2FlbQEwAGFkaWQBqykbuk3ag3NydGMGYXBwX2lkEDIyMjAzOTE3ODgyMDA4OTIAAR5hGI96W_1h-NzXKvyCvL68GkcHGJA2cqXPhAZWGhdtTeaKDSdhk36cRrgImg_aem_H2VsKu2fQVsISvAguSn5BA&amp;campaign_id=120213444289450307&amp;ad_id=120215433569050307</v>
      </c>
      <c r="BI68" s="8" t="str">
        <f>IFERROR(__xludf.DUMMYFUNCTION("VLOOKUP(REGEXREPLACE(BH68,""[?].*"",""""),ContentBuckets!A:C,2,FALSE)"),"#N/A")</f>
        <v>#N/A</v>
      </c>
      <c r="BJ68" s="8" t="str">
        <f>IFERROR(__xludf.DUMMYFUNCTION("VLOOKUP(REGEXREPLACE(BH68,""[?].*"",""""),ContentBuckets!A:C,3,FALSE)"),"#N/A")</f>
        <v>#N/A</v>
      </c>
    </row>
    <row r="69" ht="14.25" customHeight="1">
      <c r="A69" s="1">
        <v>153192.0</v>
      </c>
      <c r="B69" s="1" t="s">
        <v>664</v>
      </c>
      <c r="C69" s="2">
        <v>45994.3104166667</v>
      </c>
      <c r="D69" s="2"/>
      <c r="E69" s="2">
        <v>46001.6743055556</v>
      </c>
      <c r="F69" s="1" t="b">
        <v>1</v>
      </c>
      <c r="G69" s="4" t="b">
        <v>0</v>
      </c>
      <c r="H69" s="1" t="b">
        <v>0</v>
      </c>
      <c r="I69" s="1" t="b">
        <v>0</v>
      </c>
      <c r="J69" s="1" t="s">
        <v>534</v>
      </c>
      <c r="K69" s="1" t="s">
        <v>535</v>
      </c>
      <c r="L69" s="1" t="s">
        <v>536</v>
      </c>
      <c r="M69" s="1" t="s">
        <v>537</v>
      </c>
      <c r="N69" s="1">
        <v>132.75</v>
      </c>
      <c r="O69" s="1">
        <v>132.75</v>
      </c>
      <c r="P69" s="1">
        <v>0.0</v>
      </c>
      <c r="Q69" s="1">
        <v>0.0</v>
      </c>
      <c r="R69" s="1">
        <v>28.0</v>
      </c>
      <c r="S69" s="1" t="s">
        <v>538</v>
      </c>
      <c r="T69" s="1" t="s">
        <v>539</v>
      </c>
      <c r="V69" s="4">
        <v>7225658.0</v>
      </c>
      <c r="W69" s="4"/>
      <c r="X69" s="4">
        <v>0.0</v>
      </c>
      <c r="Y69" s="1">
        <v>0.0</v>
      </c>
      <c r="Z69" s="1">
        <v>0.0</v>
      </c>
      <c r="AA69" s="1">
        <v>1.0</v>
      </c>
      <c r="AB69" s="1">
        <v>0.0</v>
      </c>
      <c r="AC69" s="1">
        <v>0.0</v>
      </c>
      <c r="AD69" s="1">
        <v>0.0</v>
      </c>
      <c r="AE69" s="1">
        <v>0.0</v>
      </c>
      <c r="AF69" s="1">
        <v>0.0</v>
      </c>
      <c r="AG69" s="1">
        <v>0.0</v>
      </c>
      <c r="AH69" s="1">
        <v>0.0</v>
      </c>
      <c r="AI69" s="1">
        <v>0.0</v>
      </c>
      <c r="AJ69" s="1">
        <v>0.0</v>
      </c>
      <c r="AK69" s="1">
        <v>0.0</v>
      </c>
      <c r="AL69" s="1">
        <v>0.0</v>
      </c>
      <c r="AM69" s="4">
        <v>0.0</v>
      </c>
      <c r="AN69" s="1">
        <v>0.0</v>
      </c>
      <c r="AO69" s="4">
        <v>0.0</v>
      </c>
      <c r="AP69" s="1">
        <f t="shared" si="1"/>
        <v>0</v>
      </c>
      <c r="AQ69" s="1" t="s">
        <v>541</v>
      </c>
      <c r="AR69" s="1" t="s">
        <v>542</v>
      </c>
      <c r="AU69" s="2">
        <v>45994.0</v>
      </c>
      <c r="AV69" s="2">
        <v>46023.9847222222</v>
      </c>
      <c r="AW69" s="1">
        <v>1.0</v>
      </c>
      <c r="AX69" s="1">
        <v>1832474.16</v>
      </c>
      <c r="AY69" s="1">
        <v>177.0</v>
      </c>
      <c r="AZ69" s="1">
        <v>3.0</v>
      </c>
      <c r="BA69" s="1">
        <v>0.0</v>
      </c>
      <c r="BB69" s="1">
        <v>0.0</v>
      </c>
      <c r="BC69" s="2">
        <v>45994.0</v>
      </c>
      <c r="BD69" s="1">
        <v>48.0</v>
      </c>
      <c r="BE69" s="1" t="s">
        <v>550</v>
      </c>
      <c r="BF69" s="1">
        <v>2025.0</v>
      </c>
      <c r="BG69" s="1" t="s">
        <v>546</v>
      </c>
      <c r="BH69" s="1" t="str">
        <f>VLOOKUP(B69,CookieClicks!D:O,12,FALSE)</f>
        <v>https://grow.method.me/quickbooks-method-cad/?trc=81&amp;trk=crm with quickbooks&amp;trs=CAN-QB-G&amp;campaignid=1543604353&amp;adgroupid=61438895000&amp;adid=704657828091&amp;gad_source=1&amp;gad_campaignid=1543604353&amp;gbraid=0AAAAAD3ItnaMundn4Up-tYMPWfU3dxz9g&amp;gclid=Cj0KCQiAubrJBhCbARIsAHIdxD-glMYsYOyvG25S4CG0ZiIQTwVJ7RjEV29E7JMM3sIvI1E_Ch4_c9kaAswBEALw_wcB</v>
      </c>
      <c r="BI69" s="8" t="str">
        <f>IFERROR(__xludf.DUMMYFUNCTION("VLOOKUP(REGEXREPLACE(BH69,""[?].*"",""""),ContentBuckets!A:C,2,FALSE)"),"#N/A")</f>
        <v>#N/A</v>
      </c>
      <c r="BJ69" s="8" t="str">
        <f>IFERROR(__xludf.DUMMYFUNCTION("VLOOKUP(REGEXREPLACE(BH69,""[?].*"",""""),ContentBuckets!A:C,3,FALSE)"),"#N/A")</f>
        <v>#N/A</v>
      </c>
    </row>
    <row r="70" ht="14.25" customHeight="1">
      <c r="A70" s="1">
        <v>153193.0</v>
      </c>
      <c r="B70" s="1" t="s">
        <v>665</v>
      </c>
      <c r="C70" s="2">
        <v>45994.3145833333</v>
      </c>
      <c r="D70" s="2"/>
      <c r="E70" s="2"/>
      <c r="F70" s="1" t="b">
        <v>1</v>
      </c>
      <c r="G70" s="4" t="b">
        <v>0</v>
      </c>
      <c r="H70" s="1" t="b">
        <v>0</v>
      </c>
      <c r="I70" s="1" t="b">
        <v>0</v>
      </c>
      <c r="J70" s="1" t="s">
        <v>534</v>
      </c>
      <c r="K70" s="1" t="s">
        <v>566</v>
      </c>
      <c r="L70" s="1" t="s">
        <v>567</v>
      </c>
      <c r="M70" s="1" t="s">
        <v>537</v>
      </c>
      <c r="N70" s="1">
        <v>0.0</v>
      </c>
      <c r="O70" s="1">
        <v>62.25</v>
      </c>
      <c r="P70" s="1">
        <v>0.0</v>
      </c>
      <c r="Q70" s="1">
        <v>0.0</v>
      </c>
      <c r="R70" s="1">
        <v>28.0</v>
      </c>
      <c r="S70" s="1" t="s">
        <v>538</v>
      </c>
      <c r="T70" s="1" t="s">
        <v>539</v>
      </c>
      <c r="V70" s="4">
        <v>7189860.0</v>
      </c>
      <c r="W70" s="4" t="s">
        <v>540</v>
      </c>
      <c r="X70" s="4">
        <v>0.0</v>
      </c>
      <c r="Y70" s="1">
        <v>1.0</v>
      </c>
      <c r="Z70" s="1">
        <v>0.0</v>
      </c>
      <c r="AA70" s="1">
        <v>0.0</v>
      </c>
      <c r="AB70" s="1">
        <v>0.0</v>
      </c>
      <c r="AC70" s="1">
        <v>0.0</v>
      </c>
      <c r="AD70" s="1">
        <v>0.0</v>
      </c>
      <c r="AE70" s="1">
        <v>0.0</v>
      </c>
      <c r="AF70" s="1">
        <v>0.0</v>
      </c>
      <c r="AG70" s="1">
        <v>0.0</v>
      </c>
      <c r="AH70" s="1">
        <v>0.0</v>
      </c>
      <c r="AI70" s="1">
        <v>0.0</v>
      </c>
      <c r="AJ70" s="1">
        <v>0.0</v>
      </c>
      <c r="AK70" s="1">
        <v>0.0</v>
      </c>
      <c r="AL70" s="1">
        <v>0.0</v>
      </c>
      <c r="AM70" s="4">
        <v>0.0</v>
      </c>
      <c r="AN70" s="1">
        <v>0.0</v>
      </c>
      <c r="AO70" s="4">
        <v>0.0</v>
      </c>
      <c r="AP70" s="1">
        <f t="shared" si="1"/>
        <v>0</v>
      </c>
      <c r="AR70" s="1" t="s">
        <v>542</v>
      </c>
      <c r="AU70" s="2"/>
      <c r="AV70" s="2">
        <v>46024.0159722222</v>
      </c>
      <c r="AW70" s="1">
        <v>0.0</v>
      </c>
      <c r="AX70" s="1">
        <v>0.0</v>
      </c>
      <c r="AY70" s="1">
        <v>0.0</v>
      </c>
      <c r="AZ70" s="1">
        <v>1.0</v>
      </c>
      <c r="BA70" s="1">
        <v>0.0</v>
      </c>
      <c r="BB70" s="1">
        <v>0.0</v>
      </c>
      <c r="BC70" s="2">
        <v>45994.0</v>
      </c>
      <c r="BD70" s="1">
        <v>48.0</v>
      </c>
      <c r="BE70" s="1" t="s">
        <v>550</v>
      </c>
      <c r="BF70" s="1">
        <v>2025.0</v>
      </c>
      <c r="BG70" s="1" t="s">
        <v>558</v>
      </c>
      <c r="BH70" s="7" t="str">
        <f>VLOOKUP(B70,CookieClicks!D:O,12,FALSE)</f>
        <v>https://www.method.me/contact-us/?trc=180&amp;trk=contact-us&amp;trs=gmb-profile&amp;utm_source=seo&amp;utm_medium=google&amp;utm_campaign=my-business-profile</v>
      </c>
      <c r="BI70" s="8" t="str">
        <f>IFERROR(__xludf.DUMMYFUNCTION("VLOOKUP(REGEXREPLACE(BH70,""[?].*"",""""),ContentBuckets!A:C,2,FALSE)"),"Other page")</f>
        <v>Other page</v>
      </c>
      <c r="BJ70" s="8" t="str">
        <f>IFERROR(__xludf.DUMMYFUNCTION("VLOOKUP(REGEXREPLACE(BH70,""[?].*"",""""),ContentBuckets!A:C,3,FALSE)"),"Other page")</f>
        <v>Other page</v>
      </c>
    </row>
    <row r="71" ht="14.25" customHeight="1">
      <c r="A71" s="1">
        <v>153196.0</v>
      </c>
      <c r="B71" s="1" t="s">
        <v>666</v>
      </c>
      <c r="C71" s="2">
        <v>45994.3895833333</v>
      </c>
      <c r="D71" s="2"/>
      <c r="E71" s="2"/>
      <c r="F71" s="1" t="b">
        <v>1</v>
      </c>
      <c r="G71" s="4" t="b">
        <v>0</v>
      </c>
      <c r="H71" s="1" t="b">
        <v>0</v>
      </c>
      <c r="I71" s="1" t="b">
        <v>0</v>
      </c>
      <c r="J71" s="1" t="s">
        <v>534</v>
      </c>
      <c r="K71" s="1" t="s">
        <v>535</v>
      </c>
      <c r="L71" s="1" t="s">
        <v>536</v>
      </c>
      <c r="M71" s="1" t="s">
        <v>537</v>
      </c>
      <c r="N71" s="1">
        <v>0.0</v>
      </c>
      <c r="O71" s="1">
        <v>63.75</v>
      </c>
      <c r="P71" s="1">
        <v>0.0</v>
      </c>
      <c r="Q71" s="1">
        <v>0.0</v>
      </c>
      <c r="R71" s="1">
        <v>28.0</v>
      </c>
      <c r="S71" s="1" t="s">
        <v>538</v>
      </c>
      <c r="T71" s="1" t="s">
        <v>539</v>
      </c>
      <c r="V71" s="4">
        <v>7230330.0</v>
      </c>
      <c r="W71" s="4"/>
      <c r="X71" s="4">
        <v>1.0</v>
      </c>
      <c r="Y71" s="1">
        <v>0.0</v>
      </c>
      <c r="Z71" s="1">
        <v>0.0</v>
      </c>
      <c r="AA71" s="1">
        <v>0.0</v>
      </c>
      <c r="AB71" s="1">
        <v>0.0</v>
      </c>
      <c r="AC71" s="1">
        <v>0.0</v>
      </c>
      <c r="AD71" s="1">
        <v>0.0</v>
      </c>
      <c r="AE71" s="1">
        <v>0.0</v>
      </c>
      <c r="AF71" s="1">
        <v>0.0</v>
      </c>
      <c r="AG71" s="1">
        <v>0.0</v>
      </c>
      <c r="AH71" s="1">
        <v>0.0</v>
      </c>
      <c r="AI71" s="1">
        <v>0.0</v>
      </c>
      <c r="AJ71" s="1">
        <v>0.0</v>
      </c>
      <c r="AK71" s="1">
        <v>0.0</v>
      </c>
      <c r="AL71" s="1">
        <v>0.0</v>
      </c>
      <c r="AM71" s="4">
        <v>0.0</v>
      </c>
      <c r="AN71" s="1">
        <v>0.0</v>
      </c>
      <c r="AO71" s="4">
        <v>0.0</v>
      </c>
      <c r="AP71" s="1">
        <f t="shared" si="1"/>
        <v>0</v>
      </c>
      <c r="AQ71" s="1" t="s">
        <v>557</v>
      </c>
      <c r="AR71" s="1" t="s">
        <v>564</v>
      </c>
      <c r="AU71" s="2">
        <v>45994.0</v>
      </c>
      <c r="AV71" s="2">
        <v>46024.0430555556</v>
      </c>
      <c r="AW71" s="1">
        <v>49.0</v>
      </c>
      <c r="AX71" s="1">
        <v>12000.0</v>
      </c>
      <c r="AY71" s="1">
        <v>676.0</v>
      </c>
      <c r="AZ71" s="1">
        <v>1.0</v>
      </c>
      <c r="BA71" s="1">
        <v>0.0</v>
      </c>
      <c r="BB71" s="1">
        <v>0.0</v>
      </c>
      <c r="BC71" s="2">
        <v>45994.0</v>
      </c>
      <c r="BD71" s="1">
        <v>48.0</v>
      </c>
      <c r="BE71" s="1" t="s">
        <v>550</v>
      </c>
      <c r="BF71" s="1">
        <v>2025.0</v>
      </c>
      <c r="BG71" s="1" t="s">
        <v>558</v>
      </c>
      <c r="BH71" s="7" t="str">
        <f>VLOOKUP(B71,CookieClicks!D:O,12,FALSE)</f>
        <v>https://www.method.me/</v>
      </c>
      <c r="BI71" s="8" t="str">
        <f>IFERROR(__xludf.DUMMYFUNCTION("VLOOKUP(REGEXREPLACE(BH71,""[?].*"",""""),ContentBuckets!A:C,2,FALSE)"),"Homepage")</f>
        <v>Homepage</v>
      </c>
      <c r="BJ71" s="8" t="str">
        <f>IFERROR(__xludf.DUMMYFUNCTION("VLOOKUP(REGEXREPLACE(BH71,""[?].*"",""""),ContentBuckets!A:C,3,FALSE)"),"Other page")</f>
        <v>Other page</v>
      </c>
    </row>
    <row r="72" ht="14.25" customHeight="1">
      <c r="A72" s="1">
        <v>153198.0</v>
      </c>
      <c r="B72" s="1" t="s">
        <v>667</v>
      </c>
      <c r="C72" s="2">
        <v>45994.4041666667</v>
      </c>
      <c r="D72" s="2"/>
      <c r="E72" s="2"/>
      <c r="F72" s="1" t="b">
        <v>1</v>
      </c>
      <c r="G72" s="4" t="b">
        <v>0</v>
      </c>
      <c r="H72" s="1" t="b">
        <v>0</v>
      </c>
      <c r="I72" s="1" t="b">
        <v>0</v>
      </c>
      <c r="J72" s="1" t="s">
        <v>534</v>
      </c>
      <c r="K72" s="1" t="s">
        <v>535</v>
      </c>
      <c r="L72" s="1" t="s">
        <v>536</v>
      </c>
      <c r="M72" s="1" t="s">
        <v>537</v>
      </c>
      <c r="N72" s="1">
        <v>0.0</v>
      </c>
      <c r="O72" s="1">
        <v>44.25</v>
      </c>
      <c r="P72" s="1">
        <v>0.0</v>
      </c>
      <c r="Q72" s="1">
        <v>0.0</v>
      </c>
      <c r="R72" s="1">
        <v>28.0</v>
      </c>
      <c r="S72" s="1" t="s">
        <v>538</v>
      </c>
      <c r="T72" s="1" t="s">
        <v>539</v>
      </c>
      <c r="V72" s="4">
        <v>7230452.0</v>
      </c>
      <c r="W72" s="4"/>
      <c r="X72" s="4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0.0</v>
      </c>
      <c r="AD72" s="1">
        <v>0.0</v>
      </c>
      <c r="AE72" s="1">
        <v>0.0</v>
      </c>
      <c r="AF72" s="1">
        <v>0.0</v>
      </c>
      <c r="AG72" s="1">
        <v>0.0</v>
      </c>
      <c r="AH72" s="1">
        <v>0.0</v>
      </c>
      <c r="AI72" s="1">
        <v>0.0</v>
      </c>
      <c r="AJ72" s="1">
        <v>0.0</v>
      </c>
      <c r="AK72" s="1">
        <v>0.0</v>
      </c>
      <c r="AL72" s="1">
        <v>0.0</v>
      </c>
      <c r="AM72" s="4">
        <v>0.0</v>
      </c>
      <c r="AN72" s="1">
        <v>0.0</v>
      </c>
      <c r="AO72" s="4">
        <v>0.0</v>
      </c>
      <c r="AP72" s="1">
        <f t="shared" si="1"/>
        <v>1</v>
      </c>
      <c r="AR72" s="1" t="s">
        <v>608</v>
      </c>
      <c r="AU72" s="2"/>
      <c r="AV72" s="2">
        <v>46024.0069444444</v>
      </c>
      <c r="AW72" s="1">
        <v>0.0</v>
      </c>
      <c r="AX72" s="1">
        <v>0.0</v>
      </c>
      <c r="AY72" s="1">
        <v>0.0</v>
      </c>
      <c r="AZ72" s="1">
        <v>1.0</v>
      </c>
      <c r="BA72" s="1">
        <v>0.0</v>
      </c>
      <c r="BB72" s="1">
        <v>0.0</v>
      </c>
      <c r="BC72" s="2">
        <v>45994.0</v>
      </c>
      <c r="BD72" s="1">
        <v>48.0</v>
      </c>
      <c r="BE72" s="1" t="s">
        <v>550</v>
      </c>
      <c r="BF72" s="1">
        <v>2025.0</v>
      </c>
      <c r="BG72" s="1" t="s">
        <v>668</v>
      </c>
      <c r="BH72" s="7" t="str">
        <f>VLOOKUP(B72,CookieClicks!D:O,12,FALSE)</f>
        <v>http://signup.method.me/methodcrm?_gl=1*a0vgwo*_gcl_au*MTgzNzE4NjA2MS4xNzY0NzcyOTQ1*_ga*MTkyNjc2OTE3MS4xNzY0NzcyOTQ1*_ga_L2HEZNW53E*czE3NjQ3NzI5NDQkbzEkZzAkdDE3NjQ3NzI5NDUkajU5JGwwJGg4NzA4NjEyMDk.&amp;_ga=2.145381616.577777304.1764772945-1926769171.1764772945</v>
      </c>
      <c r="BI72" s="8" t="str">
        <f>IFERROR(__xludf.DUMMYFUNCTION("VLOOKUP(REGEXREPLACE(BH72,""[?].*"",""""),ContentBuckets!A:C,2,FALSE)"),"#N/A")</f>
        <v>#N/A</v>
      </c>
      <c r="BJ72" s="8" t="str">
        <f>IFERROR(__xludf.DUMMYFUNCTION("VLOOKUP(REGEXREPLACE(BH72,""[?].*"",""""),ContentBuckets!A:C,3,FALSE)"),"#N/A")</f>
        <v>#N/A</v>
      </c>
    </row>
    <row r="73" ht="14.25" customHeight="1">
      <c r="A73" s="1">
        <v>153199.0</v>
      </c>
      <c r="B73" s="1" t="s">
        <v>669</v>
      </c>
      <c r="C73" s="2">
        <v>45994.4097222222</v>
      </c>
      <c r="D73" s="2">
        <v>46008.41875</v>
      </c>
      <c r="E73" s="2"/>
      <c r="F73" s="1" t="b">
        <v>0</v>
      </c>
      <c r="G73" s="4" t="b">
        <v>0</v>
      </c>
      <c r="H73" s="1" t="b">
        <v>0</v>
      </c>
      <c r="I73" s="1" t="b">
        <v>0</v>
      </c>
      <c r="J73" s="1" t="s">
        <v>534</v>
      </c>
      <c r="K73" s="1" t="s">
        <v>535</v>
      </c>
      <c r="L73" s="1" t="s">
        <v>536</v>
      </c>
      <c r="M73" s="1" t="s">
        <v>537</v>
      </c>
      <c r="N73" s="1">
        <v>0.0</v>
      </c>
      <c r="O73" s="1">
        <v>298.5</v>
      </c>
      <c r="P73" s="1">
        <v>0.0</v>
      </c>
      <c r="Q73" s="1">
        <v>0.0</v>
      </c>
      <c r="R73" s="1">
        <v>28.0</v>
      </c>
      <c r="S73" s="1" t="s">
        <v>538</v>
      </c>
      <c r="T73" s="1" t="s">
        <v>539</v>
      </c>
      <c r="V73" s="4">
        <v>7196123.0</v>
      </c>
      <c r="W73" s="4" t="s">
        <v>540</v>
      </c>
      <c r="X73" s="4">
        <v>0.0</v>
      </c>
      <c r="Y73" s="1">
        <v>1.0</v>
      </c>
      <c r="Z73" s="1">
        <v>0.0</v>
      </c>
      <c r="AA73" s="1">
        <v>0.0</v>
      </c>
      <c r="AB73" s="1">
        <v>0.0</v>
      </c>
      <c r="AC73" s="1">
        <v>0.0</v>
      </c>
      <c r="AD73" s="1">
        <v>0.0</v>
      </c>
      <c r="AE73" s="1">
        <v>0.0</v>
      </c>
      <c r="AF73" s="1">
        <v>0.0</v>
      </c>
      <c r="AG73" s="1">
        <v>0.0</v>
      </c>
      <c r="AH73" s="1">
        <v>0.0</v>
      </c>
      <c r="AI73" s="1">
        <v>0.0</v>
      </c>
      <c r="AJ73" s="1">
        <v>0.0</v>
      </c>
      <c r="AK73" s="1">
        <v>0.0</v>
      </c>
      <c r="AL73" s="1">
        <v>0.0</v>
      </c>
      <c r="AM73" s="4">
        <v>0.0</v>
      </c>
      <c r="AN73" s="1">
        <v>0.0</v>
      </c>
      <c r="AO73" s="4">
        <v>0.0</v>
      </c>
      <c r="AP73" s="1">
        <f t="shared" si="1"/>
        <v>0</v>
      </c>
      <c r="AQ73" s="1" t="s">
        <v>541</v>
      </c>
      <c r="AR73" s="1" t="s">
        <v>578</v>
      </c>
      <c r="AT73" s="1" t="s">
        <v>670</v>
      </c>
      <c r="AU73" s="2">
        <v>45994.0</v>
      </c>
      <c r="AV73" s="2">
        <v>46008.0375</v>
      </c>
      <c r="AW73" s="1">
        <v>0.0</v>
      </c>
      <c r="AX73" s="1">
        <v>4173.72</v>
      </c>
      <c r="AY73" s="1">
        <v>42.0</v>
      </c>
      <c r="AZ73" s="1">
        <v>10.0</v>
      </c>
      <c r="BA73" s="1">
        <v>0.0</v>
      </c>
      <c r="BB73" s="1">
        <v>0.0</v>
      </c>
      <c r="BC73" s="2">
        <v>45994.0</v>
      </c>
      <c r="BD73" s="1">
        <v>48.0</v>
      </c>
      <c r="BE73" s="1" t="s">
        <v>550</v>
      </c>
      <c r="BF73" s="1">
        <v>2025.0</v>
      </c>
      <c r="BG73" s="1" t="s">
        <v>546</v>
      </c>
      <c r="BH73" s="7" t="str">
        <f>VLOOKUP(B73,CookieClicks!D:O,12,FALSE)</f>
        <v>https://www.method.me/</v>
      </c>
      <c r="BI73" s="8" t="str">
        <f>IFERROR(__xludf.DUMMYFUNCTION("VLOOKUP(REGEXREPLACE(BH73,""[?].*"",""""),ContentBuckets!A:C,2,FALSE)"),"Homepage")</f>
        <v>Homepage</v>
      </c>
      <c r="BJ73" s="8" t="str">
        <f>IFERROR(__xludf.DUMMYFUNCTION("VLOOKUP(REGEXREPLACE(BH73,""[?].*"",""""),ContentBuckets!A:C,3,FALSE)"),"Other page")</f>
        <v>Other page</v>
      </c>
    </row>
    <row r="74" ht="14.25" customHeight="1">
      <c r="A74" s="1">
        <v>153202.0</v>
      </c>
      <c r="B74" s="1" t="s">
        <v>671</v>
      </c>
      <c r="C74" s="2">
        <v>45994.4291666667</v>
      </c>
      <c r="D74" s="2"/>
      <c r="E74" s="2"/>
      <c r="F74" s="1" t="b">
        <v>1</v>
      </c>
      <c r="G74" s="4" t="b">
        <v>0</v>
      </c>
      <c r="H74" s="1" t="b">
        <v>0</v>
      </c>
      <c r="I74" s="1" t="b">
        <v>0</v>
      </c>
      <c r="J74" s="1" t="s">
        <v>534</v>
      </c>
      <c r="K74" s="1" t="s">
        <v>535</v>
      </c>
      <c r="L74" s="1" t="s">
        <v>536</v>
      </c>
      <c r="M74" s="1" t="s">
        <v>537</v>
      </c>
      <c r="N74" s="1">
        <v>0.0</v>
      </c>
      <c r="O74" s="1">
        <v>44.25</v>
      </c>
      <c r="P74" s="1">
        <v>0.0</v>
      </c>
      <c r="Q74" s="1">
        <v>0.0</v>
      </c>
      <c r="R74" s="1">
        <v>28.0</v>
      </c>
      <c r="S74" s="1" t="s">
        <v>538</v>
      </c>
      <c r="T74" s="1" t="s">
        <v>539</v>
      </c>
      <c r="V74" s="4">
        <v>7230630.0</v>
      </c>
      <c r="W74" s="4"/>
      <c r="X74" s="4">
        <v>0.0</v>
      </c>
      <c r="Y74" s="1">
        <v>0.0</v>
      </c>
      <c r="Z74" s="1">
        <v>1.0</v>
      </c>
      <c r="AA74" s="1">
        <v>0.0</v>
      </c>
      <c r="AB74" s="1">
        <v>0.0</v>
      </c>
      <c r="AC74" s="1">
        <v>0.0</v>
      </c>
      <c r="AD74" s="1">
        <v>0.0</v>
      </c>
      <c r="AE74" s="1">
        <v>0.0</v>
      </c>
      <c r="AF74" s="1">
        <v>0.0</v>
      </c>
      <c r="AG74" s="1">
        <v>0.0</v>
      </c>
      <c r="AH74" s="1">
        <v>0.0</v>
      </c>
      <c r="AI74" s="1">
        <v>0.0</v>
      </c>
      <c r="AJ74" s="1">
        <v>0.0</v>
      </c>
      <c r="AK74" s="1">
        <v>0.0</v>
      </c>
      <c r="AL74" s="1">
        <v>0.0</v>
      </c>
      <c r="AM74" s="4">
        <v>0.0</v>
      </c>
      <c r="AN74" s="1">
        <v>0.0</v>
      </c>
      <c r="AO74" s="4">
        <v>0.0</v>
      </c>
      <c r="AP74" s="1">
        <f t="shared" si="1"/>
        <v>0</v>
      </c>
      <c r="AQ74" s="1" t="s">
        <v>557</v>
      </c>
      <c r="AR74" s="1" t="s">
        <v>542</v>
      </c>
      <c r="AU74" s="2">
        <v>45994.0</v>
      </c>
      <c r="AV74" s="2">
        <v>46024.0222222222</v>
      </c>
      <c r="AW74" s="1">
        <v>6.0</v>
      </c>
      <c r="AX74" s="1">
        <v>62268.0</v>
      </c>
      <c r="AY74" s="1">
        <v>948.0</v>
      </c>
      <c r="AZ74" s="1">
        <v>1.0</v>
      </c>
      <c r="BA74" s="1">
        <v>0.0</v>
      </c>
      <c r="BB74" s="1">
        <v>0.0</v>
      </c>
      <c r="BC74" s="2">
        <v>45994.0</v>
      </c>
      <c r="BD74" s="1">
        <v>48.0</v>
      </c>
      <c r="BE74" s="1" t="s">
        <v>550</v>
      </c>
      <c r="BF74" s="1">
        <v>2025.0</v>
      </c>
      <c r="BG74" s="1" t="s">
        <v>558</v>
      </c>
      <c r="BH74" s="7" t="str">
        <f>VLOOKUP(B74,CookieClicks!D:O,12,FALSE)</f>
        <v>https://signup.method.me/QBOAppstoreSignup?offering=methodcrm</v>
      </c>
      <c r="BI74" s="8" t="str">
        <f>IFERROR(__xludf.DUMMYFUNCTION("VLOOKUP(REGEXREPLACE(BH74,""[?].*"",""""),ContentBuckets!A:C,2,FALSE)"),"#N/A")</f>
        <v>#N/A</v>
      </c>
      <c r="BJ74" s="8" t="str">
        <f>IFERROR(__xludf.DUMMYFUNCTION("VLOOKUP(REGEXREPLACE(BH74,""[?].*"",""""),ContentBuckets!A:C,3,FALSE)"),"#N/A")</f>
        <v>#N/A</v>
      </c>
    </row>
    <row r="75" ht="14.25" customHeight="1">
      <c r="A75" s="1">
        <v>153203.0</v>
      </c>
      <c r="B75" s="1" t="s">
        <v>672</v>
      </c>
      <c r="C75" s="2">
        <v>45994.4395833333</v>
      </c>
      <c r="D75" s="2">
        <v>46015.4104166667</v>
      </c>
      <c r="E75" s="2"/>
      <c r="F75" s="1" t="b">
        <v>0</v>
      </c>
      <c r="G75" s="4" t="b">
        <v>1</v>
      </c>
      <c r="H75" s="1" t="b">
        <v>0</v>
      </c>
      <c r="I75" s="1" t="b">
        <v>0</v>
      </c>
      <c r="J75" s="1" t="s">
        <v>534</v>
      </c>
      <c r="K75" s="1" t="s">
        <v>553</v>
      </c>
      <c r="L75" s="1" t="s">
        <v>599</v>
      </c>
      <c r="M75" s="1" t="s">
        <v>537</v>
      </c>
      <c r="N75" s="1">
        <v>0.0</v>
      </c>
      <c r="O75" s="1">
        <v>44.25</v>
      </c>
      <c r="P75" s="1">
        <v>0.0</v>
      </c>
      <c r="Q75" s="1">
        <v>0.0</v>
      </c>
      <c r="R75" s="1">
        <v>0.0</v>
      </c>
      <c r="S75" s="1" t="s">
        <v>538</v>
      </c>
      <c r="T75" s="1" t="s">
        <v>539</v>
      </c>
      <c r="V75" s="4">
        <v>7229842.0</v>
      </c>
      <c r="W75" s="4" t="s">
        <v>540</v>
      </c>
      <c r="X75" s="4">
        <v>0.0</v>
      </c>
      <c r="Y75" s="1">
        <v>1.0</v>
      </c>
      <c r="Z75" s="1">
        <v>0.0</v>
      </c>
      <c r="AA75" s="1">
        <v>0.0</v>
      </c>
      <c r="AB75" s="1">
        <v>0.0</v>
      </c>
      <c r="AC75" s="1">
        <v>0.0</v>
      </c>
      <c r="AD75" s="1">
        <v>0.0</v>
      </c>
      <c r="AE75" s="1">
        <v>0.0</v>
      </c>
      <c r="AF75" s="1">
        <v>0.0</v>
      </c>
      <c r="AG75" s="1">
        <v>0.0</v>
      </c>
      <c r="AH75" s="1">
        <v>0.0</v>
      </c>
      <c r="AI75" s="1">
        <v>0.0</v>
      </c>
      <c r="AJ75" s="1">
        <v>0.0</v>
      </c>
      <c r="AK75" s="1">
        <v>0.0</v>
      </c>
      <c r="AL75" s="1">
        <v>0.0</v>
      </c>
      <c r="AM75" s="4">
        <v>0.0</v>
      </c>
      <c r="AN75" s="1">
        <v>0.0</v>
      </c>
      <c r="AO75" s="4">
        <v>0.0</v>
      </c>
      <c r="AP75" s="1">
        <f t="shared" si="1"/>
        <v>0</v>
      </c>
      <c r="AU75" s="2"/>
      <c r="AV75" s="2">
        <v>46014.9979166667</v>
      </c>
      <c r="AW75" s="1">
        <v>0.0</v>
      </c>
      <c r="AX75" s="1">
        <v>0.0</v>
      </c>
      <c r="AY75" s="1">
        <v>0.0</v>
      </c>
      <c r="AZ75" s="1">
        <v>1.0</v>
      </c>
      <c r="BA75" s="1">
        <v>0.0</v>
      </c>
      <c r="BB75" s="1">
        <v>0.0</v>
      </c>
      <c r="BC75" s="2">
        <v>45994.0</v>
      </c>
      <c r="BD75" s="1">
        <v>48.0</v>
      </c>
      <c r="BE75" s="1" t="s">
        <v>550</v>
      </c>
      <c r="BF75" s="1">
        <v>2025.0</v>
      </c>
      <c r="BG75" s="1" t="s">
        <v>673</v>
      </c>
      <c r="BH75" s="7" t="str">
        <f>VLOOKUP(B75,CookieClicks!D:O,12,FALSE)</f>
        <v>http://signup.method.me/methodcrm</v>
      </c>
      <c r="BI75" s="8" t="str">
        <f>IFERROR(__xludf.DUMMYFUNCTION("VLOOKUP(REGEXREPLACE(BH75,""[?].*"",""""),ContentBuckets!A:C,2,FALSE)"),"#N/A")</f>
        <v>#N/A</v>
      </c>
      <c r="BJ75" s="8" t="str">
        <f>IFERROR(__xludf.DUMMYFUNCTION("VLOOKUP(REGEXREPLACE(BH75,""[?].*"",""""),ContentBuckets!A:C,3,FALSE)"),"#N/A")</f>
        <v>#N/A</v>
      </c>
    </row>
    <row r="76" ht="14.25" customHeight="1">
      <c r="A76" s="1">
        <v>153205.0</v>
      </c>
      <c r="B76" s="1" t="s">
        <v>674</v>
      </c>
      <c r="C76" s="2">
        <v>45994.4631944444</v>
      </c>
      <c r="D76" s="2"/>
      <c r="E76" s="2">
        <v>46021.7638888889</v>
      </c>
      <c r="F76" s="1" t="b">
        <v>1</v>
      </c>
      <c r="G76" s="4" t="b">
        <v>0</v>
      </c>
      <c r="H76" s="1" t="b">
        <v>0</v>
      </c>
      <c r="I76" s="1" t="b">
        <v>0</v>
      </c>
      <c r="J76" s="1" t="s">
        <v>534</v>
      </c>
      <c r="K76" s="1" t="s">
        <v>535</v>
      </c>
      <c r="L76" s="1" t="s">
        <v>536</v>
      </c>
      <c r="M76" s="1" t="s">
        <v>537</v>
      </c>
      <c r="N76" s="1">
        <v>63.75</v>
      </c>
      <c r="O76" s="1">
        <v>63.75</v>
      </c>
      <c r="P76" s="1">
        <v>0.0</v>
      </c>
      <c r="Q76" s="1">
        <v>0.0</v>
      </c>
      <c r="R76" s="1">
        <v>28.0</v>
      </c>
      <c r="S76" s="1" t="s">
        <v>538</v>
      </c>
      <c r="T76" s="1" t="s">
        <v>539</v>
      </c>
      <c r="V76" s="4">
        <v>7220470.0</v>
      </c>
      <c r="W76" s="4"/>
      <c r="X76" s="4">
        <v>0.0</v>
      </c>
      <c r="Y76" s="1">
        <v>0.0</v>
      </c>
      <c r="Z76" s="1">
        <v>0.0</v>
      </c>
      <c r="AA76" s="1">
        <v>1.0</v>
      </c>
      <c r="AB76" s="1">
        <v>0.0</v>
      </c>
      <c r="AC76" s="1">
        <v>0.0</v>
      </c>
      <c r="AD76" s="1">
        <v>0.0</v>
      </c>
      <c r="AE76" s="1">
        <v>0.0</v>
      </c>
      <c r="AF76" s="1">
        <v>0.0</v>
      </c>
      <c r="AG76" s="1">
        <v>0.0</v>
      </c>
      <c r="AH76" s="1">
        <v>0.0</v>
      </c>
      <c r="AI76" s="1">
        <v>0.0</v>
      </c>
      <c r="AJ76" s="1">
        <v>0.0</v>
      </c>
      <c r="AK76" s="1">
        <v>0.0</v>
      </c>
      <c r="AL76" s="1">
        <v>0.0</v>
      </c>
      <c r="AM76" s="4">
        <v>0.0</v>
      </c>
      <c r="AN76" s="1">
        <v>0.0</v>
      </c>
      <c r="AO76" s="4">
        <v>0.0</v>
      </c>
      <c r="AP76" s="1">
        <f t="shared" si="1"/>
        <v>0</v>
      </c>
      <c r="AQ76" s="1" t="s">
        <v>557</v>
      </c>
      <c r="AR76" s="1" t="s">
        <v>571</v>
      </c>
      <c r="AU76" s="2">
        <v>45994.0</v>
      </c>
      <c r="AV76" s="2">
        <v>46023.9888888889</v>
      </c>
      <c r="AW76" s="1">
        <v>0.0</v>
      </c>
      <c r="AX76" s="1">
        <v>217711.56</v>
      </c>
      <c r="AY76" s="1">
        <v>1497.0</v>
      </c>
      <c r="AZ76" s="1">
        <v>1.0</v>
      </c>
      <c r="BA76" s="1">
        <v>0.0</v>
      </c>
      <c r="BB76" s="1">
        <v>0.0</v>
      </c>
      <c r="BC76" s="2">
        <v>45994.0</v>
      </c>
      <c r="BD76" s="1">
        <v>48.0</v>
      </c>
      <c r="BE76" s="1" t="s">
        <v>550</v>
      </c>
      <c r="BF76" s="1">
        <v>2025.0</v>
      </c>
      <c r="BG76" s="1" t="s">
        <v>558</v>
      </c>
      <c r="BH76" s="1" t="str">
        <f>VLOOKUP(B76,CookieClicks!D:O,12,FALSE)</f>
        <v>https://grow.method.me/crm-quickbooks/?trc=81&amp;trk=quickbooks crm&amp;trs=USA-QB-G_Ex&amp;campaignid=22265826203&amp;adgroupid=176758613473&amp;adid=734012603510&amp;gad_source=1&amp;gad_campaignid=22265826203&amp;gbraid=0AAAAAD3ItnbQ-scslMn1OtVxbVSWxN2mJ&amp;gclid=CjwKCAiAlrXJBhBAEiwA-5pgwnLR64YdpwU2sV9YesE_12PLfc5YAT_XruCnd4kJ7DgaBfFYBL8wkxoCFP8QAvD_BwE</v>
      </c>
      <c r="BI76" s="8" t="str">
        <f>IFERROR(__xludf.DUMMYFUNCTION("VLOOKUP(REGEXREPLACE(BH76,""[?].*"",""""),ContentBuckets!A:C,2,FALSE)"),"#N/A")</f>
        <v>#N/A</v>
      </c>
      <c r="BJ76" s="8" t="str">
        <f>IFERROR(__xludf.DUMMYFUNCTION("VLOOKUP(REGEXREPLACE(BH76,""[?].*"",""""),ContentBuckets!A:C,3,FALSE)"),"#N/A")</f>
        <v>#N/A</v>
      </c>
    </row>
    <row r="77" ht="14.25" customHeight="1">
      <c r="A77" s="1">
        <v>153207.0</v>
      </c>
      <c r="B77" s="1" t="s">
        <v>675</v>
      </c>
      <c r="C77" s="2">
        <v>45994.4701388889</v>
      </c>
      <c r="D77" s="2"/>
      <c r="E77" s="2">
        <v>46008.5319444444</v>
      </c>
      <c r="F77" s="1" t="b">
        <v>1</v>
      </c>
      <c r="G77" s="4" t="b">
        <v>0</v>
      </c>
      <c r="H77" s="1" t="b">
        <v>0</v>
      </c>
      <c r="I77" s="1" t="b">
        <v>0</v>
      </c>
      <c r="J77" s="1" t="s">
        <v>534</v>
      </c>
      <c r="K77" s="1" t="s">
        <v>535</v>
      </c>
      <c r="L77" s="1" t="s">
        <v>536</v>
      </c>
      <c r="M77" s="1" t="s">
        <v>537</v>
      </c>
      <c r="N77" s="1">
        <v>44.25</v>
      </c>
      <c r="O77" s="1">
        <v>44.25</v>
      </c>
      <c r="P77" s="1">
        <v>0.0</v>
      </c>
      <c r="Q77" s="1">
        <v>0.0</v>
      </c>
      <c r="R77" s="1">
        <v>28.0</v>
      </c>
      <c r="S77" s="1" t="s">
        <v>538</v>
      </c>
      <c r="T77" s="1" t="s">
        <v>539</v>
      </c>
      <c r="V77" s="4">
        <v>7230971.0</v>
      </c>
      <c r="W77" s="4" t="s">
        <v>540</v>
      </c>
      <c r="X77" s="4">
        <v>0.0</v>
      </c>
      <c r="Y77" s="1">
        <v>1.0</v>
      </c>
      <c r="Z77" s="1">
        <v>0.0</v>
      </c>
      <c r="AA77" s="1">
        <v>0.0</v>
      </c>
      <c r="AB77" s="1">
        <v>0.0</v>
      </c>
      <c r="AC77" s="1">
        <v>0.0</v>
      </c>
      <c r="AD77" s="1">
        <v>0.0</v>
      </c>
      <c r="AE77" s="1">
        <v>0.0</v>
      </c>
      <c r="AF77" s="1">
        <v>0.0</v>
      </c>
      <c r="AG77" s="1">
        <v>0.0</v>
      </c>
      <c r="AH77" s="1">
        <v>0.0</v>
      </c>
      <c r="AI77" s="1">
        <v>0.0</v>
      </c>
      <c r="AJ77" s="1">
        <v>0.0</v>
      </c>
      <c r="AK77" s="1">
        <v>0.0</v>
      </c>
      <c r="AL77" s="1">
        <v>0.0</v>
      </c>
      <c r="AM77" s="4">
        <v>0.0</v>
      </c>
      <c r="AN77" s="1">
        <v>0.0</v>
      </c>
      <c r="AO77" s="4">
        <v>0.0</v>
      </c>
      <c r="AP77" s="1">
        <f t="shared" si="1"/>
        <v>0</v>
      </c>
      <c r="AQ77" s="1" t="s">
        <v>557</v>
      </c>
      <c r="AR77" s="1" t="s">
        <v>549</v>
      </c>
      <c r="AT77" s="1" t="s">
        <v>676</v>
      </c>
      <c r="AU77" s="2">
        <v>45994.0</v>
      </c>
      <c r="AV77" s="2">
        <v>46023.9868055556</v>
      </c>
      <c r="AW77" s="1">
        <v>0.0</v>
      </c>
      <c r="AX77" s="1">
        <v>1135141.44</v>
      </c>
      <c r="AY77" s="1">
        <v>40.0</v>
      </c>
      <c r="AZ77" s="1">
        <v>1.0</v>
      </c>
      <c r="BA77" s="1">
        <v>0.0</v>
      </c>
      <c r="BB77" s="1">
        <v>2.0</v>
      </c>
      <c r="BC77" s="2">
        <v>45994.0</v>
      </c>
      <c r="BD77" s="1">
        <v>48.0</v>
      </c>
      <c r="BE77" s="1" t="s">
        <v>550</v>
      </c>
      <c r="BF77" s="1">
        <v>2025.0</v>
      </c>
      <c r="BG77" s="1" t="s">
        <v>558</v>
      </c>
      <c r="BH77" s="7" t="str">
        <f>VLOOKUP(B77,CookieClicks!D:O,12,FALSE)</f>
        <v>https://www.method.me/</v>
      </c>
      <c r="BI77" s="8" t="str">
        <f>IFERROR(__xludf.DUMMYFUNCTION("VLOOKUP(REGEXREPLACE(BH77,""[?].*"",""""),ContentBuckets!A:C,2,FALSE)"),"Homepage")</f>
        <v>Homepage</v>
      </c>
      <c r="BJ77" s="8" t="str">
        <f>IFERROR(__xludf.DUMMYFUNCTION("VLOOKUP(REGEXREPLACE(BH77,""[?].*"",""""),ContentBuckets!A:C,3,FALSE)"),"Other page")</f>
        <v>Other page</v>
      </c>
    </row>
    <row r="78" ht="14.25" customHeight="1">
      <c r="A78" s="1">
        <v>153209.0</v>
      </c>
      <c r="B78" s="1" t="s">
        <v>677</v>
      </c>
      <c r="C78" s="2">
        <v>45994.4833333333</v>
      </c>
      <c r="D78" s="2">
        <v>46010.6659722222</v>
      </c>
      <c r="E78" s="2"/>
      <c r="F78" s="1" t="b">
        <v>0</v>
      </c>
      <c r="G78" s="4" t="b">
        <v>0</v>
      </c>
      <c r="H78" s="1" t="b">
        <v>0</v>
      </c>
      <c r="I78" s="1" t="b">
        <v>0</v>
      </c>
      <c r="J78" s="1" t="s">
        <v>534</v>
      </c>
      <c r="K78" s="1" t="s">
        <v>535</v>
      </c>
      <c r="L78" s="1" t="s">
        <v>536</v>
      </c>
      <c r="M78" s="1" t="s">
        <v>537</v>
      </c>
      <c r="N78" s="1">
        <v>0.0</v>
      </c>
      <c r="O78" s="1">
        <v>53.25</v>
      </c>
      <c r="P78" s="1">
        <v>0.0</v>
      </c>
      <c r="Q78" s="1">
        <v>0.0</v>
      </c>
      <c r="R78" s="1">
        <v>0.0</v>
      </c>
      <c r="S78" s="1" t="s">
        <v>538</v>
      </c>
      <c r="T78" s="1" t="s">
        <v>539</v>
      </c>
      <c r="V78" s="4">
        <v>7231141.0</v>
      </c>
      <c r="W78" s="4"/>
      <c r="X78" s="4">
        <v>0.0</v>
      </c>
      <c r="Y78" s="1">
        <v>0.0</v>
      </c>
      <c r="Z78" s="1">
        <v>0.0</v>
      </c>
      <c r="AA78" s="1">
        <v>1.0</v>
      </c>
      <c r="AB78" s="1">
        <v>0.0</v>
      </c>
      <c r="AC78" s="1">
        <v>0.0</v>
      </c>
      <c r="AD78" s="1">
        <v>0.0</v>
      </c>
      <c r="AE78" s="1">
        <v>0.0</v>
      </c>
      <c r="AF78" s="1">
        <v>0.0</v>
      </c>
      <c r="AG78" s="1">
        <v>0.0</v>
      </c>
      <c r="AH78" s="1">
        <v>0.0</v>
      </c>
      <c r="AI78" s="1">
        <v>0.0</v>
      </c>
      <c r="AJ78" s="1">
        <v>0.0</v>
      </c>
      <c r="AK78" s="1">
        <v>0.0</v>
      </c>
      <c r="AL78" s="1">
        <v>0.0</v>
      </c>
      <c r="AM78" s="4">
        <v>0.0</v>
      </c>
      <c r="AN78" s="1">
        <v>0.0</v>
      </c>
      <c r="AO78" s="4">
        <v>0.0</v>
      </c>
      <c r="AP78" s="1">
        <f t="shared" si="1"/>
        <v>0</v>
      </c>
      <c r="AU78" s="2"/>
      <c r="AV78" s="2">
        <v>46009.9902777778</v>
      </c>
      <c r="AW78" s="1">
        <v>0.0</v>
      </c>
      <c r="AX78" s="1">
        <v>0.0</v>
      </c>
      <c r="AY78" s="1">
        <v>0.0</v>
      </c>
      <c r="AZ78" s="1">
        <v>1.0</v>
      </c>
      <c r="BA78" s="1">
        <v>0.0</v>
      </c>
      <c r="BB78" s="1">
        <v>0.0</v>
      </c>
      <c r="BC78" s="2">
        <v>45994.0</v>
      </c>
      <c r="BD78" s="1">
        <v>48.0</v>
      </c>
      <c r="BE78" s="1" t="s">
        <v>550</v>
      </c>
      <c r="BF78" s="1">
        <v>2025.0</v>
      </c>
      <c r="BG78" s="1" t="s">
        <v>558</v>
      </c>
      <c r="BH78" s="1" t="str">
        <f>VLOOKUP(B78,CookieClicks!D:O,12,FALSE)</f>
        <v>https://grow.method.me/best-quickbooks-crm/?trc=86&amp;trk=grow.method.me&amp;trs=Bing-PMax&amp;msclkid=06d9e66ac1db136da9858f5aa7a5a1e8&amp;utm_source=bing&amp;utm_medium=cpc&amp;utm_campaign=Bing - PMAX&amp;utm_term=grow.method.me&amp;utm_content=US - retargeting</v>
      </c>
      <c r="BI78" s="8" t="str">
        <f>IFERROR(__xludf.DUMMYFUNCTION("VLOOKUP(REGEXREPLACE(BH78,""[?].*"",""""),ContentBuckets!A:C,2,FALSE)"),"#N/A")</f>
        <v>#N/A</v>
      </c>
      <c r="BJ78" s="8" t="str">
        <f>IFERROR(__xludf.DUMMYFUNCTION("VLOOKUP(REGEXREPLACE(BH78,""[?].*"",""""),ContentBuckets!A:C,3,FALSE)"),"#N/A")</f>
        <v>#N/A</v>
      </c>
    </row>
    <row r="79" ht="14.25" customHeight="1">
      <c r="A79" s="1">
        <v>153210.0</v>
      </c>
      <c r="B79" s="1" t="s">
        <v>678</v>
      </c>
      <c r="C79" s="2">
        <v>45994.4986111111</v>
      </c>
      <c r="D79" s="2"/>
      <c r="E79" s="2">
        <v>46014.4673611111</v>
      </c>
      <c r="F79" s="1" t="b">
        <v>1</v>
      </c>
      <c r="G79" s="4" t="b">
        <v>0</v>
      </c>
      <c r="H79" s="1" t="b">
        <v>0</v>
      </c>
      <c r="I79" s="1" t="b">
        <v>0</v>
      </c>
      <c r="J79" s="1" t="s">
        <v>534</v>
      </c>
      <c r="K79" s="1" t="s">
        <v>535</v>
      </c>
      <c r="L79" s="1" t="s">
        <v>536</v>
      </c>
      <c r="M79" s="1" t="s">
        <v>537</v>
      </c>
      <c r="N79" s="1">
        <v>36.75</v>
      </c>
      <c r="O79" s="1">
        <v>36.75</v>
      </c>
      <c r="P79" s="1">
        <v>0.0</v>
      </c>
      <c r="Q79" s="1">
        <v>0.0</v>
      </c>
      <c r="R79" s="1">
        <v>28.0</v>
      </c>
      <c r="S79" s="1" t="s">
        <v>538</v>
      </c>
      <c r="T79" s="1" t="s">
        <v>539</v>
      </c>
      <c r="V79" s="4">
        <v>7129479.0</v>
      </c>
      <c r="W79" s="4" t="s">
        <v>540</v>
      </c>
      <c r="X79" s="4">
        <v>0.0</v>
      </c>
      <c r="Y79" s="1">
        <v>1.0</v>
      </c>
      <c r="Z79" s="1">
        <v>0.0</v>
      </c>
      <c r="AA79" s="1">
        <v>0.0</v>
      </c>
      <c r="AB79" s="1">
        <v>0.0</v>
      </c>
      <c r="AC79" s="1">
        <v>0.0</v>
      </c>
      <c r="AD79" s="1">
        <v>0.0</v>
      </c>
      <c r="AE79" s="1">
        <v>0.0</v>
      </c>
      <c r="AF79" s="1">
        <v>0.0</v>
      </c>
      <c r="AG79" s="1">
        <v>0.0</v>
      </c>
      <c r="AH79" s="1">
        <v>0.0</v>
      </c>
      <c r="AI79" s="1">
        <v>0.0</v>
      </c>
      <c r="AJ79" s="1">
        <v>0.0</v>
      </c>
      <c r="AK79" s="1">
        <v>0.0</v>
      </c>
      <c r="AL79" s="1">
        <v>0.0</v>
      </c>
      <c r="AM79" s="4">
        <v>0.0</v>
      </c>
      <c r="AN79" s="1">
        <v>0.0</v>
      </c>
      <c r="AO79" s="4">
        <v>0.0</v>
      </c>
      <c r="AP79" s="1">
        <f t="shared" si="1"/>
        <v>0</v>
      </c>
      <c r="AQ79" s="1" t="s">
        <v>557</v>
      </c>
      <c r="AR79" s="1" t="s">
        <v>578</v>
      </c>
      <c r="AT79" s="1" t="s">
        <v>679</v>
      </c>
      <c r="AU79" s="2">
        <v>45994.0</v>
      </c>
      <c r="AV79" s="2">
        <v>46023.9923611111</v>
      </c>
      <c r="AW79" s="1">
        <v>15.0</v>
      </c>
      <c r="AX79" s="1">
        <v>2658050.64</v>
      </c>
      <c r="AY79" s="1">
        <v>707.0</v>
      </c>
      <c r="AZ79" s="1">
        <v>1.0</v>
      </c>
      <c r="BA79" s="1">
        <v>0.0</v>
      </c>
      <c r="BB79" s="1">
        <v>0.0</v>
      </c>
      <c r="BC79" s="2">
        <v>45994.0</v>
      </c>
      <c r="BD79" s="1">
        <v>48.0</v>
      </c>
      <c r="BE79" s="1" t="s">
        <v>550</v>
      </c>
      <c r="BF79" s="1">
        <v>2025.0</v>
      </c>
      <c r="BG79" s="1" t="s">
        <v>558</v>
      </c>
      <c r="BH79" s="7" t="str">
        <f>VLOOKUP(B79,CookieClicks!D:O,12,FALSE)</f>
        <v>https://www.method.me/contact-us/?trc=180&amp;trk=contact-us&amp;trs=gmb-profile&amp;utm_source=seo&amp;utm_medium=google&amp;utm_campaign=my-business-profile</v>
      </c>
      <c r="BI79" s="8" t="str">
        <f>IFERROR(__xludf.DUMMYFUNCTION("VLOOKUP(REGEXREPLACE(BH79,""[?].*"",""""),ContentBuckets!A:C,2,FALSE)"),"Other page")</f>
        <v>Other page</v>
      </c>
      <c r="BJ79" s="8" t="str">
        <f>IFERROR(__xludf.DUMMYFUNCTION("VLOOKUP(REGEXREPLACE(BH79,""[?].*"",""""),ContentBuckets!A:C,3,FALSE)"),"Other page")</f>
        <v>Other page</v>
      </c>
    </row>
    <row r="80" ht="14.25" customHeight="1">
      <c r="A80" s="1">
        <v>153211.0</v>
      </c>
      <c r="B80" s="1" t="s">
        <v>680</v>
      </c>
      <c r="C80" s="2">
        <v>45994.4993055556</v>
      </c>
      <c r="D80" s="2"/>
      <c r="E80" s="2"/>
      <c r="F80" s="1" t="b">
        <v>1</v>
      </c>
      <c r="G80" s="4" t="b">
        <v>0</v>
      </c>
      <c r="H80" s="1" t="b">
        <v>0</v>
      </c>
      <c r="I80" s="1" t="b">
        <v>0</v>
      </c>
      <c r="J80" s="1" t="s">
        <v>534</v>
      </c>
      <c r="K80" s="1" t="s">
        <v>535</v>
      </c>
      <c r="L80" s="1" t="s">
        <v>536</v>
      </c>
      <c r="M80" s="1" t="s">
        <v>537</v>
      </c>
      <c r="N80" s="1">
        <v>0.0</v>
      </c>
      <c r="O80" s="1">
        <v>44.25</v>
      </c>
      <c r="P80" s="1">
        <v>0.0</v>
      </c>
      <c r="Q80" s="1">
        <v>0.0</v>
      </c>
      <c r="R80" s="1">
        <v>28.0</v>
      </c>
      <c r="S80" s="1" t="s">
        <v>538</v>
      </c>
      <c r="T80" s="1" t="s">
        <v>539</v>
      </c>
      <c r="V80" s="4">
        <v>7231310.0</v>
      </c>
      <c r="W80" s="4" t="s">
        <v>540</v>
      </c>
      <c r="X80" s="4">
        <v>0.0</v>
      </c>
      <c r="Y80" s="1">
        <v>1.0</v>
      </c>
      <c r="Z80" s="1">
        <v>0.0</v>
      </c>
      <c r="AA80" s="1">
        <v>0.0</v>
      </c>
      <c r="AB80" s="1">
        <v>0.0</v>
      </c>
      <c r="AC80" s="1">
        <v>0.0</v>
      </c>
      <c r="AD80" s="1">
        <v>0.0</v>
      </c>
      <c r="AE80" s="1">
        <v>0.0</v>
      </c>
      <c r="AF80" s="1">
        <v>0.0</v>
      </c>
      <c r="AG80" s="1">
        <v>0.0</v>
      </c>
      <c r="AH80" s="1">
        <v>0.0</v>
      </c>
      <c r="AI80" s="1">
        <v>0.0</v>
      </c>
      <c r="AJ80" s="1">
        <v>0.0</v>
      </c>
      <c r="AK80" s="1">
        <v>0.0</v>
      </c>
      <c r="AL80" s="1">
        <v>0.0</v>
      </c>
      <c r="AM80" s="4">
        <v>0.0</v>
      </c>
      <c r="AN80" s="1">
        <v>0.0</v>
      </c>
      <c r="AO80" s="4">
        <v>0.0</v>
      </c>
      <c r="AP80" s="1">
        <f t="shared" si="1"/>
        <v>0</v>
      </c>
      <c r="AQ80" s="1" t="s">
        <v>557</v>
      </c>
      <c r="AR80" s="1" t="s">
        <v>681</v>
      </c>
      <c r="AT80" s="1" t="s">
        <v>682</v>
      </c>
      <c r="AU80" s="2">
        <v>45994.0</v>
      </c>
      <c r="AV80" s="2">
        <v>46024.0430555556</v>
      </c>
      <c r="AW80" s="1">
        <v>1.0</v>
      </c>
      <c r="AX80" s="1">
        <v>11928.0</v>
      </c>
      <c r="AY80" s="1">
        <v>60.0</v>
      </c>
      <c r="AZ80" s="1">
        <v>1.0</v>
      </c>
      <c r="BA80" s="1">
        <v>0.0</v>
      </c>
      <c r="BB80" s="1">
        <v>0.0</v>
      </c>
      <c r="BC80" s="2">
        <v>45994.0</v>
      </c>
      <c r="BD80" s="1">
        <v>48.0</v>
      </c>
      <c r="BE80" s="1" t="s">
        <v>550</v>
      </c>
      <c r="BF80" s="1">
        <v>2025.0</v>
      </c>
      <c r="BG80" s="1" t="s">
        <v>558</v>
      </c>
      <c r="BH80" s="7" t="str">
        <f>VLOOKUP(B80,CookieClicks!D:O,12,FALSE)</f>
        <v>https://www.method.me/</v>
      </c>
      <c r="BI80" s="8" t="str">
        <f>IFERROR(__xludf.DUMMYFUNCTION("VLOOKUP(REGEXREPLACE(BH80,""[?].*"",""""),ContentBuckets!A:C,2,FALSE)"),"Homepage")</f>
        <v>Homepage</v>
      </c>
      <c r="BJ80" s="8" t="str">
        <f>IFERROR(__xludf.DUMMYFUNCTION("VLOOKUP(REGEXREPLACE(BH80,""[?].*"",""""),ContentBuckets!A:C,3,FALSE)"),"Other page")</f>
        <v>Other page</v>
      </c>
    </row>
    <row r="81" ht="14.25" customHeight="1">
      <c r="A81" s="1">
        <v>153212.0</v>
      </c>
      <c r="B81" s="1" t="s">
        <v>683</v>
      </c>
      <c r="C81" s="2">
        <v>45994.5152777778</v>
      </c>
      <c r="D81" s="2"/>
      <c r="E81" s="2"/>
      <c r="F81" s="1" t="b">
        <v>1</v>
      </c>
      <c r="G81" s="4" t="b">
        <v>0</v>
      </c>
      <c r="H81" s="1" t="b">
        <v>0</v>
      </c>
      <c r="I81" s="1" t="b">
        <v>0</v>
      </c>
      <c r="J81" s="1" t="s">
        <v>534</v>
      </c>
      <c r="K81" s="1" t="s">
        <v>535</v>
      </c>
      <c r="L81" s="1" t="s">
        <v>536</v>
      </c>
      <c r="M81" s="1" t="s">
        <v>537</v>
      </c>
      <c r="N81" s="1">
        <v>0.0</v>
      </c>
      <c r="O81" s="1">
        <v>44.25</v>
      </c>
      <c r="P81" s="1">
        <v>0.0</v>
      </c>
      <c r="Q81" s="1">
        <v>0.0</v>
      </c>
      <c r="R81" s="1">
        <v>28.0</v>
      </c>
      <c r="S81" s="1" t="s">
        <v>538</v>
      </c>
      <c r="T81" s="1" t="s">
        <v>539</v>
      </c>
      <c r="V81" s="4">
        <v>7231451.0</v>
      </c>
      <c r="W81" s="4" t="s">
        <v>540</v>
      </c>
      <c r="X81" s="4">
        <v>0.0</v>
      </c>
      <c r="Y81" s="1">
        <v>1.0</v>
      </c>
      <c r="Z81" s="1">
        <v>0.0</v>
      </c>
      <c r="AA81" s="1">
        <v>0.0</v>
      </c>
      <c r="AB81" s="1">
        <v>0.0</v>
      </c>
      <c r="AC81" s="1">
        <v>0.0</v>
      </c>
      <c r="AD81" s="1">
        <v>0.0</v>
      </c>
      <c r="AE81" s="1">
        <v>0.0</v>
      </c>
      <c r="AF81" s="1">
        <v>0.0</v>
      </c>
      <c r="AG81" s="1">
        <v>0.0</v>
      </c>
      <c r="AH81" s="1">
        <v>0.0</v>
      </c>
      <c r="AI81" s="1">
        <v>0.0</v>
      </c>
      <c r="AJ81" s="1">
        <v>0.0</v>
      </c>
      <c r="AK81" s="1">
        <v>0.0</v>
      </c>
      <c r="AL81" s="1">
        <v>0.0</v>
      </c>
      <c r="AM81" s="4">
        <v>0.0</v>
      </c>
      <c r="AN81" s="1">
        <v>0.0</v>
      </c>
      <c r="AO81" s="4">
        <v>0.0</v>
      </c>
      <c r="AP81" s="1">
        <f t="shared" si="1"/>
        <v>0</v>
      </c>
      <c r="AQ81" s="1" t="s">
        <v>541</v>
      </c>
      <c r="AR81" s="1" t="s">
        <v>560</v>
      </c>
      <c r="AU81" s="2">
        <v>45994.0</v>
      </c>
      <c r="AV81" s="2">
        <v>46024.0055555556</v>
      </c>
      <c r="AW81" s="1">
        <v>19.0</v>
      </c>
      <c r="AX81" s="1">
        <v>1259388.6</v>
      </c>
      <c r="AY81" s="1">
        <v>8100.0</v>
      </c>
      <c r="AZ81" s="1">
        <v>1.0</v>
      </c>
      <c r="BA81" s="1">
        <v>0.0</v>
      </c>
      <c r="BB81" s="1">
        <v>1.0</v>
      </c>
      <c r="BC81" s="2">
        <v>45994.0</v>
      </c>
      <c r="BD81" s="1">
        <v>48.0</v>
      </c>
      <c r="BE81" s="1" t="s">
        <v>550</v>
      </c>
      <c r="BF81" s="1">
        <v>2025.0</v>
      </c>
      <c r="BG81" s="1" t="s">
        <v>546</v>
      </c>
      <c r="BH81" s="7" t="str">
        <f>VLOOKUP(B81,CookieClicks!D:O,12,FALSE)</f>
        <v>https://www.method.me/</v>
      </c>
      <c r="BI81" s="8" t="str">
        <f>IFERROR(__xludf.DUMMYFUNCTION("VLOOKUP(REGEXREPLACE(BH81,""[?].*"",""""),ContentBuckets!A:C,2,FALSE)"),"Homepage")</f>
        <v>Homepage</v>
      </c>
      <c r="BJ81" s="8" t="str">
        <f>IFERROR(__xludf.DUMMYFUNCTION("VLOOKUP(REGEXREPLACE(BH81,""[?].*"",""""),ContentBuckets!A:C,3,FALSE)"),"Other page")</f>
        <v>Other page</v>
      </c>
    </row>
    <row r="82" ht="14.25" customHeight="1">
      <c r="A82" s="1">
        <v>153213.0</v>
      </c>
      <c r="B82" s="1" t="s">
        <v>684</v>
      </c>
      <c r="C82" s="2">
        <v>45994.5194444444</v>
      </c>
      <c r="D82" s="2"/>
      <c r="E82" s="2">
        <v>46001.5569444444</v>
      </c>
      <c r="F82" s="1" t="b">
        <v>1</v>
      </c>
      <c r="G82" s="4" t="b">
        <v>0</v>
      </c>
      <c r="H82" s="1" t="b">
        <v>0</v>
      </c>
      <c r="I82" s="1" t="b">
        <v>0</v>
      </c>
      <c r="J82" s="1" t="s">
        <v>534</v>
      </c>
      <c r="K82" s="1" t="s">
        <v>535</v>
      </c>
      <c r="L82" s="1" t="s">
        <v>536</v>
      </c>
      <c r="M82" s="1" t="s">
        <v>537</v>
      </c>
      <c r="N82" s="1">
        <v>63.75</v>
      </c>
      <c r="O82" s="1">
        <v>63.75</v>
      </c>
      <c r="P82" s="1">
        <v>775.0</v>
      </c>
      <c r="Q82" s="1">
        <v>775.0</v>
      </c>
      <c r="R82" s="1">
        <v>28.0</v>
      </c>
      <c r="S82" s="1" t="s">
        <v>538</v>
      </c>
      <c r="T82" s="1" t="s">
        <v>539</v>
      </c>
      <c r="V82" s="4">
        <v>7231589.0</v>
      </c>
      <c r="W82" s="4"/>
      <c r="X82" s="4">
        <v>0.0</v>
      </c>
      <c r="Y82" s="1">
        <v>0.0</v>
      </c>
      <c r="Z82" s="1">
        <v>0.0</v>
      </c>
      <c r="AA82" s="1">
        <v>1.0</v>
      </c>
      <c r="AB82" s="1">
        <v>0.0</v>
      </c>
      <c r="AC82" s="1">
        <v>0.0</v>
      </c>
      <c r="AD82" s="1">
        <v>0.0</v>
      </c>
      <c r="AE82" s="1">
        <v>0.0</v>
      </c>
      <c r="AF82" s="1">
        <v>0.0</v>
      </c>
      <c r="AG82" s="1">
        <v>0.0</v>
      </c>
      <c r="AH82" s="1">
        <v>0.0</v>
      </c>
      <c r="AI82" s="1">
        <v>0.0</v>
      </c>
      <c r="AJ82" s="1">
        <v>0.0</v>
      </c>
      <c r="AK82" s="1">
        <v>0.0</v>
      </c>
      <c r="AL82" s="1">
        <v>0.0</v>
      </c>
      <c r="AM82" s="4">
        <v>0.0</v>
      </c>
      <c r="AN82" s="1">
        <v>0.0</v>
      </c>
      <c r="AO82" s="4">
        <v>0.0</v>
      </c>
      <c r="AP82" s="1">
        <f t="shared" si="1"/>
        <v>0</v>
      </c>
      <c r="AQ82" s="1" t="s">
        <v>557</v>
      </c>
      <c r="AR82" s="1" t="s">
        <v>564</v>
      </c>
      <c r="AU82" s="2">
        <v>45994.0</v>
      </c>
      <c r="AV82" s="2">
        <v>46024.0381944444</v>
      </c>
      <c r="AW82" s="1">
        <v>3.0</v>
      </c>
      <c r="AX82" s="1">
        <v>1269229.68</v>
      </c>
      <c r="AY82" s="1">
        <v>928.0</v>
      </c>
      <c r="AZ82" s="1">
        <v>1.0</v>
      </c>
      <c r="BA82" s="1">
        <v>0.0</v>
      </c>
      <c r="BB82" s="1">
        <v>8.0</v>
      </c>
      <c r="BC82" s="2">
        <v>45994.0</v>
      </c>
      <c r="BD82" s="1">
        <v>48.0</v>
      </c>
      <c r="BE82" s="1" t="s">
        <v>550</v>
      </c>
      <c r="BF82" s="1">
        <v>2025.0</v>
      </c>
      <c r="BG82" s="1" t="s">
        <v>558</v>
      </c>
      <c r="BH82" s="7" t="str">
        <f>VLOOKUP(B82,CookieClicks!D:O,12,FALSE)</f>
        <v>http://signup.method.me/methodcrm?trc=81&amp;trk=freetrial&amp;trs=G2&amp;utm_source=G2&amp;utm_medium=cpc&amp;utm_campaign=G2-profile</v>
      </c>
      <c r="BI82" s="8" t="str">
        <f>IFERROR(__xludf.DUMMYFUNCTION("VLOOKUP(REGEXREPLACE(BH82,""[?].*"",""""),ContentBuckets!A:C,2,FALSE)"),"#N/A")</f>
        <v>#N/A</v>
      </c>
      <c r="BJ82" s="8" t="str">
        <f>IFERROR(__xludf.DUMMYFUNCTION("VLOOKUP(REGEXREPLACE(BH82,""[?].*"",""""),ContentBuckets!A:C,3,FALSE)"),"#N/A")</f>
        <v>#N/A</v>
      </c>
    </row>
    <row r="83" ht="14.25" customHeight="1">
      <c r="A83" s="1">
        <v>153214.0</v>
      </c>
      <c r="B83" s="1" t="s">
        <v>685</v>
      </c>
      <c r="C83" s="2">
        <v>45994.5215277778</v>
      </c>
      <c r="D83" s="2"/>
      <c r="E83" s="2"/>
      <c r="F83" s="1" t="b">
        <v>1</v>
      </c>
      <c r="G83" s="4" t="b">
        <v>0</v>
      </c>
      <c r="H83" s="1" t="b">
        <v>0</v>
      </c>
      <c r="I83" s="1" t="b">
        <v>0</v>
      </c>
      <c r="J83" s="1" t="s">
        <v>534</v>
      </c>
      <c r="K83" s="1" t="s">
        <v>553</v>
      </c>
      <c r="L83" s="1" t="s">
        <v>599</v>
      </c>
      <c r="M83" s="1" t="s">
        <v>537</v>
      </c>
      <c r="N83" s="1">
        <v>0.0</v>
      </c>
      <c r="O83" s="1">
        <v>44.25</v>
      </c>
      <c r="P83" s="1">
        <v>0.0</v>
      </c>
      <c r="Q83" s="1">
        <v>0.0</v>
      </c>
      <c r="R83" s="1">
        <v>0.0</v>
      </c>
      <c r="S83" s="1" t="s">
        <v>538</v>
      </c>
      <c r="T83" s="1" t="s">
        <v>539</v>
      </c>
      <c r="V83" s="4">
        <v>7231606.0</v>
      </c>
      <c r="W83" s="4"/>
      <c r="X83" s="4">
        <v>1.0</v>
      </c>
      <c r="Y83" s="1">
        <v>0.0</v>
      </c>
      <c r="Z83" s="1">
        <v>0.0</v>
      </c>
      <c r="AA83" s="1">
        <v>0.0</v>
      </c>
      <c r="AB83" s="1">
        <v>0.0</v>
      </c>
      <c r="AC83" s="1">
        <v>0.0</v>
      </c>
      <c r="AD83" s="1">
        <v>0.0</v>
      </c>
      <c r="AE83" s="1">
        <v>0.0</v>
      </c>
      <c r="AF83" s="1">
        <v>0.0</v>
      </c>
      <c r="AG83" s="1">
        <v>0.0</v>
      </c>
      <c r="AH83" s="1">
        <v>0.0</v>
      </c>
      <c r="AI83" s="1">
        <v>0.0</v>
      </c>
      <c r="AJ83" s="1">
        <v>0.0</v>
      </c>
      <c r="AK83" s="1">
        <v>0.0</v>
      </c>
      <c r="AL83" s="1">
        <v>0.0</v>
      </c>
      <c r="AM83" s="4">
        <v>0.0</v>
      </c>
      <c r="AN83" s="1">
        <v>0.0</v>
      </c>
      <c r="AO83" s="4">
        <v>0.0</v>
      </c>
      <c r="AP83" s="1">
        <f t="shared" si="1"/>
        <v>0</v>
      </c>
      <c r="AU83" s="2"/>
      <c r="AV83" s="2">
        <v>46023.9881944444</v>
      </c>
      <c r="AW83" s="1">
        <v>0.0</v>
      </c>
      <c r="AX83" s="1">
        <v>0.0</v>
      </c>
      <c r="AY83" s="1">
        <v>0.0</v>
      </c>
      <c r="AZ83" s="1">
        <v>1.0</v>
      </c>
      <c r="BA83" s="1">
        <v>0.0</v>
      </c>
      <c r="BB83" s="1">
        <v>0.0</v>
      </c>
      <c r="BC83" s="2">
        <v>45994.0</v>
      </c>
      <c r="BD83" s="1">
        <v>48.0</v>
      </c>
      <c r="BE83" s="1" t="s">
        <v>550</v>
      </c>
      <c r="BF83" s="1">
        <v>2025.0</v>
      </c>
      <c r="BG83" s="1" t="s">
        <v>686</v>
      </c>
      <c r="BH83" s="7" t="str">
        <f>VLOOKUP(B83,CookieClicks!D:O,12,FALSE)</f>
        <v>https://www.method.me/</v>
      </c>
      <c r="BI83" s="8" t="str">
        <f>IFERROR(__xludf.DUMMYFUNCTION("VLOOKUP(REGEXREPLACE(BH83,""[?].*"",""""),ContentBuckets!A:C,2,FALSE)"),"Homepage")</f>
        <v>Homepage</v>
      </c>
      <c r="BJ83" s="8" t="str">
        <f>IFERROR(__xludf.DUMMYFUNCTION("VLOOKUP(REGEXREPLACE(BH83,""[?].*"",""""),ContentBuckets!A:C,3,FALSE)"),"Other page")</f>
        <v>Other page</v>
      </c>
    </row>
    <row r="84" ht="14.25" customHeight="1">
      <c r="A84" s="1">
        <v>153215.0</v>
      </c>
      <c r="B84" s="1" t="s">
        <v>687</v>
      </c>
      <c r="C84" s="2">
        <v>45994.5305555556</v>
      </c>
      <c r="D84" s="2"/>
      <c r="E84" s="2"/>
      <c r="F84" s="1" t="b">
        <v>1</v>
      </c>
      <c r="G84" s="4" t="b">
        <v>0</v>
      </c>
      <c r="H84" s="1" t="b">
        <v>0</v>
      </c>
      <c r="I84" s="1" t="b">
        <v>0</v>
      </c>
      <c r="J84" s="1" t="s">
        <v>534</v>
      </c>
      <c r="K84" s="1" t="s">
        <v>535</v>
      </c>
      <c r="L84" s="1" t="s">
        <v>536</v>
      </c>
      <c r="M84" s="1" t="s">
        <v>537</v>
      </c>
      <c r="N84" s="1">
        <v>0.0</v>
      </c>
      <c r="O84" s="1">
        <v>177.0</v>
      </c>
      <c r="P84" s="1">
        <v>0.0</v>
      </c>
      <c r="Q84" s="1">
        <v>0.0</v>
      </c>
      <c r="R84" s="1">
        <v>28.0</v>
      </c>
      <c r="S84" s="1" t="s">
        <v>538</v>
      </c>
      <c r="T84" s="1" t="s">
        <v>539</v>
      </c>
      <c r="V84" s="4">
        <v>7193888.0</v>
      </c>
      <c r="W84" s="4" t="s">
        <v>540</v>
      </c>
      <c r="X84" s="4">
        <v>0.0</v>
      </c>
      <c r="Y84" s="1">
        <v>1.0</v>
      </c>
      <c r="Z84" s="1">
        <v>0.0</v>
      </c>
      <c r="AA84" s="1">
        <v>0.0</v>
      </c>
      <c r="AB84" s="1">
        <v>0.0</v>
      </c>
      <c r="AC84" s="1">
        <v>0.0</v>
      </c>
      <c r="AD84" s="1">
        <v>0.0</v>
      </c>
      <c r="AE84" s="1">
        <v>0.0</v>
      </c>
      <c r="AF84" s="1">
        <v>0.0</v>
      </c>
      <c r="AG84" s="1">
        <v>0.0</v>
      </c>
      <c r="AH84" s="1">
        <v>0.0</v>
      </c>
      <c r="AI84" s="1">
        <v>0.0</v>
      </c>
      <c r="AJ84" s="1">
        <v>0.0</v>
      </c>
      <c r="AK84" s="1">
        <v>0.0</v>
      </c>
      <c r="AL84" s="1">
        <v>0.0</v>
      </c>
      <c r="AM84" s="4">
        <v>0.0</v>
      </c>
      <c r="AN84" s="1">
        <v>0.0</v>
      </c>
      <c r="AO84" s="4">
        <v>0.0</v>
      </c>
      <c r="AP84" s="1">
        <f t="shared" si="1"/>
        <v>0</v>
      </c>
      <c r="AQ84" s="1" t="s">
        <v>541</v>
      </c>
      <c r="AR84" s="1" t="s">
        <v>578</v>
      </c>
      <c r="AU84" s="2">
        <v>45994.0</v>
      </c>
      <c r="AV84" s="2">
        <v>46023.9868055556</v>
      </c>
      <c r="AW84" s="1">
        <v>33.0</v>
      </c>
      <c r="AX84" s="1">
        <v>0.0</v>
      </c>
      <c r="AY84" s="1">
        <v>5770.0</v>
      </c>
      <c r="AZ84" s="1">
        <v>4.0</v>
      </c>
      <c r="BA84" s="1">
        <v>0.0</v>
      </c>
      <c r="BB84" s="1">
        <v>0.0</v>
      </c>
      <c r="BC84" s="2">
        <v>45994.0</v>
      </c>
      <c r="BD84" s="1">
        <v>48.0</v>
      </c>
      <c r="BE84" s="1" t="s">
        <v>550</v>
      </c>
      <c r="BF84" s="1">
        <v>2025.0</v>
      </c>
      <c r="BG84" s="1" t="s">
        <v>546</v>
      </c>
      <c r="BH84" s="7" t="str">
        <f>VLOOKUP(B84,CookieClicks!D:O,12,FALSE)</f>
        <v>http://signup.method.me/methodcrm</v>
      </c>
      <c r="BI84" s="8" t="str">
        <f>IFERROR(__xludf.DUMMYFUNCTION("VLOOKUP(REGEXREPLACE(BH84,""[?].*"",""""),ContentBuckets!A:C,2,FALSE)"),"#N/A")</f>
        <v>#N/A</v>
      </c>
      <c r="BJ84" s="8" t="str">
        <f>IFERROR(__xludf.DUMMYFUNCTION("VLOOKUP(REGEXREPLACE(BH84,""[?].*"",""""),ContentBuckets!A:C,3,FALSE)"),"#N/A")</f>
        <v>#N/A</v>
      </c>
    </row>
    <row r="85" ht="14.25" customHeight="1">
      <c r="A85" s="1">
        <v>153216.0</v>
      </c>
      <c r="B85" s="1" t="s">
        <v>688</v>
      </c>
      <c r="C85" s="2">
        <v>45994.5625</v>
      </c>
      <c r="D85" s="2"/>
      <c r="E85" s="2">
        <v>46002.7868055556</v>
      </c>
      <c r="F85" s="1" t="b">
        <v>1</v>
      </c>
      <c r="G85" s="4" t="b">
        <v>0</v>
      </c>
      <c r="H85" s="1" t="b">
        <v>0</v>
      </c>
      <c r="I85" s="1" t="b">
        <v>0</v>
      </c>
      <c r="J85" s="1" t="s">
        <v>534</v>
      </c>
      <c r="K85" s="1" t="s">
        <v>535</v>
      </c>
      <c r="L85" s="1" t="s">
        <v>536</v>
      </c>
      <c r="M85" s="1" t="s">
        <v>537</v>
      </c>
      <c r="N85" s="1">
        <v>88.5</v>
      </c>
      <c r="O85" s="1">
        <v>88.5</v>
      </c>
      <c r="P85" s="1">
        <v>0.0</v>
      </c>
      <c r="Q85" s="1">
        <v>0.0</v>
      </c>
      <c r="R85" s="1">
        <v>28.0</v>
      </c>
      <c r="S85" s="1" t="s">
        <v>538</v>
      </c>
      <c r="T85" s="1" t="s">
        <v>539</v>
      </c>
      <c r="V85" s="4">
        <v>7231851.0</v>
      </c>
      <c r="W85" s="4"/>
      <c r="X85" s="4">
        <v>0.0</v>
      </c>
      <c r="Y85" s="1">
        <v>0.0</v>
      </c>
      <c r="Z85" s="1">
        <v>0.0</v>
      </c>
      <c r="AA85" s="1">
        <v>1.0</v>
      </c>
      <c r="AB85" s="1">
        <v>0.0</v>
      </c>
      <c r="AC85" s="1">
        <v>0.0</v>
      </c>
      <c r="AD85" s="1">
        <v>0.0</v>
      </c>
      <c r="AE85" s="1">
        <v>0.0</v>
      </c>
      <c r="AF85" s="1">
        <v>0.0</v>
      </c>
      <c r="AG85" s="1">
        <v>0.0</v>
      </c>
      <c r="AH85" s="1">
        <v>0.0</v>
      </c>
      <c r="AI85" s="1">
        <v>0.0</v>
      </c>
      <c r="AJ85" s="1">
        <v>0.0</v>
      </c>
      <c r="AK85" s="1">
        <v>0.0</v>
      </c>
      <c r="AL85" s="1">
        <v>0.0</v>
      </c>
      <c r="AM85" s="4">
        <v>0.0</v>
      </c>
      <c r="AN85" s="1">
        <v>0.0</v>
      </c>
      <c r="AO85" s="4">
        <v>0.0</v>
      </c>
      <c r="AP85" s="1">
        <f t="shared" si="1"/>
        <v>0</v>
      </c>
      <c r="AQ85" s="1" t="s">
        <v>557</v>
      </c>
      <c r="AR85" s="1" t="s">
        <v>560</v>
      </c>
      <c r="AT85" s="1" t="s">
        <v>689</v>
      </c>
      <c r="AU85" s="2">
        <v>45994.0</v>
      </c>
      <c r="AV85" s="2">
        <v>46023.9930555556</v>
      </c>
      <c r="AW85" s="1">
        <v>0.0</v>
      </c>
      <c r="AX85" s="1">
        <v>92940.0</v>
      </c>
      <c r="AY85" s="1">
        <v>0.0</v>
      </c>
      <c r="AZ85" s="1">
        <v>2.0</v>
      </c>
      <c r="BA85" s="1">
        <v>0.0</v>
      </c>
      <c r="BB85" s="1">
        <v>0.0</v>
      </c>
      <c r="BC85" s="2">
        <v>45994.0</v>
      </c>
      <c r="BD85" s="1">
        <v>48.0</v>
      </c>
      <c r="BE85" s="1" t="s">
        <v>550</v>
      </c>
      <c r="BF85" s="1">
        <v>2025.0</v>
      </c>
      <c r="BG85" s="1" t="s">
        <v>558</v>
      </c>
      <c r="BH85" s="7" t="str">
        <f>VLOOKUP(B85,CookieClicks!D:O,12,FALSE)</f>
        <v>https://www.method.me/quickbooks-crm/?trc=81&amp;trk=&amp;trs=USA-DSA-QB&amp;campaignid=13038312612&amp;adgroupid=128764620688&amp;adid=776781070272&amp;gad_source=1&amp;gad_campaignid=13038312612&amp;gbraid=0AAAAAD3ItnZKpzd3lODAba8pKfFEjv0PS&amp;gclid=CjwKCAiA3L_JBhAlEiwAlcWO586sd9uwlYeuVd1KVMq1XHVUHWwm6OOs-7KHnncKPjvfxDnbUun8hhoCK3AQAvD_BwE</v>
      </c>
      <c r="BI85" s="8" t="str">
        <f>IFERROR(__xludf.DUMMYFUNCTION("VLOOKUP(REGEXREPLACE(BH85,""[?].*"",""""),ContentBuckets!A:C,2,FALSE)"),"/crm-quickbooks/")</f>
        <v>/crm-quickbooks/</v>
      </c>
      <c r="BJ85" s="8" t="str">
        <f>IFERROR(__xludf.DUMMYFUNCTION("VLOOKUP(REGEXREPLACE(BH85,""[?].*"",""""),ContentBuckets!A:C,3,FALSE)"),"Other page")</f>
        <v>Other page</v>
      </c>
    </row>
    <row r="86" ht="14.25" customHeight="1">
      <c r="A86" s="1">
        <v>153217.0</v>
      </c>
      <c r="B86" s="1" t="s">
        <v>690</v>
      </c>
      <c r="C86" s="2">
        <v>45994.5652777778</v>
      </c>
      <c r="D86" s="2"/>
      <c r="E86" s="2">
        <v>46008.4861111111</v>
      </c>
      <c r="F86" s="1" t="b">
        <v>1</v>
      </c>
      <c r="G86" s="4" t="b">
        <v>0</v>
      </c>
      <c r="H86" s="1" t="b">
        <v>0</v>
      </c>
      <c r="I86" s="1" t="b">
        <v>0</v>
      </c>
      <c r="J86" s="1" t="s">
        <v>534</v>
      </c>
      <c r="K86" s="1" t="s">
        <v>535</v>
      </c>
      <c r="L86" s="1" t="s">
        <v>536</v>
      </c>
      <c r="M86" s="1" t="s">
        <v>537</v>
      </c>
      <c r="N86" s="1">
        <v>44.25</v>
      </c>
      <c r="O86" s="1">
        <v>44.25</v>
      </c>
      <c r="P86" s="1">
        <v>0.0</v>
      </c>
      <c r="Q86" s="1">
        <v>0.0</v>
      </c>
      <c r="R86" s="1">
        <v>28.0</v>
      </c>
      <c r="S86" s="1" t="s">
        <v>538</v>
      </c>
      <c r="T86" s="1" t="s">
        <v>539</v>
      </c>
      <c r="V86" s="4">
        <v>7156504.0</v>
      </c>
      <c r="W86" s="4"/>
      <c r="X86" s="4">
        <v>0.0</v>
      </c>
      <c r="Y86" s="1">
        <v>0.0</v>
      </c>
      <c r="Z86" s="1">
        <v>0.0</v>
      </c>
      <c r="AA86" s="1">
        <v>0.0</v>
      </c>
      <c r="AB86" s="1">
        <v>0.0</v>
      </c>
      <c r="AC86" s="1">
        <v>1.0</v>
      </c>
      <c r="AD86" s="1">
        <v>0.0</v>
      </c>
      <c r="AE86" s="1">
        <v>0.0</v>
      </c>
      <c r="AF86" s="1">
        <v>0.0</v>
      </c>
      <c r="AG86" s="1">
        <v>0.0</v>
      </c>
      <c r="AH86" s="1">
        <v>0.0</v>
      </c>
      <c r="AI86" s="1">
        <v>0.0</v>
      </c>
      <c r="AJ86" s="1">
        <v>0.0</v>
      </c>
      <c r="AK86" s="1">
        <v>0.0</v>
      </c>
      <c r="AL86" s="1">
        <v>0.0</v>
      </c>
      <c r="AM86" s="4">
        <v>0.0</v>
      </c>
      <c r="AN86" s="1">
        <v>0.0</v>
      </c>
      <c r="AO86" s="4">
        <v>0.0</v>
      </c>
      <c r="AP86" s="1">
        <f t="shared" si="1"/>
        <v>0</v>
      </c>
      <c r="AQ86" s="1" t="s">
        <v>557</v>
      </c>
      <c r="AR86" s="1" t="s">
        <v>591</v>
      </c>
      <c r="AU86" s="2">
        <v>45994.0</v>
      </c>
      <c r="AV86" s="2">
        <v>46023.98125</v>
      </c>
      <c r="AW86" s="1">
        <v>36.0</v>
      </c>
      <c r="AX86" s="1">
        <v>880832.04</v>
      </c>
      <c r="AY86" s="1">
        <v>383.0</v>
      </c>
      <c r="AZ86" s="1">
        <v>1.0</v>
      </c>
      <c r="BA86" s="1">
        <v>0.0</v>
      </c>
      <c r="BB86" s="1">
        <v>0.0</v>
      </c>
      <c r="BC86" s="2">
        <v>45994.0</v>
      </c>
      <c r="BD86" s="1">
        <v>48.0</v>
      </c>
      <c r="BE86" s="1" t="s">
        <v>550</v>
      </c>
      <c r="BF86" s="1">
        <v>2025.0</v>
      </c>
      <c r="BG86" s="1" t="s">
        <v>558</v>
      </c>
      <c r="BH86" s="1" t="str">
        <f>VLOOKUP(B86,CookieClicks!D:O,12,FALSE)</f>
        <v>https://grow.method.me/black-friday-cyber-monday-2025/?trc=711&amp;trk=1stCTA&amp;trs=Email1&amp;utm_campaign=%5B6733%5D%3A 1 0 Black Friday Promo - Leads&amp;utm_content=Get 25  off when you try Method  👀&amp;utm_medium=email&amp;utm_source=ActiveCampaign&amp;vgo_ee=GNoBeZ5kARjN7xAGDE%2Bf2s86Eg9QQAE%2F3CtjXsGf5xnDFijrT18Dug%3D%3D%3A2ymmcwqtXVxwvFjkq06pmpOm7onfJhbi</v>
      </c>
      <c r="BI86" s="8" t="str">
        <f>IFERROR(__xludf.DUMMYFUNCTION("VLOOKUP(REGEXREPLACE(BH86,""[?].*"",""""),ContentBuckets!A:C,2,FALSE)"),"#N/A")</f>
        <v>#N/A</v>
      </c>
      <c r="BJ86" s="8" t="str">
        <f>IFERROR(__xludf.DUMMYFUNCTION("VLOOKUP(REGEXREPLACE(BH86,""[?].*"",""""),ContentBuckets!A:C,3,FALSE)"),"#N/A")</f>
        <v>#N/A</v>
      </c>
    </row>
    <row r="87" ht="14.25" customHeight="1">
      <c r="A87" s="1">
        <v>153218.0</v>
      </c>
      <c r="B87" s="1" t="s">
        <v>691</v>
      </c>
      <c r="C87" s="2">
        <v>45994.5847222222</v>
      </c>
      <c r="D87" s="2"/>
      <c r="E87" s="2"/>
      <c r="F87" s="1" t="b">
        <v>1</v>
      </c>
      <c r="G87" s="4" t="b">
        <v>0</v>
      </c>
      <c r="H87" s="1" t="b">
        <v>0</v>
      </c>
      <c r="I87" s="1" t="b">
        <v>0</v>
      </c>
      <c r="J87" s="1" t="s">
        <v>534</v>
      </c>
      <c r="K87" s="1" t="s">
        <v>622</v>
      </c>
      <c r="L87" s="1" t="s">
        <v>623</v>
      </c>
      <c r="M87" s="1" t="s">
        <v>537</v>
      </c>
      <c r="N87" s="1">
        <v>0.0</v>
      </c>
      <c r="O87" s="1">
        <v>62.25</v>
      </c>
      <c r="P87" s="1">
        <v>0.0</v>
      </c>
      <c r="Q87" s="1">
        <v>0.0</v>
      </c>
      <c r="R87" s="1">
        <v>0.0</v>
      </c>
      <c r="S87" s="1" t="s">
        <v>538</v>
      </c>
      <c r="T87" s="1" t="s">
        <v>539</v>
      </c>
      <c r="V87" s="4">
        <v>7004999.0</v>
      </c>
      <c r="W87" s="4"/>
      <c r="X87" s="4">
        <v>1.0</v>
      </c>
      <c r="Y87" s="1">
        <v>0.0</v>
      </c>
      <c r="Z87" s="1">
        <v>0.0</v>
      </c>
      <c r="AA87" s="1">
        <v>0.0</v>
      </c>
      <c r="AB87" s="1">
        <v>0.0</v>
      </c>
      <c r="AC87" s="1">
        <v>0.0</v>
      </c>
      <c r="AD87" s="1">
        <v>0.0</v>
      </c>
      <c r="AE87" s="1">
        <v>0.0</v>
      </c>
      <c r="AF87" s="1">
        <v>0.0</v>
      </c>
      <c r="AG87" s="1">
        <v>0.0</v>
      </c>
      <c r="AH87" s="1">
        <v>0.0</v>
      </c>
      <c r="AI87" s="1">
        <v>0.0</v>
      </c>
      <c r="AJ87" s="1">
        <v>0.0</v>
      </c>
      <c r="AK87" s="1">
        <v>0.0</v>
      </c>
      <c r="AL87" s="1">
        <v>0.0</v>
      </c>
      <c r="AM87" s="4">
        <v>0.0</v>
      </c>
      <c r="AN87" s="1">
        <v>0.0</v>
      </c>
      <c r="AO87" s="4">
        <v>0.0</v>
      </c>
      <c r="AP87" s="1">
        <f t="shared" si="1"/>
        <v>0</v>
      </c>
      <c r="AQ87" s="1" t="s">
        <v>692</v>
      </c>
      <c r="AU87" s="2">
        <v>46008.0</v>
      </c>
      <c r="AV87" s="2">
        <v>46024.0381944444</v>
      </c>
      <c r="AW87" s="1">
        <v>0.0</v>
      </c>
      <c r="AX87" s="1">
        <v>5130000.0</v>
      </c>
      <c r="AY87" s="1">
        <v>0.0</v>
      </c>
      <c r="AZ87" s="1">
        <v>1.0</v>
      </c>
      <c r="BA87" s="1">
        <v>0.0</v>
      </c>
      <c r="BB87" s="1">
        <v>14.0</v>
      </c>
      <c r="BC87" s="2">
        <v>45994.0</v>
      </c>
      <c r="BD87" s="1">
        <v>48.0</v>
      </c>
      <c r="BE87" s="1" t="s">
        <v>550</v>
      </c>
      <c r="BF87" s="1">
        <v>2025.0</v>
      </c>
      <c r="BG87" s="1" t="s">
        <v>624</v>
      </c>
      <c r="BH87" s="7" t="str">
        <f>VLOOKUP(B87,CookieClicks!D:O,12,FALSE)</f>
        <v>https://www.method.me/</v>
      </c>
      <c r="BI87" s="8" t="str">
        <f>IFERROR(__xludf.DUMMYFUNCTION("VLOOKUP(REGEXREPLACE(BH87,""[?].*"",""""),ContentBuckets!A:C,2,FALSE)"),"Homepage")</f>
        <v>Homepage</v>
      </c>
      <c r="BJ87" s="8" t="str">
        <f>IFERROR(__xludf.DUMMYFUNCTION("VLOOKUP(REGEXREPLACE(BH87,""[?].*"",""""),ContentBuckets!A:C,3,FALSE)"),"Other page")</f>
        <v>Other page</v>
      </c>
    </row>
    <row r="88" ht="14.25" customHeight="1">
      <c r="A88" s="1">
        <v>153219.0</v>
      </c>
      <c r="B88" s="1" t="s">
        <v>693</v>
      </c>
      <c r="C88" s="2">
        <v>45994.5895833333</v>
      </c>
      <c r="D88" s="2">
        <v>45994.6243055556</v>
      </c>
      <c r="E88" s="2"/>
      <c r="F88" s="1" t="b">
        <v>0</v>
      </c>
      <c r="G88" s="4" t="b">
        <v>1</v>
      </c>
      <c r="H88" s="1" t="b">
        <v>0</v>
      </c>
      <c r="I88" s="1" t="b">
        <v>0</v>
      </c>
      <c r="J88" s="1" t="s">
        <v>534</v>
      </c>
      <c r="K88" s="1" t="s">
        <v>535</v>
      </c>
      <c r="L88" s="1" t="s">
        <v>536</v>
      </c>
      <c r="M88" s="1" t="s">
        <v>537</v>
      </c>
      <c r="N88" s="1">
        <v>0.0</v>
      </c>
      <c r="O88" s="1">
        <v>0.0</v>
      </c>
      <c r="P88" s="1">
        <v>0.0</v>
      </c>
      <c r="Q88" s="1">
        <v>0.0</v>
      </c>
      <c r="R88" s="1">
        <v>0.0</v>
      </c>
      <c r="S88" s="1" t="s">
        <v>538</v>
      </c>
      <c r="T88" s="1" t="s">
        <v>539</v>
      </c>
      <c r="V88" s="4">
        <v>7232226.0</v>
      </c>
      <c r="W88" s="4" t="s">
        <v>540</v>
      </c>
      <c r="X88" s="4">
        <v>0.0</v>
      </c>
      <c r="Y88" s="1">
        <v>1.0</v>
      </c>
      <c r="Z88" s="1">
        <v>0.0</v>
      </c>
      <c r="AA88" s="1">
        <v>0.0</v>
      </c>
      <c r="AB88" s="1">
        <v>0.0</v>
      </c>
      <c r="AC88" s="1">
        <v>0.0</v>
      </c>
      <c r="AD88" s="1">
        <v>0.0</v>
      </c>
      <c r="AE88" s="1">
        <v>0.0</v>
      </c>
      <c r="AF88" s="1">
        <v>0.0</v>
      </c>
      <c r="AG88" s="1">
        <v>0.0</v>
      </c>
      <c r="AH88" s="1">
        <v>0.0</v>
      </c>
      <c r="AI88" s="1">
        <v>0.0</v>
      </c>
      <c r="AJ88" s="1">
        <v>0.0</v>
      </c>
      <c r="AK88" s="1">
        <v>0.0</v>
      </c>
      <c r="AL88" s="1">
        <v>0.0</v>
      </c>
      <c r="AM88" s="4">
        <v>0.0</v>
      </c>
      <c r="AN88" s="1">
        <v>0.0</v>
      </c>
      <c r="AO88" s="4">
        <v>0.0</v>
      </c>
      <c r="AP88" s="1">
        <f t="shared" si="1"/>
        <v>0</v>
      </c>
      <c r="AU88" s="2"/>
      <c r="AV88" s="2"/>
      <c r="AW88" s="1">
        <v>0.0</v>
      </c>
      <c r="AX88" s="1">
        <v>0.0</v>
      </c>
      <c r="AY88" s="1">
        <v>0.0</v>
      </c>
      <c r="AZ88" s="1">
        <v>1.0</v>
      </c>
      <c r="BA88" s="1">
        <v>0.0</v>
      </c>
      <c r="BB88" s="1">
        <v>0.0</v>
      </c>
      <c r="BC88" s="2">
        <v>45994.0</v>
      </c>
      <c r="BD88" s="1">
        <v>48.0</v>
      </c>
      <c r="BE88" s="1" t="s">
        <v>550</v>
      </c>
      <c r="BF88" s="1">
        <v>2025.0</v>
      </c>
      <c r="BG88" s="1" t="s">
        <v>694</v>
      </c>
      <c r="BH88" s="7" t="str">
        <f>VLOOKUP(B88,CookieClicks!D:O,12,FALSE)</f>
        <v>https://www.method.me/features/mobile-app/</v>
      </c>
      <c r="BI88" s="8" t="str">
        <f>IFERROR(__xludf.DUMMYFUNCTION("VLOOKUP(REGEXREPLACE(BH88,""[?].*"",""""),ContentBuckets!A:C,2,FALSE)"),"Features page")</f>
        <v>Features page</v>
      </c>
      <c r="BJ88" s="8" t="str">
        <f>IFERROR(__xludf.DUMMYFUNCTION("VLOOKUP(REGEXREPLACE(BH88,""[?].*"",""""),ContentBuckets!A:C,3,FALSE)"),"Other page")</f>
        <v>Other page</v>
      </c>
    </row>
    <row r="89" ht="14.25" customHeight="1">
      <c r="A89" s="1">
        <v>153220.0</v>
      </c>
      <c r="B89" s="1" t="s">
        <v>695</v>
      </c>
      <c r="C89" s="2">
        <v>45994.6326388889</v>
      </c>
      <c r="D89" s="2">
        <v>46000.6916666667</v>
      </c>
      <c r="E89" s="2"/>
      <c r="F89" s="1" t="b">
        <v>0</v>
      </c>
      <c r="G89" s="4" t="b">
        <v>0</v>
      </c>
      <c r="H89" s="1" t="b">
        <v>0</v>
      </c>
      <c r="I89" s="1" t="b">
        <v>0</v>
      </c>
      <c r="J89" s="1" t="s">
        <v>534</v>
      </c>
      <c r="K89" s="1" t="s">
        <v>566</v>
      </c>
      <c r="L89" s="1" t="s">
        <v>567</v>
      </c>
      <c r="M89" s="1" t="s">
        <v>537</v>
      </c>
      <c r="N89" s="1">
        <v>0.0</v>
      </c>
      <c r="O89" s="1">
        <v>53.25</v>
      </c>
      <c r="P89" s="1">
        <v>0.0</v>
      </c>
      <c r="Q89" s="1">
        <v>0.0</v>
      </c>
      <c r="R89" s="1">
        <v>0.0</v>
      </c>
      <c r="S89" s="1" t="s">
        <v>538</v>
      </c>
      <c r="T89" s="1" t="s">
        <v>539</v>
      </c>
      <c r="V89" s="4">
        <v>7232539.0</v>
      </c>
      <c r="W89" s="4" t="s">
        <v>540</v>
      </c>
      <c r="X89" s="4">
        <v>0.0</v>
      </c>
      <c r="Y89" s="1">
        <v>1.0</v>
      </c>
      <c r="Z89" s="1">
        <v>0.0</v>
      </c>
      <c r="AA89" s="1">
        <v>0.0</v>
      </c>
      <c r="AB89" s="1">
        <v>0.0</v>
      </c>
      <c r="AC89" s="1">
        <v>0.0</v>
      </c>
      <c r="AD89" s="1">
        <v>0.0</v>
      </c>
      <c r="AE89" s="1">
        <v>0.0</v>
      </c>
      <c r="AF89" s="1">
        <v>0.0</v>
      </c>
      <c r="AG89" s="1">
        <v>0.0</v>
      </c>
      <c r="AH89" s="1">
        <v>0.0</v>
      </c>
      <c r="AI89" s="1">
        <v>0.0</v>
      </c>
      <c r="AJ89" s="1">
        <v>0.0</v>
      </c>
      <c r="AK89" s="1">
        <v>0.0</v>
      </c>
      <c r="AL89" s="1">
        <v>0.0</v>
      </c>
      <c r="AM89" s="4">
        <v>0.0</v>
      </c>
      <c r="AN89" s="1">
        <v>0.0</v>
      </c>
      <c r="AO89" s="4">
        <v>0.0</v>
      </c>
      <c r="AP89" s="1">
        <f t="shared" si="1"/>
        <v>0</v>
      </c>
      <c r="AU89" s="2"/>
      <c r="AV89" s="2">
        <v>46000.0284722222</v>
      </c>
      <c r="AW89" s="1">
        <v>0.0</v>
      </c>
      <c r="AX89" s="1">
        <v>0.0</v>
      </c>
      <c r="AY89" s="1">
        <v>0.0</v>
      </c>
      <c r="AZ89" s="1">
        <v>1.0</v>
      </c>
      <c r="BA89" s="1">
        <v>0.0</v>
      </c>
      <c r="BB89" s="1">
        <v>0.0</v>
      </c>
      <c r="BC89" s="2">
        <v>45994.0</v>
      </c>
      <c r="BD89" s="1">
        <v>48.0</v>
      </c>
      <c r="BE89" s="1" t="s">
        <v>550</v>
      </c>
      <c r="BF89" s="1">
        <v>2025.0</v>
      </c>
      <c r="BG89" s="1" t="s">
        <v>558</v>
      </c>
      <c r="BH89" s="7" t="str">
        <f>VLOOKUP(B89,CookieClicks!D:O,12,FALSE)</f>
        <v>https://www.method.me/blog/how-to-build-a-crm-system/</v>
      </c>
      <c r="BI89" s="8" t="str">
        <f>IFERROR(__xludf.DUMMYFUNCTION("VLOOKUP(REGEXREPLACE(BH89,""[?].*"",""""),ContentBuckets!A:C,2,FALSE)"),"CRM")</f>
        <v>CRM</v>
      </c>
      <c r="BJ89" s="8" t="str">
        <f>IFERROR(__xludf.DUMMYFUNCTION("VLOOKUP(REGEXREPLACE(BH89,""[?].*"",""""),ContentBuckets!A:C,3,FALSE)"),"Blog")</f>
        <v>Blog</v>
      </c>
    </row>
    <row r="90" ht="14.25" customHeight="1">
      <c r="A90" s="1">
        <v>153221.0</v>
      </c>
      <c r="B90" s="1" t="s">
        <v>696</v>
      </c>
      <c r="C90" s="2">
        <v>45994.6381944444</v>
      </c>
      <c r="D90" s="2"/>
      <c r="E90" s="2">
        <v>46013.4986111111</v>
      </c>
      <c r="F90" s="1" t="b">
        <v>1</v>
      </c>
      <c r="G90" s="4" t="b">
        <v>0</v>
      </c>
      <c r="H90" s="1" t="b">
        <v>0</v>
      </c>
      <c r="I90" s="1" t="b">
        <v>0</v>
      </c>
      <c r="J90" s="1" t="s">
        <v>534</v>
      </c>
      <c r="K90" s="1" t="s">
        <v>566</v>
      </c>
      <c r="L90" s="1" t="s">
        <v>567</v>
      </c>
      <c r="M90" s="1" t="s">
        <v>537</v>
      </c>
      <c r="N90" s="1">
        <v>106.5</v>
      </c>
      <c r="O90" s="1">
        <v>106.5</v>
      </c>
      <c r="P90" s="1">
        <v>0.0</v>
      </c>
      <c r="Q90" s="1">
        <v>0.0</v>
      </c>
      <c r="R90" s="1">
        <v>28.0</v>
      </c>
      <c r="S90" s="1" t="s">
        <v>538</v>
      </c>
      <c r="T90" s="1" t="s">
        <v>539</v>
      </c>
      <c r="V90" s="4">
        <v>7231212.0</v>
      </c>
      <c r="W90" s="4"/>
      <c r="X90" s="4">
        <v>0.0</v>
      </c>
      <c r="Y90" s="1">
        <v>0.0</v>
      </c>
      <c r="Z90" s="1">
        <v>0.0</v>
      </c>
      <c r="AA90" s="1">
        <v>1.0</v>
      </c>
      <c r="AB90" s="1">
        <v>0.0</v>
      </c>
      <c r="AC90" s="1">
        <v>0.0</v>
      </c>
      <c r="AD90" s="1">
        <v>0.0</v>
      </c>
      <c r="AE90" s="1">
        <v>0.0</v>
      </c>
      <c r="AF90" s="1">
        <v>0.0</v>
      </c>
      <c r="AG90" s="1">
        <v>0.0</v>
      </c>
      <c r="AH90" s="1">
        <v>0.0</v>
      </c>
      <c r="AI90" s="1">
        <v>0.0</v>
      </c>
      <c r="AJ90" s="1">
        <v>0.0</v>
      </c>
      <c r="AK90" s="1">
        <v>0.0</v>
      </c>
      <c r="AL90" s="1">
        <v>0.0</v>
      </c>
      <c r="AM90" s="4">
        <v>0.0</v>
      </c>
      <c r="AN90" s="1">
        <v>0.0</v>
      </c>
      <c r="AO90" s="4">
        <v>0.0</v>
      </c>
      <c r="AP90" s="1">
        <f t="shared" si="1"/>
        <v>0</v>
      </c>
      <c r="AQ90" s="1" t="s">
        <v>557</v>
      </c>
      <c r="AR90" s="1" t="s">
        <v>542</v>
      </c>
      <c r="AT90" s="1" t="s">
        <v>597</v>
      </c>
      <c r="AU90" s="2">
        <v>45996.0</v>
      </c>
      <c r="AV90" s="2">
        <v>46024.01875</v>
      </c>
      <c r="AW90" s="1">
        <v>12.0</v>
      </c>
      <c r="AX90" s="1">
        <v>7223409.6</v>
      </c>
      <c r="AY90" s="1">
        <v>3867.0</v>
      </c>
      <c r="AZ90" s="1">
        <v>2.0</v>
      </c>
      <c r="BA90" s="1">
        <v>0.0</v>
      </c>
      <c r="BB90" s="1">
        <v>6.0</v>
      </c>
      <c r="BC90" s="2">
        <v>45994.0</v>
      </c>
      <c r="BD90" s="1">
        <v>48.0</v>
      </c>
      <c r="BE90" s="1" t="s">
        <v>550</v>
      </c>
      <c r="BF90" s="1">
        <v>2025.0</v>
      </c>
      <c r="BG90" s="1" t="s">
        <v>558</v>
      </c>
      <c r="BH90" s="7" t="str">
        <f>VLOOKUP(B90,CookieClicks!D:O,12,FALSE)</f>
        <v>https://www.method.me/quickbooks-crm/?trc=81&amp;trk=&amp;trs=USA-DSA-QB&amp;campaignid=13038312612&amp;adgroupid=128764620688&amp;adid=776781070272&amp;gad_source=1&amp;gad_campaignid=13038312612&amp;gbraid=0AAAAAD3ItnZKpzd3lODAba8pKfFEjv0PS&amp;gclid=CjwKCAiA3L_JBhAlEiwAlcWO57IzoZ1HEwnwQhVxa17_tNYdp87cXV9u6Sf7d73T_-jvkxRHAKJ4FhoC1sUQAvD_BwE</v>
      </c>
      <c r="BI90" s="8" t="str">
        <f>IFERROR(__xludf.DUMMYFUNCTION("VLOOKUP(REGEXREPLACE(BH90,""[?].*"",""""),ContentBuckets!A:C,2,FALSE)"),"/crm-quickbooks/")</f>
        <v>/crm-quickbooks/</v>
      </c>
      <c r="BJ90" s="8" t="str">
        <f>IFERROR(__xludf.DUMMYFUNCTION("VLOOKUP(REGEXREPLACE(BH90,""[?].*"",""""),ContentBuckets!A:C,3,FALSE)"),"Other page")</f>
        <v>Other page</v>
      </c>
    </row>
    <row r="91" ht="14.25" customHeight="1">
      <c r="A91" s="1">
        <v>153222.0</v>
      </c>
      <c r="B91" s="1" t="s">
        <v>697</v>
      </c>
      <c r="C91" s="2">
        <v>45994.6888888889</v>
      </c>
      <c r="D91" s="2">
        <v>45995.3930555556</v>
      </c>
      <c r="E91" s="2"/>
      <c r="F91" s="1" t="b">
        <v>0</v>
      </c>
      <c r="G91" s="4" t="b">
        <v>1</v>
      </c>
      <c r="H91" s="1" t="b">
        <v>0</v>
      </c>
      <c r="I91" s="1" t="b">
        <v>0</v>
      </c>
      <c r="J91" s="1" t="s">
        <v>534</v>
      </c>
      <c r="K91" s="1" t="s">
        <v>566</v>
      </c>
      <c r="L91" s="1" t="s">
        <v>567</v>
      </c>
      <c r="M91" s="1" t="s">
        <v>537</v>
      </c>
      <c r="N91" s="1">
        <v>0.0</v>
      </c>
      <c r="O91" s="1">
        <v>44.25</v>
      </c>
      <c r="P91" s="1">
        <v>0.0</v>
      </c>
      <c r="Q91" s="1">
        <v>0.0</v>
      </c>
      <c r="R91" s="1">
        <v>28.0</v>
      </c>
      <c r="S91" s="1" t="s">
        <v>538</v>
      </c>
      <c r="T91" s="1" t="s">
        <v>539</v>
      </c>
      <c r="V91" s="4">
        <v>7197435.0</v>
      </c>
      <c r="W91" s="4"/>
      <c r="X91" s="4">
        <v>1.0</v>
      </c>
      <c r="Y91" s="1">
        <v>0.0</v>
      </c>
      <c r="Z91" s="1">
        <v>0.0</v>
      </c>
      <c r="AA91" s="1">
        <v>0.0</v>
      </c>
      <c r="AB91" s="1">
        <v>0.0</v>
      </c>
      <c r="AC91" s="1">
        <v>0.0</v>
      </c>
      <c r="AD91" s="1">
        <v>0.0</v>
      </c>
      <c r="AE91" s="1">
        <v>0.0</v>
      </c>
      <c r="AF91" s="1">
        <v>0.0</v>
      </c>
      <c r="AG91" s="1">
        <v>0.0</v>
      </c>
      <c r="AH91" s="1">
        <v>0.0</v>
      </c>
      <c r="AI91" s="1">
        <v>0.0</v>
      </c>
      <c r="AJ91" s="1">
        <v>0.0</v>
      </c>
      <c r="AK91" s="1">
        <v>0.0</v>
      </c>
      <c r="AL91" s="1">
        <v>0.0</v>
      </c>
      <c r="AM91" s="4">
        <v>0.0</v>
      </c>
      <c r="AN91" s="1">
        <v>0.0</v>
      </c>
      <c r="AO91" s="4">
        <v>0.0</v>
      </c>
      <c r="AP91" s="1">
        <f t="shared" si="1"/>
        <v>0</v>
      </c>
      <c r="AR91" s="1" t="s">
        <v>564</v>
      </c>
      <c r="AU91" s="2"/>
      <c r="AV91" s="2">
        <v>45995.0041666667</v>
      </c>
      <c r="AW91" s="1">
        <v>0.0</v>
      </c>
      <c r="AX91" s="1">
        <v>0.0</v>
      </c>
      <c r="AY91" s="1">
        <v>0.0</v>
      </c>
      <c r="AZ91" s="1">
        <v>1.0</v>
      </c>
      <c r="BA91" s="1">
        <v>0.0</v>
      </c>
      <c r="BB91" s="1">
        <v>0.0</v>
      </c>
      <c r="BC91" s="2">
        <v>45994.0</v>
      </c>
      <c r="BD91" s="1">
        <v>48.0</v>
      </c>
      <c r="BE91" s="1" t="s">
        <v>550</v>
      </c>
      <c r="BF91" s="1">
        <v>2025.0</v>
      </c>
      <c r="BG91" s="1" t="s">
        <v>546</v>
      </c>
      <c r="BH91" s="7" t="str">
        <f>VLOOKUP(B91,CookieClicks!D:O,12,FALSE)</f>
        <v>https://www.method.me/</v>
      </c>
      <c r="BI91" s="8" t="str">
        <f>IFERROR(__xludf.DUMMYFUNCTION("VLOOKUP(REGEXREPLACE(BH91,""[?].*"",""""),ContentBuckets!A:C,2,FALSE)"),"Homepage")</f>
        <v>Homepage</v>
      </c>
      <c r="BJ91" s="8" t="str">
        <f>IFERROR(__xludf.DUMMYFUNCTION("VLOOKUP(REGEXREPLACE(BH91,""[?].*"",""""),ContentBuckets!A:C,3,FALSE)"),"Other page")</f>
        <v>Other page</v>
      </c>
    </row>
    <row r="92" ht="14.25" customHeight="1">
      <c r="A92" s="1">
        <v>153223.0</v>
      </c>
      <c r="B92" s="1" t="s">
        <v>698</v>
      </c>
      <c r="C92" s="2">
        <v>45994.7243055556</v>
      </c>
      <c r="D92" s="2"/>
      <c r="E92" s="2"/>
      <c r="F92" s="1" t="b">
        <v>1</v>
      </c>
      <c r="G92" s="4" t="b">
        <v>0</v>
      </c>
      <c r="H92" s="1" t="b">
        <v>0</v>
      </c>
      <c r="I92" s="1" t="b">
        <v>0</v>
      </c>
      <c r="J92" s="1" t="s">
        <v>534</v>
      </c>
      <c r="K92" s="1" t="s">
        <v>553</v>
      </c>
      <c r="L92" s="1" t="s">
        <v>554</v>
      </c>
      <c r="M92" s="1" t="s">
        <v>537</v>
      </c>
      <c r="N92" s="1">
        <v>0.0</v>
      </c>
      <c r="O92" s="1">
        <v>44.25</v>
      </c>
      <c r="P92" s="1">
        <v>0.0</v>
      </c>
      <c r="Q92" s="1">
        <v>0.0</v>
      </c>
      <c r="R92" s="1">
        <v>0.0</v>
      </c>
      <c r="S92" s="1" t="s">
        <v>538</v>
      </c>
      <c r="T92" s="1" t="s">
        <v>539</v>
      </c>
      <c r="V92" s="4">
        <v>7233303.0</v>
      </c>
      <c r="W92" s="4" t="s">
        <v>653</v>
      </c>
      <c r="X92" s="4">
        <v>0.0</v>
      </c>
      <c r="Y92" s="1">
        <v>1.0</v>
      </c>
      <c r="Z92" s="1">
        <v>0.0</v>
      </c>
      <c r="AA92" s="1">
        <v>0.0</v>
      </c>
      <c r="AB92" s="1">
        <v>0.0</v>
      </c>
      <c r="AC92" s="1">
        <v>0.0</v>
      </c>
      <c r="AD92" s="1">
        <v>0.0</v>
      </c>
      <c r="AE92" s="1">
        <v>0.0</v>
      </c>
      <c r="AF92" s="1">
        <v>0.0</v>
      </c>
      <c r="AG92" s="1">
        <v>0.0</v>
      </c>
      <c r="AH92" s="1">
        <v>0.0</v>
      </c>
      <c r="AI92" s="1">
        <v>0.0</v>
      </c>
      <c r="AJ92" s="1">
        <v>0.0</v>
      </c>
      <c r="AK92" s="1">
        <v>0.0</v>
      </c>
      <c r="AL92" s="1">
        <v>0.0</v>
      </c>
      <c r="AM92" s="4">
        <v>0.0</v>
      </c>
      <c r="AN92" s="1">
        <v>0.0</v>
      </c>
      <c r="AO92" s="4">
        <v>0.0</v>
      </c>
      <c r="AP92" s="1">
        <f t="shared" si="1"/>
        <v>0</v>
      </c>
      <c r="AU92" s="2"/>
      <c r="AV92" s="2">
        <v>46023.99375</v>
      </c>
      <c r="AW92" s="1">
        <v>0.0</v>
      </c>
      <c r="AX92" s="1">
        <v>0.0</v>
      </c>
      <c r="AY92" s="1">
        <v>0.0</v>
      </c>
      <c r="AZ92" s="1">
        <v>1.0</v>
      </c>
      <c r="BA92" s="1">
        <v>0.0</v>
      </c>
      <c r="BB92" s="1">
        <v>0.0</v>
      </c>
      <c r="BC92" s="2">
        <v>45994.0</v>
      </c>
      <c r="BD92" s="1">
        <v>48.0</v>
      </c>
      <c r="BE92" s="1" t="s">
        <v>550</v>
      </c>
      <c r="BF92" s="1">
        <v>2025.0</v>
      </c>
      <c r="BG92" s="1" t="s">
        <v>546</v>
      </c>
      <c r="BH92" s="7" t="str">
        <f>VLOOKUP(B92,CookieClicks!D:O,12,FALSE)</f>
        <v>https://www.method.me/blog/invoice-as-a-contractor/</v>
      </c>
      <c r="BI92" s="8" t="str">
        <f>IFERROR(__xludf.DUMMYFUNCTION("VLOOKUP(REGEXREPLACE(BH92,""[?].*"",""""),ContentBuckets!A:C,2,FALSE)"),"General how-to")</f>
        <v>General how-to</v>
      </c>
      <c r="BJ92" s="8" t="str">
        <f>IFERROR(__xludf.DUMMYFUNCTION("VLOOKUP(REGEXREPLACE(BH92,""[?].*"",""""),ContentBuckets!A:C,3,FALSE)"),"Blog")</f>
        <v>Blog</v>
      </c>
    </row>
    <row r="93" ht="14.25" customHeight="1">
      <c r="A93" s="1">
        <v>153224.0</v>
      </c>
      <c r="B93" s="1" t="s">
        <v>699</v>
      </c>
      <c r="C93" s="2">
        <v>45994.8548611111</v>
      </c>
      <c r="D93" s="2">
        <v>45995.6861111111</v>
      </c>
      <c r="E93" s="2"/>
      <c r="F93" s="1" t="b">
        <v>0</v>
      </c>
      <c r="G93" s="4" t="b">
        <v>0</v>
      </c>
      <c r="H93" s="1" t="b">
        <v>0</v>
      </c>
      <c r="I93" s="1" t="b">
        <v>0</v>
      </c>
      <c r="J93" s="1" t="s">
        <v>534</v>
      </c>
      <c r="K93" s="1" t="s">
        <v>535</v>
      </c>
      <c r="L93" s="1" t="s">
        <v>536</v>
      </c>
      <c r="M93" s="1" t="s">
        <v>537</v>
      </c>
      <c r="N93" s="1">
        <v>0.0</v>
      </c>
      <c r="O93" s="1">
        <v>62.25</v>
      </c>
      <c r="P93" s="1">
        <v>0.0</v>
      </c>
      <c r="Q93" s="1">
        <v>0.0</v>
      </c>
      <c r="R93" s="1">
        <v>28.0</v>
      </c>
      <c r="S93" s="1" t="s">
        <v>538</v>
      </c>
      <c r="T93" s="1" t="s">
        <v>539</v>
      </c>
      <c r="V93" s="4">
        <v>7183421.0</v>
      </c>
      <c r="W93" s="4"/>
      <c r="X93" s="4">
        <v>0.0</v>
      </c>
      <c r="Y93" s="1">
        <v>0.0</v>
      </c>
      <c r="Z93" s="1">
        <v>0.0</v>
      </c>
      <c r="AA93" s="1">
        <v>1.0</v>
      </c>
      <c r="AB93" s="1">
        <v>0.0</v>
      </c>
      <c r="AC93" s="1">
        <v>0.0</v>
      </c>
      <c r="AD93" s="1">
        <v>0.0</v>
      </c>
      <c r="AE93" s="1">
        <v>0.0</v>
      </c>
      <c r="AF93" s="1">
        <v>0.0</v>
      </c>
      <c r="AG93" s="1">
        <v>0.0</v>
      </c>
      <c r="AH93" s="1">
        <v>0.0</v>
      </c>
      <c r="AI93" s="1">
        <v>0.0</v>
      </c>
      <c r="AJ93" s="1">
        <v>0.0</v>
      </c>
      <c r="AK93" s="1">
        <v>0.0</v>
      </c>
      <c r="AL93" s="1">
        <v>0.0</v>
      </c>
      <c r="AM93" s="4">
        <v>0.0</v>
      </c>
      <c r="AN93" s="1">
        <v>0.0</v>
      </c>
      <c r="AO93" s="4">
        <v>0.0</v>
      </c>
      <c r="AP93" s="1">
        <f t="shared" si="1"/>
        <v>0</v>
      </c>
      <c r="AQ93" s="1" t="s">
        <v>557</v>
      </c>
      <c r="AR93" s="1" t="s">
        <v>549</v>
      </c>
      <c r="AT93" s="1" t="s">
        <v>700</v>
      </c>
      <c r="AU93" s="2">
        <v>45994.0</v>
      </c>
      <c r="AV93" s="2">
        <v>45995.0076388889</v>
      </c>
      <c r="AW93" s="1">
        <v>0.0</v>
      </c>
      <c r="AX93" s="1">
        <v>60480.0</v>
      </c>
      <c r="AY93" s="1">
        <v>3.0</v>
      </c>
      <c r="AZ93" s="1">
        <v>1.0</v>
      </c>
      <c r="BA93" s="1">
        <v>0.0</v>
      </c>
      <c r="BB93" s="1">
        <v>0.0</v>
      </c>
      <c r="BC93" s="2">
        <v>45994.0</v>
      </c>
      <c r="BD93" s="1">
        <v>48.0</v>
      </c>
      <c r="BE93" s="1" t="s">
        <v>550</v>
      </c>
      <c r="BF93" s="1">
        <v>2025.0</v>
      </c>
      <c r="BG93" s="1" t="s">
        <v>558</v>
      </c>
      <c r="BH93" s="1" t="str">
        <f>VLOOKUP(B93,CookieClicks!D:O,12,FALSE)</f>
        <v>https://grow.method.me/direct-su/?trc=81&amp;trk=quickbooks integration apps&amp;trs=US-QBInt-Ex&amp;campaignid=22265826203&amp;adgroupid=186545727779&amp;adid=777003326845&amp;gad_source=1&amp;gad_campaignid=22265826203&amp;gbraid=0AAAAAD3ItnZgDnAgUtllny9Jaz3XIKgWf&amp;gclid=CjwKCAiA24XJBhBXEiwAXElO30FXfKRweD8-jWimcTRSnKQskAm5a_0VOCAEX1Q96IP2isPxgq1iDBoCxusQAvD_BwE</v>
      </c>
      <c r="BI93" s="8" t="str">
        <f>IFERROR(__xludf.DUMMYFUNCTION("VLOOKUP(REGEXREPLACE(BH93,""[?].*"",""""),ContentBuckets!A:C,2,FALSE)"),"#N/A")</f>
        <v>#N/A</v>
      </c>
      <c r="BJ93" s="8" t="str">
        <f>IFERROR(__xludf.DUMMYFUNCTION("VLOOKUP(REGEXREPLACE(BH93,""[?].*"",""""),ContentBuckets!A:C,3,FALSE)"),"#N/A")</f>
        <v>#N/A</v>
      </c>
    </row>
    <row r="94" ht="14.25" customHeight="1">
      <c r="A94" s="1">
        <v>153225.0</v>
      </c>
      <c r="B94" s="1" t="s">
        <v>701</v>
      </c>
      <c r="C94" s="2">
        <v>45994.8791666667</v>
      </c>
      <c r="D94" s="2">
        <v>46007.7527777778</v>
      </c>
      <c r="E94" s="2"/>
      <c r="F94" s="1" t="b">
        <v>0</v>
      </c>
      <c r="G94" s="4" t="b">
        <v>0</v>
      </c>
      <c r="H94" s="1" t="b">
        <v>0</v>
      </c>
      <c r="I94" s="1" t="b">
        <v>0</v>
      </c>
      <c r="J94" s="1" t="s">
        <v>534</v>
      </c>
      <c r="K94" s="1" t="s">
        <v>535</v>
      </c>
      <c r="L94" s="1" t="s">
        <v>536</v>
      </c>
      <c r="M94" s="1" t="s">
        <v>537</v>
      </c>
      <c r="N94" s="1">
        <v>0.0</v>
      </c>
      <c r="O94" s="1">
        <v>255.0</v>
      </c>
      <c r="P94" s="1">
        <v>0.0</v>
      </c>
      <c r="Q94" s="1">
        <v>0.0</v>
      </c>
      <c r="R94" s="1">
        <v>28.0</v>
      </c>
      <c r="S94" s="1" t="s">
        <v>538</v>
      </c>
      <c r="T94" s="1" t="s">
        <v>539</v>
      </c>
      <c r="V94" s="4">
        <v>7234024.0</v>
      </c>
      <c r="W94" s="4" t="s">
        <v>540</v>
      </c>
      <c r="X94" s="4">
        <v>0.0</v>
      </c>
      <c r="Y94" s="1">
        <v>1.0</v>
      </c>
      <c r="Z94" s="1">
        <v>0.0</v>
      </c>
      <c r="AA94" s="1">
        <v>0.0</v>
      </c>
      <c r="AB94" s="1">
        <v>0.0</v>
      </c>
      <c r="AC94" s="1">
        <v>0.0</v>
      </c>
      <c r="AD94" s="1">
        <v>0.0</v>
      </c>
      <c r="AE94" s="1">
        <v>0.0</v>
      </c>
      <c r="AF94" s="1">
        <v>0.0</v>
      </c>
      <c r="AG94" s="1">
        <v>0.0</v>
      </c>
      <c r="AH94" s="1">
        <v>0.0</v>
      </c>
      <c r="AI94" s="1">
        <v>0.0</v>
      </c>
      <c r="AJ94" s="1">
        <v>0.0</v>
      </c>
      <c r="AK94" s="1">
        <v>0.0</v>
      </c>
      <c r="AL94" s="1">
        <v>0.0</v>
      </c>
      <c r="AM94" s="4">
        <v>0.0</v>
      </c>
      <c r="AN94" s="1">
        <v>0.0</v>
      </c>
      <c r="AO94" s="4">
        <v>0.0</v>
      </c>
      <c r="AP94" s="1">
        <f t="shared" si="1"/>
        <v>0</v>
      </c>
      <c r="AQ94" s="1" t="s">
        <v>557</v>
      </c>
      <c r="AR94" s="1" t="s">
        <v>681</v>
      </c>
      <c r="AU94" s="2">
        <v>45994.0</v>
      </c>
      <c r="AV94" s="2">
        <v>46006.9861111111</v>
      </c>
      <c r="AW94" s="1">
        <v>9.0</v>
      </c>
      <c r="AX94" s="1">
        <v>710630.4</v>
      </c>
      <c r="AY94" s="1">
        <v>2176.0</v>
      </c>
      <c r="AZ94" s="1">
        <v>4.0</v>
      </c>
      <c r="BA94" s="1">
        <v>0.0</v>
      </c>
      <c r="BB94" s="1">
        <v>4.0</v>
      </c>
      <c r="BC94" s="2">
        <v>45994.0</v>
      </c>
      <c r="BD94" s="1">
        <v>48.0</v>
      </c>
      <c r="BE94" s="1" t="s">
        <v>550</v>
      </c>
      <c r="BF94" s="1">
        <v>2025.0</v>
      </c>
      <c r="BG94" s="1" t="s">
        <v>558</v>
      </c>
      <c r="BH94" s="7" t="str">
        <f>VLOOKUP(B94,CookieClicks!D:O,12,FALSE)</f>
        <v>https://www.method.me/</v>
      </c>
      <c r="BI94" s="8" t="str">
        <f>IFERROR(__xludf.DUMMYFUNCTION("VLOOKUP(REGEXREPLACE(BH94,""[?].*"",""""),ContentBuckets!A:C,2,FALSE)"),"Homepage")</f>
        <v>Homepage</v>
      </c>
      <c r="BJ94" s="8" t="str">
        <f>IFERROR(__xludf.DUMMYFUNCTION("VLOOKUP(REGEXREPLACE(BH94,""[?].*"",""""),ContentBuckets!A:C,3,FALSE)"),"Other page")</f>
        <v>Other page</v>
      </c>
    </row>
    <row r="95" ht="14.25" customHeight="1">
      <c r="A95" s="1">
        <v>153226.0</v>
      </c>
      <c r="B95" s="1" t="s">
        <v>702</v>
      </c>
      <c r="C95" s="2">
        <v>45995.0291666667</v>
      </c>
      <c r="D95" s="2"/>
      <c r="E95" s="2"/>
      <c r="F95" s="1" t="b">
        <v>1</v>
      </c>
      <c r="G95" s="4" t="b">
        <v>0</v>
      </c>
      <c r="H95" s="1" t="b">
        <v>0</v>
      </c>
      <c r="I95" s="1" t="b">
        <v>0</v>
      </c>
      <c r="J95" s="1" t="s">
        <v>534</v>
      </c>
      <c r="K95" s="1" t="s">
        <v>703</v>
      </c>
      <c r="L95" s="1" t="s">
        <v>536</v>
      </c>
      <c r="M95" s="1" t="s">
        <v>537</v>
      </c>
      <c r="N95" s="1">
        <v>0.0</v>
      </c>
      <c r="O95" s="1">
        <v>53.25</v>
      </c>
      <c r="P95" s="1">
        <v>0.0</v>
      </c>
      <c r="Q95" s="1">
        <v>0.0</v>
      </c>
      <c r="R95" s="1">
        <v>28.0</v>
      </c>
      <c r="S95" s="1" t="s">
        <v>538</v>
      </c>
      <c r="T95" s="1" t="s">
        <v>539</v>
      </c>
      <c r="V95" s="4">
        <v>7234633.0</v>
      </c>
      <c r="W95" s="4" t="s">
        <v>540</v>
      </c>
      <c r="X95" s="4">
        <v>0.0</v>
      </c>
      <c r="Y95" s="1">
        <v>1.0</v>
      </c>
      <c r="Z95" s="1">
        <v>0.0</v>
      </c>
      <c r="AA95" s="1">
        <v>0.0</v>
      </c>
      <c r="AB95" s="1">
        <v>0.0</v>
      </c>
      <c r="AC95" s="1">
        <v>0.0</v>
      </c>
      <c r="AD95" s="1">
        <v>0.0</v>
      </c>
      <c r="AE95" s="1">
        <v>0.0</v>
      </c>
      <c r="AF95" s="1">
        <v>0.0</v>
      </c>
      <c r="AG95" s="1">
        <v>0.0</v>
      </c>
      <c r="AH95" s="1">
        <v>0.0</v>
      </c>
      <c r="AI95" s="1">
        <v>0.0</v>
      </c>
      <c r="AJ95" s="1">
        <v>0.0</v>
      </c>
      <c r="AK95" s="1">
        <v>0.0</v>
      </c>
      <c r="AL95" s="1">
        <v>0.0</v>
      </c>
      <c r="AM95" s="4">
        <v>0.0</v>
      </c>
      <c r="AN95" s="1">
        <v>0.0</v>
      </c>
      <c r="AO95" s="4">
        <v>0.0</v>
      </c>
      <c r="AP95" s="1">
        <f t="shared" si="1"/>
        <v>0</v>
      </c>
      <c r="AQ95" s="1" t="s">
        <v>557</v>
      </c>
      <c r="AR95" s="1" t="s">
        <v>564</v>
      </c>
      <c r="AT95" s="1" t="s">
        <v>544</v>
      </c>
      <c r="AU95" s="2">
        <v>46012.0</v>
      </c>
      <c r="AV95" s="2">
        <v>46024.0222222222</v>
      </c>
      <c r="AW95" s="1">
        <v>0.0</v>
      </c>
      <c r="AX95" s="1">
        <v>0.0</v>
      </c>
      <c r="AY95" s="1">
        <v>0.0</v>
      </c>
      <c r="AZ95" s="1">
        <v>1.0</v>
      </c>
      <c r="BA95" s="1">
        <v>0.0</v>
      </c>
      <c r="BB95" s="1">
        <v>0.0</v>
      </c>
      <c r="BC95" s="2">
        <v>45995.0</v>
      </c>
      <c r="BD95" s="1">
        <v>48.0</v>
      </c>
      <c r="BE95" s="1" t="s">
        <v>550</v>
      </c>
      <c r="BF95" s="1">
        <v>2025.0</v>
      </c>
      <c r="BG95" s="1" t="s">
        <v>558</v>
      </c>
      <c r="BH95" s="7" t="str">
        <f>VLOOKUP(B95,CookieClicks!D:O,12,FALSE)</f>
        <v>https://www.method.me/crm-quickbooks/pricing/field-service/</v>
      </c>
      <c r="BI95" s="8" t="str">
        <f>IFERROR(__xludf.DUMMYFUNCTION("VLOOKUP(REGEXREPLACE(BH95,""[?].*"",""""),ContentBuckets!A:C,2,FALSE)"),"/crm-quickbooks/")</f>
        <v>/crm-quickbooks/</v>
      </c>
      <c r="BJ95" s="8" t="str">
        <f>IFERROR(__xludf.DUMMYFUNCTION("VLOOKUP(REGEXREPLACE(BH95,""[?].*"",""""),ContentBuckets!A:C,3,FALSE)"),"Other page")</f>
        <v>Other page</v>
      </c>
    </row>
    <row r="96" ht="14.25" customHeight="1">
      <c r="A96" s="1">
        <v>153227.0</v>
      </c>
      <c r="B96" s="1" t="s">
        <v>704</v>
      </c>
      <c r="C96" s="2">
        <v>45995.2479166667</v>
      </c>
      <c r="D96" s="2">
        <v>46000.4222222222</v>
      </c>
      <c r="E96" s="2"/>
      <c r="F96" s="1" t="b">
        <v>0</v>
      </c>
      <c r="G96" s="4" t="b">
        <v>1</v>
      </c>
      <c r="H96" s="1" t="b">
        <v>0</v>
      </c>
      <c r="I96" s="1" t="b">
        <v>0</v>
      </c>
      <c r="J96" s="1" t="s">
        <v>534</v>
      </c>
      <c r="K96" s="1" t="s">
        <v>535</v>
      </c>
      <c r="L96" s="1" t="s">
        <v>536</v>
      </c>
      <c r="M96" s="1" t="s">
        <v>537</v>
      </c>
      <c r="N96" s="1">
        <v>0.0</v>
      </c>
      <c r="O96" s="1">
        <v>44.25</v>
      </c>
      <c r="P96" s="1">
        <v>0.0</v>
      </c>
      <c r="Q96" s="1">
        <v>0.0</v>
      </c>
      <c r="R96" s="1">
        <v>28.0</v>
      </c>
      <c r="S96" s="1" t="s">
        <v>538</v>
      </c>
      <c r="T96" s="1" t="s">
        <v>539</v>
      </c>
      <c r="V96" s="4">
        <v>7235439.0</v>
      </c>
      <c r="W96" s="4" t="s">
        <v>540</v>
      </c>
      <c r="X96" s="4">
        <v>0.0</v>
      </c>
      <c r="Y96" s="1">
        <v>1.0</v>
      </c>
      <c r="Z96" s="1">
        <v>0.0</v>
      </c>
      <c r="AA96" s="1">
        <v>0.0</v>
      </c>
      <c r="AB96" s="1">
        <v>0.0</v>
      </c>
      <c r="AC96" s="1">
        <v>0.0</v>
      </c>
      <c r="AD96" s="1">
        <v>0.0</v>
      </c>
      <c r="AE96" s="1">
        <v>0.0</v>
      </c>
      <c r="AF96" s="1">
        <v>0.0</v>
      </c>
      <c r="AG96" s="1">
        <v>0.0</v>
      </c>
      <c r="AH96" s="1">
        <v>0.0</v>
      </c>
      <c r="AI96" s="1">
        <v>0.0</v>
      </c>
      <c r="AJ96" s="1">
        <v>0.0</v>
      </c>
      <c r="AK96" s="1">
        <v>0.0</v>
      </c>
      <c r="AL96" s="1">
        <v>0.0</v>
      </c>
      <c r="AM96" s="4">
        <v>0.0</v>
      </c>
      <c r="AN96" s="1">
        <v>0.0</v>
      </c>
      <c r="AO96" s="4">
        <v>0.0</v>
      </c>
      <c r="AP96" s="1">
        <f t="shared" si="1"/>
        <v>0</v>
      </c>
      <c r="AR96" s="1" t="s">
        <v>564</v>
      </c>
      <c r="AU96" s="2"/>
      <c r="AV96" s="2">
        <v>46000.0125</v>
      </c>
      <c r="AW96" s="1">
        <v>0.0</v>
      </c>
      <c r="AX96" s="1">
        <v>0.0</v>
      </c>
      <c r="AY96" s="1">
        <v>0.0</v>
      </c>
      <c r="AZ96" s="1">
        <v>1.0</v>
      </c>
      <c r="BA96" s="1">
        <v>0.0</v>
      </c>
      <c r="BB96" s="1">
        <v>0.0</v>
      </c>
      <c r="BC96" s="2">
        <v>45995.0</v>
      </c>
      <c r="BD96" s="1">
        <v>48.0</v>
      </c>
      <c r="BE96" s="1" t="s">
        <v>550</v>
      </c>
      <c r="BF96" s="1">
        <v>2025.0</v>
      </c>
      <c r="BG96" s="1" t="s">
        <v>624</v>
      </c>
      <c r="BH96" s="7" t="str">
        <f>VLOOKUP(B96,CookieClicks!D:O,12,FALSE)</f>
        <v>https://www.method.me/</v>
      </c>
      <c r="BI96" s="8" t="str">
        <f>IFERROR(__xludf.DUMMYFUNCTION("VLOOKUP(REGEXREPLACE(BH96,""[?].*"",""""),ContentBuckets!A:C,2,FALSE)"),"Homepage")</f>
        <v>Homepage</v>
      </c>
      <c r="BJ96" s="8" t="str">
        <f>IFERROR(__xludf.DUMMYFUNCTION("VLOOKUP(REGEXREPLACE(BH96,""[?].*"",""""),ContentBuckets!A:C,3,FALSE)"),"Other page")</f>
        <v>Other page</v>
      </c>
    </row>
    <row r="97" ht="14.25" customHeight="1">
      <c r="A97" s="1">
        <v>153228.0</v>
      </c>
      <c r="B97" s="1" t="s">
        <v>705</v>
      </c>
      <c r="C97" s="2">
        <v>45995.3138888889</v>
      </c>
      <c r="D97" s="2"/>
      <c r="E97" s="2"/>
      <c r="F97" s="1" t="b">
        <v>1</v>
      </c>
      <c r="G97" s="4" t="b">
        <v>0</v>
      </c>
      <c r="H97" s="1" t="b">
        <v>0</v>
      </c>
      <c r="I97" s="1" t="b">
        <v>0</v>
      </c>
      <c r="J97" s="1" t="s">
        <v>534</v>
      </c>
      <c r="K97" s="1" t="s">
        <v>535</v>
      </c>
      <c r="L97" s="1" t="s">
        <v>536</v>
      </c>
      <c r="M97" s="1" t="s">
        <v>537</v>
      </c>
      <c r="N97" s="1">
        <v>0.0</v>
      </c>
      <c r="O97" s="1">
        <v>53.25</v>
      </c>
      <c r="P97" s="1">
        <v>0.0</v>
      </c>
      <c r="Q97" s="1">
        <v>0.0</v>
      </c>
      <c r="R97" s="1">
        <v>28.0</v>
      </c>
      <c r="S97" s="1" t="s">
        <v>538</v>
      </c>
      <c r="T97" s="1" t="s">
        <v>539</v>
      </c>
      <c r="V97" s="4">
        <v>7197435.0</v>
      </c>
      <c r="W97" s="4"/>
      <c r="X97" s="4">
        <v>1.0</v>
      </c>
      <c r="Y97" s="1">
        <v>0.0</v>
      </c>
      <c r="Z97" s="1">
        <v>0.0</v>
      </c>
      <c r="AA97" s="1">
        <v>0.0</v>
      </c>
      <c r="AB97" s="1">
        <v>0.0</v>
      </c>
      <c r="AC97" s="1">
        <v>0.0</v>
      </c>
      <c r="AD97" s="1">
        <v>0.0</v>
      </c>
      <c r="AE97" s="1">
        <v>0.0</v>
      </c>
      <c r="AF97" s="1">
        <v>0.0</v>
      </c>
      <c r="AG97" s="1">
        <v>0.0</v>
      </c>
      <c r="AH97" s="1">
        <v>0.0</v>
      </c>
      <c r="AI97" s="1">
        <v>0.0</v>
      </c>
      <c r="AJ97" s="1">
        <v>0.0</v>
      </c>
      <c r="AK97" s="1">
        <v>0.0</v>
      </c>
      <c r="AL97" s="1">
        <v>0.0</v>
      </c>
      <c r="AM97" s="4">
        <v>0.0</v>
      </c>
      <c r="AN97" s="1">
        <v>0.0</v>
      </c>
      <c r="AO97" s="4">
        <v>0.0</v>
      </c>
      <c r="AP97" s="1">
        <f t="shared" si="1"/>
        <v>0</v>
      </c>
      <c r="AQ97" s="1" t="s">
        <v>541</v>
      </c>
      <c r="AR97" s="1" t="s">
        <v>564</v>
      </c>
      <c r="AT97" s="1" t="s">
        <v>706</v>
      </c>
      <c r="AU97" s="2">
        <v>45995.0</v>
      </c>
      <c r="AV97" s="2">
        <v>46024.0159722222</v>
      </c>
      <c r="AW97" s="1">
        <v>1.0</v>
      </c>
      <c r="AX97" s="1">
        <v>473508.0</v>
      </c>
      <c r="AY97" s="1">
        <v>11.0</v>
      </c>
      <c r="AZ97" s="1">
        <v>1.0</v>
      </c>
      <c r="BA97" s="1">
        <v>0.0</v>
      </c>
      <c r="BB97" s="1">
        <v>0.0</v>
      </c>
      <c r="BC97" s="2">
        <v>45995.0</v>
      </c>
      <c r="BD97" s="1">
        <v>48.0</v>
      </c>
      <c r="BE97" s="1" t="s">
        <v>550</v>
      </c>
      <c r="BF97" s="1">
        <v>2025.0</v>
      </c>
      <c r="BG97" s="1" t="s">
        <v>546</v>
      </c>
      <c r="BH97" s="7" t="str">
        <f>VLOOKUP(B97,CookieClicks!D:O,12,FALSE)</f>
        <v>https://www.method.me/</v>
      </c>
      <c r="BI97" s="8" t="str">
        <f>IFERROR(__xludf.DUMMYFUNCTION("VLOOKUP(REGEXREPLACE(BH97,""[?].*"",""""),ContentBuckets!A:C,2,FALSE)"),"Homepage")</f>
        <v>Homepage</v>
      </c>
      <c r="BJ97" s="8" t="str">
        <f>IFERROR(__xludf.DUMMYFUNCTION("VLOOKUP(REGEXREPLACE(BH97,""[?].*"",""""),ContentBuckets!A:C,3,FALSE)"),"Other page")</f>
        <v>Other page</v>
      </c>
    </row>
    <row r="98" ht="14.25" customHeight="1">
      <c r="A98" s="1">
        <v>153229.0</v>
      </c>
      <c r="B98" s="1" t="s">
        <v>707</v>
      </c>
      <c r="C98" s="2">
        <v>45995.3381944444</v>
      </c>
      <c r="D98" s="2">
        <v>46000.3791666667</v>
      </c>
      <c r="E98" s="2"/>
      <c r="F98" s="1" t="b">
        <v>0</v>
      </c>
      <c r="G98" s="4" t="b">
        <v>1</v>
      </c>
      <c r="H98" s="1" t="b">
        <v>0</v>
      </c>
      <c r="I98" s="1" t="b">
        <v>0</v>
      </c>
      <c r="J98" s="1" t="s">
        <v>534</v>
      </c>
      <c r="K98" s="1" t="s">
        <v>566</v>
      </c>
      <c r="L98" s="1" t="s">
        <v>567</v>
      </c>
      <c r="M98" s="1" t="s">
        <v>537</v>
      </c>
      <c r="N98" s="1">
        <v>0.0</v>
      </c>
      <c r="O98" s="1">
        <v>63.75</v>
      </c>
      <c r="P98" s="1">
        <v>0.0</v>
      </c>
      <c r="Q98" s="1">
        <v>0.0</v>
      </c>
      <c r="R98" s="1">
        <v>28.0</v>
      </c>
      <c r="S98" s="1" t="s">
        <v>538</v>
      </c>
      <c r="T98" s="1" t="s">
        <v>539</v>
      </c>
      <c r="V98" s="4">
        <v>7168930.0</v>
      </c>
      <c r="W98" s="4"/>
      <c r="X98" s="4">
        <v>1.0</v>
      </c>
      <c r="Y98" s="1">
        <v>0.0</v>
      </c>
      <c r="Z98" s="1">
        <v>0.0</v>
      </c>
      <c r="AA98" s="1">
        <v>0.0</v>
      </c>
      <c r="AB98" s="1">
        <v>0.0</v>
      </c>
      <c r="AC98" s="1">
        <v>0.0</v>
      </c>
      <c r="AD98" s="1">
        <v>0.0</v>
      </c>
      <c r="AE98" s="1">
        <v>0.0</v>
      </c>
      <c r="AF98" s="1">
        <v>0.0</v>
      </c>
      <c r="AG98" s="1">
        <v>0.0</v>
      </c>
      <c r="AH98" s="1">
        <v>0.0</v>
      </c>
      <c r="AI98" s="1">
        <v>0.0</v>
      </c>
      <c r="AJ98" s="1">
        <v>0.0</v>
      </c>
      <c r="AK98" s="1">
        <v>0.0</v>
      </c>
      <c r="AL98" s="1">
        <v>0.0</v>
      </c>
      <c r="AM98" s="4">
        <v>0.0</v>
      </c>
      <c r="AN98" s="1">
        <v>0.0</v>
      </c>
      <c r="AO98" s="4">
        <v>0.0</v>
      </c>
      <c r="AP98" s="1">
        <f t="shared" si="1"/>
        <v>0</v>
      </c>
      <c r="AQ98" s="1" t="s">
        <v>557</v>
      </c>
      <c r="AR98" s="1" t="s">
        <v>568</v>
      </c>
      <c r="AT98" s="1" t="s">
        <v>616</v>
      </c>
      <c r="AU98" s="2">
        <v>45995.0</v>
      </c>
      <c r="AV98" s="2">
        <v>46000.0180555556</v>
      </c>
      <c r="AW98" s="1">
        <v>8.0</v>
      </c>
      <c r="AX98" s="1">
        <v>2144783.4</v>
      </c>
      <c r="AY98" s="1">
        <v>1078.0</v>
      </c>
      <c r="AZ98" s="1">
        <v>1.0</v>
      </c>
      <c r="BA98" s="1">
        <v>0.0</v>
      </c>
      <c r="BB98" s="1">
        <v>0.0</v>
      </c>
      <c r="BC98" s="2">
        <v>45995.0</v>
      </c>
      <c r="BD98" s="1">
        <v>48.0</v>
      </c>
      <c r="BE98" s="1" t="s">
        <v>550</v>
      </c>
      <c r="BF98" s="1">
        <v>2025.0</v>
      </c>
      <c r="BG98" s="1" t="s">
        <v>558</v>
      </c>
      <c r="BH98" s="7" t="str">
        <f>VLOOKUP(B98,CookieClicks!D:O,12,FALSE)</f>
        <v>http://signup.method.me/methodcrm</v>
      </c>
      <c r="BI98" s="8" t="str">
        <f>IFERROR(__xludf.DUMMYFUNCTION("VLOOKUP(REGEXREPLACE(BH98,""[?].*"",""""),ContentBuckets!A:C,2,FALSE)"),"#N/A")</f>
        <v>#N/A</v>
      </c>
      <c r="BJ98" s="8" t="str">
        <f>IFERROR(__xludf.DUMMYFUNCTION("VLOOKUP(REGEXREPLACE(BH98,""[?].*"",""""),ContentBuckets!A:C,3,FALSE)"),"#N/A")</f>
        <v>#N/A</v>
      </c>
    </row>
    <row r="99" ht="14.25" customHeight="1">
      <c r="A99" s="1">
        <v>153230.0</v>
      </c>
      <c r="B99" s="1" t="s">
        <v>708</v>
      </c>
      <c r="C99" s="2">
        <v>45995.35</v>
      </c>
      <c r="D99" s="2">
        <v>45995.4125</v>
      </c>
      <c r="E99" s="2"/>
      <c r="F99" s="1" t="b">
        <v>0</v>
      </c>
      <c r="G99" s="4" t="b">
        <v>1</v>
      </c>
      <c r="H99" s="1" t="b">
        <v>0</v>
      </c>
      <c r="I99" s="1" t="b">
        <v>0</v>
      </c>
      <c r="J99" s="1" t="s">
        <v>534</v>
      </c>
      <c r="K99" s="1" t="s">
        <v>553</v>
      </c>
      <c r="L99" s="1" t="s">
        <v>554</v>
      </c>
      <c r="M99" s="1" t="s">
        <v>537</v>
      </c>
      <c r="N99" s="1">
        <v>0.0</v>
      </c>
      <c r="O99" s="1">
        <v>0.0</v>
      </c>
      <c r="P99" s="1">
        <v>0.0</v>
      </c>
      <c r="Q99" s="1">
        <v>0.0</v>
      </c>
      <c r="R99" s="1">
        <v>28.0</v>
      </c>
      <c r="S99" s="1" t="s">
        <v>538</v>
      </c>
      <c r="T99" s="1" t="s">
        <v>539</v>
      </c>
      <c r="V99" s="4">
        <v>7168930.0</v>
      </c>
      <c r="W99" s="4"/>
      <c r="X99" s="4">
        <v>1.0</v>
      </c>
      <c r="Y99" s="1">
        <v>0.0</v>
      </c>
      <c r="Z99" s="1">
        <v>0.0</v>
      </c>
      <c r="AA99" s="1">
        <v>0.0</v>
      </c>
      <c r="AB99" s="1">
        <v>0.0</v>
      </c>
      <c r="AC99" s="1">
        <v>0.0</v>
      </c>
      <c r="AD99" s="1">
        <v>0.0</v>
      </c>
      <c r="AE99" s="1">
        <v>0.0</v>
      </c>
      <c r="AF99" s="1">
        <v>0.0</v>
      </c>
      <c r="AG99" s="1">
        <v>0.0</v>
      </c>
      <c r="AH99" s="1">
        <v>0.0</v>
      </c>
      <c r="AI99" s="1">
        <v>0.0</v>
      </c>
      <c r="AJ99" s="1">
        <v>0.0</v>
      </c>
      <c r="AK99" s="1">
        <v>0.0</v>
      </c>
      <c r="AL99" s="1">
        <v>0.0</v>
      </c>
      <c r="AM99" s="4">
        <v>0.0</v>
      </c>
      <c r="AN99" s="1">
        <v>0.0</v>
      </c>
      <c r="AO99" s="4">
        <v>0.0</v>
      </c>
      <c r="AP99" s="1">
        <f t="shared" si="1"/>
        <v>0</v>
      </c>
      <c r="AR99" s="1" t="s">
        <v>568</v>
      </c>
      <c r="AU99" s="2"/>
      <c r="AV99" s="2"/>
      <c r="AW99" s="1">
        <v>0.0</v>
      </c>
      <c r="AX99" s="1">
        <v>0.0</v>
      </c>
      <c r="AY99" s="1">
        <v>0.0</v>
      </c>
      <c r="AZ99" s="1">
        <v>1.0</v>
      </c>
      <c r="BA99" s="1">
        <v>0.0</v>
      </c>
      <c r="BB99" s="1">
        <v>0.0</v>
      </c>
      <c r="BC99" s="2">
        <v>45995.0</v>
      </c>
      <c r="BD99" s="1">
        <v>48.0</v>
      </c>
      <c r="BE99" s="1" t="s">
        <v>550</v>
      </c>
      <c r="BF99" s="1">
        <v>2025.0</v>
      </c>
      <c r="BG99" s="1" t="s">
        <v>558</v>
      </c>
      <c r="BH99" s="7" t="str">
        <f>VLOOKUP(B99,CookieClicks!D:O,12,FALSE)</f>
        <v>http://signup.method.me/methodcrm</v>
      </c>
      <c r="BI99" s="8" t="str">
        <f>IFERROR(__xludf.DUMMYFUNCTION("VLOOKUP(REGEXREPLACE(BH99,""[?].*"",""""),ContentBuckets!A:C,2,FALSE)"),"#N/A")</f>
        <v>#N/A</v>
      </c>
      <c r="BJ99" s="8" t="str">
        <f>IFERROR(__xludf.DUMMYFUNCTION("VLOOKUP(REGEXREPLACE(BH99,""[?].*"",""""),ContentBuckets!A:C,3,FALSE)"),"#N/A")</f>
        <v>#N/A</v>
      </c>
    </row>
    <row r="100" ht="14.25" customHeight="1">
      <c r="A100" s="1">
        <v>153231.0</v>
      </c>
      <c r="B100" s="1" t="s">
        <v>709</v>
      </c>
      <c r="C100" s="2">
        <v>45995.3715277778</v>
      </c>
      <c r="D100" s="2"/>
      <c r="E100" s="2"/>
      <c r="F100" s="1" t="b">
        <v>1</v>
      </c>
      <c r="G100" s="4" t="b">
        <v>0</v>
      </c>
      <c r="H100" s="1" t="b">
        <v>0</v>
      </c>
      <c r="I100" s="1" t="b">
        <v>0</v>
      </c>
      <c r="J100" s="1" t="s">
        <v>534</v>
      </c>
      <c r="K100" s="1" t="s">
        <v>535</v>
      </c>
      <c r="L100" s="1" t="s">
        <v>536</v>
      </c>
      <c r="M100" s="1" t="s">
        <v>537</v>
      </c>
      <c r="N100" s="1">
        <v>0.0</v>
      </c>
      <c r="O100" s="1">
        <v>127.5</v>
      </c>
      <c r="P100" s="1">
        <v>0.0</v>
      </c>
      <c r="Q100" s="1">
        <v>0.0</v>
      </c>
      <c r="R100" s="1">
        <v>0.0</v>
      </c>
      <c r="S100" s="1" t="s">
        <v>538</v>
      </c>
      <c r="T100" s="1" t="s">
        <v>539</v>
      </c>
      <c r="V100" s="4">
        <v>7120535.0</v>
      </c>
      <c r="W100" s="4"/>
      <c r="X100" s="4">
        <v>0.0</v>
      </c>
      <c r="Y100" s="1">
        <v>0.0</v>
      </c>
      <c r="Z100" s="1">
        <v>0.0</v>
      </c>
      <c r="AA100" s="1">
        <v>1.0</v>
      </c>
      <c r="AB100" s="1">
        <v>0.0</v>
      </c>
      <c r="AC100" s="1">
        <v>0.0</v>
      </c>
      <c r="AD100" s="1">
        <v>0.0</v>
      </c>
      <c r="AE100" s="1">
        <v>0.0</v>
      </c>
      <c r="AF100" s="1">
        <v>0.0</v>
      </c>
      <c r="AG100" s="1">
        <v>0.0</v>
      </c>
      <c r="AH100" s="1">
        <v>0.0</v>
      </c>
      <c r="AI100" s="1">
        <v>0.0</v>
      </c>
      <c r="AJ100" s="1">
        <v>0.0</v>
      </c>
      <c r="AK100" s="1">
        <v>0.0</v>
      </c>
      <c r="AL100" s="1">
        <v>0.0</v>
      </c>
      <c r="AM100" s="4">
        <v>0.0</v>
      </c>
      <c r="AN100" s="1">
        <v>0.0</v>
      </c>
      <c r="AO100" s="4">
        <v>0.0</v>
      </c>
      <c r="AP100" s="1">
        <f t="shared" si="1"/>
        <v>0</v>
      </c>
      <c r="AQ100" s="1" t="s">
        <v>557</v>
      </c>
      <c r="AU100" s="2">
        <v>45995.0</v>
      </c>
      <c r="AV100" s="2">
        <v>46023.9833333333</v>
      </c>
      <c r="AW100" s="1">
        <v>15.0</v>
      </c>
      <c r="AX100" s="1">
        <v>1435320.0</v>
      </c>
      <c r="AY100" s="1">
        <v>245.0</v>
      </c>
      <c r="AZ100" s="1">
        <v>2.0</v>
      </c>
      <c r="BA100" s="1">
        <v>0.0</v>
      </c>
      <c r="BB100" s="1">
        <v>0.0</v>
      </c>
      <c r="BC100" s="2">
        <v>45995.0</v>
      </c>
      <c r="BD100" s="1">
        <v>48.0</v>
      </c>
      <c r="BE100" s="1" t="s">
        <v>550</v>
      </c>
      <c r="BF100" s="1">
        <v>2025.0</v>
      </c>
      <c r="BG100" s="1" t="s">
        <v>558</v>
      </c>
      <c r="BH100" s="1" t="str">
        <f>VLOOKUP(B100,CookieClicks!D:O,12,FALSE)</f>
        <v>https://grow.method.me/direct-su/?trc=81&amp;trk=quickbooks crm integrations&amp;trs=USA-QB-G_Ex&amp;campaignid=22265826203&amp;adgroupid=176758613473&amp;adid=776774035818&amp;gad_source=1&amp;gad_campaignid=22265826203&amp;gbraid=0AAAAAD3Itnb4w7dkGBMCKYB0IWq9_ilk-&amp;gclid=CjwKCAiAt8bIBhBpEiwAzH1w6b2wVMmLrkot6f7wbE-gLM3zhJqxyaiVfdz2k8kGVqyWXddgG5u6cBoCQwoQAvD_BwE</v>
      </c>
      <c r="BI100" s="8" t="str">
        <f>IFERROR(__xludf.DUMMYFUNCTION("VLOOKUP(REGEXREPLACE(BH100,""[?].*"",""""),ContentBuckets!A:C,2,FALSE)"),"#N/A")</f>
        <v>#N/A</v>
      </c>
      <c r="BJ100" s="8" t="str">
        <f>IFERROR(__xludf.DUMMYFUNCTION("VLOOKUP(REGEXREPLACE(BH100,""[?].*"",""""),ContentBuckets!A:C,3,FALSE)"),"#N/A")</f>
        <v>#N/A</v>
      </c>
    </row>
    <row r="101" ht="14.25" customHeight="1">
      <c r="A101" s="1">
        <v>153234.0</v>
      </c>
      <c r="B101" s="1" t="s">
        <v>710</v>
      </c>
      <c r="C101" s="2">
        <v>45995.4076388889</v>
      </c>
      <c r="D101" s="2"/>
      <c r="E101" s="2"/>
      <c r="F101" s="1" t="b">
        <v>1</v>
      </c>
      <c r="G101" s="4" t="b">
        <v>0</v>
      </c>
      <c r="H101" s="1" t="b">
        <v>0</v>
      </c>
      <c r="I101" s="1" t="b">
        <v>0</v>
      </c>
      <c r="J101" s="1" t="s">
        <v>534</v>
      </c>
      <c r="K101" s="1" t="s">
        <v>535</v>
      </c>
      <c r="L101" s="1" t="s">
        <v>536</v>
      </c>
      <c r="M101" s="1" t="s">
        <v>537</v>
      </c>
      <c r="N101" s="1">
        <v>0.0</v>
      </c>
      <c r="O101" s="1">
        <v>145.5</v>
      </c>
      <c r="P101" s="1">
        <v>0.0</v>
      </c>
      <c r="Q101" s="1">
        <v>0.0</v>
      </c>
      <c r="R101" s="1">
        <v>28.0</v>
      </c>
      <c r="S101" s="1" t="s">
        <v>538</v>
      </c>
      <c r="T101" s="1" t="s">
        <v>539</v>
      </c>
      <c r="V101" s="4">
        <v>7236563.0</v>
      </c>
      <c r="W101" s="4"/>
      <c r="X101" s="4">
        <v>0.0</v>
      </c>
      <c r="Y101" s="1">
        <v>0.0</v>
      </c>
      <c r="Z101" s="1">
        <v>1.0</v>
      </c>
      <c r="AA101" s="1">
        <v>0.0</v>
      </c>
      <c r="AB101" s="1">
        <v>0.0</v>
      </c>
      <c r="AC101" s="1">
        <v>0.0</v>
      </c>
      <c r="AD101" s="1">
        <v>0.0</v>
      </c>
      <c r="AE101" s="1">
        <v>0.0</v>
      </c>
      <c r="AF101" s="1">
        <v>0.0</v>
      </c>
      <c r="AG101" s="1">
        <v>0.0</v>
      </c>
      <c r="AH101" s="1">
        <v>0.0</v>
      </c>
      <c r="AI101" s="1">
        <v>0.0</v>
      </c>
      <c r="AJ101" s="1">
        <v>0.0</v>
      </c>
      <c r="AK101" s="1">
        <v>0.0</v>
      </c>
      <c r="AL101" s="1">
        <v>0.0</v>
      </c>
      <c r="AM101" s="4">
        <v>0.0</v>
      </c>
      <c r="AN101" s="1">
        <v>0.0</v>
      </c>
      <c r="AO101" s="4">
        <v>0.0</v>
      </c>
      <c r="AP101" s="1">
        <f t="shared" si="1"/>
        <v>0</v>
      </c>
      <c r="AQ101" s="1" t="s">
        <v>711</v>
      </c>
      <c r="AR101" s="1" t="s">
        <v>542</v>
      </c>
      <c r="AT101" s="1" t="s">
        <v>610</v>
      </c>
      <c r="AU101" s="2">
        <v>45995.0</v>
      </c>
      <c r="AV101" s="2">
        <v>46024.025</v>
      </c>
      <c r="AW101" s="1">
        <v>95.0</v>
      </c>
      <c r="AX101" s="1">
        <v>1.771297404E7</v>
      </c>
      <c r="AY101" s="1">
        <v>601.0</v>
      </c>
      <c r="AZ101" s="1">
        <v>2.0</v>
      </c>
      <c r="BA101" s="1">
        <v>0.0</v>
      </c>
      <c r="BB101" s="1">
        <v>0.0</v>
      </c>
      <c r="BC101" s="2">
        <v>45995.0</v>
      </c>
      <c r="BD101" s="1">
        <v>48.0</v>
      </c>
      <c r="BE101" s="1" t="s">
        <v>550</v>
      </c>
      <c r="BF101" s="1">
        <v>2025.0</v>
      </c>
      <c r="BG101" s="1" t="s">
        <v>712</v>
      </c>
      <c r="BH101" s="7" t="str">
        <f>VLOOKUP(B101,CookieClicks!D:O,12,FALSE)</f>
        <v>https://signup.method.me/QBOAppstoreSignup?offering=methodcrm</v>
      </c>
      <c r="BI101" s="8" t="str">
        <f>IFERROR(__xludf.DUMMYFUNCTION("VLOOKUP(REGEXREPLACE(BH101,""[?].*"",""""),ContentBuckets!A:C,2,FALSE)"),"#N/A")</f>
        <v>#N/A</v>
      </c>
      <c r="BJ101" s="8" t="str">
        <f>IFERROR(__xludf.DUMMYFUNCTION("VLOOKUP(REGEXREPLACE(BH101,""[?].*"",""""),ContentBuckets!A:C,3,FALSE)"),"#N/A")</f>
        <v>#N/A</v>
      </c>
    </row>
    <row r="102" ht="14.25" customHeight="1">
      <c r="A102" s="1">
        <v>153237.0</v>
      </c>
      <c r="B102" s="1" t="s">
        <v>713</v>
      </c>
      <c r="C102" s="2">
        <v>45995.5215277778</v>
      </c>
      <c r="D102" s="2"/>
      <c r="E102" s="2"/>
      <c r="F102" s="1" t="b">
        <v>1</v>
      </c>
      <c r="G102" s="4" t="b">
        <v>0</v>
      </c>
      <c r="H102" s="1" t="b">
        <v>0</v>
      </c>
      <c r="I102" s="1" t="b">
        <v>0</v>
      </c>
      <c r="J102" s="1" t="s">
        <v>534</v>
      </c>
      <c r="K102" s="1" t="s">
        <v>535</v>
      </c>
      <c r="L102" s="1" t="s">
        <v>536</v>
      </c>
      <c r="M102" s="1" t="s">
        <v>537</v>
      </c>
      <c r="N102" s="1">
        <v>0.0</v>
      </c>
      <c r="O102" s="1">
        <v>44.25</v>
      </c>
      <c r="P102" s="1">
        <v>0.0</v>
      </c>
      <c r="Q102" s="1">
        <v>0.0</v>
      </c>
      <c r="R102" s="1">
        <v>0.0</v>
      </c>
      <c r="S102" s="1" t="s">
        <v>538</v>
      </c>
      <c r="T102" s="1" t="s">
        <v>539</v>
      </c>
      <c r="V102" s="4">
        <v>7237457.0</v>
      </c>
      <c r="W102" s="4"/>
      <c r="X102" s="4">
        <v>0.0</v>
      </c>
      <c r="Y102" s="1">
        <v>0.0</v>
      </c>
      <c r="Z102" s="1">
        <v>0.0</v>
      </c>
      <c r="AA102" s="1">
        <v>1.0</v>
      </c>
      <c r="AB102" s="1">
        <v>0.0</v>
      </c>
      <c r="AC102" s="1">
        <v>0.0</v>
      </c>
      <c r="AD102" s="1">
        <v>0.0</v>
      </c>
      <c r="AE102" s="1">
        <v>0.0</v>
      </c>
      <c r="AF102" s="1">
        <v>0.0</v>
      </c>
      <c r="AG102" s="1">
        <v>0.0</v>
      </c>
      <c r="AH102" s="1">
        <v>0.0</v>
      </c>
      <c r="AI102" s="1">
        <v>0.0</v>
      </c>
      <c r="AJ102" s="1">
        <v>0.0</v>
      </c>
      <c r="AK102" s="1">
        <v>0.0</v>
      </c>
      <c r="AL102" s="1">
        <v>0.0</v>
      </c>
      <c r="AM102" s="4">
        <v>0.0</v>
      </c>
      <c r="AN102" s="1">
        <v>0.0</v>
      </c>
      <c r="AO102" s="4">
        <v>0.0</v>
      </c>
      <c r="AP102" s="1">
        <f t="shared" si="1"/>
        <v>0</v>
      </c>
      <c r="AQ102" s="1" t="s">
        <v>557</v>
      </c>
      <c r="AT102" s="1" t="s">
        <v>714</v>
      </c>
      <c r="AU102" s="2">
        <v>45995.0</v>
      </c>
      <c r="AV102" s="2">
        <v>46024.0319444444</v>
      </c>
      <c r="AW102" s="1">
        <v>0.0</v>
      </c>
      <c r="AX102" s="1">
        <v>79509.0</v>
      </c>
      <c r="AY102" s="1">
        <v>9.0</v>
      </c>
      <c r="AZ102" s="1">
        <v>1.0</v>
      </c>
      <c r="BA102" s="1">
        <v>0.0</v>
      </c>
      <c r="BB102" s="1">
        <v>0.0</v>
      </c>
      <c r="BC102" s="2">
        <v>45995.0</v>
      </c>
      <c r="BD102" s="1">
        <v>48.0</v>
      </c>
      <c r="BE102" s="1" t="s">
        <v>550</v>
      </c>
      <c r="BF102" s="1">
        <v>2025.0</v>
      </c>
      <c r="BG102" s="1" t="s">
        <v>558</v>
      </c>
      <c r="BH102" s="1" t="str">
        <f>VLOOKUP(B102,CookieClicks!D:O,12,FALSE)</f>
        <v>https://grow.method.me/crm-quickbooks/?trc=81&amp;trk=quickbooks crm&amp;trs=USA-QB-G_Ex&amp;campaignid=22265826203&amp;adgroupid=176758613473&amp;adid=734012603510&amp;gad_source=1&amp;gad_campaignid=22265826203&amp;gbraid=0AAAAAD3ItnYwo4_PXv6BoXXoMVIKT_2ni&amp;gclid=Cj0KCQiA_8TJBhDNARIsAPX5qxQamITQ58Vnx_6whzkl5PGSDldNHevYE_3CioyshOxdPvoy3C_w63saAp49EALw_wcB</v>
      </c>
      <c r="BI102" s="8" t="str">
        <f>IFERROR(__xludf.DUMMYFUNCTION("VLOOKUP(REGEXREPLACE(BH102,""[?].*"",""""),ContentBuckets!A:C,2,FALSE)"),"#N/A")</f>
        <v>#N/A</v>
      </c>
      <c r="BJ102" s="8" t="str">
        <f>IFERROR(__xludf.DUMMYFUNCTION("VLOOKUP(REGEXREPLACE(BH102,""[?].*"",""""),ContentBuckets!A:C,3,FALSE)"),"#N/A")</f>
        <v>#N/A</v>
      </c>
    </row>
    <row r="103" ht="14.25" customHeight="1">
      <c r="A103" s="1">
        <v>153238.0</v>
      </c>
      <c r="B103" s="1" t="s">
        <v>715</v>
      </c>
      <c r="C103" s="2">
        <v>45995.5256944444</v>
      </c>
      <c r="D103" s="2">
        <v>46013.4347222222</v>
      </c>
      <c r="E103" s="2"/>
      <c r="F103" s="1" t="b">
        <v>0</v>
      </c>
      <c r="G103" s="4" t="b">
        <v>0</v>
      </c>
      <c r="H103" s="1" t="b">
        <v>0</v>
      </c>
      <c r="I103" s="1" t="b">
        <v>0</v>
      </c>
      <c r="J103" s="1" t="s">
        <v>534</v>
      </c>
      <c r="K103" s="1" t="s">
        <v>566</v>
      </c>
      <c r="L103" s="1" t="s">
        <v>567</v>
      </c>
      <c r="M103" s="1" t="s">
        <v>537</v>
      </c>
      <c r="N103" s="1">
        <v>0.0</v>
      </c>
      <c r="O103" s="1">
        <v>44.25</v>
      </c>
      <c r="P103" s="1">
        <v>0.0</v>
      </c>
      <c r="Q103" s="1">
        <v>0.0</v>
      </c>
      <c r="R103" s="1">
        <v>28.0</v>
      </c>
      <c r="S103" s="1" t="s">
        <v>538</v>
      </c>
      <c r="T103" s="1" t="s">
        <v>539</v>
      </c>
      <c r="V103" s="4">
        <v>7237483.0</v>
      </c>
      <c r="W103" s="4"/>
      <c r="X103" s="4">
        <v>1.0</v>
      </c>
      <c r="Y103" s="1">
        <v>0.0</v>
      </c>
      <c r="Z103" s="1">
        <v>0.0</v>
      </c>
      <c r="AA103" s="1">
        <v>0.0</v>
      </c>
      <c r="AB103" s="1">
        <v>0.0</v>
      </c>
      <c r="AC103" s="1">
        <v>0.0</v>
      </c>
      <c r="AD103" s="1">
        <v>0.0</v>
      </c>
      <c r="AE103" s="1">
        <v>0.0</v>
      </c>
      <c r="AF103" s="1">
        <v>0.0</v>
      </c>
      <c r="AG103" s="1">
        <v>0.0</v>
      </c>
      <c r="AH103" s="1">
        <v>0.0</v>
      </c>
      <c r="AI103" s="1">
        <v>0.0</v>
      </c>
      <c r="AJ103" s="1">
        <v>0.0</v>
      </c>
      <c r="AK103" s="1">
        <v>0.0</v>
      </c>
      <c r="AL103" s="1">
        <v>0.0</v>
      </c>
      <c r="AM103" s="4">
        <v>0.0</v>
      </c>
      <c r="AN103" s="1">
        <v>0.0</v>
      </c>
      <c r="AO103" s="4">
        <v>0.0</v>
      </c>
      <c r="AP103" s="1">
        <f t="shared" si="1"/>
        <v>0</v>
      </c>
      <c r="AR103" s="1" t="s">
        <v>549</v>
      </c>
      <c r="AU103" s="2"/>
      <c r="AV103" s="2">
        <v>46012.9875</v>
      </c>
      <c r="AW103" s="1">
        <v>0.0</v>
      </c>
      <c r="AX103" s="1">
        <v>0.0</v>
      </c>
      <c r="AY103" s="1">
        <v>0.0</v>
      </c>
      <c r="AZ103" s="1">
        <v>1.0</v>
      </c>
      <c r="BA103" s="1">
        <v>0.0</v>
      </c>
      <c r="BB103" s="1">
        <v>0.0</v>
      </c>
      <c r="BC103" s="2">
        <v>45995.0</v>
      </c>
      <c r="BD103" s="1">
        <v>48.0</v>
      </c>
      <c r="BE103" s="1" t="s">
        <v>550</v>
      </c>
      <c r="BF103" s="1">
        <v>2025.0</v>
      </c>
      <c r="BG103" s="1" t="s">
        <v>546</v>
      </c>
      <c r="BH103" s="7" t="str">
        <f>VLOOKUP(B103,CookieClicks!D:O,12,FALSE)</f>
        <v>http://signup.method.me/methodcrm</v>
      </c>
      <c r="BI103" s="8" t="str">
        <f>IFERROR(__xludf.DUMMYFUNCTION("VLOOKUP(REGEXREPLACE(BH103,""[?].*"",""""),ContentBuckets!A:C,2,FALSE)"),"#N/A")</f>
        <v>#N/A</v>
      </c>
      <c r="BJ103" s="8" t="str">
        <f>IFERROR(__xludf.DUMMYFUNCTION("VLOOKUP(REGEXREPLACE(BH103,""[?].*"",""""),ContentBuckets!A:C,3,FALSE)"),"#N/A")</f>
        <v>#N/A</v>
      </c>
    </row>
    <row r="104" ht="14.25" customHeight="1">
      <c r="A104" s="1">
        <v>153239.0</v>
      </c>
      <c r="B104" s="1" t="s">
        <v>716</v>
      </c>
      <c r="C104" s="2">
        <v>45995.5319444444</v>
      </c>
      <c r="D104" s="2">
        <v>45995.6013888889</v>
      </c>
      <c r="E104" s="2"/>
      <c r="F104" s="1" t="b">
        <v>0</v>
      </c>
      <c r="G104" s="4" t="b">
        <v>0</v>
      </c>
      <c r="H104" s="1" t="b">
        <v>0</v>
      </c>
      <c r="I104" s="1" t="b">
        <v>0</v>
      </c>
      <c r="J104" s="1" t="s">
        <v>534</v>
      </c>
      <c r="K104" s="1" t="s">
        <v>535</v>
      </c>
      <c r="L104" s="1" t="s">
        <v>536</v>
      </c>
      <c r="M104" s="1" t="s">
        <v>537</v>
      </c>
      <c r="N104" s="1">
        <v>0.0</v>
      </c>
      <c r="O104" s="1">
        <v>109.5</v>
      </c>
      <c r="P104" s="1">
        <v>0.0</v>
      </c>
      <c r="Q104" s="1">
        <v>0.0</v>
      </c>
      <c r="R104" s="1">
        <v>28.0</v>
      </c>
      <c r="S104" s="1" t="s">
        <v>538</v>
      </c>
      <c r="T104" s="1" t="s">
        <v>539</v>
      </c>
      <c r="V104" s="4">
        <v>7237545.0</v>
      </c>
      <c r="W104" s="4"/>
      <c r="X104" s="4">
        <v>0.0</v>
      </c>
      <c r="Y104" s="1">
        <v>0.0</v>
      </c>
      <c r="Z104" s="1">
        <v>1.0</v>
      </c>
      <c r="AA104" s="1">
        <v>0.0</v>
      </c>
      <c r="AB104" s="1">
        <v>0.0</v>
      </c>
      <c r="AC104" s="1">
        <v>0.0</v>
      </c>
      <c r="AD104" s="1">
        <v>0.0</v>
      </c>
      <c r="AE104" s="1">
        <v>0.0</v>
      </c>
      <c r="AF104" s="1">
        <v>0.0</v>
      </c>
      <c r="AG104" s="1">
        <v>0.0</v>
      </c>
      <c r="AH104" s="1">
        <v>0.0</v>
      </c>
      <c r="AI104" s="1">
        <v>0.0</v>
      </c>
      <c r="AJ104" s="1">
        <v>0.0</v>
      </c>
      <c r="AK104" s="1">
        <v>0.0</v>
      </c>
      <c r="AL104" s="1">
        <v>0.0</v>
      </c>
      <c r="AM104" s="4">
        <v>0.0</v>
      </c>
      <c r="AN104" s="1">
        <v>0.0</v>
      </c>
      <c r="AO104" s="4">
        <v>0.0</v>
      </c>
      <c r="AP104" s="1">
        <f t="shared" si="1"/>
        <v>0</v>
      </c>
      <c r="AQ104" s="1" t="s">
        <v>541</v>
      </c>
      <c r="AR104" s="1" t="s">
        <v>568</v>
      </c>
      <c r="AU104" s="2">
        <v>45995.0</v>
      </c>
      <c r="AV104" s="2">
        <v>45995.5944444444</v>
      </c>
      <c r="AW104" s="1">
        <v>16.0</v>
      </c>
      <c r="AX104" s="1">
        <v>2338147.8</v>
      </c>
      <c r="AY104" s="1">
        <v>75.0</v>
      </c>
      <c r="AZ104" s="1">
        <v>1.0</v>
      </c>
      <c r="BA104" s="1">
        <v>0.0</v>
      </c>
      <c r="BB104" s="1">
        <v>0.0</v>
      </c>
      <c r="BC104" s="2">
        <v>45995.0</v>
      </c>
      <c r="BD104" s="1">
        <v>48.0</v>
      </c>
      <c r="BE104" s="1" t="s">
        <v>550</v>
      </c>
      <c r="BF104" s="1">
        <v>2025.0</v>
      </c>
      <c r="BH104" s="7" t="str">
        <f>VLOOKUP(B104,CookieClicks!D:O,12,FALSE)</f>
        <v>https://signup.method.me/QBOAppstoreSignup?offering=methodcrm</v>
      </c>
      <c r="BI104" s="8" t="str">
        <f>IFERROR(__xludf.DUMMYFUNCTION("VLOOKUP(REGEXREPLACE(BH104,""[?].*"",""""),ContentBuckets!A:C,2,FALSE)"),"#N/A")</f>
        <v>#N/A</v>
      </c>
      <c r="BJ104" s="8" t="str">
        <f>IFERROR(__xludf.DUMMYFUNCTION("VLOOKUP(REGEXREPLACE(BH104,""[?].*"",""""),ContentBuckets!A:C,3,FALSE)"),"#N/A")</f>
        <v>#N/A</v>
      </c>
    </row>
    <row r="105" ht="14.25" customHeight="1">
      <c r="A105" s="1">
        <v>153240.0</v>
      </c>
      <c r="B105" s="1" t="s">
        <v>717</v>
      </c>
      <c r="C105" s="2">
        <v>45995.5625</v>
      </c>
      <c r="D105" s="2"/>
      <c r="E105" s="2">
        <v>46015.5048611111</v>
      </c>
      <c r="F105" s="1" t="b">
        <v>1</v>
      </c>
      <c r="G105" s="4" t="b">
        <v>0</v>
      </c>
      <c r="H105" s="1" t="b">
        <v>0</v>
      </c>
      <c r="I105" s="1" t="b">
        <v>0</v>
      </c>
      <c r="J105" s="1" t="s">
        <v>534</v>
      </c>
      <c r="K105" s="1" t="s">
        <v>535</v>
      </c>
      <c r="L105" s="1" t="s">
        <v>536</v>
      </c>
      <c r="M105" s="1" t="s">
        <v>537</v>
      </c>
      <c r="N105" s="1">
        <v>123.75</v>
      </c>
      <c r="O105" s="1">
        <v>97.5</v>
      </c>
      <c r="P105" s="1">
        <v>0.0</v>
      </c>
      <c r="Q105" s="1">
        <v>0.0</v>
      </c>
      <c r="R105" s="1">
        <v>28.0</v>
      </c>
      <c r="S105" s="1" t="s">
        <v>538</v>
      </c>
      <c r="T105" s="1" t="s">
        <v>539</v>
      </c>
      <c r="V105" s="4">
        <v>7237731.0</v>
      </c>
      <c r="W105" s="4" t="s">
        <v>540</v>
      </c>
      <c r="X105" s="4">
        <v>0.0</v>
      </c>
      <c r="Y105" s="1">
        <v>1.0</v>
      </c>
      <c r="Z105" s="1">
        <v>0.0</v>
      </c>
      <c r="AA105" s="1">
        <v>0.0</v>
      </c>
      <c r="AB105" s="1">
        <v>0.0</v>
      </c>
      <c r="AC105" s="1">
        <v>0.0</v>
      </c>
      <c r="AD105" s="1">
        <v>0.0</v>
      </c>
      <c r="AE105" s="1">
        <v>0.0</v>
      </c>
      <c r="AF105" s="1">
        <v>0.0</v>
      </c>
      <c r="AG105" s="1">
        <v>0.0</v>
      </c>
      <c r="AH105" s="1">
        <v>0.0</v>
      </c>
      <c r="AI105" s="1">
        <v>0.0</v>
      </c>
      <c r="AJ105" s="1">
        <v>0.0</v>
      </c>
      <c r="AK105" s="1">
        <v>0.0</v>
      </c>
      <c r="AL105" s="1">
        <v>0.0</v>
      </c>
      <c r="AM105" s="4">
        <v>0.0</v>
      </c>
      <c r="AN105" s="1">
        <v>0.0</v>
      </c>
      <c r="AO105" s="4">
        <v>0.0</v>
      </c>
      <c r="AP105" s="1">
        <f t="shared" si="1"/>
        <v>0</v>
      </c>
      <c r="AQ105" s="1" t="s">
        <v>557</v>
      </c>
      <c r="AR105" s="1" t="s">
        <v>591</v>
      </c>
      <c r="AU105" s="2">
        <v>45995.0</v>
      </c>
      <c r="AV105" s="2">
        <v>46024.0416666667</v>
      </c>
      <c r="AW105" s="1">
        <v>14.0</v>
      </c>
      <c r="AX105" s="1">
        <v>847884.36</v>
      </c>
      <c r="AY105" s="1">
        <v>72.0</v>
      </c>
      <c r="AZ105" s="1">
        <v>3.0</v>
      </c>
      <c r="BA105" s="1">
        <v>0.0</v>
      </c>
      <c r="BB105" s="1">
        <v>1.0</v>
      </c>
      <c r="BC105" s="2">
        <v>45995.0</v>
      </c>
      <c r="BD105" s="1">
        <v>48.0</v>
      </c>
      <c r="BE105" s="1" t="s">
        <v>550</v>
      </c>
      <c r="BF105" s="1">
        <v>2025.0</v>
      </c>
      <c r="BG105" s="1" t="s">
        <v>718</v>
      </c>
      <c r="BH105" s="7" t="str">
        <f>VLOOKUP(B105,CookieClicks!D:O,12,FALSE)</f>
        <v>https://www.method.me/</v>
      </c>
      <c r="BI105" s="8" t="str">
        <f>IFERROR(__xludf.DUMMYFUNCTION("VLOOKUP(REGEXREPLACE(BH105,""[?].*"",""""),ContentBuckets!A:C,2,FALSE)"),"Homepage")</f>
        <v>Homepage</v>
      </c>
      <c r="BJ105" s="8" t="str">
        <f>IFERROR(__xludf.DUMMYFUNCTION("VLOOKUP(REGEXREPLACE(BH105,""[?].*"",""""),ContentBuckets!A:C,3,FALSE)"),"Other page")</f>
        <v>Other page</v>
      </c>
    </row>
    <row r="106" ht="14.25" customHeight="1">
      <c r="A106" s="1">
        <v>153241.0</v>
      </c>
      <c r="B106" s="1" t="s">
        <v>719</v>
      </c>
      <c r="C106" s="2">
        <v>45995.5986111111</v>
      </c>
      <c r="D106" s="2"/>
      <c r="E106" s="2"/>
      <c r="F106" s="1" t="b">
        <v>1</v>
      </c>
      <c r="G106" s="4" t="b">
        <v>0</v>
      </c>
      <c r="H106" s="1" t="b">
        <v>0</v>
      </c>
      <c r="I106" s="1" t="b">
        <v>0</v>
      </c>
      <c r="J106" s="1" t="s">
        <v>534</v>
      </c>
      <c r="K106" s="1" t="s">
        <v>535</v>
      </c>
      <c r="L106" s="1" t="s">
        <v>536</v>
      </c>
      <c r="M106" s="1" t="s">
        <v>537</v>
      </c>
      <c r="N106" s="1">
        <v>0.0</v>
      </c>
      <c r="O106" s="1">
        <v>44.25</v>
      </c>
      <c r="P106" s="1">
        <v>0.0</v>
      </c>
      <c r="Q106" s="1">
        <v>0.0</v>
      </c>
      <c r="R106" s="1">
        <v>28.0</v>
      </c>
      <c r="S106" s="1" t="s">
        <v>538</v>
      </c>
      <c r="T106" s="1" t="s">
        <v>539</v>
      </c>
      <c r="V106" s="4">
        <v>7146070.0</v>
      </c>
      <c r="W106" s="4"/>
      <c r="X106" s="4">
        <v>0.0</v>
      </c>
      <c r="Y106" s="1">
        <v>0.0</v>
      </c>
      <c r="Z106" s="1">
        <v>0.0</v>
      </c>
      <c r="AA106" s="1">
        <v>1.0</v>
      </c>
      <c r="AB106" s="1">
        <v>0.0</v>
      </c>
      <c r="AC106" s="1">
        <v>0.0</v>
      </c>
      <c r="AD106" s="1">
        <v>0.0</v>
      </c>
      <c r="AE106" s="1">
        <v>0.0</v>
      </c>
      <c r="AF106" s="1">
        <v>0.0</v>
      </c>
      <c r="AG106" s="1">
        <v>0.0</v>
      </c>
      <c r="AH106" s="1">
        <v>0.0</v>
      </c>
      <c r="AI106" s="1">
        <v>0.0</v>
      </c>
      <c r="AJ106" s="1">
        <v>0.0</v>
      </c>
      <c r="AK106" s="1">
        <v>0.0</v>
      </c>
      <c r="AL106" s="1">
        <v>0.0</v>
      </c>
      <c r="AM106" s="4">
        <v>0.0</v>
      </c>
      <c r="AN106" s="1">
        <v>0.0</v>
      </c>
      <c r="AO106" s="4">
        <v>0.0</v>
      </c>
      <c r="AP106" s="1">
        <f t="shared" si="1"/>
        <v>0</v>
      </c>
      <c r="AQ106" s="1" t="s">
        <v>557</v>
      </c>
      <c r="AR106" s="1" t="s">
        <v>591</v>
      </c>
      <c r="AT106" s="1" t="s">
        <v>579</v>
      </c>
      <c r="AU106" s="2">
        <v>45995.0</v>
      </c>
      <c r="AV106" s="2">
        <v>46024.0277777778</v>
      </c>
      <c r="AW106" s="1">
        <v>0.0</v>
      </c>
      <c r="AX106" s="1">
        <v>0.0</v>
      </c>
      <c r="AY106" s="1">
        <v>0.0</v>
      </c>
      <c r="AZ106" s="1">
        <v>1.0</v>
      </c>
      <c r="BA106" s="1">
        <v>0.0</v>
      </c>
      <c r="BB106" s="1">
        <v>0.0</v>
      </c>
      <c r="BC106" s="2">
        <v>45995.0</v>
      </c>
      <c r="BD106" s="1">
        <v>48.0</v>
      </c>
      <c r="BE106" s="1" t="s">
        <v>550</v>
      </c>
      <c r="BF106" s="1">
        <v>2025.0</v>
      </c>
      <c r="BG106" s="1" t="s">
        <v>558</v>
      </c>
      <c r="BH106" s="1" t="str">
        <f>VLOOKUP(B106,CookieClicks!D:O,12,FALSE)</f>
        <v>https://grow.method.me/crm-quickbooks/?trc=86&amp;trk=CRM compatible with QuickBooks&amp;trs=US-QBInt-Bing&amp;msclkid=a6a55b0bfc931aba04e3321cc514b652&amp;utm_source=bing&amp;utm_medium=cpc&amp;utm_campaign=US - Generic 2020&amp;utm_term=CRM compatible with QuickBooks&amp;utm_content=Integrations</v>
      </c>
      <c r="BI106" s="8" t="str">
        <f>IFERROR(__xludf.DUMMYFUNCTION("VLOOKUP(REGEXREPLACE(BH106,""[?].*"",""""),ContentBuckets!A:C,2,FALSE)"),"#N/A")</f>
        <v>#N/A</v>
      </c>
      <c r="BJ106" s="8" t="str">
        <f>IFERROR(__xludf.DUMMYFUNCTION("VLOOKUP(REGEXREPLACE(BH106,""[?].*"",""""),ContentBuckets!A:C,3,FALSE)"),"#N/A")</f>
        <v>#N/A</v>
      </c>
    </row>
    <row r="107" ht="14.25" customHeight="1">
      <c r="A107" s="1">
        <v>153242.0</v>
      </c>
      <c r="B107" s="1" t="s">
        <v>720</v>
      </c>
      <c r="C107" s="2">
        <v>45995.6</v>
      </c>
      <c r="D107" s="2">
        <v>46021.4784722222</v>
      </c>
      <c r="E107" s="2"/>
      <c r="F107" s="1" t="b">
        <v>0</v>
      </c>
      <c r="G107" s="4" t="b">
        <v>0</v>
      </c>
      <c r="H107" s="1" t="b">
        <v>0</v>
      </c>
      <c r="I107" s="1" t="b">
        <v>0</v>
      </c>
      <c r="J107" s="1" t="s">
        <v>534</v>
      </c>
      <c r="K107" s="1" t="s">
        <v>535</v>
      </c>
      <c r="L107" s="1" t="s">
        <v>536</v>
      </c>
      <c r="M107" s="1" t="s">
        <v>537</v>
      </c>
      <c r="N107" s="1">
        <v>0.0</v>
      </c>
      <c r="O107" s="1">
        <v>63.75</v>
      </c>
      <c r="P107" s="1">
        <v>0.0</v>
      </c>
      <c r="Q107" s="1">
        <v>0.0</v>
      </c>
      <c r="R107" s="1">
        <v>28.0</v>
      </c>
      <c r="S107" s="1" t="s">
        <v>538</v>
      </c>
      <c r="T107" s="1" t="s">
        <v>539</v>
      </c>
      <c r="V107" s="4">
        <v>6822630.0</v>
      </c>
      <c r="W107" s="4"/>
      <c r="X107" s="4">
        <v>0.0</v>
      </c>
      <c r="Y107" s="1">
        <v>0.0</v>
      </c>
      <c r="Z107" s="1">
        <v>0.0</v>
      </c>
      <c r="AA107" s="1">
        <v>1.0</v>
      </c>
      <c r="AB107" s="1">
        <v>0.0</v>
      </c>
      <c r="AC107" s="1">
        <v>0.0</v>
      </c>
      <c r="AD107" s="1">
        <v>0.0</v>
      </c>
      <c r="AE107" s="1">
        <v>0.0</v>
      </c>
      <c r="AF107" s="1">
        <v>0.0</v>
      </c>
      <c r="AG107" s="1">
        <v>0.0</v>
      </c>
      <c r="AH107" s="1">
        <v>0.0</v>
      </c>
      <c r="AI107" s="1">
        <v>0.0</v>
      </c>
      <c r="AJ107" s="1">
        <v>0.0</v>
      </c>
      <c r="AK107" s="1">
        <v>0.0</v>
      </c>
      <c r="AL107" s="1">
        <v>0.0</v>
      </c>
      <c r="AM107" s="4">
        <v>0.0</v>
      </c>
      <c r="AN107" s="1">
        <v>0.0</v>
      </c>
      <c r="AO107" s="4">
        <v>0.0</v>
      </c>
      <c r="AP107" s="1">
        <f t="shared" si="1"/>
        <v>0</v>
      </c>
      <c r="AQ107" s="1" t="s">
        <v>557</v>
      </c>
      <c r="AR107" s="1" t="s">
        <v>608</v>
      </c>
      <c r="AT107" s="1" t="s">
        <v>721</v>
      </c>
      <c r="AU107" s="2">
        <v>45995.0</v>
      </c>
      <c r="AV107" s="2">
        <v>46020.9902777778</v>
      </c>
      <c r="AW107" s="1">
        <v>0.0</v>
      </c>
      <c r="AX107" s="1">
        <v>4584.0</v>
      </c>
      <c r="AY107" s="1">
        <v>8.0</v>
      </c>
      <c r="AZ107" s="1">
        <v>1.0</v>
      </c>
      <c r="BA107" s="1">
        <v>0.0</v>
      </c>
      <c r="BB107" s="1">
        <v>0.0</v>
      </c>
      <c r="BC107" s="2">
        <v>45995.0</v>
      </c>
      <c r="BD107" s="1">
        <v>48.0</v>
      </c>
      <c r="BE107" s="1" t="s">
        <v>550</v>
      </c>
      <c r="BF107" s="1">
        <v>2025.0</v>
      </c>
      <c r="BG107" s="1" t="s">
        <v>558</v>
      </c>
      <c r="BH107" s="1" t="str">
        <f>VLOOKUP(B107,CookieClicks!D:O,12,FALSE)</f>
        <v>https://grow.method.me/crm-quickbooks/?trc=81&amp;trk=crm compatible with quickbooks&amp;trs=USA-QB-G_Ex&amp;campaignid=22265826203&amp;adgroupid=176758613473&amp;adid=734012603510&amp;gad_source=1&amp;gad_campaignid=22265826203&amp;gbraid=0AAAAAD3ItnbZCmbFkwWSvTDTojf78iY5I&amp;gclid=Cj0KCQjw5JXFBhCrARIsAL1ckPtbBuObmGAKXuGZxpcgz27Tm1-HHJnghChdLtz-o0OsAfGLYcdNeW8aAhJ5EALw_wcB</v>
      </c>
      <c r="BI107" s="8" t="str">
        <f>IFERROR(__xludf.DUMMYFUNCTION("VLOOKUP(REGEXREPLACE(BH107,""[?].*"",""""),ContentBuckets!A:C,2,FALSE)"),"#N/A")</f>
        <v>#N/A</v>
      </c>
      <c r="BJ107" s="8" t="str">
        <f>IFERROR(__xludf.DUMMYFUNCTION("VLOOKUP(REGEXREPLACE(BH107,""[?].*"",""""),ContentBuckets!A:C,3,FALSE)"),"#N/A")</f>
        <v>#N/A</v>
      </c>
    </row>
    <row r="108" ht="14.25" customHeight="1">
      <c r="A108" s="1">
        <v>153243.0</v>
      </c>
      <c r="B108" s="1" t="s">
        <v>722</v>
      </c>
      <c r="C108" s="2">
        <v>45995.6027777778</v>
      </c>
      <c r="D108" s="2"/>
      <c r="E108" s="2"/>
      <c r="F108" s="1" t="b">
        <v>1</v>
      </c>
      <c r="G108" s="4" t="b">
        <v>0</v>
      </c>
      <c r="H108" s="1" t="b">
        <v>0</v>
      </c>
      <c r="I108" s="1" t="b">
        <v>0</v>
      </c>
      <c r="J108" s="1" t="s">
        <v>534</v>
      </c>
      <c r="K108" s="1" t="s">
        <v>553</v>
      </c>
      <c r="L108" s="1" t="s">
        <v>554</v>
      </c>
      <c r="M108" s="1" t="s">
        <v>537</v>
      </c>
      <c r="N108" s="1">
        <v>0.0</v>
      </c>
      <c r="O108" s="1">
        <v>44.25</v>
      </c>
      <c r="P108" s="1">
        <v>0.0</v>
      </c>
      <c r="Q108" s="1">
        <v>0.0</v>
      </c>
      <c r="R108" s="1">
        <v>0.0</v>
      </c>
      <c r="S108" s="1" t="s">
        <v>538</v>
      </c>
      <c r="T108" s="1" t="s">
        <v>539</v>
      </c>
      <c r="V108" s="4">
        <v>7238173.0</v>
      </c>
      <c r="W108" s="4" t="s">
        <v>540</v>
      </c>
      <c r="X108" s="4">
        <v>0.0</v>
      </c>
      <c r="Y108" s="1">
        <v>1.0</v>
      </c>
      <c r="Z108" s="1">
        <v>0.0</v>
      </c>
      <c r="AA108" s="1">
        <v>0.0</v>
      </c>
      <c r="AB108" s="1">
        <v>0.0</v>
      </c>
      <c r="AC108" s="1">
        <v>0.0</v>
      </c>
      <c r="AD108" s="1">
        <v>0.0</v>
      </c>
      <c r="AE108" s="1">
        <v>0.0</v>
      </c>
      <c r="AF108" s="1">
        <v>0.0</v>
      </c>
      <c r="AG108" s="1">
        <v>0.0</v>
      </c>
      <c r="AH108" s="1">
        <v>0.0</v>
      </c>
      <c r="AI108" s="1">
        <v>0.0</v>
      </c>
      <c r="AJ108" s="1">
        <v>0.0</v>
      </c>
      <c r="AK108" s="1">
        <v>0.0</v>
      </c>
      <c r="AL108" s="1">
        <v>0.0</v>
      </c>
      <c r="AM108" s="4">
        <v>0.0</v>
      </c>
      <c r="AN108" s="1">
        <v>0.0</v>
      </c>
      <c r="AO108" s="4">
        <v>0.0</v>
      </c>
      <c r="AP108" s="1">
        <f t="shared" si="1"/>
        <v>0</v>
      </c>
      <c r="AU108" s="2"/>
      <c r="AV108" s="2">
        <v>46024.0416666667</v>
      </c>
      <c r="AW108" s="1">
        <v>0.0</v>
      </c>
      <c r="AX108" s="1">
        <v>0.0</v>
      </c>
      <c r="AY108" s="1">
        <v>0.0</v>
      </c>
      <c r="AZ108" s="1">
        <v>1.0</v>
      </c>
      <c r="BA108" s="1">
        <v>0.0</v>
      </c>
      <c r="BB108" s="1">
        <v>0.0</v>
      </c>
      <c r="BC108" s="2">
        <v>45995.0</v>
      </c>
      <c r="BD108" s="1">
        <v>48.0</v>
      </c>
      <c r="BE108" s="1" t="s">
        <v>550</v>
      </c>
      <c r="BF108" s="1">
        <v>2025.0</v>
      </c>
      <c r="BG108" s="1" t="s">
        <v>558</v>
      </c>
      <c r="BH108" s="7" t="str">
        <f>VLOOKUP(B108,CookieClicks!D:O,12,FALSE)</f>
        <v>https://www.method.me/</v>
      </c>
      <c r="BI108" s="8" t="str">
        <f>IFERROR(__xludf.DUMMYFUNCTION("VLOOKUP(REGEXREPLACE(BH108,""[?].*"",""""),ContentBuckets!A:C,2,FALSE)"),"Homepage")</f>
        <v>Homepage</v>
      </c>
      <c r="BJ108" s="8" t="str">
        <f>IFERROR(__xludf.DUMMYFUNCTION("VLOOKUP(REGEXREPLACE(BH108,""[?].*"",""""),ContentBuckets!A:C,3,FALSE)"),"Other page")</f>
        <v>Other page</v>
      </c>
    </row>
    <row r="109" ht="14.25" customHeight="1">
      <c r="A109" s="1">
        <v>153244.0</v>
      </c>
      <c r="B109" s="1" t="s">
        <v>723</v>
      </c>
      <c r="C109" s="2">
        <v>45995.6354166667</v>
      </c>
      <c r="D109" s="2">
        <v>45995.6770833333</v>
      </c>
      <c r="E109" s="2"/>
      <c r="F109" s="1" t="b">
        <v>0</v>
      </c>
      <c r="G109" s="4" t="b">
        <v>0</v>
      </c>
      <c r="H109" s="1" t="b">
        <v>0</v>
      </c>
      <c r="I109" s="1" t="b">
        <v>0</v>
      </c>
      <c r="J109" s="1" t="s">
        <v>534</v>
      </c>
      <c r="K109" s="1" t="s">
        <v>566</v>
      </c>
      <c r="L109" s="1" t="s">
        <v>567</v>
      </c>
      <c r="M109" s="1" t="s">
        <v>537</v>
      </c>
      <c r="N109" s="1">
        <v>0.0</v>
      </c>
      <c r="O109" s="1">
        <v>0.0</v>
      </c>
      <c r="P109" s="1">
        <v>0.0</v>
      </c>
      <c r="Q109" s="1">
        <v>0.0</v>
      </c>
      <c r="R109" s="1">
        <v>28.0</v>
      </c>
      <c r="S109" s="1" t="s">
        <v>538</v>
      </c>
      <c r="T109" s="1" t="s">
        <v>539</v>
      </c>
      <c r="V109" s="4">
        <v>7238395.0</v>
      </c>
      <c r="W109" s="4" t="s">
        <v>540</v>
      </c>
      <c r="X109" s="4">
        <v>0.0</v>
      </c>
      <c r="Y109" s="1">
        <v>1.0</v>
      </c>
      <c r="Z109" s="1">
        <v>0.0</v>
      </c>
      <c r="AA109" s="1">
        <v>0.0</v>
      </c>
      <c r="AB109" s="1">
        <v>0.0</v>
      </c>
      <c r="AC109" s="1">
        <v>0.0</v>
      </c>
      <c r="AD109" s="1">
        <v>0.0</v>
      </c>
      <c r="AE109" s="1">
        <v>0.0</v>
      </c>
      <c r="AF109" s="1">
        <v>0.0</v>
      </c>
      <c r="AG109" s="1">
        <v>0.0</v>
      </c>
      <c r="AH109" s="1">
        <v>0.0</v>
      </c>
      <c r="AI109" s="1">
        <v>0.0</v>
      </c>
      <c r="AJ109" s="1">
        <v>0.0</v>
      </c>
      <c r="AK109" s="1">
        <v>0.0</v>
      </c>
      <c r="AL109" s="1">
        <v>0.0</v>
      </c>
      <c r="AM109" s="4">
        <v>0.0</v>
      </c>
      <c r="AN109" s="1">
        <v>0.0</v>
      </c>
      <c r="AO109" s="4">
        <v>0.0</v>
      </c>
      <c r="AP109" s="1">
        <f t="shared" si="1"/>
        <v>0</v>
      </c>
      <c r="AQ109" s="1" t="s">
        <v>557</v>
      </c>
      <c r="AR109" s="1" t="s">
        <v>564</v>
      </c>
      <c r="AU109" s="2"/>
      <c r="AV109" s="2"/>
      <c r="AW109" s="1">
        <v>0.0</v>
      </c>
      <c r="AX109" s="1">
        <v>0.0</v>
      </c>
      <c r="AY109" s="1">
        <v>0.0</v>
      </c>
      <c r="AZ109" s="1">
        <v>1.0</v>
      </c>
      <c r="BA109" s="1">
        <v>0.0</v>
      </c>
      <c r="BB109" s="1">
        <v>0.0</v>
      </c>
      <c r="BC109" s="2">
        <v>45995.0</v>
      </c>
      <c r="BD109" s="1">
        <v>48.0</v>
      </c>
      <c r="BE109" s="1" t="s">
        <v>550</v>
      </c>
      <c r="BF109" s="1">
        <v>2025.0</v>
      </c>
      <c r="BG109" s="1" t="s">
        <v>558</v>
      </c>
      <c r="BH109" s="7" t="str">
        <f>VLOOKUP(B109,CookieClicks!D:O,12,FALSE)</f>
        <v>https://www.method.me/crm-quickbooks/pricing/</v>
      </c>
      <c r="BI109" s="8" t="str">
        <f>IFERROR(__xludf.DUMMYFUNCTION("VLOOKUP(REGEXREPLACE(BH109,""[?].*"",""""),ContentBuckets!A:C,2,FALSE)"),"/crm-quickbooks/")</f>
        <v>/crm-quickbooks/</v>
      </c>
      <c r="BJ109" s="8" t="str">
        <f>IFERROR(__xludf.DUMMYFUNCTION("VLOOKUP(REGEXREPLACE(BH109,""[?].*"",""""),ContentBuckets!A:C,3,FALSE)"),"Other page")</f>
        <v>Other page</v>
      </c>
    </row>
    <row r="110" ht="14.25" customHeight="1">
      <c r="A110" s="1">
        <v>153245.0</v>
      </c>
      <c r="B110" s="1" t="s">
        <v>724</v>
      </c>
      <c r="C110" s="2">
        <v>45995.6493055556</v>
      </c>
      <c r="D110" s="2"/>
      <c r="E110" s="2"/>
      <c r="F110" s="1" t="b">
        <v>1</v>
      </c>
      <c r="G110" s="4" t="b">
        <v>0</v>
      </c>
      <c r="H110" s="1" t="b">
        <v>0</v>
      </c>
      <c r="I110" s="1" t="b">
        <v>0</v>
      </c>
      <c r="J110" s="1" t="s">
        <v>534</v>
      </c>
      <c r="K110" s="1" t="s">
        <v>535</v>
      </c>
      <c r="L110" s="1" t="s">
        <v>536</v>
      </c>
      <c r="M110" s="1" t="s">
        <v>537</v>
      </c>
      <c r="N110" s="1">
        <v>0.0</v>
      </c>
      <c r="O110" s="1">
        <v>44.25</v>
      </c>
      <c r="P110" s="1">
        <v>0.0</v>
      </c>
      <c r="Q110" s="1">
        <v>0.0</v>
      </c>
      <c r="R110" s="1">
        <v>0.0</v>
      </c>
      <c r="S110" s="1" t="s">
        <v>538</v>
      </c>
      <c r="T110" s="1" t="s">
        <v>725</v>
      </c>
      <c r="U110" s="1" t="s">
        <v>726</v>
      </c>
      <c r="V110" s="4">
        <v>7077601.0</v>
      </c>
      <c r="W110" s="4" t="s">
        <v>540</v>
      </c>
      <c r="X110" s="4">
        <v>0.0</v>
      </c>
      <c r="Y110" s="1">
        <v>0.5</v>
      </c>
      <c r="Z110" s="1">
        <v>0.0</v>
      </c>
      <c r="AA110" s="1">
        <v>0.0</v>
      </c>
      <c r="AB110" s="1">
        <v>0.5</v>
      </c>
      <c r="AC110" s="1">
        <v>0.0</v>
      </c>
      <c r="AD110" s="1">
        <v>0.0</v>
      </c>
      <c r="AE110" s="1">
        <v>0.0</v>
      </c>
      <c r="AF110" s="1">
        <v>0.0</v>
      </c>
      <c r="AG110" s="1">
        <v>0.0</v>
      </c>
      <c r="AH110" s="1">
        <v>0.0</v>
      </c>
      <c r="AI110" s="1">
        <v>0.0</v>
      </c>
      <c r="AJ110" s="1">
        <v>0.0</v>
      </c>
      <c r="AK110" s="1">
        <v>0.0</v>
      </c>
      <c r="AL110" s="1">
        <v>0.0</v>
      </c>
      <c r="AM110" s="4">
        <v>0.0</v>
      </c>
      <c r="AN110" s="1">
        <v>0.0</v>
      </c>
      <c r="AO110" s="4">
        <v>0.0</v>
      </c>
      <c r="AP110" s="1">
        <f t="shared" si="1"/>
        <v>0</v>
      </c>
      <c r="AQ110" s="1" t="s">
        <v>557</v>
      </c>
      <c r="AT110" s="1" t="s">
        <v>727</v>
      </c>
      <c r="AU110" s="2">
        <v>45995.0</v>
      </c>
      <c r="AV110" s="2">
        <v>46023.9798611111</v>
      </c>
      <c r="AW110" s="1">
        <v>0.0</v>
      </c>
      <c r="AX110" s="1">
        <v>0.0</v>
      </c>
      <c r="AY110" s="1">
        <v>8420.0</v>
      </c>
      <c r="AZ110" s="1">
        <v>1.0</v>
      </c>
      <c r="BA110" s="1">
        <v>0.0</v>
      </c>
      <c r="BB110" s="1">
        <v>0.0</v>
      </c>
      <c r="BC110" s="2">
        <v>45995.0</v>
      </c>
      <c r="BD110" s="1">
        <v>48.0</v>
      </c>
      <c r="BE110" s="1" t="s">
        <v>550</v>
      </c>
      <c r="BF110" s="1">
        <v>2025.0</v>
      </c>
      <c r="BG110" s="1" t="s">
        <v>558</v>
      </c>
      <c r="BH110" s="7" t="str">
        <f>VLOOKUP(B110,CookieClicks!D:O,12,FALSE)</f>
        <v>https://www.method.me/</v>
      </c>
      <c r="BI110" s="8" t="str">
        <f>IFERROR(__xludf.DUMMYFUNCTION("VLOOKUP(REGEXREPLACE(BH110,""[?].*"",""""),ContentBuckets!A:C,2,FALSE)"),"Homepage")</f>
        <v>Homepage</v>
      </c>
      <c r="BJ110" s="8" t="str">
        <f>IFERROR(__xludf.DUMMYFUNCTION("VLOOKUP(REGEXREPLACE(BH110,""[?].*"",""""),ContentBuckets!A:C,3,FALSE)"),"Other page")</f>
        <v>Other page</v>
      </c>
    </row>
    <row r="111" ht="14.25" customHeight="1">
      <c r="A111" s="1">
        <v>153246.0</v>
      </c>
      <c r="B111" s="1" t="s">
        <v>728</v>
      </c>
      <c r="C111" s="2">
        <v>45995.6861111111</v>
      </c>
      <c r="D111" s="2">
        <v>45995.6993055556</v>
      </c>
      <c r="E111" s="2"/>
      <c r="F111" s="1" t="b">
        <v>0</v>
      </c>
      <c r="G111" s="4" t="b">
        <v>0</v>
      </c>
      <c r="H111" s="1" t="b">
        <v>0</v>
      </c>
      <c r="I111" s="1" t="b">
        <v>0</v>
      </c>
      <c r="J111" s="1" t="s">
        <v>534</v>
      </c>
      <c r="K111" s="1" t="s">
        <v>535</v>
      </c>
      <c r="L111" s="1" t="s">
        <v>536</v>
      </c>
      <c r="M111" s="1" t="s">
        <v>537</v>
      </c>
      <c r="N111" s="1">
        <v>0.0</v>
      </c>
      <c r="O111" s="1">
        <v>0.0</v>
      </c>
      <c r="P111" s="1">
        <v>0.0</v>
      </c>
      <c r="Q111" s="1">
        <v>0.0</v>
      </c>
      <c r="R111" s="1">
        <v>28.0</v>
      </c>
      <c r="S111" s="1" t="s">
        <v>538</v>
      </c>
      <c r="T111" s="1" t="s">
        <v>539</v>
      </c>
      <c r="V111" s="4">
        <v>7238833.0</v>
      </c>
      <c r="W111" s="4"/>
      <c r="X111" s="4">
        <v>0.0</v>
      </c>
      <c r="Y111" s="1">
        <v>0.0</v>
      </c>
      <c r="Z111" s="1">
        <v>0.0</v>
      </c>
      <c r="AA111" s="1">
        <v>1.0</v>
      </c>
      <c r="AB111" s="1">
        <v>0.0</v>
      </c>
      <c r="AC111" s="1">
        <v>0.0</v>
      </c>
      <c r="AD111" s="1">
        <v>0.0</v>
      </c>
      <c r="AE111" s="1">
        <v>0.0</v>
      </c>
      <c r="AF111" s="1">
        <v>0.0</v>
      </c>
      <c r="AG111" s="1">
        <v>0.0</v>
      </c>
      <c r="AH111" s="1">
        <v>0.0</v>
      </c>
      <c r="AI111" s="1">
        <v>0.0</v>
      </c>
      <c r="AJ111" s="1">
        <v>0.0</v>
      </c>
      <c r="AK111" s="1">
        <v>0.0</v>
      </c>
      <c r="AL111" s="1">
        <v>0.0</v>
      </c>
      <c r="AM111" s="4">
        <v>0.0</v>
      </c>
      <c r="AN111" s="1">
        <v>0.0</v>
      </c>
      <c r="AO111" s="4">
        <v>0.0</v>
      </c>
      <c r="AP111" s="1">
        <f t="shared" si="1"/>
        <v>0</v>
      </c>
      <c r="AR111" s="1" t="s">
        <v>578</v>
      </c>
      <c r="AU111" s="2"/>
      <c r="AV111" s="2"/>
      <c r="AW111" s="1">
        <v>0.0</v>
      </c>
      <c r="AX111" s="1">
        <v>0.0</v>
      </c>
      <c r="AY111" s="1">
        <v>0.0</v>
      </c>
      <c r="AZ111" s="1">
        <v>1.0</v>
      </c>
      <c r="BA111" s="1">
        <v>0.0</v>
      </c>
      <c r="BB111" s="1">
        <v>0.0</v>
      </c>
      <c r="BC111" s="2">
        <v>45995.0</v>
      </c>
      <c r="BD111" s="1">
        <v>48.0</v>
      </c>
      <c r="BE111" s="1" t="s">
        <v>550</v>
      </c>
      <c r="BF111" s="1">
        <v>2025.0</v>
      </c>
      <c r="BG111" s="1" t="s">
        <v>558</v>
      </c>
      <c r="BH111" s="7" t="str">
        <f>VLOOKUP(B111,CookieClicks!D:O,12,FALSE)</f>
        <v>https://www.method.me/crm-quickbooks/pricing/?trc=81&amp;trk=WHSale&amp;trs=Sitelink&amp;campaignid=1543381580&amp;adgroupid=61437797000&amp;adid=704678754673&amp;gad_source=1&amp;gad_campaignid=1543381580&amp;gbraid=0AAAAAD3ItnZHs8f7ds-tYOpVpnQ7D69pn&amp;gclid=Cj0KCQiA_8TJBhDNARIsAPX5qxQqHPtMxFJS3I5jio9qsNI_Kp2KIlu70zsr-ZQFnPQwb9eo3YMfyssaAiYnEALw_wcB</v>
      </c>
      <c r="BI111" s="8" t="str">
        <f>IFERROR(__xludf.DUMMYFUNCTION("VLOOKUP(REGEXREPLACE(BH111,""[?].*"",""""),ContentBuckets!A:C,2,FALSE)"),"/crm-quickbooks/")</f>
        <v>/crm-quickbooks/</v>
      </c>
      <c r="BJ111" s="8" t="str">
        <f>IFERROR(__xludf.DUMMYFUNCTION("VLOOKUP(REGEXREPLACE(BH111,""[?].*"",""""),ContentBuckets!A:C,3,FALSE)"),"Other page")</f>
        <v>Other page</v>
      </c>
    </row>
    <row r="112" ht="14.25" customHeight="1">
      <c r="A112" s="1">
        <v>153247.0</v>
      </c>
      <c r="B112" s="1" t="s">
        <v>729</v>
      </c>
      <c r="C112" s="2">
        <v>45995.7506944444</v>
      </c>
      <c r="D112" s="2">
        <v>45995.7826388889</v>
      </c>
      <c r="E112" s="2"/>
      <c r="F112" s="1" t="b">
        <v>0</v>
      </c>
      <c r="G112" s="4" t="b">
        <v>0</v>
      </c>
      <c r="H112" s="1" t="b">
        <v>0</v>
      </c>
      <c r="I112" s="1" t="b">
        <v>0</v>
      </c>
      <c r="J112" s="1" t="s">
        <v>534</v>
      </c>
      <c r="K112" s="1" t="s">
        <v>566</v>
      </c>
      <c r="L112" s="1" t="s">
        <v>567</v>
      </c>
      <c r="M112" s="1" t="s">
        <v>537</v>
      </c>
      <c r="N112" s="1">
        <v>0.0</v>
      </c>
      <c r="O112" s="1">
        <v>0.0</v>
      </c>
      <c r="P112" s="1">
        <v>0.0</v>
      </c>
      <c r="Q112" s="1">
        <v>0.0</v>
      </c>
      <c r="R112" s="1">
        <v>28.0</v>
      </c>
      <c r="S112" s="1" t="s">
        <v>538</v>
      </c>
      <c r="T112" s="1" t="s">
        <v>539</v>
      </c>
      <c r="V112" s="4">
        <v>7239323.0</v>
      </c>
      <c r="W112" s="4"/>
      <c r="X112" s="4">
        <v>0.0</v>
      </c>
      <c r="Y112" s="1">
        <v>0.0</v>
      </c>
      <c r="Z112" s="1">
        <v>0.0</v>
      </c>
      <c r="AA112" s="1">
        <v>1.0</v>
      </c>
      <c r="AB112" s="1">
        <v>0.0</v>
      </c>
      <c r="AC112" s="1">
        <v>0.0</v>
      </c>
      <c r="AD112" s="1">
        <v>0.0</v>
      </c>
      <c r="AE112" s="1">
        <v>0.0</v>
      </c>
      <c r="AF112" s="1">
        <v>0.0</v>
      </c>
      <c r="AG112" s="1">
        <v>0.0</v>
      </c>
      <c r="AH112" s="1">
        <v>0.0</v>
      </c>
      <c r="AI112" s="1">
        <v>0.0</v>
      </c>
      <c r="AJ112" s="1">
        <v>0.0</v>
      </c>
      <c r="AK112" s="1">
        <v>0.0</v>
      </c>
      <c r="AL112" s="1">
        <v>0.0</v>
      </c>
      <c r="AM112" s="4">
        <v>0.0</v>
      </c>
      <c r="AN112" s="1">
        <v>0.0</v>
      </c>
      <c r="AO112" s="4">
        <v>0.0</v>
      </c>
      <c r="AP112" s="1">
        <f t="shared" si="1"/>
        <v>0</v>
      </c>
      <c r="AR112" s="1" t="s">
        <v>608</v>
      </c>
      <c r="AU112" s="2"/>
      <c r="AV112" s="2"/>
      <c r="AW112" s="1">
        <v>0.0</v>
      </c>
      <c r="AX112" s="1">
        <v>0.0</v>
      </c>
      <c r="AY112" s="1">
        <v>0.0</v>
      </c>
      <c r="AZ112" s="1">
        <v>1.0</v>
      </c>
      <c r="BA112" s="1">
        <v>0.0</v>
      </c>
      <c r="BB112" s="1">
        <v>0.0</v>
      </c>
      <c r="BC112" s="2">
        <v>45995.0</v>
      </c>
      <c r="BD112" s="1">
        <v>48.0</v>
      </c>
      <c r="BE112" s="1" t="s">
        <v>550</v>
      </c>
      <c r="BF112" s="1">
        <v>2025.0</v>
      </c>
      <c r="BG112" s="1" t="s">
        <v>558</v>
      </c>
      <c r="BH112" s="1" t="str">
        <f>VLOOKUP(B112,CookieClicks!D:O,12,FALSE)</f>
        <v>https://grow.method.me/crm-quickbooks/?trc=81&amp;trk=crm with quickbooks&amp;trs=USA-QB-G&amp;campaignid=1543381580&amp;adgroupid=61437797000&amp;adid=704678754673&amp;gad_source=1&amp;gad_campaignid=1543381580&amp;gbraid=0AAAAAD3ItnZHs8f7ds-tYOpVpnQ7D69pn&amp;gclid=Cj0KCQiA_8TJBhDNARIsAPX5qxTgUCgMkYsTkA9-pnMy4w7g4r1OpBl3Zh5EUSzCbD9-47D5Pe5WC84aAmf8EALw_wcB</v>
      </c>
      <c r="BI112" s="8" t="str">
        <f>IFERROR(__xludf.DUMMYFUNCTION("VLOOKUP(REGEXREPLACE(BH112,""[?].*"",""""),ContentBuckets!A:C,2,FALSE)"),"#N/A")</f>
        <v>#N/A</v>
      </c>
      <c r="BJ112" s="8" t="str">
        <f>IFERROR(__xludf.DUMMYFUNCTION("VLOOKUP(REGEXREPLACE(BH112,""[?].*"",""""),ContentBuckets!A:C,3,FALSE)"),"#N/A")</f>
        <v>#N/A</v>
      </c>
    </row>
    <row r="113" ht="14.25" customHeight="1">
      <c r="A113" s="1">
        <v>153248.0</v>
      </c>
      <c r="B113" s="1" t="s">
        <v>730</v>
      </c>
      <c r="C113" s="2">
        <v>45995.7791666667</v>
      </c>
      <c r="D113" s="2">
        <v>45999.8131944444</v>
      </c>
      <c r="E113" s="2"/>
      <c r="F113" s="1" t="b">
        <v>0</v>
      </c>
      <c r="G113" s="4" t="b">
        <v>0</v>
      </c>
      <c r="H113" s="1" t="b">
        <v>0</v>
      </c>
      <c r="I113" s="1" t="b">
        <v>0</v>
      </c>
      <c r="J113" s="1" t="s">
        <v>534</v>
      </c>
      <c r="K113" s="1" t="s">
        <v>535</v>
      </c>
      <c r="L113" s="1" t="s">
        <v>536</v>
      </c>
      <c r="M113" s="1" t="s">
        <v>537</v>
      </c>
      <c r="N113" s="1">
        <v>0.0</v>
      </c>
      <c r="O113" s="1">
        <v>63.75</v>
      </c>
      <c r="P113" s="1">
        <v>0.0</v>
      </c>
      <c r="Q113" s="1">
        <v>0.0</v>
      </c>
      <c r="R113" s="1">
        <v>28.0</v>
      </c>
      <c r="S113" s="1" t="s">
        <v>538</v>
      </c>
      <c r="T113" s="1" t="s">
        <v>539</v>
      </c>
      <c r="V113" s="4">
        <v>7239055.0</v>
      </c>
      <c r="W113" s="4" t="s">
        <v>540</v>
      </c>
      <c r="X113" s="4">
        <v>0.0</v>
      </c>
      <c r="Y113" s="1">
        <v>1.0</v>
      </c>
      <c r="Z113" s="1">
        <v>0.0</v>
      </c>
      <c r="AA113" s="1">
        <v>0.0</v>
      </c>
      <c r="AB113" s="1">
        <v>0.0</v>
      </c>
      <c r="AC113" s="1">
        <v>0.0</v>
      </c>
      <c r="AD113" s="1">
        <v>0.0</v>
      </c>
      <c r="AE113" s="1">
        <v>0.0</v>
      </c>
      <c r="AF113" s="1">
        <v>0.0</v>
      </c>
      <c r="AG113" s="1">
        <v>0.0</v>
      </c>
      <c r="AH113" s="1">
        <v>0.0</v>
      </c>
      <c r="AI113" s="1">
        <v>0.0</v>
      </c>
      <c r="AJ113" s="1">
        <v>0.0</v>
      </c>
      <c r="AK113" s="1">
        <v>0.0</v>
      </c>
      <c r="AL113" s="1">
        <v>0.0</v>
      </c>
      <c r="AM113" s="4">
        <v>0.0</v>
      </c>
      <c r="AN113" s="1">
        <v>0.0</v>
      </c>
      <c r="AO113" s="4">
        <v>0.0</v>
      </c>
      <c r="AP113" s="1">
        <f t="shared" si="1"/>
        <v>0</v>
      </c>
      <c r="AQ113" s="1" t="s">
        <v>541</v>
      </c>
      <c r="AR113" s="1" t="s">
        <v>542</v>
      </c>
      <c r="AU113" s="2">
        <v>45995.0</v>
      </c>
      <c r="AV113" s="2">
        <v>45999.0243055556</v>
      </c>
      <c r="AW113" s="1">
        <v>26.0</v>
      </c>
      <c r="AX113" s="1">
        <v>578856.72</v>
      </c>
      <c r="AY113" s="1">
        <v>365.0</v>
      </c>
      <c r="AZ113" s="1">
        <v>1.0</v>
      </c>
      <c r="BA113" s="1">
        <v>0.0</v>
      </c>
      <c r="BB113" s="1">
        <v>0.0</v>
      </c>
      <c r="BC113" s="2">
        <v>45995.0</v>
      </c>
      <c r="BD113" s="1">
        <v>48.0</v>
      </c>
      <c r="BE113" s="1" t="s">
        <v>550</v>
      </c>
      <c r="BF113" s="1">
        <v>2025.0</v>
      </c>
      <c r="BG113" s="1" t="s">
        <v>546</v>
      </c>
      <c r="BH113" s="7" t="str">
        <f>VLOOKUP(B113,CookieClicks!D:O,12,FALSE)</f>
        <v>https://www.method.me/blog/how-much-does-hubspot-cost/</v>
      </c>
      <c r="BI113" s="8" t="str">
        <f>IFERROR(__xludf.DUMMYFUNCTION("VLOOKUP(REGEXREPLACE(BH113,""[?].*"",""""),ContentBuckets!A:C,2,FALSE)"),"Method - Comparison")</f>
        <v>Method - Comparison</v>
      </c>
      <c r="BJ113" s="8" t="str">
        <f>IFERROR(__xludf.DUMMYFUNCTION("VLOOKUP(REGEXREPLACE(BH113,""[?].*"",""""),ContentBuckets!A:C,3,FALSE)"),"Blog")</f>
        <v>Blog</v>
      </c>
    </row>
    <row r="114" ht="14.25" customHeight="1">
      <c r="A114" s="1">
        <v>153249.0</v>
      </c>
      <c r="B114" s="1" t="s">
        <v>731</v>
      </c>
      <c r="C114" s="2">
        <v>45995.8326388889</v>
      </c>
      <c r="D114" s="2">
        <v>45995.8826388889</v>
      </c>
      <c r="E114" s="2"/>
      <c r="F114" s="1" t="b">
        <v>0</v>
      </c>
      <c r="G114" s="4" t="b">
        <v>0</v>
      </c>
      <c r="H114" s="1" t="b">
        <v>0</v>
      </c>
      <c r="I114" s="1" t="b">
        <v>0</v>
      </c>
      <c r="J114" s="1" t="s">
        <v>534</v>
      </c>
      <c r="K114" s="1" t="s">
        <v>566</v>
      </c>
      <c r="L114" s="1" t="s">
        <v>567</v>
      </c>
      <c r="M114" s="1" t="s">
        <v>537</v>
      </c>
      <c r="N114" s="1">
        <v>0.0</v>
      </c>
      <c r="O114" s="1">
        <v>0.0</v>
      </c>
      <c r="P114" s="1">
        <v>0.0</v>
      </c>
      <c r="Q114" s="1">
        <v>0.0</v>
      </c>
      <c r="R114" s="1">
        <v>28.0</v>
      </c>
      <c r="S114" s="1" t="s">
        <v>538</v>
      </c>
      <c r="T114" s="1" t="s">
        <v>539</v>
      </c>
      <c r="V114" s="4">
        <v>7239820.0</v>
      </c>
      <c r="W114" s="4"/>
      <c r="X114" s="4">
        <v>0.0</v>
      </c>
      <c r="Y114" s="1">
        <v>0.0</v>
      </c>
      <c r="Z114" s="1">
        <v>0.0</v>
      </c>
      <c r="AA114" s="1">
        <v>0.0</v>
      </c>
      <c r="AB114" s="1">
        <v>0.0</v>
      </c>
      <c r="AC114" s="1">
        <v>0.0</v>
      </c>
      <c r="AD114" s="1">
        <v>0.0</v>
      </c>
      <c r="AE114" s="1">
        <v>0.0</v>
      </c>
      <c r="AF114" s="1">
        <v>0.0</v>
      </c>
      <c r="AG114" s="1">
        <v>0.0</v>
      </c>
      <c r="AH114" s="1">
        <v>0.0</v>
      </c>
      <c r="AI114" s="1">
        <v>0.0</v>
      </c>
      <c r="AJ114" s="1">
        <v>0.0</v>
      </c>
      <c r="AK114" s="1">
        <v>0.0</v>
      </c>
      <c r="AL114" s="1">
        <v>0.0</v>
      </c>
      <c r="AM114" s="4">
        <v>0.0</v>
      </c>
      <c r="AN114" s="1">
        <v>1.0</v>
      </c>
      <c r="AO114" s="4">
        <v>0.0</v>
      </c>
      <c r="AP114" s="1">
        <f t="shared" si="1"/>
        <v>0</v>
      </c>
      <c r="AQ114" s="1" t="s">
        <v>557</v>
      </c>
      <c r="AR114" s="1" t="s">
        <v>608</v>
      </c>
      <c r="AU114" s="2"/>
      <c r="AV114" s="2"/>
      <c r="AW114" s="1">
        <v>0.0</v>
      </c>
      <c r="AX114" s="1">
        <v>0.0</v>
      </c>
      <c r="AY114" s="1">
        <v>0.0</v>
      </c>
      <c r="AZ114" s="1">
        <v>1.0</v>
      </c>
      <c r="BA114" s="1">
        <v>0.0</v>
      </c>
      <c r="BB114" s="1">
        <v>0.0</v>
      </c>
      <c r="BC114" s="2">
        <v>45995.0</v>
      </c>
      <c r="BD114" s="1">
        <v>48.0</v>
      </c>
      <c r="BE114" s="1" t="s">
        <v>550</v>
      </c>
      <c r="BF114" s="1">
        <v>2025.0</v>
      </c>
      <c r="BG114" s="1" t="s">
        <v>732</v>
      </c>
      <c r="BH114" s="7" t="str">
        <f>VLOOKUP(B114,CookieClicks!D:O,12,FALSE)</f>
        <v>https://www.method.me/industries/accounting-crm-software/</v>
      </c>
      <c r="BI114" s="8" t="str">
        <f>IFERROR(__xludf.DUMMYFUNCTION("VLOOKUP(REGEXREPLACE(BH114,""[?].*"",""""),ContentBuckets!A:C,2,FALSE)"),"Industries page")</f>
        <v>Industries page</v>
      </c>
      <c r="BJ114" s="8" t="str">
        <f>IFERROR(__xludf.DUMMYFUNCTION("VLOOKUP(REGEXREPLACE(BH114,""[?].*"",""""),ContentBuckets!A:C,3,FALSE)"),"Other page")</f>
        <v>Other page</v>
      </c>
    </row>
    <row r="115" ht="14.25" customHeight="1">
      <c r="A115" s="1">
        <v>153250.0</v>
      </c>
      <c r="B115" s="1" t="s">
        <v>733</v>
      </c>
      <c r="C115" s="2">
        <v>45995.8555555556</v>
      </c>
      <c r="D115" s="2">
        <v>45996.5479166667</v>
      </c>
      <c r="E115" s="2"/>
      <c r="F115" s="1" t="b">
        <v>0</v>
      </c>
      <c r="G115" s="4" t="b">
        <v>1</v>
      </c>
      <c r="H115" s="1" t="b">
        <v>0</v>
      </c>
      <c r="I115" s="1" t="b">
        <v>0</v>
      </c>
      <c r="J115" s="1" t="s">
        <v>534</v>
      </c>
      <c r="K115" s="1" t="s">
        <v>553</v>
      </c>
      <c r="L115" s="1" t="s">
        <v>599</v>
      </c>
      <c r="M115" s="1" t="s">
        <v>537</v>
      </c>
      <c r="N115" s="1">
        <v>0.0</v>
      </c>
      <c r="O115" s="1">
        <v>44.25</v>
      </c>
      <c r="P115" s="1">
        <v>0.0</v>
      </c>
      <c r="Q115" s="1">
        <v>0.0</v>
      </c>
      <c r="R115" s="1">
        <v>0.0</v>
      </c>
      <c r="S115" s="1" t="s">
        <v>538</v>
      </c>
      <c r="T115" s="1" t="s">
        <v>539</v>
      </c>
      <c r="V115" s="4">
        <v>7238199.0</v>
      </c>
      <c r="W115" s="4" t="s">
        <v>540</v>
      </c>
      <c r="X115" s="4">
        <v>0.0</v>
      </c>
      <c r="Y115" s="1">
        <v>1.0</v>
      </c>
      <c r="Z115" s="1">
        <v>0.0</v>
      </c>
      <c r="AA115" s="1">
        <v>0.0</v>
      </c>
      <c r="AB115" s="1">
        <v>0.0</v>
      </c>
      <c r="AC115" s="1">
        <v>0.0</v>
      </c>
      <c r="AD115" s="1">
        <v>0.0</v>
      </c>
      <c r="AE115" s="1">
        <v>0.0</v>
      </c>
      <c r="AF115" s="1">
        <v>0.0</v>
      </c>
      <c r="AG115" s="1">
        <v>0.0</v>
      </c>
      <c r="AH115" s="1">
        <v>0.0</v>
      </c>
      <c r="AI115" s="1">
        <v>0.0</v>
      </c>
      <c r="AJ115" s="1">
        <v>0.0</v>
      </c>
      <c r="AK115" s="1">
        <v>0.0</v>
      </c>
      <c r="AL115" s="1">
        <v>0.0</v>
      </c>
      <c r="AM115" s="4">
        <v>0.0</v>
      </c>
      <c r="AN115" s="1">
        <v>0.0</v>
      </c>
      <c r="AO115" s="4">
        <v>0.0</v>
      </c>
      <c r="AP115" s="1">
        <f t="shared" si="1"/>
        <v>0</v>
      </c>
      <c r="AU115" s="2"/>
      <c r="AV115" s="2">
        <v>45996.0270833333</v>
      </c>
      <c r="AW115" s="1">
        <v>0.0</v>
      </c>
      <c r="AX115" s="1">
        <v>0.0</v>
      </c>
      <c r="AY115" s="1">
        <v>0.0</v>
      </c>
      <c r="AZ115" s="1">
        <v>1.0</v>
      </c>
      <c r="BA115" s="1">
        <v>0.0</v>
      </c>
      <c r="BB115" s="1">
        <v>0.0</v>
      </c>
      <c r="BC115" s="2">
        <v>45995.0</v>
      </c>
      <c r="BD115" s="1">
        <v>48.0</v>
      </c>
      <c r="BE115" s="1" t="s">
        <v>550</v>
      </c>
      <c r="BF115" s="1">
        <v>2025.0</v>
      </c>
      <c r="BG115" s="1" t="s">
        <v>558</v>
      </c>
      <c r="BH115" s="7" t="str">
        <f>VLOOKUP(B115,CookieClicks!D:O,12,FALSE)</f>
        <v>https://www.method.me/</v>
      </c>
      <c r="BI115" s="8" t="str">
        <f>IFERROR(__xludf.DUMMYFUNCTION("VLOOKUP(REGEXREPLACE(BH115,""[?].*"",""""),ContentBuckets!A:C,2,FALSE)"),"Homepage")</f>
        <v>Homepage</v>
      </c>
      <c r="BJ115" s="8" t="str">
        <f>IFERROR(__xludf.DUMMYFUNCTION("VLOOKUP(REGEXREPLACE(BH115,""[?].*"",""""),ContentBuckets!A:C,3,FALSE)"),"Other page")</f>
        <v>Other page</v>
      </c>
    </row>
    <row r="116" ht="14.25" customHeight="1">
      <c r="A116" s="1">
        <v>153251.0</v>
      </c>
      <c r="B116" s="1" t="s">
        <v>734</v>
      </c>
      <c r="C116" s="2">
        <v>45995.9</v>
      </c>
      <c r="D116" s="2"/>
      <c r="E116" s="2"/>
      <c r="F116" s="1" t="b">
        <v>1</v>
      </c>
      <c r="G116" s="4" t="b">
        <v>0</v>
      </c>
      <c r="H116" s="1" t="b">
        <v>0</v>
      </c>
      <c r="I116" s="1" t="b">
        <v>0</v>
      </c>
      <c r="J116" s="1" t="s">
        <v>534</v>
      </c>
      <c r="K116" s="1" t="s">
        <v>535</v>
      </c>
      <c r="L116" s="1" t="s">
        <v>536</v>
      </c>
      <c r="M116" s="1" t="s">
        <v>537</v>
      </c>
      <c r="N116" s="1">
        <v>0.0</v>
      </c>
      <c r="O116" s="1">
        <v>53.25</v>
      </c>
      <c r="P116" s="1">
        <v>0.0</v>
      </c>
      <c r="Q116" s="1">
        <v>0.0</v>
      </c>
      <c r="R116" s="1">
        <v>0.0</v>
      </c>
      <c r="S116" s="1" t="s">
        <v>538</v>
      </c>
      <c r="T116" s="1" t="s">
        <v>539</v>
      </c>
      <c r="V116" s="4">
        <v>7240251.0</v>
      </c>
      <c r="W116" s="4"/>
      <c r="X116" s="4">
        <v>0.0</v>
      </c>
      <c r="Y116" s="1">
        <v>0.0</v>
      </c>
      <c r="Z116" s="1">
        <v>1.0</v>
      </c>
      <c r="AA116" s="1">
        <v>0.0</v>
      </c>
      <c r="AB116" s="1">
        <v>0.0</v>
      </c>
      <c r="AC116" s="1">
        <v>0.0</v>
      </c>
      <c r="AD116" s="1">
        <v>0.0</v>
      </c>
      <c r="AE116" s="1">
        <v>0.0</v>
      </c>
      <c r="AF116" s="1">
        <v>0.0</v>
      </c>
      <c r="AG116" s="1">
        <v>0.0</v>
      </c>
      <c r="AH116" s="1">
        <v>0.0</v>
      </c>
      <c r="AI116" s="1">
        <v>0.0</v>
      </c>
      <c r="AJ116" s="1">
        <v>0.0</v>
      </c>
      <c r="AK116" s="1">
        <v>0.0</v>
      </c>
      <c r="AL116" s="1">
        <v>0.0</v>
      </c>
      <c r="AM116" s="4">
        <v>0.0</v>
      </c>
      <c r="AN116" s="1">
        <v>0.0</v>
      </c>
      <c r="AO116" s="4">
        <v>0.0</v>
      </c>
      <c r="AP116" s="1">
        <f t="shared" si="1"/>
        <v>0</v>
      </c>
      <c r="AQ116" s="1" t="s">
        <v>557</v>
      </c>
      <c r="AT116" s="1" t="s">
        <v>735</v>
      </c>
      <c r="AU116" s="2">
        <v>45995.0</v>
      </c>
      <c r="AV116" s="2">
        <v>46024.0041666667</v>
      </c>
      <c r="AW116" s="1">
        <v>0.0</v>
      </c>
      <c r="AX116" s="1">
        <v>0.0</v>
      </c>
      <c r="AY116" s="1">
        <v>3.0</v>
      </c>
      <c r="AZ116" s="1">
        <v>1.0</v>
      </c>
      <c r="BA116" s="1">
        <v>0.0</v>
      </c>
      <c r="BB116" s="1">
        <v>0.0</v>
      </c>
      <c r="BC116" s="2">
        <v>45995.0</v>
      </c>
      <c r="BD116" s="1">
        <v>48.0</v>
      </c>
      <c r="BE116" s="1" t="s">
        <v>550</v>
      </c>
      <c r="BF116" s="1">
        <v>2025.0</v>
      </c>
      <c r="BG116" s="1" t="s">
        <v>558</v>
      </c>
      <c r="BH116" s="7" t="str">
        <f>VLOOKUP(B116,CookieClicks!D:O,12,FALSE)</f>
        <v>https://signup.method.me/QBOAppstoreSignup?offering=methodcrm</v>
      </c>
      <c r="BI116" s="8" t="str">
        <f>IFERROR(__xludf.DUMMYFUNCTION("VLOOKUP(REGEXREPLACE(BH116,""[?].*"",""""),ContentBuckets!A:C,2,FALSE)"),"#N/A")</f>
        <v>#N/A</v>
      </c>
      <c r="BJ116" s="8" t="str">
        <f>IFERROR(__xludf.DUMMYFUNCTION("VLOOKUP(REGEXREPLACE(BH116,""[?].*"",""""),ContentBuckets!A:C,3,FALSE)"),"#N/A")</f>
        <v>#N/A</v>
      </c>
    </row>
    <row r="117" ht="14.25" customHeight="1">
      <c r="A117" s="1">
        <v>153252.0</v>
      </c>
      <c r="B117" s="1" t="s">
        <v>736</v>
      </c>
      <c r="C117" s="2">
        <v>45995.9145833333</v>
      </c>
      <c r="D117" s="2"/>
      <c r="E117" s="2"/>
      <c r="F117" s="1" t="b">
        <v>1</v>
      </c>
      <c r="G117" s="4" t="b">
        <v>0</v>
      </c>
      <c r="H117" s="1" t="b">
        <v>0</v>
      </c>
      <c r="I117" s="1" t="b">
        <v>0</v>
      </c>
      <c r="J117" s="1" t="s">
        <v>534</v>
      </c>
      <c r="K117" s="1" t="s">
        <v>553</v>
      </c>
      <c r="L117" s="1" t="s">
        <v>599</v>
      </c>
      <c r="M117" s="1" t="s">
        <v>537</v>
      </c>
      <c r="N117" s="1">
        <v>0.0</v>
      </c>
      <c r="O117" s="1">
        <v>44.25</v>
      </c>
      <c r="P117" s="1">
        <v>0.0</v>
      </c>
      <c r="Q117" s="1">
        <v>0.0</v>
      </c>
      <c r="R117" s="1">
        <v>0.0</v>
      </c>
      <c r="S117" s="1" t="s">
        <v>538</v>
      </c>
      <c r="T117" s="1" t="s">
        <v>539</v>
      </c>
      <c r="V117" s="4">
        <v>7240312.0</v>
      </c>
      <c r="W117" s="4"/>
      <c r="X117" s="4">
        <v>1.0</v>
      </c>
      <c r="Y117" s="1">
        <v>0.0</v>
      </c>
      <c r="Z117" s="1">
        <v>0.0</v>
      </c>
      <c r="AA117" s="1">
        <v>0.0</v>
      </c>
      <c r="AB117" s="1">
        <v>0.0</v>
      </c>
      <c r="AC117" s="1">
        <v>0.0</v>
      </c>
      <c r="AD117" s="1">
        <v>0.0</v>
      </c>
      <c r="AE117" s="1">
        <v>0.0</v>
      </c>
      <c r="AF117" s="1">
        <v>0.0</v>
      </c>
      <c r="AG117" s="1">
        <v>0.0</v>
      </c>
      <c r="AH117" s="1">
        <v>0.0</v>
      </c>
      <c r="AI117" s="1">
        <v>0.0</v>
      </c>
      <c r="AJ117" s="1">
        <v>0.0</v>
      </c>
      <c r="AK117" s="1">
        <v>0.0</v>
      </c>
      <c r="AL117" s="1">
        <v>0.0</v>
      </c>
      <c r="AM117" s="4">
        <v>0.0</v>
      </c>
      <c r="AN117" s="1">
        <v>0.0</v>
      </c>
      <c r="AO117" s="4">
        <v>0.0</v>
      </c>
      <c r="AP117" s="1">
        <f t="shared" si="1"/>
        <v>0</v>
      </c>
      <c r="AU117" s="2"/>
      <c r="AV117" s="2">
        <v>46024.0180555556</v>
      </c>
      <c r="AW117" s="1">
        <v>0.0</v>
      </c>
      <c r="AX117" s="1">
        <v>0.0</v>
      </c>
      <c r="AY117" s="1">
        <v>0.0</v>
      </c>
      <c r="AZ117" s="1">
        <v>1.0</v>
      </c>
      <c r="BA117" s="1">
        <v>0.0</v>
      </c>
      <c r="BB117" s="1">
        <v>0.0</v>
      </c>
      <c r="BC117" s="2">
        <v>45995.0</v>
      </c>
      <c r="BD117" s="1">
        <v>48.0</v>
      </c>
      <c r="BE117" s="1" t="s">
        <v>550</v>
      </c>
      <c r="BF117" s="1">
        <v>2025.0</v>
      </c>
      <c r="BG117" s="1" t="s">
        <v>558</v>
      </c>
      <c r="BH117" s="7" t="str">
        <f>VLOOKUP(B117,CookieClicks!D:O,12,FALSE)</f>
        <v>https://www.method.me/</v>
      </c>
      <c r="BI117" s="8" t="str">
        <f>IFERROR(__xludf.DUMMYFUNCTION("VLOOKUP(REGEXREPLACE(BH117,""[?].*"",""""),ContentBuckets!A:C,2,FALSE)"),"Homepage")</f>
        <v>Homepage</v>
      </c>
      <c r="BJ117" s="8" t="str">
        <f>IFERROR(__xludf.DUMMYFUNCTION("VLOOKUP(REGEXREPLACE(BH117,""[?].*"",""""),ContentBuckets!A:C,3,FALSE)"),"Other page")</f>
        <v>Other page</v>
      </c>
    </row>
    <row r="118" ht="14.25" customHeight="1">
      <c r="A118" s="1">
        <v>153253.0</v>
      </c>
      <c r="B118" s="1" t="s">
        <v>737</v>
      </c>
      <c r="C118" s="2">
        <v>45995.9375</v>
      </c>
      <c r="D118" s="2"/>
      <c r="E118" s="2"/>
      <c r="F118" s="1" t="b">
        <v>1</v>
      </c>
      <c r="G118" s="4" t="b">
        <v>0</v>
      </c>
      <c r="H118" s="1" t="b">
        <v>0</v>
      </c>
      <c r="I118" s="1" t="b">
        <v>0</v>
      </c>
      <c r="J118" s="1" t="s">
        <v>534</v>
      </c>
      <c r="K118" s="1" t="s">
        <v>535</v>
      </c>
      <c r="L118" s="1" t="s">
        <v>536</v>
      </c>
      <c r="M118" s="1" t="s">
        <v>537</v>
      </c>
      <c r="N118" s="1">
        <v>0.0</v>
      </c>
      <c r="O118" s="1">
        <v>53.25</v>
      </c>
      <c r="P118" s="1">
        <v>0.0</v>
      </c>
      <c r="Q118" s="1">
        <v>0.0</v>
      </c>
      <c r="R118" s="1">
        <v>28.0</v>
      </c>
      <c r="S118" s="1" t="s">
        <v>538</v>
      </c>
      <c r="T118" s="1" t="s">
        <v>539</v>
      </c>
      <c r="V118" s="4">
        <v>7240329.0</v>
      </c>
      <c r="W118" s="4"/>
      <c r="X118" s="4">
        <v>0.0</v>
      </c>
      <c r="Y118" s="1">
        <v>0.0</v>
      </c>
      <c r="Z118" s="1">
        <v>0.0</v>
      </c>
      <c r="AA118" s="1">
        <v>1.0</v>
      </c>
      <c r="AB118" s="1">
        <v>0.0</v>
      </c>
      <c r="AC118" s="1">
        <v>0.0</v>
      </c>
      <c r="AD118" s="1">
        <v>0.0</v>
      </c>
      <c r="AE118" s="1">
        <v>0.0</v>
      </c>
      <c r="AF118" s="1">
        <v>0.0</v>
      </c>
      <c r="AG118" s="1">
        <v>0.0</v>
      </c>
      <c r="AH118" s="1">
        <v>0.0</v>
      </c>
      <c r="AI118" s="1">
        <v>0.0</v>
      </c>
      <c r="AJ118" s="1">
        <v>0.0</v>
      </c>
      <c r="AK118" s="1">
        <v>0.0</v>
      </c>
      <c r="AL118" s="1">
        <v>0.0</v>
      </c>
      <c r="AM118" s="4">
        <v>0.0</v>
      </c>
      <c r="AN118" s="1">
        <v>0.0</v>
      </c>
      <c r="AO118" s="4">
        <v>0.0</v>
      </c>
      <c r="AP118" s="1">
        <f t="shared" si="1"/>
        <v>0</v>
      </c>
      <c r="AQ118" s="1" t="s">
        <v>557</v>
      </c>
      <c r="AR118" s="1" t="s">
        <v>578</v>
      </c>
      <c r="AT118" s="1" t="s">
        <v>738</v>
      </c>
      <c r="AU118" s="2">
        <v>45995.0</v>
      </c>
      <c r="AV118" s="2">
        <v>46023.9854166667</v>
      </c>
      <c r="AW118" s="1">
        <v>0.0</v>
      </c>
      <c r="AX118" s="1">
        <v>54000.0</v>
      </c>
      <c r="AY118" s="1">
        <v>7.0</v>
      </c>
      <c r="AZ118" s="1">
        <v>1.0</v>
      </c>
      <c r="BA118" s="1">
        <v>0.0</v>
      </c>
      <c r="BB118" s="1">
        <v>0.0</v>
      </c>
      <c r="BC118" s="2">
        <v>45995.0</v>
      </c>
      <c r="BD118" s="1">
        <v>48.0</v>
      </c>
      <c r="BE118" s="1" t="s">
        <v>550</v>
      </c>
      <c r="BF118" s="1">
        <v>2025.0</v>
      </c>
      <c r="BG118" s="1" t="s">
        <v>558</v>
      </c>
      <c r="BH118" s="7" t="str">
        <f>VLOOKUP(B118,CookieClicks!D:O,12,FALSE)</f>
        <v>https://grow.method.me/crm-quickbooks/?trk=capterra&amp;trc=78&amp;trs=Capterra_destinationURL&amp;utm_source=capterra&amp;utm_medium=cpc&amp;utm_campaign=destinationURL&amp;gdmcid=0ece4754-aac5-4c16-938e-13e322dd4455</v>
      </c>
      <c r="BI118" s="8" t="str">
        <f>IFERROR(__xludf.DUMMYFUNCTION("VLOOKUP(REGEXREPLACE(BH118,""[?].*"",""""),ContentBuckets!A:C,2,FALSE)"),"#N/A")</f>
        <v>#N/A</v>
      </c>
      <c r="BJ118" s="8" t="str">
        <f>IFERROR(__xludf.DUMMYFUNCTION("VLOOKUP(REGEXREPLACE(BH118,""[?].*"",""""),ContentBuckets!A:C,3,FALSE)"),"#N/A")</f>
        <v>#N/A</v>
      </c>
    </row>
    <row r="119" ht="14.25" customHeight="1">
      <c r="A119" s="1">
        <v>153254.0</v>
      </c>
      <c r="B119" s="1" t="s">
        <v>739</v>
      </c>
      <c r="C119" s="2">
        <v>45995.9673611111</v>
      </c>
      <c r="D119" s="2"/>
      <c r="E119" s="2"/>
      <c r="F119" s="1" t="b">
        <v>1</v>
      </c>
      <c r="G119" s="4" t="b">
        <v>0</v>
      </c>
      <c r="H119" s="1" t="b">
        <v>0</v>
      </c>
      <c r="I119" s="1" t="b">
        <v>0</v>
      </c>
      <c r="J119" s="1" t="s">
        <v>534</v>
      </c>
      <c r="K119" s="1" t="s">
        <v>535</v>
      </c>
      <c r="L119" s="1" t="s">
        <v>536</v>
      </c>
      <c r="M119" s="1" t="s">
        <v>537</v>
      </c>
      <c r="N119" s="1">
        <v>0.0</v>
      </c>
      <c r="O119" s="1">
        <v>127.5</v>
      </c>
      <c r="P119" s="1">
        <v>0.0</v>
      </c>
      <c r="Q119" s="1">
        <v>0.0</v>
      </c>
      <c r="R119" s="1">
        <v>28.0</v>
      </c>
      <c r="S119" s="1" t="s">
        <v>538</v>
      </c>
      <c r="T119" s="1" t="s">
        <v>539</v>
      </c>
      <c r="V119" s="4">
        <v>7240652.0</v>
      </c>
      <c r="W119" s="4" t="s">
        <v>540</v>
      </c>
      <c r="X119" s="4">
        <v>0.0</v>
      </c>
      <c r="Y119" s="1">
        <v>1.0</v>
      </c>
      <c r="Z119" s="1">
        <v>0.0</v>
      </c>
      <c r="AA119" s="1">
        <v>0.0</v>
      </c>
      <c r="AB119" s="1">
        <v>0.0</v>
      </c>
      <c r="AC119" s="1">
        <v>0.0</v>
      </c>
      <c r="AD119" s="1">
        <v>0.0</v>
      </c>
      <c r="AE119" s="1">
        <v>0.0</v>
      </c>
      <c r="AF119" s="1">
        <v>0.0</v>
      </c>
      <c r="AG119" s="1">
        <v>0.0</v>
      </c>
      <c r="AH119" s="1">
        <v>0.0</v>
      </c>
      <c r="AI119" s="1">
        <v>0.0</v>
      </c>
      <c r="AJ119" s="1">
        <v>0.0</v>
      </c>
      <c r="AK119" s="1">
        <v>0.0</v>
      </c>
      <c r="AL119" s="1">
        <v>0.0</v>
      </c>
      <c r="AM119" s="4">
        <v>0.0</v>
      </c>
      <c r="AN119" s="1">
        <v>0.0</v>
      </c>
      <c r="AO119" s="4">
        <v>0.0</v>
      </c>
      <c r="AP119" s="1">
        <f t="shared" si="1"/>
        <v>0</v>
      </c>
      <c r="AQ119" s="1" t="s">
        <v>557</v>
      </c>
      <c r="AR119" s="1" t="s">
        <v>571</v>
      </c>
      <c r="AT119" s="1" t="s">
        <v>740</v>
      </c>
      <c r="AU119" s="2">
        <v>45995.0</v>
      </c>
      <c r="AV119" s="2">
        <v>46023.9902777778</v>
      </c>
      <c r="AW119" s="1">
        <v>1.0</v>
      </c>
      <c r="AX119" s="1">
        <v>972367.8</v>
      </c>
      <c r="AY119" s="1">
        <v>257.0</v>
      </c>
      <c r="AZ119" s="1">
        <v>2.0</v>
      </c>
      <c r="BA119" s="1">
        <v>0.0</v>
      </c>
      <c r="BB119" s="1">
        <v>0.0</v>
      </c>
      <c r="BC119" s="2">
        <v>45995.0</v>
      </c>
      <c r="BD119" s="1">
        <v>48.0</v>
      </c>
      <c r="BE119" s="1" t="s">
        <v>550</v>
      </c>
      <c r="BF119" s="1">
        <v>2025.0</v>
      </c>
      <c r="BG119" s="1" t="s">
        <v>558</v>
      </c>
      <c r="BH119" s="7" t="str">
        <f>VLOOKUP(B119,CookieClicks!D:O,12,FALSE)</f>
        <v>https://www.method.me/crm-quickbooks/pricing/</v>
      </c>
      <c r="BI119" s="8" t="str">
        <f>IFERROR(__xludf.DUMMYFUNCTION("VLOOKUP(REGEXREPLACE(BH119,""[?].*"",""""),ContentBuckets!A:C,2,FALSE)"),"/crm-quickbooks/")</f>
        <v>/crm-quickbooks/</v>
      </c>
      <c r="BJ119" s="8" t="str">
        <f>IFERROR(__xludf.DUMMYFUNCTION("VLOOKUP(REGEXREPLACE(BH119,""[?].*"",""""),ContentBuckets!A:C,3,FALSE)"),"Other page")</f>
        <v>Other page</v>
      </c>
    </row>
    <row r="120" ht="14.25" customHeight="1">
      <c r="A120" s="1">
        <v>153255.0</v>
      </c>
      <c r="B120" s="1" t="s">
        <v>741</v>
      </c>
      <c r="C120" s="2">
        <v>45995.9784722222</v>
      </c>
      <c r="D120" s="2"/>
      <c r="E120" s="2"/>
      <c r="F120" s="1" t="b">
        <v>1</v>
      </c>
      <c r="G120" s="4" t="b">
        <v>0</v>
      </c>
      <c r="H120" s="1" t="b">
        <v>0</v>
      </c>
      <c r="I120" s="1" t="b">
        <v>0</v>
      </c>
      <c r="J120" s="1" t="s">
        <v>534</v>
      </c>
      <c r="K120" s="1" t="s">
        <v>535</v>
      </c>
      <c r="L120" s="1" t="s">
        <v>536</v>
      </c>
      <c r="M120" s="1" t="s">
        <v>537</v>
      </c>
      <c r="N120" s="1">
        <v>0.0</v>
      </c>
      <c r="O120" s="1">
        <v>63.75</v>
      </c>
      <c r="P120" s="1">
        <v>0.0</v>
      </c>
      <c r="Q120" s="1">
        <v>0.0</v>
      </c>
      <c r="R120" s="1">
        <v>28.0</v>
      </c>
      <c r="S120" s="1" t="s">
        <v>538</v>
      </c>
      <c r="T120" s="1" t="s">
        <v>539</v>
      </c>
      <c r="V120" s="4">
        <v>7238199.0</v>
      </c>
      <c r="W120" s="4" t="s">
        <v>540</v>
      </c>
      <c r="X120" s="4">
        <v>0.0</v>
      </c>
      <c r="Y120" s="1">
        <v>1.0</v>
      </c>
      <c r="Z120" s="1">
        <v>0.0</v>
      </c>
      <c r="AA120" s="1">
        <v>0.0</v>
      </c>
      <c r="AB120" s="1">
        <v>0.0</v>
      </c>
      <c r="AC120" s="1">
        <v>0.0</v>
      </c>
      <c r="AD120" s="1">
        <v>0.0</v>
      </c>
      <c r="AE120" s="1">
        <v>0.0</v>
      </c>
      <c r="AF120" s="1">
        <v>0.0</v>
      </c>
      <c r="AG120" s="1">
        <v>0.0</v>
      </c>
      <c r="AH120" s="1">
        <v>0.0</v>
      </c>
      <c r="AI120" s="1">
        <v>0.0</v>
      </c>
      <c r="AJ120" s="1">
        <v>0.0</v>
      </c>
      <c r="AK120" s="1">
        <v>0.0</v>
      </c>
      <c r="AL120" s="1">
        <v>0.0</v>
      </c>
      <c r="AM120" s="4">
        <v>0.0</v>
      </c>
      <c r="AN120" s="1">
        <v>0.0</v>
      </c>
      <c r="AO120" s="4">
        <v>0.0</v>
      </c>
      <c r="AP120" s="1">
        <f t="shared" si="1"/>
        <v>0</v>
      </c>
      <c r="AQ120" s="1" t="s">
        <v>557</v>
      </c>
      <c r="AR120" s="1" t="s">
        <v>571</v>
      </c>
      <c r="AT120" s="1" t="s">
        <v>742</v>
      </c>
      <c r="AU120" s="2">
        <v>45995.0</v>
      </c>
      <c r="AV120" s="2">
        <v>46024.0194444444</v>
      </c>
      <c r="AW120" s="1">
        <v>0.0</v>
      </c>
      <c r="AX120" s="1">
        <v>60.0</v>
      </c>
      <c r="AY120" s="1">
        <v>146.0</v>
      </c>
      <c r="AZ120" s="1">
        <v>1.0</v>
      </c>
      <c r="BA120" s="1">
        <v>0.0</v>
      </c>
      <c r="BB120" s="1">
        <v>0.0</v>
      </c>
      <c r="BC120" s="2">
        <v>45995.0</v>
      </c>
      <c r="BD120" s="1">
        <v>48.0</v>
      </c>
      <c r="BE120" s="1" t="s">
        <v>550</v>
      </c>
      <c r="BF120" s="1">
        <v>2025.0</v>
      </c>
      <c r="BG120" s="1" t="s">
        <v>558</v>
      </c>
      <c r="BH120" s="7" t="str">
        <f>VLOOKUP(B120,CookieClicks!D:O,12,FALSE)</f>
        <v>https://www.method.me/</v>
      </c>
      <c r="BI120" s="8" t="str">
        <f>IFERROR(__xludf.DUMMYFUNCTION("VLOOKUP(REGEXREPLACE(BH120,""[?].*"",""""),ContentBuckets!A:C,2,FALSE)"),"Homepage")</f>
        <v>Homepage</v>
      </c>
      <c r="BJ120" s="8" t="str">
        <f>IFERROR(__xludf.DUMMYFUNCTION("VLOOKUP(REGEXREPLACE(BH120,""[?].*"",""""),ContentBuckets!A:C,3,FALSE)"),"Other page")</f>
        <v>Other page</v>
      </c>
    </row>
    <row r="121" ht="14.25" customHeight="1">
      <c r="A121" s="1">
        <v>153256.0</v>
      </c>
      <c r="B121" s="1" t="s">
        <v>743</v>
      </c>
      <c r="C121" s="2">
        <v>45995.9895833333</v>
      </c>
      <c r="D121" s="2"/>
      <c r="E121" s="2"/>
      <c r="F121" s="1" t="b">
        <v>1</v>
      </c>
      <c r="G121" s="4" t="b">
        <v>0</v>
      </c>
      <c r="H121" s="1" t="b">
        <v>0</v>
      </c>
      <c r="I121" s="1" t="b">
        <v>0</v>
      </c>
      <c r="J121" s="1" t="s">
        <v>534</v>
      </c>
      <c r="K121" s="1" t="s">
        <v>566</v>
      </c>
      <c r="L121" s="1" t="s">
        <v>567</v>
      </c>
      <c r="M121" s="1" t="s">
        <v>537</v>
      </c>
      <c r="N121" s="1">
        <v>0.0</v>
      </c>
      <c r="O121" s="1">
        <v>63.75</v>
      </c>
      <c r="P121" s="1">
        <v>0.0</v>
      </c>
      <c r="Q121" s="1">
        <v>0.0</v>
      </c>
      <c r="R121" s="1">
        <v>28.0</v>
      </c>
      <c r="S121" s="1" t="s">
        <v>538</v>
      </c>
      <c r="T121" s="1" t="s">
        <v>539</v>
      </c>
      <c r="V121" s="4">
        <v>7240782.0</v>
      </c>
      <c r="W121" s="4"/>
      <c r="X121" s="4">
        <v>0.0</v>
      </c>
      <c r="Y121" s="1">
        <v>0.0</v>
      </c>
      <c r="Z121" s="1">
        <v>0.0</v>
      </c>
      <c r="AA121" s="1">
        <v>1.0</v>
      </c>
      <c r="AB121" s="1">
        <v>0.0</v>
      </c>
      <c r="AC121" s="1">
        <v>0.0</v>
      </c>
      <c r="AD121" s="1">
        <v>0.0</v>
      </c>
      <c r="AE121" s="1">
        <v>0.0</v>
      </c>
      <c r="AF121" s="1">
        <v>0.0</v>
      </c>
      <c r="AG121" s="1">
        <v>0.0</v>
      </c>
      <c r="AH121" s="1">
        <v>0.0</v>
      </c>
      <c r="AI121" s="1">
        <v>0.0</v>
      </c>
      <c r="AJ121" s="1">
        <v>0.0</v>
      </c>
      <c r="AK121" s="1">
        <v>0.0</v>
      </c>
      <c r="AL121" s="1">
        <v>0.0</v>
      </c>
      <c r="AM121" s="4">
        <v>0.0</v>
      </c>
      <c r="AN121" s="1">
        <v>0.0</v>
      </c>
      <c r="AO121" s="4">
        <v>0.0</v>
      </c>
      <c r="AP121" s="1">
        <f t="shared" si="1"/>
        <v>0</v>
      </c>
      <c r="AR121" s="1" t="s">
        <v>608</v>
      </c>
      <c r="AU121" s="2"/>
      <c r="AV121" s="2">
        <v>46024.0152777778</v>
      </c>
      <c r="AW121" s="1">
        <v>0.0</v>
      </c>
      <c r="AX121" s="1">
        <v>0.0</v>
      </c>
      <c r="AY121" s="1">
        <v>0.0</v>
      </c>
      <c r="AZ121" s="1">
        <v>1.0</v>
      </c>
      <c r="BA121" s="1">
        <v>0.0</v>
      </c>
      <c r="BB121" s="1">
        <v>0.0</v>
      </c>
      <c r="BC121" s="2">
        <v>45995.0</v>
      </c>
      <c r="BD121" s="1">
        <v>48.0</v>
      </c>
      <c r="BE121" s="1" t="s">
        <v>550</v>
      </c>
      <c r="BF121" s="1">
        <v>2025.0</v>
      </c>
      <c r="BG121" s="1" t="s">
        <v>558</v>
      </c>
      <c r="BH121" s="1" t="str">
        <f>VLOOKUP(B121,CookieClicks!D:O,12,FALSE)</f>
        <v>https://grow.method.me/crm-quickbooks/?trc=81&amp;trk=crm with quickbooks&amp;trs=USA-QB-G&amp;campaignid=1543381580&amp;adgroupid=61437797000&amp;adid=704678754673&amp;gad_source=1&amp;gad_campaignid=1543381580&amp;gbraid=0AAAAAD3ItnbI52bMAH0qRhtrXy98oCsFz&amp;gclid=Cj0KCQiA_8TJBhDNARIsAPX5qxQwhQDC2thFr1Ic7jnKMObI9BRhQ4z5Bv7CM1SRBSvYhHfoG6CGXzwaAswEEALw_wcB</v>
      </c>
      <c r="BI121" s="8" t="str">
        <f>IFERROR(__xludf.DUMMYFUNCTION("VLOOKUP(REGEXREPLACE(BH121,""[?].*"",""""),ContentBuckets!A:C,2,FALSE)"),"#N/A")</f>
        <v>#N/A</v>
      </c>
      <c r="BJ121" s="8" t="str">
        <f>IFERROR(__xludf.DUMMYFUNCTION("VLOOKUP(REGEXREPLACE(BH121,""[?].*"",""""),ContentBuckets!A:C,3,FALSE)"),"#N/A")</f>
        <v>#N/A</v>
      </c>
    </row>
    <row r="122" ht="14.25" customHeight="1">
      <c r="A122" s="1">
        <v>153257.0</v>
      </c>
      <c r="B122" s="1" t="s">
        <v>744</v>
      </c>
      <c r="C122" s="2">
        <v>45996.0423611111</v>
      </c>
      <c r="D122" s="2">
        <v>46024.3618055556</v>
      </c>
      <c r="E122" s="2"/>
      <c r="F122" s="1" t="b">
        <v>0</v>
      </c>
      <c r="G122" s="4" t="b">
        <v>1</v>
      </c>
      <c r="H122" s="1" t="b">
        <v>0</v>
      </c>
      <c r="I122" s="1" t="b">
        <v>0</v>
      </c>
      <c r="J122" s="1" t="s">
        <v>534</v>
      </c>
      <c r="K122" s="1" t="s">
        <v>553</v>
      </c>
      <c r="L122" s="1" t="s">
        <v>599</v>
      </c>
      <c r="M122" s="1" t="s">
        <v>537</v>
      </c>
      <c r="N122" s="1">
        <v>0.0</v>
      </c>
      <c r="O122" s="1">
        <v>44.25</v>
      </c>
      <c r="P122" s="1">
        <v>0.0</v>
      </c>
      <c r="Q122" s="1">
        <v>0.0</v>
      </c>
      <c r="R122" s="1">
        <v>0.0</v>
      </c>
      <c r="S122" s="1" t="s">
        <v>538</v>
      </c>
      <c r="T122" s="1" t="s">
        <v>539</v>
      </c>
      <c r="V122" s="4">
        <v>7241058.0</v>
      </c>
      <c r="W122" s="4"/>
      <c r="X122" s="4">
        <v>1.0</v>
      </c>
      <c r="Y122" s="1">
        <v>0.0</v>
      </c>
      <c r="Z122" s="1">
        <v>0.0</v>
      </c>
      <c r="AA122" s="1">
        <v>0.0</v>
      </c>
      <c r="AB122" s="1">
        <v>0.0</v>
      </c>
      <c r="AC122" s="1">
        <v>0.0</v>
      </c>
      <c r="AD122" s="1">
        <v>0.0</v>
      </c>
      <c r="AE122" s="1">
        <v>0.0</v>
      </c>
      <c r="AF122" s="1">
        <v>0.0</v>
      </c>
      <c r="AG122" s="1">
        <v>0.0</v>
      </c>
      <c r="AH122" s="1">
        <v>0.0</v>
      </c>
      <c r="AI122" s="1">
        <v>0.0</v>
      </c>
      <c r="AJ122" s="1">
        <v>0.0</v>
      </c>
      <c r="AK122" s="1">
        <v>0.0</v>
      </c>
      <c r="AL122" s="1">
        <v>0.0</v>
      </c>
      <c r="AM122" s="4">
        <v>0.0</v>
      </c>
      <c r="AN122" s="1">
        <v>0.0</v>
      </c>
      <c r="AO122" s="4">
        <v>0.0</v>
      </c>
      <c r="AP122" s="1">
        <f t="shared" si="1"/>
        <v>0</v>
      </c>
      <c r="AU122" s="2"/>
      <c r="AV122" s="2">
        <v>46024.0041666667</v>
      </c>
      <c r="AW122" s="1">
        <v>0.0</v>
      </c>
      <c r="AX122" s="1">
        <v>0.0</v>
      </c>
      <c r="AY122" s="1">
        <v>0.0</v>
      </c>
      <c r="AZ122" s="1">
        <v>1.0</v>
      </c>
      <c r="BA122" s="1">
        <v>0.0</v>
      </c>
      <c r="BB122" s="1">
        <v>0.0</v>
      </c>
      <c r="BC122" s="2">
        <v>45996.0</v>
      </c>
      <c r="BD122" s="1">
        <v>48.0</v>
      </c>
      <c r="BE122" s="1" t="s">
        <v>550</v>
      </c>
      <c r="BF122" s="1">
        <v>2025.0</v>
      </c>
      <c r="BG122" s="1" t="s">
        <v>624</v>
      </c>
      <c r="BH122" s="7" t="str">
        <f>VLOOKUP(B122,CookieClicks!D:O,12,FALSE)</f>
        <v>https://www.method.me/blog/cloud-erp-small-business/</v>
      </c>
      <c r="BI122" s="8" t="str">
        <f>IFERROR(__xludf.DUMMYFUNCTION("VLOOKUP(REGEXREPLACE(BH122,""[?].*"",""""),ContentBuckets!A:C,2,FALSE)"),"Listicle - Software / Software overview")</f>
        <v>Listicle - Software / Software overview</v>
      </c>
      <c r="BJ122" s="8" t="str">
        <f>IFERROR(__xludf.DUMMYFUNCTION("VLOOKUP(REGEXREPLACE(BH122,""[?].*"",""""),ContentBuckets!A:C,3,FALSE)"),"Blog")</f>
        <v>Blog</v>
      </c>
    </row>
    <row r="123" ht="14.25" customHeight="1">
      <c r="A123" s="1">
        <v>153258.0</v>
      </c>
      <c r="B123" s="1" t="s">
        <v>745</v>
      </c>
      <c r="C123" s="2">
        <v>45996.1416666667</v>
      </c>
      <c r="D123" s="2"/>
      <c r="E123" s="2"/>
      <c r="F123" s="1" t="b">
        <v>1</v>
      </c>
      <c r="G123" s="4" t="b">
        <v>0</v>
      </c>
      <c r="H123" s="1" t="b">
        <v>0</v>
      </c>
      <c r="I123" s="1" t="b">
        <v>0</v>
      </c>
      <c r="J123" s="1" t="s">
        <v>534</v>
      </c>
      <c r="K123" s="1" t="s">
        <v>553</v>
      </c>
      <c r="L123" s="1" t="s">
        <v>554</v>
      </c>
      <c r="M123" s="1" t="s">
        <v>537</v>
      </c>
      <c r="N123" s="1">
        <v>0.0</v>
      </c>
      <c r="O123" s="1">
        <v>44.25</v>
      </c>
      <c r="P123" s="1">
        <v>0.0</v>
      </c>
      <c r="Q123" s="1">
        <v>0.0</v>
      </c>
      <c r="R123" s="1">
        <v>0.0</v>
      </c>
      <c r="S123" s="1" t="s">
        <v>538</v>
      </c>
      <c r="T123" s="1" t="s">
        <v>539</v>
      </c>
      <c r="V123" s="4">
        <v>7241576.0</v>
      </c>
      <c r="W123" s="4" t="s">
        <v>540</v>
      </c>
      <c r="X123" s="4">
        <v>0.0</v>
      </c>
      <c r="Y123" s="1">
        <v>1.0</v>
      </c>
      <c r="Z123" s="1">
        <v>0.0</v>
      </c>
      <c r="AA123" s="1">
        <v>0.0</v>
      </c>
      <c r="AB123" s="1">
        <v>0.0</v>
      </c>
      <c r="AC123" s="1">
        <v>0.0</v>
      </c>
      <c r="AD123" s="1">
        <v>0.0</v>
      </c>
      <c r="AE123" s="1">
        <v>0.0</v>
      </c>
      <c r="AF123" s="1">
        <v>0.0</v>
      </c>
      <c r="AG123" s="1">
        <v>0.0</v>
      </c>
      <c r="AH123" s="1">
        <v>0.0</v>
      </c>
      <c r="AI123" s="1">
        <v>0.0</v>
      </c>
      <c r="AJ123" s="1">
        <v>0.0</v>
      </c>
      <c r="AK123" s="1">
        <v>0.0</v>
      </c>
      <c r="AL123" s="1">
        <v>0.0</v>
      </c>
      <c r="AM123" s="4">
        <v>0.0</v>
      </c>
      <c r="AN123" s="1">
        <v>0.0</v>
      </c>
      <c r="AO123" s="4">
        <v>0.0</v>
      </c>
      <c r="AP123" s="1">
        <f t="shared" si="1"/>
        <v>0</v>
      </c>
      <c r="AU123" s="2"/>
      <c r="AV123" s="2">
        <v>46024.0347222222</v>
      </c>
      <c r="AW123" s="1">
        <v>0.0</v>
      </c>
      <c r="AX123" s="1">
        <v>0.0</v>
      </c>
      <c r="AY123" s="1">
        <v>0.0</v>
      </c>
      <c r="AZ123" s="1">
        <v>1.0</v>
      </c>
      <c r="BA123" s="1">
        <v>0.0</v>
      </c>
      <c r="BB123" s="1">
        <v>0.0</v>
      </c>
      <c r="BC123" s="2">
        <v>45996.0</v>
      </c>
      <c r="BD123" s="1">
        <v>48.0</v>
      </c>
      <c r="BE123" s="1" t="s">
        <v>550</v>
      </c>
      <c r="BF123" s="1">
        <v>2025.0</v>
      </c>
      <c r="BG123" s="1" t="s">
        <v>558</v>
      </c>
      <c r="BH123" s="7" t="str">
        <f>VLOOKUP(B123,CookieClicks!D:O,12,FALSE)</f>
        <v>https://www.method.me/resources/best-pool-service-software/</v>
      </c>
      <c r="BI123" s="8" t="str">
        <f>IFERROR(__xludf.DUMMYFUNCTION("VLOOKUP(REGEXREPLACE(BH123,""[?].*"",""""),ContentBuckets!A:C,2,FALSE)"),"Listicle - Software / Software overview")</f>
        <v>Listicle - Software / Software overview</v>
      </c>
      <c r="BJ123" s="8" t="str">
        <f>IFERROR(__xludf.DUMMYFUNCTION("VLOOKUP(REGEXREPLACE(BH123,""[?].*"",""""),ContentBuckets!A:C,3,FALSE)"),"Guide")</f>
        <v>Guide</v>
      </c>
    </row>
    <row r="124" ht="14.25" customHeight="1">
      <c r="A124" s="1">
        <v>153259.0</v>
      </c>
      <c r="B124" s="1" t="s">
        <v>746</v>
      </c>
      <c r="C124" s="2">
        <v>45996.1861111111</v>
      </c>
      <c r="D124" s="2"/>
      <c r="E124" s="2"/>
      <c r="F124" s="1" t="b">
        <v>1</v>
      </c>
      <c r="G124" s="4" t="b">
        <v>0</v>
      </c>
      <c r="H124" s="1" t="b">
        <v>0</v>
      </c>
      <c r="I124" s="1" t="b">
        <v>0</v>
      </c>
      <c r="J124" s="1" t="s">
        <v>534</v>
      </c>
      <c r="K124" s="1" t="s">
        <v>535</v>
      </c>
      <c r="L124" s="1" t="s">
        <v>536</v>
      </c>
      <c r="M124" s="1" t="s">
        <v>537</v>
      </c>
      <c r="N124" s="1">
        <v>0.0</v>
      </c>
      <c r="O124" s="1">
        <v>62.25</v>
      </c>
      <c r="P124" s="1">
        <v>0.0</v>
      </c>
      <c r="Q124" s="1">
        <v>0.0</v>
      </c>
      <c r="R124" s="1">
        <v>28.0</v>
      </c>
      <c r="S124" s="1" t="s">
        <v>538</v>
      </c>
      <c r="T124" s="1" t="s">
        <v>539</v>
      </c>
      <c r="V124" s="4">
        <v>6741515.0</v>
      </c>
      <c r="W124" s="4" t="s">
        <v>653</v>
      </c>
      <c r="X124" s="4">
        <v>0.0</v>
      </c>
      <c r="Y124" s="1">
        <v>1.0</v>
      </c>
      <c r="Z124" s="1">
        <v>0.0</v>
      </c>
      <c r="AA124" s="1">
        <v>0.0</v>
      </c>
      <c r="AB124" s="1">
        <v>0.0</v>
      </c>
      <c r="AC124" s="1">
        <v>0.0</v>
      </c>
      <c r="AD124" s="1">
        <v>0.0</v>
      </c>
      <c r="AE124" s="1">
        <v>0.0</v>
      </c>
      <c r="AF124" s="1">
        <v>0.0</v>
      </c>
      <c r="AG124" s="1">
        <v>0.0</v>
      </c>
      <c r="AH124" s="1">
        <v>0.0</v>
      </c>
      <c r="AI124" s="1">
        <v>0.0</v>
      </c>
      <c r="AJ124" s="1">
        <v>0.0</v>
      </c>
      <c r="AK124" s="1">
        <v>0.0</v>
      </c>
      <c r="AL124" s="1">
        <v>0.0</v>
      </c>
      <c r="AM124" s="4">
        <v>0.0</v>
      </c>
      <c r="AN124" s="1">
        <v>0.0</v>
      </c>
      <c r="AO124" s="4">
        <v>0.0</v>
      </c>
      <c r="AP124" s="1">
        <f t="shared" si="1"/>
        <v>0</v>
      </c>
      <c r="AR124" s="1" t="s">
        <v>591</v>
      </c>
      <c r="AU124" s="2"/>
      <c r="AV124" s="2">
        <v>46024.03125</v>
      </c>
      <c r="AW124" s="1">
        <v>0.0</v>
      </c>
      <c r="AX124" s="1">
        <v>0.0</v>
      </c>
      <c r="AY124" s="1">
        <v>0.0</v>
      </c>
      <c r="AZ124" s="1">
        <v>1.0</v>
      </c>
      <c r="BA124" s="1">
        <v>0.0</v>
      </c>
      <c r="BB124" s="1">
        <v>0.0</v>
      </c>
      <c r="BC124" s="2">
        <v>45996.0</v>
      </c>
      <c r="BD124" s="1">
        <v>48.0</v>
      </c>
      <c r="BE124" s="1" t="s">
        <v>550</v>
      </c>
      <c r="BF124" s="1">
        <v>2025.0</v>
      </c>
      <c r="BG124" s="1" t="s">
        <v>747</v>
      </c>
      <c r="BH124" s="7" t="str">
        <f>VLOOKUP(B124,CookieClicks!D:O,12,FALSE)</f>
        <v>https://www.method.me/</v>
      </c>
      <c r="BI124" s="8" t="str">
        <f>IFERROR(__xludf.DUMMYFUNCTION("VLOOKUP(REGEXREPLACE(BH124,""[?].*"",""""),ContentBuckets!A:C,2,FALSE)"),"Homepage")</f>
        <v>Homepage</v>
      </c>
      <c r="BJ124" s="8" t="str">
        <f>IFERROR(__xludf.DUMMYFUNCTION("VLOOKUP(REGEXREPLACE(BH124,""[?].*"",""""),ContentBuckets!A:C,3,FALSE)"),"Other page")</f>
        <v>Other page</v>
      </c>
    </row>
    <row r="125" ht="14.25" customHeight="1">
      <c r="A125" s="1">
        <v>153260.0</v>
      </c>
      <c r="B125" s="1" t="s">
        <v>748</v>
      </c>
      <c r="C125" s="2">
        <v>45996.3256944444</v>
      </c>
      <c r="D125" s="2"/>
      <c r="E125" s="2">
        <v>46017.4375</v>
      </c>
      <c r="F125" s="1" t="b">
        <v>1</v>
      </c>
      <c r="G125" s="4" t="b">
        <v>0</v>
      </c>
      <c r="H125" s="1" t="b">
        <v>0</v>
      </c>
      <c r="I125" s="1" t="b">
        <v>0</v>
      </c>
      <c r="J125" s="1" t="s">
        <v>534</v>
      </c>
      <c r="K125" s="1" t="s">
        <v>535</v>
      </c>
      <c r="L125" s="1" t="s">
        <v>536</v>
      </c>
      <c r="M125" s="1" t="s">
        <v>537</v>
      </c>
      <c r="N125" s="1">
        <v>88.5</v>
      </c>
      <c r="O125" s="1">
        <v>88.5</v>
      </c>
      <c r="P125" s="1">
        <v>0.0</v>
      </c>
      <c r="Q125" s="1">
        <v>0.0</v>
      </c>
      <c r="R125" s="1">
        <v>28.0</v>
      </c>
      <c r="S125" s="1" t="s">
        <v>538</v>
      </c>
      <c r="T125" s="1" t="s">
        <v>539</v>
      </c>
      <c r="V125" s="4">
        <v>7242522.0</v>
      </c>
      <c r="W125" s="4" t="s">
        <v>540</v>
      </c>
      <c r="X125" s="4">
        <v>0.0</v>
      </c>
      <c r="Y125" s="1">
        <v>1.0</v>
      </c>
      <c r="Z125" s="1">
        <v>0.0</v>
      </c>
      <c r="AA125" s="1">
        <v>0.0</v>
      </c>
      <c r="AB125" s="1">
        <v>0.0</v>
      </c>
      <c r="AC125" s="1">
        <v>0.0</v>
      </c>
      <c r="AD125" s="1">
        <v>0.0</v>
      </c>
      <c r="AE125" s="1">
        <v>0.0</v>
      </c>
      <c r="AF125" s="1">
        <v>0.0</v>
      </c>
      <c r="AG125" s="1">
        <v>0.0</v>
      </c>
      <c r="AH125" s="1">
        <v>0.0</v>
      </c>
      <c r="AI125" s="1">
        <v>0.0</v>
      </c>
      <c r="AJ125" s="1">
        <v>0.0</v>
      </c>
      <c r="AK125" s="1">
        <v>0.0</v>
      </c>
      <c r="AL125" s="1">
        <v>0.0</v>
      </c>
      <c r="AM125" s="4">
        <v>0.0</v>
      </c>
      <c r="AN125" s="1">
        <v>0.0</v>
      </c>
      <c r="AO125" s="4">
        <v>0.0</v>
      </c>
      <c r="AP125" s="1">
        <f t="shared" si="1"/>
        <v>0</v>
      </c>
      <c r="AQ125" s="1" t="s">
        <v>557</v>
      </c>
      <c r="AR125" s="1" t="s">
        <v>564</v>
      </c>
      <c r="AT125" s="1" t="s">
        <v>749</v>
      </c>
      <c r="AU125" s="2">
        <v>45996.0</v>
      </c>
      <c r="AV125" s="2">
        <v>46024.0284722222</v>
      </c>
      <c r="AW125" s="1">
        <v>0.0</v>
      </c>
      <c r="AX125" s="1">
        <v>60000.0</v>
      </c>
      <c r="AY125" s="1">
        <v>2.0</v>
      </c>
      <c r="AZ125" s="1">
        <v>2.0</v>
      </c>
      <c r="BA125" s="1">
        <v>0.0</v>
      </c>
      <c r="BB125" s="1">
        <v>13.0</v>
      </c>
      <c r="BC125" s="2">
        <v>45996.0</v>
      </c>
      <c r="BD125" s="1">
        <v>48.0</v>
      </c>
      <c r="BE125" s="1" t="s">
        <v>550</v>
      </c>
      <c r="BF125" s="1">
        <v>2025.0</v>
      </c>
      <c r="BG125" s="1" t="s">
        <v>558</v>
      </c>
      <c r="BH125" s="7" t="str">
        <f>VLOOKUP(B125,CookieClicks!D:O,12,FALSE)</f>
        <v>https://www.method.me/</v>
      </c>
      <c r="BI125" s="8" t="str">
        <f>IFERROR(__xludf.DUMMYFUNCTION("VLOOKUP(REGEXREPLACE(BH125,""[?].*"",""""),ContentBuckets!A:C,2,FALSE)"),"Homepage")</f>
        <v>Homepage</v>
      </c>
      <c r="BJ125" s="8" t="str">
        <f>IFERROR(__xludf.DUMMYFUNCTION("VLOOKUP(REGEXREPLACE(BH125,""[?].*"",""""),ContentBuckets!A:C,3,FALSE)"),"Other page")</f>
        <v>Other page</v>
      </c>
    </row>
    <row r="126" ht="14.25" customHeight="1">
      <c r="A126" s="1">
        <v>153267.0</v>
      </c>
      <c r="B126" s="1" t="s">
        <v>750</v>
      </c>
      <c r="C126" s="2">
        <v>45996.3895833333</v>
      </c>
      <c r="D126" s="2">
        <v>45996.4333333333</v>
      </c>
      <c r="E126" s="2"/>
      <c r="F126" s="1" t="b">
        <v>0</v>
      </c>
      <c r="G126" s="4" t="b">
        <v>0</v>
      </c>
      <c r="H126" s="1" t="b">
        <v>0</v>
      </c>
      <c r="I126" s="1" t="b">
        <v>0</v>
      </c>
      <c r="J126" s="1" t="s">
        <v>534</v>
      </c>
      <c r="K126" s="1" t="s">
        <v>566</v>
      </c>
      <c r="L126" s="1" t="s">
        <v>567</v>
      </c>
      <c r="M126" s="1" t="s">
        <v>537</v>
      </c>
      <c r="N126" s="1">
        <v>0.0</v>
      </c>
      <c r="O126" s="1">
        <v>0.0</v>
      </c>
      <c r="P126" s="1">
        <v>0.0</v>
      </c>
      <c r="Q126" s="1">
        <v>0.0</v>
      </c>
      <c r="R126" s="1">
        <v>28.0</v>
      </c>
      <c r="S126" s="1" t="s">
        <v>538</v>
      </c>
      <c r="T126" s="1" t="s">
        <v>539</v>
      </c>
      <c r="V126" s="4">
        <v>7237240.0</v>
      </c>
      <c r="W126" s="4" t="s">
        <v>540</v>
      </c>
      <c r="X126" s="4">
        <v>0.0</v>
      </c>
      <c r="Y126" s="1">
        <v>1.0</v>
      </c>
      <c r="Z126" s="1">
        <v>0.0</v>
      </c>
      <c r="AA126" s="1">
        <v>0.0</v>
      </c>
      <c r="AB126" s="1">
        <v>0.0</v>
      </c>
      <c r="AC126" s="1">
        <v>0.0</v>
      </c>
      <c r="AD126" s="1">
        <v>0.0</v>
      </c>
      <c r="AE126" s="1">
        <v>0.0</v>
      </c>
      <c r="AF126" s="1">
        <v>0.0</v>
      </c>
      <c r="AG126" s="1">
        <v>0.0</v>
      </c>
      <c r="AH126" s="1">
        <v>0.0</v>
      </c>
      <c r="AI126" s="1">
        <v>0.0</v>
      </c>
      <c r="AJ126" s="1">
        <v>0.0</v>
      </c>
      <c r="AK126" s="1">
        <v>0.0</v>
      </c>
      <c r="AL126" s="1">
        <v>0.0</v>
      </c>
      <c r="AM126" s="4">
        <v>0.0</v>
      </c>
      <c r="AN126" s="1">
        <v>0.0</v>
      </c>
      <c r="AO126" s="4">
        <v>0.0</v>
      </c>
      <c r="AP126" s="1">
        <f t="shared" si="1"/>
        <v>0</v>
      </c>
      <c r="AQ126" s="1" t="s">
        <v>541</v>
      </c>
      <c r="AR126" s="1" t="s">
        <v>542</v>
      </c>
      <c r="AU126" s="2"/>
      <c r="AV126" s="2"/>
      <c r="AW126" s="1">
        <v>0.0</v>
      </c>
      <c r="AX126" s="1">
        <v>0.0</v>
      </c>
      <c r="AY126" s="1">
        <v>0.0</v>
      </c>
      <c r="AZ126" s="1">
        <v>1.0</v>
      </c>
      <c r="BA126" s="1">
        <v>0.0</v>
      </c>
      <c r="BB126" s="1">
        <v>0.0</v>
      </c>
      <c r="BC126" s="2">
        <v>45996.0</v>
      </c>
      <c r="BD126" s="1">
        <v>48.0</v>
      </c>
      <c r="BE126" s="1" t="s">
        <v>550</v>
      </c>
      <c r="BF126" s="1">
        <v>2025.0</v>
      </c>
      <c r="BG126" s="1" t="s">
        <v>546</v>
      </c>
      <c r="BH126" s="7" t="str">
        <f>VLOOKUP(B126,CookieClicks!D:O,12,FALSE)</f>
        <v>https://www.method.me/crm-quickbooks/desktop/</v>
      </c>
      <c r="BI126" s="8" t="str">
        <f>IFERROR(__xludf.DUMMYFUNCTION("VLOOKUP(REGEXREPLACE(BH126,""[?].*"",""""),ContentBuckets!A:C,2,FALSE)"),"/crm-quickbooks/")</f>
        <v>/crm-quickbooks/</v>
      </c>
      <c r="BJ126" s="8" t="str">
        <f>IFERROR(__xludf.DUMMYFUNCTION("VLOOKUP(REGEXREPLACE(BH126,""[?].*"",""""),ContentBuckets!A:C,3,FALSE)"),"Other page")</f>
        <v>Other page</v>
      </c>
    </row>
    <row r="127" ht="14.25" customHeight="1">
      <c r="A127" s="1">
        <v>153270.0</v>
      </c>
      <c r="B127" s="1" t="s">
        <v>751</v>
      </c>
      <c r="C127" s="2">
        <v>45996.4013888889</v>
      </c>
      <c r="D127" s="2"/>
      <c r="E127" s="2"/>
      <c r="F127" s="1" t="b">
        <v>1</v>
      </c>
      <c r="G127" s="4" t="b">
        <v>0</v>
      </c>
      <c r="H127" s="1" t="b">
        <v>0</v>
      </c>
      <c r="I127" s="1" t="b">
        <v>0</v>
      </c>
      <c r="J127" s="1" t="s">
        <v>534</v>
      </c>
      <c r="K127" s="1" t="s">
        <v>535</v>
      </c>
      <c r="L127" s="1" t="s">
        <v>536</v>
      </c>
      <c r="M127" s="1" t="s">
        <v>537</v>
      </c>
      <c r="N127" s="1">
        <v>0.0</v>
      </c>
      <c r="O127" s="1">
        <v>44.25</v>
      </c>
      <c r="P127" s="1">
        <v>0.0</v>
      </c>
      <c r="Q127" s="1">
        <v>0.0</v>
      </c>
      <c r="R127" s="1">
        <v>28.0</v>
      </c>
      <c r="S127" s="1" t="s">
        <v>538</v>
      </c>
      <c r="T127" s="1" t="s">
        <v>725</v>
      </c>
      <c r="U127" s="1" t="s">
        <v>752</v>
      </c>
      <c r="V127" s="4">
        <v>7167524.0</v>
      </c>
      <c r="W127" s="4" t="s">
        <v>540</v>
      </c>
      <c r="X127" s="4">
        <v>0.0</v>
      </c>
      <c r="Y127" s="1">
        <v>0.5</v>
      </c>
      <c r="Z127" s="1">
        <v>0.0</v>
      </c>
      <c r="AA127" s="1">
        <v>0.0</v>
      </c>
      <c r="AB127" s="1">
        <v>0.5</v>
      </c>
      <c r="AC127" s="1">
        <v>0.0</v>
      </c>
      <c r="AD127" s="1">
        <v>0.0</v>
      </c>
      <c r="AE127" s="1">
        <v>0.0</v>
      </c>
      <c r="AF127" s="1">
        <v>0.0</v>
      </c>
      <c r="AG127" s="1">
        <v>0.0</v>
      </c>
      <c r="AH127" s="1">
        <v>0.0</v>
      </c>
      <c r="AI127" s="1">
        <v>0.0</v>
      </c>
      <c r="AJ127" s="1">
        <v>0.0</v>
      </c>
      <c r="AK127" s="1">
        <v>0.0</v>
      </c>
      <c r="AL127" s="1">
        <v>0.0</v>
      </c>
      <c r="AM127" s="4">
        <v>0.0</v>
      </c>
      <c r="AN127" s="1">
        <v>0.0</v>
      </c>
      <c r="AO127" s="4">
        <v>0.0</v>
      </c>
      <c r="AP127" s="1">
        <f t="shared" si="1"/>
        <v>0</v>
      </c>
      <c r="AQ127" s="1" t="s">
        <v>557</v>
      </c>
      <c r="AR127" s="1" t="s">
        <v>578</v>
      </c>
      <c r="AU127" s="2">
        <v>45996.0</v>
      </c>
      <c r="AV127" s="2">
        <v>46024.0111111111</v>
      </c>
      <c r="AW127" s="1">
        <v>0.0</v>
      </c>
      <c r="AX127" s="1">
        <v>22379.04</v>
      </c>
      <c r="AY127" s="1">
        <v>50.0</v>
      </c>
      <c r="AZ127" s="1">
        <v>1.0</v>
      </c>
      <c r="BA127" s="1">
        <v>0.0</v>
      </c>
      <c r="BB127" s="1">
        <v>0.0</v>
      </c>
      <c r="BC127" s="2">
        <v>45996.0</v>
      </c>
      <c r="BD127" s="1">
        <v>48.0</v>
      </c>
      <c r="BE127" s="1" t="s">
        <v>550</v>
      </c>
      <c r="BF127" s="1">
        <v>2025.0</v>
      </c>
      <c r="BG127" s="1" t="s">
        <v>558</v>
      </c>
      <c r="BH127" s="7" t="str">
        <f>VLOOKUP(B127,CookieClicks!D:O,12,FALSE)</f>
        <v>https://www.method.me/contact-us/?trc=180&amp;trk=contact-us&amp;trs=gmb-profile&amp;utm_source=seo&amp;utm_medium=google&amp;utm_campaign=my-business-profile</v>
      </c>
      <c r="BI127" s="8" t="str">
        <f>IFERROR(__xludf.DUMMYFUNCTION("VLOOKUP(REGEXREPLACE(BH127,""[?].*"",""""),ContentBuckets!A:C,2,FALSE)"),"Other page")</f>
        <v>Other page</v>
      </c>
      <c r="BJ127" s="8" t="str">
        <f>IFERROR(__xludf.DUMMYFUNCTION("VLOOKUP(REGEXREPLACE(BH127,""[?].*"",""""),ContentBuckets!A:C,3,FALSE)"),"Other page")</f>
        <v>Other page</v>
      </c>
    </row>
    <row r="128" ht="14.25" customHeight="1">
      <c r="A128" s="1">
        <v>153271.0</v>
      </c>
      <c r="B128" s="1" t="s">
        <v>753</v>
      </c>
      <c r="C128" s="2">
        <v>45996.4076388889</v>
      </c>
      <c r="D128" s="2"/>
      <c r="E128" s="2"/>
      <c r="F128" s="1" t="b">
        <v>1</v>
      </c>
      <c r="G128" s="4" t="b">
        <v>0</v>
      </c>
      <c r="H128" s="1" t="b">
        <v>0</v>
      </c>
      <c r="I128" s="1" t="b">
        <v>0</v>
      </c>
      <c r="J128" s="1" t="s">
        <v>534</v>
      </c>
      <c r="K128" s="1" t="s">
        <v>535</v>
      </c>
      <c r="L128" s="1" t="s">
        <v>536</v>
      </c>
      <c r="M128" s="1" t="s">
        <v>537</v>
      </c>
      <c r="N128" s="1">
        <v>0.0</v>
      </c>
      <c r="O128" s="1">
        <v>145.5</v>
      </c>
      <c r="P128" s="1">
        <v>0.0</v>
      </c>
      <c r="Q128" s="1">
        <v>0.0</v>
      </c>
      <c r="R128" s="1">
        <v>0.0</v>
      </c>
      <c r="S128" s="1" t="s">
        <v>538</v>
      </c>
      <c r="T128" s="1" t="s">
        <v>539</v>
      </c>
      <c r="V128" s="4">
        <v>7243328.0</v>
      </c>
      <c r="W128" s="4"/>
      <c r="X128" s="4">
        <v>0.0</v>
      </c>
      <c r="Y128" s="1">
        <v>0.0</v>
      </c>
      <c r="Z128" s="1">
        <v>1.0</v>
      </c>
      <c r="AA128" s="1">
        <v>0.0</v>
      </c>
      <c r="AB128" s="1">
        <v>0.0</v>
      </c>
      <c r="AC128" s="1">
        <v>0.0</v>
      </c>
      <c r="AD128" s="1">
        <v>0.0</v>
      </c>
      <c r="AE128" s="1">
        <v>0.0</v>
      </c>
      <c r="AF128" s="1">
        <v>0.0</v>
      </c>
      <c r="AG128" s="1">
        <v>0.0</v>
      </c>
      <c r="AH128" s="1">
        <v>0.0</v>
      </c>
      <c r="AI128" s="1">
        <v>0.0</v>
      </c>
      <c r="AJ128" s="1">
        <v>0.0</v>
      </c>
      <c r="AK128" s="1">
        <v>0.0</v>
      </c>
      <c r="AL128" s="1">
        <v>0.0</v>
      </c>
      <c r="AM128" s="4">
        <v>0.0</v>
      </c>
      <c r="AN128" s="1">
        <v>0.0</v>
      </c>
      <c r="AO128" s="4">
        <v>0.0</v>
      </c>
      <c r="AP128" s="1">
        <f t="shared" si="1"/>
        <v>0</v>
      </c>
      <c r="AQ128" s="1" t="s">
        <v>754</v>
      </c>
      <c r="AU128" s="2">
        <v>45996.0</v>
      </c>
      <c r="AV128" s="2">
        <v>46024.0375</v>
      </c>
      <c r="AW128" s="1">
        <v>4.0</v>
      </c>
      <c r="AX128" s="1">
        <v>221542.32</v>
      </c>
      <c r="AY128" s="1">
        <v>356.0</v>
      </c>
      <c r="AZ128" s="1">
        <v>2.0</v>
      </c>
      <c r="BA128" s="1">
        <v>0.0</v>
      </c>
      <c r="BB128" s="1">
        <v>1.0</v>
      </c>
      <c r="BC128" s="2">
        <v>45996.0</v>
      </c>
      <c r="BD128" s="1">
        <v>48.0</v>
      </c>
      <c r="BE128" s="1" t="s">
        <v>550</v>
      </c>
      <c r="BF128" s="1">
        <v>2025.0</v>
      </c>
      <c r="BG128" s="1" t="s">
        <v>755</v>
      </c>
      <c r="BH128" s="7" t="str">
        <f>VLOOKUP(B128,CookieClicks!D:O,12,FALSE)</f>
        <v>https://signup.method.me/QBOAppstoreSignup?offering=methodcrm</v>
      </c>
      <c r="BI128" s="8" t="str">
        <f>IFERROR(__xludf.DUMMYFUNCTION("VLOOKUP(REGEXREPLACE(BH128,""[?].*"",""""),ContentBuckets!A:C,2,FALSE)"),"#N/A")</f>
        <v>#N/A</v>
      </c>
      <c r="BJ128" s="8" t="str">
        <f>IFERROR(__xludf.DUMMYFUNCTION("VLOOKUP(REGEXREPLACE(BH128,""[?].*"",""""),ContentBuckets!A:C,3,FALSE)"),"#N/A")</f>
        <v>#N/A</v>
      </c>
    </row>
    <row r="129" ht="14.25" customHeight="1">
      <c r="A129" s="1">
        <v>153273.0</v>
      </c>
      <c r="B129" s="1" t="s">
        <v>756</v>
      </c>
      <c r="C129" s="2">
        <v>45996.4888888889</v>
      </c>
      <c r="D129" s="2"/>
      <c r="E129" s="2"/>
      <c r="F129" s="1" t="b">
        <v>1</v>
      </c>
      <c r="G129" s="4" t="b">
        <v>0</v>
      </c>
      <c r="H129" s="1" t="b">
        <v>0</v>
      </c>
      <c r="I129" s="1" t="b">
        <v>0</v>
      </c>
      <c r="J129" s="1" t="s">
        <v>534</v>
      </c>
      <c r="K129" s="1" t="s">
        <v>535</v>
      </c>
      <c r="L129" s="1" t="s">
        <v>536</v>
      </c>
      <c r="M129" s="1" t="s">
        <v>537</v>
      </c>
      <c r="N129" s="1">
        <v>0.0</v>
      </c>
      <c r="O129" s="1">
        <v>62.25</v>
      </c>
      <c r="P129" s="1">
        <v>0.0</v>
      </c>
      <c r="Q129" s="1">
        <v>0.0</v>
      </c>
      <c r="R129" s="1">
        <v>0.0</v>
      </c>
      <c r="S129" s="1" t="s">
        <v>538</v>
      </c>
      <c r="T129" s="1" t="s">
        <v>539</v>
      </c>
      <c r="V129" s="4">
        <v>7244129.0</v>
      </c>
      <c r="W129" s="4"/>
      <c r="X129" s="4">
        <v>1.0</v>
      </c>
      <c r="Y129" s="1">
        <v>0.0</v>
      </c>
      <c r="Z129" s="1">
        <v>0.0</v>
      </c>
      <c r="AA129" s="1">
        <v>0.0</v>
      </c>
      <c r="AB129" s="1">
        <v>0.0</v>
      </c>
      <c r="AC129" s="1">
        <v>0.0</v>
      </c>
      <c r="AD129" s="1">
        <v>0.0</v>
      </c>
      <c r="AE129" s="1">
        <v>0.0</v>
      </c>
      <c r="AF129" s="1">
        <v>0.0</v>
      </c>
      <c r="AG129" s="1">
        <v>0.0</v>
      </c>
      <c r="AH129" s="1">
        <v>0.0</v>
      </c>
      <c r="AI129" s="1">
        <v>0.0</v>
      </c>
      <c r="AJ129" s="1">
        <v>0.0</v>
      </c>
      <c r="AK129" s="1">
        <v>0.0</v>
      </c>
      <c r="AL129" s="1">
        <v>0.0</v>
      </c>
      <c r="AM129" s="4">
        <v>0.0</v>
      </c>
      <c r="AN129" s="1">
        <v>0.0</v>
      </c>
      <c r="AO129" s="4">
        <v>0.0</v>
      </c>
      <c r="AP129" s="1">
        <f t="shared" si="1"/>
        <v>0</v>
      </c>
      <c r="AQ129" s="1" t="s">
        <v>557</v>
      </c>
      <c r="AT129" s="1" t="s">
        <v>757</v>
      </c>
      <c r="AU129" s="2">
        <v>45996.0</v>
      </c>
      <c r="AV129" s="2">
        <v>46024.0118055556</v>
      </c>
      <c r="AW129" s="1">
        <v>0.0</v>
      </c>
      <c r="AX129" s="1">
        <v>78029.76</v>
      </c>
      <c r="AY129" s="1">
        <v>35.0</v>
      </c>
      <c r="AZ129" s="1">
        <v>1.0</v>
      </c>
      <c r="BA129" s="1">
        <v>0.0</v>
      </c>
      <c r="BB129" s="1">
        <v>0.0</v>
      </c>
      <c r="BC129" s="2">
        <v>45996.0</v>
      </c>
      <c r="BD129" s="1">
        <v>48.0</v>
      </c>
      <c r="BE129" s="1" t="s">
        <v>550</v>
      </c>
      <c r="BF129" s="1">
        <v>2025.0</v>
      </c>
      <c r="BG129" s="1" t="s">
        <v>558</v>
      </c>
      <c r="BH129" s="7" t="str">
        <f>VLOOKUP(B129,CookieClicks!D:O,12,FALSE)</f>
        <v>https://www.method.me/blog/electronic-signature-quickbooks-online-capture/</v>
      </c>
      <c r="BI129" s="8" t="str">
        <f>IFERROR(__xludf.DUMMYFUNCTION("VLOOKUP(REGEXREPLACE(BH129,""[?].*"",""""),ContentBuckets!A:C,2,FALSE)"),"QuickBooks - How-to")</f>
        <v>QuickBooks - How-to</v>
      </c>
      <c r="BJ129" s="8" t="str">
        <f>IFERROR(__xludf.DUMMYFUNCTION("VLOOKUP(REGEXREPLACE(BH129,""[?].*"",""""),ContentBuckets!A:C,3,FALSE)"),"Blog")</f>
        <v>Blog</v>
      </c>
    </row>
    <row r="130" ht="14.25" customHeight="1">
      <c r="A130" s="1">
        <v>153274.0</v>
      </c>
      <c r="B130" s="1" t="s">
        <v>758</v>
      </c>
      <c r="C130" s="2">
        <v>45996.5027777778</v>
      </c>
      <c r="D130" s="2"/>
      <c r="E130" s="2">
        <v>46006.6125</v>
      </c>
      <c r="F130" s="1" t="b">
        <v>1</v>
      </c>
      <c r="G130" s="4" t="b">
        <v>0</v>
      </c>
      <c r="H130" s="1" t="b">
        <v>0</v>
      </c>
      <c r="I130" s="1" t="b">
        <v>0</v>
      </c>
      <c r="J130" s="1" t="s">
        <v>601</v>
      </c>
      <c r="K130" s="1" t="s">
        <v>535</v>
      </c>
      <c r="L130" s="1" t="s">
        <v>536</v>
      </c>
      <c r="M130" s="1" t="s">
        <v>537</v>
      </c>
      <c r="N130" s="1">
        <v>431.2</v>
      </c>
      <c r="O130" s="1">
        <v>118.0</v>
      </c>
      <c r="P130" s="1">
        <v>0.0</v>
      </c>
      <c r="Q130" s="1">
        <v>77.5</v>
      </c>
      <c r="R130" s="1">
        <v>28.0</v>
      </c>
      <c r="T130" s="1" t="s">
        <v>539</v>
      </c>
      <c r="V130" s="4">
        <v>7243458.0</v>
      </c>
      <c r="W130" s="4" t="s">
        <v>653</v>
      </c>
      <c r="X130" s="4">
        <v>0.0</v>
      </c>
      <c r="Y130" s="1">
        <v>1.0</v>
      </c>
      <c r="Z130" s="1">
        <v>0.0</v>
      </c>
      <c r="AA130" s="1">
        <v>0.0</v>
      </c>
      <c r="AB130" s="1">
        <v>0.0</v>
      </c>
      <c r="AC130" s="1">
        <v>0.0</v>
      </c>
      <c r="AD130" s="1">
        <v>0.0</v>
      </c>
      <c r="AE130" s="1">
        <v>0.0</v>
      </c>
      <c r="AF130" s="1">
        <v>0.0</v>
      </c>
      <c r="AG130" s="1">
        <v>0.0</v>
      </c>
      <c r="AH130" s="1">
        <v>0.0</v>
      </c>
      <c r="AI130" s="1">
        <v>0.0</v>
      </c>
      <c r="AJ130" s="1">
        <v>0.0</v>
      </c>
      <c r="AK130" s="1">
        <v>0.0</v>
      </c>
      <c r="AL130" s="1">
        <v>0.0</v>
      </c>
      <c r="AM130" s="4">
        <v>0.0</v>
      </c>
      <c r="AN130" s="1">
        <v>0.0</v>
      </c>
      <c r="AO130" s="4">
        <v>0.0</v>
      </c>
      <c r="AP130" s="1">
        <f t="shared" si="1"/>
        <v>0</v>
      </c>
      <c r="AQ130" s="1" t="s">
        <v>557</v>
      </c>
      <c r="AR130" s="1" t="s">
        <v>578</v>
      </c>
      <c r="AU130" s="2">
        <v>45996.0</v>
      </c>
      <c r="AV130" s="2">
        <v>46024.0430555556</v>
      </c>
      <c r="AW130" s="1">
        <v>54.0</v>
      </c>
      <c r="AX130" s="1">
        <v>2664641.4</v>
      </c>
      <c r="AY130" s="1">
        <v>437.0</v>
      </c>
      <c r="AZ130" s="1">
        <v>2.0</v>
      </c>
      <c r="BA130" s="1">
        <v>0.0</v>
      </c>
      <c r="BB130" s="1">
        <v>2.0</v>
      </c>
      <c r="BC130" s="2">
        <v>45996.0</v>
      </c>
      <c r="BD130" s="1">
        <v>48.0</v>
      </c>
      <c r="BE130" s="1" t="s">
        <v>550</v>
      </c>
      <c r="BF130" s="1">
        <v>2025.0</v>
      </c>
      <c r="BG130" s="1" t="s">
        <v>558</v>
      </c>
      <c r="BH130" s="7" t="str">
        <f>VLOOKUP(B130,CookieClicks!D:O,12,FALSE)</f>
        <v>https://www.method.me/</v>
      </c>
      <c r="BI130" s="8" t="str">
        <f>IFERROR(__xludf.DUMMYFUNCTION("VLOOKUP(REGEXREPLACE(BH130,""[?].*"",""""),ContentBuckets!A:C,2,FALSE)"),"Homepage")</f>
        <v>Homepage</v>
      </c>
      <c r="BJ130" s="8" t="str">
        <f>IFERROR(__xludf.DUMMYFUNCTION("VLOOKUP(REGEXREPLACE(BH130,""[?].*"",""""),ContentBuckets!A:C,3,FALSE)"),"Other page")</f>
        <v>Other page</v>
      </c>
    </row>
    <row r="131" ht="14.25" customHeight="1">
      <c r="A131" s="1">
        <v>153275.0</v>
      </c>
      <c r="B131" s="1" t="s">
        <v>759</v>
      </c>
      <c r="C131" s="2">
        <v>45996.5208333333</v>
      </c>
      <c r="D131" s="2"/>
      <c r="E131" s="2"/>
      <c r="F131" s="1" t="b">
        <v>1</v>
      </c>
      <c r="G131" s="4" t="b">
        <v>0</v>
      </c>
      <c r="H131" s="1" t="b">
        <v>0</v>
      </c>
      <c r="I131" s="1" t="b">
        <v>0</v>
      </c>
      <c r="J131" s="1" t="s">
        <v>534</v>
      </c>
      <c r="K131" s="1" t="s">
        <v>535</v>
      </c>
      <c r="L131" s="1" t="s">
        <v>536</v>
      </c>
      <c r="M131" s="1" t="s">
        <v>537</v>
      </c>
      <c r="N131" s="1">
        <v>0.0</v>
      </c>
      <c r="O131" s="1">
        <v>44.25</v>
      </c>
      <c r="P131" s="1">
        <v>0.0</v>
      </c>
      <c r="Q131" s="1">
        <v>0.0</v>
      </c>
      <c r="R131" s="1">
        <v>28.0</v>
      </c>
      <c r="S131" s="1" t="s">
        <v>538</v>
      </c>
      <c r="T131" s="1" t="s">
        <v>539</v>
      </c>
      <c r="V131" s="4">
        <v>7244418.0</v>
      </c>
      <c r="W131" s="4"/>
      <c r="X131" s="4">
        <v>1.0</v>
      </c>
      <c r="Y131" s="1">
        <v>0.0</v>
      </c>
      <c r="Z131" s="1">
        <v>0.0</v>
      </c>
      <c r="AA131" s="1">
        <v>0.0</v>
      </c>
      <c r="AB131" s="1">
        <v>0.0</v>
      </c>
      <c r="AC131" s="1">
        <v>0.0</v>
      </c>
      <c r="AD131" s="1">
        <v>0.0</v>
      </c>
      <c r="AE131" s="1">
        <v>0.0</v>
      </c>
      <c r="AF131" s="1">
        <v>0.0</v>
      </c>
      <c r="AG131" s="1">
        <v>0.0</v>
      </c>
      <c r="AH131" s="1">
        <v>0.0</v>
      </c>
      <c r="AI131" s="1">
        <v>0.0</v>
      </c>
      <c r="AJ131" s="1">
        <v>0.0</v>
      </c>
      <c r="AK131" s="1">
        <v>0.0</v>
      </c>
      <c r="AL131" s="1">
        <v>0.0</v>
      </c>
      <c r="AM131" s="4">
        <v>0.0</v>
      </c>
      <c r="AN131" s="1">
        <v>0.0</v>
      </c>
      <c r="AO131" s="4">
        <v>0.0</v>
      </c>
      <c r="AP131" s="1">
        <f t="shared" si="1"/>
        <v>0</v>
      </c>
      <c r="AQ131" s="1" t="s">
        <v>604</v>
      </c>
      <c r="AR131" s="1" t="s">
        <v>578</v>
      </c>
      <c r="AT131" s="1" t="s">
        <v>760</v>
      </c>
      <c r="AU131" s="2">
        <v>45996.0</v>
      </c>
      <c r="AV131" s="2">
        <v>46024.0027777778</v>
      </c>
      <c r="AW131" s="1">
        <v>1.0</v>
      </c>
      <c r="AX131" s="1">
        <v>87480.0</v>
      </c>
      <c r="AY131" s="1">
        <v>70.0</v>
      </c>
      <c r="AZ131" s="1">
        <v>1.0</v>
      </c>
      <c r="BA131" s="1">
        <v>0.0</v>
      </c>
      <c r="BB131" s="1">
        <v>0.0</v>
      </c>
      <c r="BC131" s="2">
        <v>45996.0</v>
      </c>
      <c r="BD131" s="1">
        <v>48.0</v>
      </c>
      <c r="BE131" s="1" t="s">
        <v>550</v>
      </c>
      <c r="BF131" s="1">
        <v>2025.0</v>
      </c>
      <c r="BG131" s="1" t="s">
        <v>605</v>
      </c>
      <c r="BH131" s="7" t="str">
        <f>VLOOKUP(B131,CookieClicks!D:O,12,FALSE)</f>
        <v>https://www.method.me/</v>
      </c>
      <c r="BI131" s="8" t="str">
        <f>IFERROR(__xludf.DUMMYFUNCTION("VLOOKUP(REGEXREPLACE(BH131,""[?].*"",""""),ContentBuckets!A:C,2,FALSE)"),"Homepage")</f>
        <v>Homepage</v>
      </c>
      <c r="BJ131" s="8" t="str">
        <f>IFERROR(__xludf.DUMMYFUNCTION("VLOOKUP(REGEXREPLACE(BH131,""[?].*"",""""),ContentBuckets!A:C,3,FALSE)"),"Other page")</f>
        <v>Other page</v>
      </c>
    </row>
    <row r="132" ht="14.25" customHeight="1">
      <c r="A132" s="1">
        <v>153276.0</v>
      </c>
      <c r="B132" s="1" t="s">
        <v>761</v>
      </c>
      <c r="C132" s="2">
        <v>45996.5208333333</v>
      </c>
      <c r="D132" s="2"/>
      <c r="E132" s="2"/>
      <c r="F132" s="1" t="b">
        <v>1</v>
      </c>
      <c r="G132" s="4" t="b">
        <v>0</v>
      </c>
      <c r="H132" s="1" t="b">
        <v>0</v>
      </c>
      <c r="I132" s="1" t="b">
        <v>0</v>
      </c>
      <c r="J132" s="1" t="s">
        <v>534</v>
      </c>
      <c r="K132" s="1" t="s">
        <v>553</v>
      </c>
      <c r="L132" s="1" t="s">
        <v>554</v>
      </c>
      <c r="M132" s="1" t="s">
        <v>537</v>
      </c>
      <c r="N132" s="1">
        <v>0.0</v>
      </c>
      <c r="O132" s="1">
        <v>44.25</v>
      </c>
      <c r="P132" s="1">
        <v>0.0</v>
      </c>
      <c r="Q132" s="1">
        <v>0.0</v>
      </c>
      <c r="R132" s="1">
        <v>0.0</v>
      </c>
      <c r="S132" s="1" t="s">
        <v>538</v>
      </c>
      <c r="T132" s="1" t="s">
        <v>539</v>
      </c>
      <c r="V132" s="4">
        <v>7244437.0</v>
      </c>
      <c r="W132" s="4" t="s">
        <v>540</v>
      </c>
      <c r="X132" s="4">
        <v>0.0</v>
      </c>
      <c r="Y132" s="1">
        <v>1.0</v>
      </c>
      <c r="Z132" s="1">
        <v>0.0</v>
      </c>
      <c r="AA132" s="1">
        <v>0.0</v>
      </c>
      <c r="AB132" s="1">
        <v>0.0</v>
      </c>
      <c r="AC132" s="1">
        <v>0.0</v>
      </c>
      <c r="AD132" s="1">
        <v>0.0</v>
      </c>
      <c r="AE132" s="1">
        <v>0.0</v>
      </c>
      <c r="AF132" s="1">
        <v>0.0</v>
      </c>
      <c r="AG132" s="1">
        <v>0.0</v>
      </c>
      <c r="AH132" s="1">
        <v>0.0</v>
      </c>
      <c r="AI132" s="1">
        <v>0.0</v>
      </c>
      <c r="AJ132" s="1">
        <v>0.0</v>
      </c>
      <c r="AK132" s="1">
        <v>0.0</v>
      </c>
      <c r="AL132" s="1">
        <v>0.0</v>
      </c>
      <c r="AM132" s="4">
        <v>0.0</v>
      </c>
      <c r="AN132" s="1">
        <v>0.0</v>
      </c>
      <c r="AO132" s="4">
        <v>0.0</v>
      </c>
      <c r="AP132" s="1">
        <f t="shared" si="1"/>
        <v>0</v>
      </c>
      <c r="AU132" s="2"/>
      <c r="AV132" s="2">
        <v>46024.0097222222</v>
      </c>
      <c r="AW132" s="1">
        <v>0.0</v>
      </c>
      <c r="AX132" s="1">
        <v>0.0</v>
      </c>
      <c r="AY132" s="1">
        <v>0.0</v>
      </c>
      <c r="AZ132" s="1">
        <v>1.0</v>
      </c>
      <c r="BA132" s="1">
        <v>0.0</v>
      </c>
      <c r="BB132" s="1">
        <v>0.0</v>
      </c>
      <c r="BC132" s="2">
        <v>45996.0</v>
      </c>
      <c r="BD132" s="1">
        <v>48.0</v>
      </c>
      <c r="BE132" s="1" t="s">
        <v>550</v>
      </c>
      <c r="BF132" s="1">
        <v>2025.0</v>
      </c>
      <c r="BG132" s="1" t="s">
        <v>558</v>
      </c>
      <c r="BH132" s="7" t="str">
        <f>VLOOKUP(B132,CookieClicks!D:O,12,FALSE)</f>
        <v>https://www.method.me/resources/auto-repair-work-order-template-download/</v>
      </c>
      <c r="BI132" s="8" t="str">
        <f>IFERROR(__xludf.DUMMYFUNCTION("VLOOKUP(REGEXREPLACE(BH132,""[?].*"",""""),ContentBuckets!A:C,2,FALSE)"),"Field services / Contractors")</f>
        <v>Field services / Contractors</v>
      </c>
      <c r="BJ132" s="8" t="str">
        <f>IFERROR(__xludf.DUMMYFUNCTION("VLOOKUP(REGEXREPLACE(BH132,""[?].*"",""""),ContentBuckets!A:C,3,FALSE)"),"Guide")</f>
        <v>Guide</v>
      </c>
    </row>
    <row r="133" ht="14.25" customHeight="1">
      <c r="A133" s="1">
        <v>153277.0</v>
      </c>
      <c r="B133" s="1" t="s">
        <v>762</v>
      </c>
      <c r="C133" s="2">
        <v>45996.5430555556</v>
      </c>
      <c r="D133" s="2">
        <v>46014.6208333333</v>
      </c>
      <c r="E133" s="2"/>
      <c r="F133" s="1" t="b">
        <v>0</v>
      </c>
      <c r="G133" s="4" t="b">
        <v>1</v>
      </c>
      <c r="H133" s="1" t="b">
        <v>0</v>
      </c>
      <c r="I133" s="1" t="b">
        <v>0</v>
      </c>
      <c r="J133" s="1" t="s">
        <v>534</v>
      </c>
      <c r="K133" s="1" t="s">
        <v>566</v>
      </c>
      <c r="L133" s="1" t="s">
        <v>567</v>
      </c>
      <c r="M133" s="1" t="s">
        <v>537</v>
      </c>
      <c r="N133" s="1">
        <v>0.0</v>
      </c>
      <c r="O133" s="1">
        <v>63.75</v>
      </c>
      <c r="P133" s="1">
        <v>0.0</v>
      </c>
      <c r="Q133" s="1">
        <v>0.0</v>
      </c>
      <c r="R133" s="1">
        <v>28.0</v>
      </c>
      <c r="S133" s="1" t="s">
        <v>538</v>
      </c>
      <c r="T133" s="1" t="s">
        <v>539</v>
      </c>
      <c r="V133" s="4">
        <v>7244725.0</v>
      </c>
      <c r="W133" s="4" t="s">
        <v>653</v>
      </c>
      <c r="X133" s="4">
        <v>0.0</v>
      </c>
      <c r="Y133" s="1">
        <v>1.0</v>
      </c>
      <c r="Z133" s="1">
        <v>0.0</v>
      </c>
      <c r="AA133" s="1">
        <v>0.0</v>
      </c>
      <c r="AB133" s="1">
        <v>0.0</v>
      </c>
      <c r="AC133" s="1">
        <v>0.0</v>
      </c>
      <c r="AD133" s="1">
        <v>0.0</v>
      </c>
      <c r="AE133" s="1">
        <v>0.0</v>
      </c>
      <c r="AF133" s="1">
        <v>0.0</v>
      </c>
      <c r="AG133" s="1">
        <v>0.0</v>
      </c>
      <c r="AH133" s="1">
        <v>0.0</v>
      </c>
      <c r="AI133" s="1">
        <v>0.0</v>
      </c>
      <c r="AJ133" s="1">
        <v>0.0</v>
      </c>
      <c r="AK133" s="1">
        <v>0.0</v>
      </c>
      <c r="AL133" s="1">
        <v>0.0</v>
      </c>
      <c r="AM133" s="4">
        <v>0.0</v>
      </c>
      <c r="AN133" s="1">
        <v>0.0</v>
      </c>
      <c r="AO133" s="4">
        <v>0.0</v>
      </c>
      <c r="AP133" s="1">
        <f t="shared" si="1"/>
        <v>0</v>
      </c>
      <c r="AQ133" s="1" t="s">
        <v>557</v>
      </c>
      <c r="AR133" s="1" t="s">
        <v>608</v>
      </c>
      <c r="AT133" s="1" t="s">
        <v>763</v>
      </c>
      <c r="AU133" s="2">
        <v>45996.0</v>
      </c>
      <c r="AV133" s="2">
        <v>46014.0222222222</v>
      </c>
      <c r="AW133" s="1">
        <v>1.0</v>
      </c>
      <c r="AX133" s="1">
        <v>0.0</v>
      </c>
      <c r="AY133" s="1">
        <v>1.0</v>
      </c>
      <c r="AZ133" s="1">
        <v>1.0</v>
      </c>
      <c r="BA133" s="1">
        <v>0.0</v>
      </c>
      <c r="BB133" s="1">
        <v>0.0</v>
      </c>
      <c r="BC133" s="2">
        <v>45996.0</v>
      </c>
      <c r="BD133" s="1">
        <v>48.0</v>
      </c>
      <c r="BE133" s="1" t="s">
        <v>550</v>
      </c>
      <c r="BF133" s="1">
        <v>2025.0</v>
      </c>
      <c r="BG133" s="1" t="s">
        <v>558</v>
      </c>
      <c r="BH133" s="7" t="str">
        <f>VLOOKUP(B133,CookieClicks!D:O,12,FALSE)</f>
        <v>http://signup.method.me/methodcrm</v>
      </c>
      <c r="BI133" s="8" t="str">
        <f>IFERROR(__xludf.DUMMYFUNCTION("VLOOKUP(REGEXREPLACE(BH133,""[?].*"",""""),ContentBuckets!A:C,2,FALSE)"),"#N/A")</f>
        <v>#N/A</v>
      </c>
      <c r="BJ133" s="8" t="str">
        <f>IFERROR(__xludf.DUMMYFUNCTION("VLOOKUP(REGEXREPLACE(BH133,""[?].*"",""""),ContentBuckets!A:C,3,FALSE)"),"#N/A")</f>
        <v>#N/A</v>
      </c>
    </row>
    <row r="134" ht="14.25" customHeight="1">
      <c r="A134" s="1">
        <v>153278.0</v>
      </c>
      <c r="B134" s="1" t="s">
        <v>764</v>
      </c>
      <c r="C134" s="2">
        <v>45996.5513888889</v>
      </c>
      <c r="D134" s="2"/>
      <c r="E134" s="2"/>
      <c r="F134" s="1" t="b">
        <v>1</v>
      </c>
      <c r="G134" s="4" t="b">
        <v>1</v>
      </c>
      <c r="H134" s="1" t="b">
        <v>0</v>
      </c>
      <c r="I134" s="1" t="b">
        <v>0</v>
      </c>
      <c r="J134" s="1" t="s">
        <v>534</v>
      </c>
      <c r="K134" s="1" t="s">
        <v>566</v>
      </c>
      <c r="L134" s="1" t="s">
        <v>567</v>
      </c>
      <c r="M134" s="1" t="s">
        <v>537</v>
      </c>
      <c r="N134" s="1">
        <v>0.0</v>
      </c>
      <c r="O134" s="1">
        <v>44.25</v>
      </c>
      <c r="P134" s="1">
        <v>0.0</v>
      </c>
      <c r="Q134" s="1">
        <v>0.0</v>
      </c>
      <c r="R134" s="1">
        <v>28.0</v>
      </c>
      <c r="S134" s="1" t="s">
        <v>538</v>
      </c>
      <c r="T134" s="1" t="s">
        <v>539</v>
      </c>
      <c r="V134" s="4">
        <v>7244822.0</v>
      </c>
      <c r="W134" s="4"/>
      <c r="X134" s="4">
        <v>1.0</v>
      </c>
      <c r="Y134" s="1">
        <v>0.0</v>
      </c>
      <c r="Z134" s="1">
        <v>0.0</v>
      </c>
      <c r="AA134" s="1">
        <v>0.0</v>
      </c>
      <c r="AB134" s="1">
        <v>0.0</v>
      </c>
      <c r="AC134" s="1">
        <v>0.0</v>
      </c>
      <c r="AD134" s="1">
        <v>0.0</v>
      </c>
      <c r="AE134" s="1">
        <v>0.0</v>
      </c>
      <c r="AF134" s="1">
        <v>0.0</v>
      </c>
      <c r="AG134" s="1">
        <v>0.0</v>
      </c>
      <c r="AH134" s="1">
        <v>0.0</v>
      </c>
      <c r="AI134" s="1">
        <v>0.0</v>
      </c>
      <c r="AJ134" s="1">
        <v>0.0</v>
      </c>
      <c r="AK134" s="1">
        <v>0.0</v>
      </c>
      <c r="AL134" s="1">
        <v>0.0</v>
      </c>
      <c r="AM134" s="4">
        <v>0.0</v>
      </c>
      <c r="AN134" s="1">
        <v>0.0</v>
      </c>
      <c r="AO134" s="4">
        <v>0.0</v>
      </c>
      <c r="AP134" s="1">
        <f t="shared" si="1"/>
        <v>0</v>
      </c>
      <c r="AR134" s="1" t="s">
        <v>608</v>
      </c>
      <c r="AT134" s="1" t="s">
        <v>763</v>
      </c>
      <c r="AU134" s="2"/>
      <c r="AV134" s="2">
        <v>46024.0284722222</v>
      </c>
      <c r="AW134" s="1">
        <v>0.0</v>
      </c>
      <c r="AX134" s="1">
        <v>0.0</v>
      </c>
      <c r="AY134" s="1">
        <v>0.0</v>
      </c>
      <c r="AZ134" s="1">
        <v>1.0</v>
      </c>
      <c r="BA134" s="1">
        <v>0.0</v>
      </c>
      <c r="BB134" s="1">
        <v>0.0</v>
      </c>
      <c r="BC134" s="2">
        <v>45996.0</v>
      </c>
      <c r="BD134" s="1">
        <v>48.0</v>
      </c>
      <c r="BE134" s="1" t="s">
        <v>550</v>
      </c>
      <c r="BF134" s="1">
        <v>2025.0</v>
      </c>
      <c r="BG134" s="1" t="s">
        <v>558</v>
      </c>
      <c r="BH134" s="7" t="str">
        <f>VLOOKUP(B134,CookieClicks!D:O,12,FALSE)</f>
        <v>http://signup.method.me/methodcrm</v>
      </c>
      <c r="BI134" s="8" t="str">
        <f>IFERROR(__xludf.DUMMYFUNCTION("VLOOKUP(REGEXREPLACE(BH134,""[?].*"",""""),ContentBuckets!A:C,2,FALSE)"),"#N/A")</f>
        <v>#N/A</v>
      </c>
      <c r="BJ134" s="8" t="str">
        <f>IFERROR(__xludf.DUMMYFUNCTION("VLOOKUP(REGEXREPLACE(BH134,""[?].*"",""""),ContentBuckets!A:C,3,FALSE)"),"#N/A")</f>
        <v>#N/A</v>
      </c>
    </row>
    <row r="135" ht="14.25" customHeight="1">
      <c r="A135" s="1">
        <v>153279.0</v>
      </c>
      <c r="B135" s="1" t="s">
        <v>765</v>
      </c>
      <c r="C135" s="2">
        <v>45996.5805555556</v>
      </c>
      <c r="D135" s="2">
        <v>46007.6770833333</v>
      </c>
      <c r="E135" s="2">
        <v>45998.4590277778</v>
      </c>
      <c r="F135" s="1" t="b">
        <v>0</v>
      </c>
      <c r="G135" s="4" t="b">
        <v>0</v>
      </c>
      <c r="H135" s="1" t="b">
        <v>0</v>
      </c>
      <c r="I135" s="1" t="b">
        <v>0</v>
      </c>
      <c r="J135" s="1" t="s">
        <v>534</v>
      </c>
      <c r="K135" s="1" t="s">
        <v>535</v>
      </c>
      <c r="L135" s="1" t="s">
        <v>536</v>
      </c>
      <c r="M135" s="1" t="s">
        <v>537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 t="s">
        <v>538</v>
      </c>
      <c r="T135" s="1" t="s">
        <v>725</v>
      </c>
      <c r="U135" s="1" t="s">
        <v>766</v>
      </c>
      <c r="V135" s="4">
        <v>6989049.0</v>
      </c>
      <c r="W135" s="4"/>
      <c r="X135" s="4">
        <v>0.0</v>
      </c>
      <c r="Y135" s="1">
        <v>0.0</v>
      </c>
      <c r="Z135" s="1">
        <v>0.0</v>
      </c>
      <c r="AA135" s="1">
        <v>0.0</v>
      </c>
      <c r="AB135" s="1">
        <v>1.0</v>
      </c>
      <c r="AC135" s="1">
        <v>0.0</v>
      </c>
      <c r="AD135" s="1">
        <v>0.0</v>
      </c>
      <c r="AE135" s="1">
        <v>0.0</v>
      </c>
      <c r="AF135" s="1">
        <v>0.0</v>
      </c>
      <c r="AG135" s="1">
        <v>0.0</v>
      </c>
      <c r="AH135" s="1">
        <v>0.0</v>
      </c>
      <c r="AI135" s="1">
        <v>0.0</v>
      </c>
      <c r="AJ135" s="1">
        <v>0.0</v>
      </c>
      <c r="AK135" s="1">
        <v>0.0</v>
      </c>
      <c r="AL135" s="1">
        <v>0.0</v>
      </c>
      <c r="AM135" s="4">
        <v>0.0</v>
      </c>
      <c r="AN135" s="1">
        <v>0.0</v>
      </c>
      <c r="AO135" s="4">
        <v>0.0</v>
      </c>
      <c r="AP135" s="1">
        <f t="shared" si="1"/>
        <v>0</v>
      </c>
      <c r="AQ135" s="1" t="s">
        <v>557</v>
      </c>
      <c r="AT135" s="1" t="s">
        <v>767</v>
      </c>
      <c r="AU135" s="2">
        <v>45996.0</v>
      </c>
      <c r="AV135" s="2">
        <v>46007.0326388889</v>
      </c>
      <c r="AW135" s="1">
        <v>0.0</v>
      </c>
      <c r="AX135" s="1">
        <v>0.0</v>
      </c>
      <c r="AY135" s="1">
        <v>0.0</v>
      </c>
      <c r="AZ135" s="1">
        <v>3.0</v>
      </c>
      <c r="BA135" s="1">
        <v>0.0</v>
      </c>
      <c r="BB135" s="1">
        <v>0.0</v>
      </c>
      <c r="BC135" s="2">
        <v>45996.0</v>
      </c>
      <c r="BD135" s="1">
        <v>48.0</v>
      </c>
      <c r="BE135" s="1" t="s">
        <v>550</v>
      </c>
      <c r="BF135" s="1">
        <v>2025.0</v>
      </c>
      <c r="BG135" s="1" t="s">
        <v>768</v>
      </c>
      <c r="BH135" s="7" t="str">
        <f>VLOOKUP(B135,CookieClicks!D:O,12,FALSE)</f>
        <v>https://www.method.me/</v>
      </c>
      <c r="BI135" s="8" t="str">
        <f>IFERROR(__xludf.DUMMYFUNCTION("VLOOKUP(REGEXREPLACE(BH135,""[?].*"",""""),ContentBuckets!A:C,2,FALSE)"),"Homepage")</f>
        <v>Homepage</v>
      </c>
      <c r="BJ135" s="8" t="str">
        <f>IFERROR(__xludf.DUMMYFUNCTION("VLOOKUP(REGEXREPLACE(BH135,""[?].*"",""""),ContentBuckets!A:C,3,FALSE)"),"Other page")</f>
        <v>Other page</v>
      </c>
    </row>
    <row r="136" ht="14.25" customHeight="1">
      <c r="A136" s="1">
        <v>153280.0</v>
      </c>
      <c r="B136" s="1" t="s">
        <v>769</v>
      </c>
      <c r="C136" s="2">
        <v>45996.6020833333</v>
      </c>
      <c r="D136" s="2"/>
      <c r="E136" s="2"/>
      <c r="F136" s="1" t="b">
        <v>1</v>
      </c>
      <c r="G136" s="4" t="b">
        <v>0</v>
      </c>
      <c r="H136" s="1" t="b">
        <v>0</v>
      </c>
      <c r="I136" s="1" t="b">
        <v>0</v>
      </c>
      <c r="J136" s="1" t="s">
        <v>534</v>
      </c>
      <c r="K136" s="1" t="s">
        <v>566</v>
      </c>
      <c r="L136" s="1" t="s">
        <v>567</v>
      </c>
      <c r="M136" s="1" t="s">
        <v>537</v>
      </c>
      <c r="N136" s="1">
        <v>0.0</v>
      </c>
      <c r="O136" s="1">
        <v>53.25</v>
      </c>
      <c r="P136" s="1">
        <v>0.0</v>
      </c>
      <c r="Q136" s="1">
        <v>0.0</v>
      </c>
      <c r="R136" s="1">
        <v>28.0</v>
      </c>
      <c r="S136" s="1" t="s">
        <v>538</v>
      </c>
      <c r="T136" s="1" t="s">
        <v>539</v>
      </c>
      <c r="V136" s="4">
        <v>7245281.0</v>
      </c>
      <c r="W136" s="4" t="s">
        <v>540</v>
      </c>
      <c r="X136" s="4">
        <v>0.0</v>
      </c>
      <c r="Y136" s="1">
        <v>1.0</v>
      </c>
      <c r="Z136" s="1">
        <v>0.0</v>
      </c>
      <c r="AA136" s="1">
        <v>0.0</v>
      </c>
      <c r="AB136" s="1">
        <v>0.0</v>
      </c>
      <c r="AC136" s="1">
        <v>0.0</v>
      </c>
      <c r="AD136" s="1">
        <v>0.0</v>
      </c>
      <c r="AE136" s="1">
        <v>0.0</v>
      </c>
      <c r="AF136" s="1">
        <v>0.0</v>
      </c>
      <c r="AG136" s="1">
        <v>0.0</v>
      </c>
      <c r="AH136" s="1">
        <v>0.0</v>
      </c>
      <c r="AI136" s="1">
        <v>0.0</v>
      </c>
      <c r="AJ136" s="1">
        <v>0.0</v>
      </c>
      <c r="AK136" s="1">
        <v>0.0</v>
      </c>
      <c r="AL136" s="1">
        <v>0.0</v>
      </c>
      <c r="AM136" s="4">
        <v>0.0</v>
      </c>
      <c r="AN136" s="1">
        <v>0.0</v>
      </c>
      <c r="AO136" s="4">
        <v>0.0</v>
      </c>
      <c r="AP136" s="1">
        <f t="shared" si="1"/>
        <v>0</v>
      </c>
      <c r="AR136" s="1" t="s">
        <v>571</v>
      </c>
      <c r="AU136" s="2"/>
      <c r="AV136" s="2">
        <v>46023.9972222222</v>
      </c>
      <c r="AW136" s="1">
        <v>0.0</v>
      </c>
      <c r="AX136" s="1">
        <v>0.0</v>
      </c>
      <c r="AY136" s="1">
        <v>0.0</v>
      </c>
      <c r="AZ136" s="1">
        <v>1.0</v>
      </c>
      <c r="BA136" s="1">
        <v>0.0</v>
      </c>
      <c r="BB136" s="1">
        <v>0.0</v>
      </c>
      <c r="BC136" s="2">
        <v>45996.0</v>
      </c>
      <c r="BD136" s="1">
        <v>48.0</v>
      </c>
      <c r="BE136" s="1" t="s">
        <v>550</v>
      </c>
      <c r="BF136" s="1">
        <v>2025.0</v>
      </c>
      <c r="BG136" s="1" t="s">
        <v>558</v>
      </c>
      <c r="BH136" s="7" t="str">
        <f>VLOOKUP(B136,CookieClicks!D:O,12,FALSE)</f>
        <v>https://www.method.me/</v>
      </c>
      <c r="BI136" s="8" t="str">
        <f>IFERROR(__xludf.DUMMYFUNCTION("VLOOKUP(REGEXREPLACE(BH136,""[?].*"",""""),ContentBuckets!A:C,2,FALSE)"),"Homepage")</f>
        <v>Homepage</v>
      </c>
      <c r="BJ136" s="8" t="str">
        <f>IFERROR(__xludf.DUMMYFUNCTION("VLOOKUP(REGEXREPLACE(BH136,""[?].*"",""""),ContentBuckets!A:C,3,FALSE)"),"Other page")</f>
        <v>Other page</v>
      </c>
    </row>
    <row r="137" ht="14.25" customHeight="1">
      <c r="A137" s="1">
        <v>153281.0</v>
      </c>
      <c r="B137" s="1" t="s">
        <v>770</v>
      </c>
      <c r="C137" s="2">
        <v>45996.65625</v>
      </c>
      <c r="D137" s="2">
        <v>45998.6756944444</v>
      </c>
      <c r="E137" s="2"/>
      <c r="F137" s="1" t="b">
        <v>0</v>
      </c>
      <c r="G137" s="4" t="b">
        <v>0</v>
      </c>
      <c r="H137" s="1" t="b">
        <v>0</v>
      </c>
      <c r="I137" s="1" t="b">
        <v>0</v>
      </c>
      <c r="J137" s="1" t="s">
        <v>534</v>
      </c>
      <c r="K137" s="1" t="s">
        <v>535</v>
      </c>
      <c r="L137" s="1" t="s">
        <v>536</v>
      </c>
      <c r="M137" s="1" t="s">
        <v>537</v>
      </c>
      <c r="N137" s="1">
        <v>0.0</v>
      </c>
      <c r="O137" s="1">
        <v>63.75</v>
      </c>
      <c r="P137" s="1">
        <v>0.0</v>
      </c>
      <c r="Q137" s="1">
        <v>0.0</v>
      </c>
      <c r="R137" s="1">
        <v>28.0</v>
      </c>
      <c r="S137" s="1" t="s">
        <v>538</v>
      </c>
      <c r="T137" s="1" t="s">
        <v>539</v>
      </c>
      <c r="V137" s="4">
        <v>7245932.0</v>
      </c>
      <c r="W137" s="4" t="s">
        <v>540</v>
      </c>
      <c r="X137" s="4">
        <v>0.0</v>
      </c>
      <c r="Y137" s="1">
        <v>1.0</v>
      </c>
      <c r="Z137" s="1">
        <v>0.0</v>
      </c>
      <c r="AA137" s="1">
        <v>0.0</v>
      </c>
      <c r="AB137" s="1">
        <v>0.0</v>
      </c>
      <c r="AC137" s="1">
        <v>0.0</v>
      </c>
      <c r="AD137" s="1">
        <v>0.0</v>
      </c>
      <c r="AE137" s="1">
        <v>0.0</v>
      </c>
      <c r="AF137" s="1">
        <v>0.0</v>
      </c>
      <c r="AG137" s="1">
        <v>0.0</v>
      </c>
      <c r="AH137" s="1">
        <v>0.0</v>
      </c>
      <c r="AI137" s="1">
        <v>0.0</v>
      </c>
      <c r="AJ137" s="1">
        <v>0.0</v>
      </c>
      <c r="AK137" s="1">
        <v>0.0</v>
      </c>
      <c r="AL137" s="1">
        <v>0.0</v>
      </c>
      <c r="AM137" s="4">
        <v>0.0</v>
      </c>
      <c r="AN137" s="1">
        <v>0.0</v>
      </c>
      <c r="AO137" s="4">
        <v>0.0</v>
      </c>
      <c r="AP137" s="1">
        <f t="shared" si="1"/>
        <v>0</v>
      </c>
      <c r="AQ137" s="1" t="s">
        <v>557</v>
      </c>
      <c r="AR137" s="1" t="s">
        <v>608</v>
      </c>
      <c r="AU137" s="2"/>
      <c r="AV137" s="2">
        <v>45997.99375</v>
      </c>
      <c r="AW137" s="1">
        <v>0.0</v>
      </c>
      <c r="AX137" s="1">
        <v>782532.0</v>
      </c>
      <c r="AY137" s="1">
        <v>1087.0</v>
      </c>
      <c r="AZ137" s="1">
        <v>1.0</v>
      </c>
      <c r="BA137" s="1">
        <v>0.0</v>
      </c>
      <c r="BB137" s="1">
        <v>0.0</v>
      </c>
      <c r="BC137" s="2">
        <v>45996.0</v>
      </c>
      <c r="BD137" s="1">
        <v>48.0</v>
      </c>
      <c r="BE137" s="1" t="s">
        <v>550</v>
      </c>
      <c r="BF137" s="1">
        <v>2025.0</v>
      </c>
      <c r="BG137" s="1" t="s">
        <v>558</v>
      </c>
      <c r="BH137" s="7" t="str">
        <f>VLOOKUP(B137,CookieClicks!D:O,12,FALSE)</f>
        <v>https://www.method.me/contact-us/?trc=180&amp;trk=contact-us&amp;trs=gmb-profile&amp;utm_source=seo&amp;utm_medium=google&amp;utm_campaign=my-business-profile</v>
      </c>
      <c r="BI137" s="8" t="str">
        <f>IFERROR(__xludf.DUMMYFUNCTION("VLOOKUP(REGEXREPLACE(BH137,""[?].*"",""""),ContentBuckets!A:C,2,FALSE)"),"Other page")</f>
        <v>Other page</v>
      </c>
      <c r="BJ137" s="8" t="str">
        <f>IFERROR(__xludf.DUMMYFUNCTION("VLOOKUP(REGEXREPLACE(BH137,""[?].*"",""""),ContentBuckets!A:C,3,FALSE)"),"Other page")</f>
        <v>Other page</v>
      </c>
    </row>
    <row r="138" ht="14.25" customHeight="1">
      <c r="A138" s="1">
        <v>153282.0</v>
      </c>
      <c r="B138" s="1" t="s">
        <v>771</v>
      </c>
      <c r="C138" s="2">
        <v>45996.6916666667</v>
      </c>
      <c r="D138" s="2"/>
      <c r="E138" s="2"/>
      <c r="F138" s="1" t="b">
        <v>1</v>
      </c>
      <c r="G138" s="4" t="b">
        <v>0</v>
      </c>
      <c r="H138" s="1" t="b">
        <v>0</v>
      </c>
      <c r="I138" s="1" t="b">
        <v>0</v>
      </c>
      <c r="J138" s="1" t="s">
        <v>534</v>
      </c>
      <c r="K138" s="1" t="s">
        <v>566</v>
      </c>
      <c r="L138" s="1" t="s">
        <v>567</v>
      </c>
      <c r="M138" s="1" t="s">
        <v>537</v>
      </c>
      <c r="N138" s="1">
        <v>0.0</v>
      </c>
      <c r="O138" s="1">
        <v>62.25</v>
      </c>
      <c r="P138" s="1">
        <v>0.0</v>
      </c>
      <c r="Q138" s="1">
        <v>0.0</v>
      </c>
      <c r="R138" s="1">
        <v>0.0</v>
      </c>
      <c r="S138" s="1" t="s">
        <v>538</v>
      </c>
      <c r="T138" s="1" t="s">
        <v>539</v>
      </c>
      <c r="V138" s="4">
        <v>7173666.0</v>
      </c>
      <c r="W138" s="4" t="s">
        <v>653</v>
      </c>
      <c r="X138" s="4">
        <v>0.0</v>
      </c>
      <c r="Y138" s="1">
        <v>1.0</v>
      </c>
      <c r="Z138" s="1">
        <v>0.0</v>
      </c>
      <c r="AA138" s="1">
        <v>0.0</v>
      </c>
      <c r="AB138" s="1">
        <v>0.0</v>
      </c>
      <c r="AC138" s="1">
        <v>0.0</v>
      </c>
      <c r="AD138" s="1">
        <v>0.0</v>
      </c>
      <c r="AE138" s="1">
        <v>0.0</v>
      </c>
      <c r="AF138" s="1">
        <v>0.0</v>
      </c>
      <c r="AG138" s="1">
        <v>0.0</v>
      </c>
      <c r="AH138" s="1">
        <v>0.0</v>
      </c>
      <c r="AI138" s="1">
        <v>0.0</v>
      </c>
      <c r="AJ138" s="1">
        <v>0.0</v>
      </c>
      <c r="AK138" s="1">
        <v>0.0</v>
      </c>
      <c r="AL138" s="1">
        <v>0.0</v>
      </c>
      <c r="AM138" s="4">
        <v>0.0</v>
      </c>
      <c r="AN138" s="1">
        <v>0.0</v>
      </c>
      <c r="AO138" s="4">
        <v>0.0</v>
      </c>
      <c r="AP138" s="1">
        <f t="shared" si="1"/>
        <v>0</v>
      </c>
      <c r="AU138" s="2"/>
      <c r="AV138" s="2">
        <v>46024.0319444444</v>
      </c>
      <c r="AW138" s="1">
        <v>0.0</v>
      </c>
      <c r="AX138" s="1">
        <v>0.0</v>
      </c>
      <c r="AY138" s="1">
        <v>0.0</v>
      </c>
      <c r="AZ138" s="1">
        <v>1.0</v>
      </c>
      <c r="BA138" s="1">
        <v>0.0</v>
      </c>
      <c r="BB138" s="1">
        <v>0.0</v>
      </c>
      <c r="BC138" s="2">
        <v>45996.0</v>
      </c>
      <c r="BD138" s="1">
        <v>48.0</v>
      </c>
      <c r="BE138" s="1" t="s">
        <v>550</v>
      </c>
      <c r="BF138" s="1">
        <v>2025.0</v>
      </c>
      <c r="BG138" s="1" t="s">
        <v>558</v>
      </c>
      <c r="BH138" s="7" t="str">
        <f>VLOOKUP(B138,CookieClicks!D:O,12,FALSE)</f>
        <v>https://www.method.me/crm-quickbooks/pricing/</v>
      </c>
      <c r="BI138" s="8" t="str">
        <f>IFERROR(__xludf.DUMMYFUNCTION("VLOOKUP(REGEXREPLACE(BH138,""[?].*"",""""),ContentBuckets!A:C,2,FALSE)"),"/crm-quickbooks/")</f>
        <v>/crm-quickbooks/</v>
      </c>
      <c r="BJ138" s="8" t="str">
        <f>IFERROR(__xludf.DUMMYFUNCTION("VLOOKUP(REGEXREPLACE(BH138,""[?].*"",""""),ContentBuckets!A:C,3,FALSE)"),"Other page")</f>
        <v>Other page</v>
      </c>
    </row>
    <row r="139" ht="14.25" customHeight="1">
      <c r="A139" s="1">
        <v>153283.0</v>
      </c>
      <c r="B139" s="1" t="s">
        <v>772</v>
      </c>
      <c r="C139" s="2">
        <v>45997.1694444444</v>
      </c>
      <c r="D139" s="2"/>
      <c r="E139" s="2"/>
      <c r="F139" s="1" t="b">
        <v>1</v>
      </c>
      <c r="G139" s="4" t="b">
        <v>0</v>
      </c>
      <c r="H139" s="1" t="b">
        <v>0</v>
      </c>
      <c r="I139" s="1" t="b">
        <v>0</v>
      </c>
      <c r="J139" s="1" t="s">
        <v>534</v>
      </c>
      <c r="K139" s="1" t="s">
        <v>535</v>
      </c>
      <c r="L139" s="1" t="s">
        <v>536</v>
      </c>
      <c r="M139" s="1" t="s">
        <v>537</v>
      </c>
      <c r="N139" s="1">
        <v>0.0</v>
      </c>
      <c r="O139" s="1">
        <v>44.25</v>
      </c>
      <c r="P139" s="1">
        <v>0.0</v>
      </c>
      <c r="Q139" s="1">
        <v>0.0</v>
      </c>
      <c r="R139" s="1">
        <v>0.0</v>
      </c>
      <c r="S139" s="1" t="s">
        <v>538</v>
      </c>
      <c r="T139" s="1" t="s">
        <v>539</v>
      </c>
      <c r="V139" s="4">
        <v>7250031.0</v>
      </c>
      <c r="W139" s="4"/>
      <c r="X139" s="4">
        <v>0.0</v>
      </c>
      <c r="Y139" s="1">
        <v>0.0</v>
      </c>
      <c r="Z139" s="1">
        <v>0.0</v>
      </c>
      <c r="AA139" s="1">
        <v>0.0</v>
      </c>
      <c r="AB139" s="1">
        <v>0.0</v>
      </c>
      <c r="AC139" s="1">
        <v>0.0</v>
      </c>
      <c r="AD139" s="1">
        <v>0.0</v>
      </c>
      <c r="AE139" s="1">
        <v>0.0</v>
      </c>
      <c r="AF139" s="1">
        <v>0.0</v>
      </c>
      <c r="AG139" s="1">
        <v>0.0</v>
      </c>
      <c r="AH139" s="1">
        <v>0.0</v>
      </c>
      <c r="AI139" s="1">
        <v>0.0</v>
      </c>
      <c r="AJ139" s="1">
        <v>0.0</v>
      </c>
      <c r="AK139" s="1">
        <v>0.0</v>
      </c>
      <c r="AL139" s="1">
        <v>0.0</v>
      </c>
      <c r="AM139" s="4">
        <v>0.0</v>
      </c>
      <c r="AN139" s="1">
        <v>0.0</v>
      </c>
      <c r="AO139" s="4">
        <v>0.0</v>
      </c>
      <c r="AP139" s="1">
        <f t="shared" si="1"/>
        <v>1</v>
      </c>
      <c r="AU139" s="2"/>
      <c r="AV139" s="2">
        <v>46024.0159722222</v>
      </c>
      <c r="AW139" s="1">
        <v>0.0</v>
      </c>
      <c r="AX139" s="1">
        <v>0.0</v>
      </c>
      <c r="AY139" s="1">
        <v>0.0</v>
      </c>
      <c r="AZ139" s="1">
        <v>1.0</v>
      </c>
      <c r="BA139" s="1">
        <v>0.0</v>
      </c>
      <c r="BB139" s="1">
        <v>0.0</v>
      </c>
      <c r="BC139" s="2">
        <v>45997.0</v>
      </c>
      <c r="BD139" s="1">
        <v>48.0</v>
      </c>
      <c r="BE139" s="1" t="s">
        <v>550</v>
      </c>
      <c r="BF139" s="1">
        <v>2025.0</v>
      </c>
      <c r="BG139" s="1" t="s">
        <v>773</v>
      </c>
      <c r="BH139" s="7" t="str">
        <f>VLOOKUP(B139,CookieClicks!D:O,12,FALSE)</f>
        <v>http://signup.method.me/methodcrm/?_gl=1*1jbvp5k*_gcl_au*NTc1NTM1MDk4LjE3MzkyODg4NjM.*_ga*OTU5MDkwMjUxLjE2Nzc1OTk2NTU.*_ga_L2HEZNW53E*MTc0MzQ3MDUwMC40LjEuMTc0MzQ3MDUyOC4zMi4wLjE3MDQ4NDc5MzM.&amp;_ga=2.199247150.1827644277.1743456497-959090251.1677599655</v>
      </c>
      <c r="BI139" s="8" t="str">
        <f>IFERROR(__xludf.DUMMYFUNCTION("VLOOKUP(REGEXREPLACE(BH139,""[?].*"",""""),ContentBuckets!A:C,2,FALSE)"),"#N/A")</f>
        <v>#N/A</v>
      </c>
      <c r="BJ139" s="8" t="str">
        <f>IFERROR(__xludf.DUMMYFUNCTION("VLOOKUP(REGEXREPLACE(BH139,""[?].*"",""""),ContentBuckets!A:C,3,FALSE)"),"#N/A")</f>
        <v>#N/A</v>
      </c>
    </row>
    <row r="140" ht="14.25" customHeight="1">
      <c r="A140" s="1">
        <v>153284.0</v>
      </c>
      <c r="B140" s="1" t="s">
        <v>774</v>
      </c>
      <c r="C140" s="2">
        <v>45997.5736111111</v>
      </c>
      <c r="D140" s="2"/>
      <c r="E140" s="2"/>
      <c r="F140" s="1" t="b">
        <v>1</v>
      </c>
      <c r="G140" s="4" t="b">
        <v>0</v>
      </c>
      <c r="H140" s="1" t="b">
        <v>0</v>
      </c>
      <c r="I140" s="1" t="b">
        <v>0</v>
      </c>
      <c r="J140" s="1" t="s">
        <v>534</v>
      </c>
      <c r="K140" s="1" t="s">
        <v>703</v>
      </c>
      <c r="L140" s="1" t="s">
        <v>536</v>
      </c>
      <c r="M140" s="1" t="s">
        <v>537</v>
      </c>
      <c r="N140" s="1">
        <v>0.0</v>
      </c>
      <c r="O140" s="1">
        <v>44.25</v>
      </c>
      <c r="P140" s="1">
        <v>0.0</v>
      </c>
      <c r="Q140" s="1">
        <v>0.0</v>
      </c>
      <c r="R140" s="1">
        <v>28.0</v>
      </c>
      <c r="S140" s="1" t="s">
        <v>538</v>
      </c>
      <c r="T140" s="1" t="s">
        <v>539</v>
      </c>
      <c r="V140" s="4">
        <v>7253089.0</v>
      </c>
      <c r="W140" s="4"/>
      <c r="X140" s="4">
        <v>0.0</v>
      </c>
      <c r="Y140" s="1">
        <v>0.0</v>
      </c>
      <c r="Z140" s="1">
        <v>0.0</v>
      </c>
      <c r="AA140" s="1">
        <v>1.0</v>
      </c>
      <c r="AB140" s="1">
        <v>0.0</v>
      </c>
      <c r="AC140" s="1">
        <v>0.0</v>
      </c>
      <c r="AD140" s="1">
        <v>0.0</v>
      </c>
      <c r="AE140" s="1">
        <v>0.0</v>
      </c>
      <c r="AF140" s="1">
        <v>0.0</v>
      </c>
      <c r="AG140" s="1">
        <v>0.0</v>
      </c>
      <c r="AH140" s="1">
        <v>0.0</v>
      </c>
      <c r="AI140" s="1">
        <v>0.0</v>
      </c>
      <c r="AJ140" s="1">
        <v>0.0</v>
      </c>
      <c r="AK140" s="1">
        <v>0.0</v>
      </c>
      <c r="AL140" s="1">
        <v>0.0</v>
      </c>
      <c r="AM140" s="4">
        <v>0.0</v>
      </c>
      <c r="AN140" s="1">
        <v>0.0</v>
      </c>
      <c r="AO140" s="4">
        <v>0.0</v>
      </c>
      <c r="AP140" s="1">
        <f t="shared" si="1"/>
        <v>0</v>
      </c>
      <c r="AQ140" s="1" t="s">
        <v>557</v>
      </c>
      <c r="AR140" s="1" t="s">
        <v>542</v>
      </c>
      <c r="AU140" s="2">
        <v>45997.0</v>
      </c>
      <c r="AV140" s="2">
        <v>46024.0034722222</v>
      </c>
      <c r="AW140" s="1">
        <v>0.0</v>
      </c>
      <c r="AX140" s="1">
        <v>12960.0</v>
      </c>
      <c r="AY140" s="1">
        <v>5.0</v>
      </c>
      <c r="AZ140" s="1">
        <v>1.0</v>
      </c>
      <c r="BA140" s="1">
        <v>0.0</v>
      </c>
      <c r="BB140" s="1">
        <v>0.0</v>
      </c>
      <c r="BC140" s="2">
        <v>45997.0</v>
      </c>
      <c r="BD140" s="1">
        <v>48.0</v>
      </c>
      <c r="BE140" s="1" t="s">
        <v>550</v>
      </c>
      <c r="BF140" s="1">
        <v>2025.0</v>
      </c>
      <c r="BG140" s="1" t="s">
        <v>558</v>
      </c>
      <c r="BH140" s="1" t="str">
        <f>VLOOKUP(B140,CookieClicks!D:O,12,FALSE)</f>
        <v>https://www.method.me/crm-quickbooks/job-scheduling-software/?trc=81&amp;trk=scheduling software that works with quickbooks&amp;trs=US-Scheduling&amp;campaignid=12406628869&amp;adgroupid=118144098717&amp;adid=500417359904&amp;gad_source=1&amp;gad_campaignid=12406628869&amp;gbraid=0AAAAAD3ItnZcRE1Y4MWdQKY24_nJcjH3j&amp;gclid=EAIaIQobChMI9KPu-c6pkQMV6U1HAR09fhtlEAAYAyAAEgLvWPD_BwE</v>
      </c>
      <c r="BI140" s="8" t="str">
        <f>IFERROR(__xludf.DUMMYFUNCTION("VLOOKUP(REGEXREPLACE(BH140,""[?].*"",""""),ContentBuckets!A:C,2,FALSE)"),"/crm-quickbooks/")</f>
        <v>/crm-quickbooks/</v>
      </c>
      <c r="BJ140" s="8" t="str">
        <f>IFERROR(__xludf.DUMMYFUNCTION("VLOOKUP(REGEXREPLACE(BH140,""[?].*"",""""),ContentBuckets!A:C,3,FALSE)"),"Other page")</f>
        <v>Other page</v>
      </c>
    </row>
    <row r="141" ht="14.25" customHeight="1">
      <c r="A141" s="1">
        <v>153285.0</v>
      </c>
      <c r="B141" s="1" t="s">
        <v>775</v>
      </c>
      <c r="C141" s="2">
        <v>45997.6770833333</v>
      </c>
      <c r="D141" s="2">
        <v>46000.4131944444</v>
      </c>
      <c r="E141" s="2"/>
      <c r="F141" s="1" t="b">
        <v>0</v>
      </c>
      <c r="G141" s="4" t="b">
        <v>1</v>
      </c>
      <c r="H141" s="1" t="b">
        <v>0</v>
      </c>
      <c r="I141" s="1" t="b">
        <v>0</v>
      </c>
      <c r="J141" s="1" t="s">
        <v>534</v>
      </c>
      <c r="K141" s="1" t="s">
        <v>553</v>
      </c>
      <c r="L141" s="1" t="s">
        <v>599</v>
      </c>
      <c r="M141" s="1" t="s">
        <v>537</v>
      </c>
      <c r="N141" s="1">
        <v>0.0</v>
      </c>
      <c r="O141" s="1">
        <v>44.25</v>
      </c>
      <c r="P141" s="1">
        <v>0.0</v>
      </c>
      <c r="Q141" s="1">
        <v>0.0</v>
      </c>
      <c r="R141" s="1">
        <v>0.0</v>
      </c>
      <c r="S141" s="1" t="s">
        <v>538</v>
      </c>
      <c r="T141" s="1" t="s">
        <v>539</v>
      </c>
      <c r="V141" s="4">
        <v>7254048.0</v>
      </c>
      <c r="W141" s="4" t="s">
        <v>540</v>
      </c>
      <c r="X141" s="4">
        <v>0.0</v>
      </c>
      <c r="Y141" s="1">
        <v>1.0</v>
      </c>
      <c r="Z141" s="1">
        <v>0.0</v>
      </c>
      <c r="AA141" s="1">
        <v>0.0</v>
      </c>
      <c r="AB141" s="1">
        <v>0.0</v>
      </c>
      <c r="AC141" s="1">
        <v>0.0</v>
      </c>
      <c r="AD141" s="1">
        <v>0.0</v>
      </c>
      <c r="AE141" s="1">
        <v>0.0</v>
      </c>
      <c r="AF141" s="1">
        <v>0.0</v>
      </c>
      <c r="AG141" s="1">
        <v>0.0</v>
      </c>
      <c r="AH141" s="1">
        <v>0.0</v>
      </c>
      <c r="AI141" s="1">
        <v>0.0</v>
      </c>
      <c r="AJ141" s="1">
        <v>0.0</v>
      </c>
      <c r="AK141" s="1">
        <v>0.0</v>
      </c>
      <c r="AL141" s="1">
        <v>0.0</v>
      </c>
      <c r="AM141" s="4">
        <v>0.0</v>
      </c>
      <c r="AN141" s="1">
        <v>0.0</v>
      </c>
      <c r="AO141" s="4">
        <v>0.0</v>
      </c>
      <c r="AP141" s="1">
        <f t="shared" si="1"/>
        <v>0</v>
      </c>
      <c r="AU141" s="2"/>
      <c r="AV141" s="2">
        <v>46000.0375</v>
      </c>
      <c r="AW141" s="1">
        <v>0.0</v>
      </c>
      <c r="AX141" s="1">
        <v>0.0</v>
      </c>
      <c r="AY141" s="1">
        <v>0.0</v>
      </c>
      <c r="AZ141" s="1">
        <v>1.0</v>
      </c>
      <c r="BA141" s="1">
        <v>0.0</v>
      </c>
      <c r="BB141" s="1">
        <v>0.0</v>
      </c>
      <c r="BC141" s="2">
        <v>45997.0</v>
      </c>
      <c r="BD141" s="1">
        <v>48.0</v>
      </c>
      <c r="BE141" s="1" t="s">
        <v>550</v>
      </c>
      <c r="BF141" s="1">
        <v>2025.0</v>
      </c>
      <c r="BG141" s="1" t="s">
        <v>558</v>
      </c>
      <c r="BH141" s="7" t="str">
        <f>VLOOKUP(B141,CookieClicks!D:O,12,FALSE)</f>
        <v>https://www.method.me/</v>
      </c>
      <c r="BI141" s="8" t="str">
        <f>IFERROR(__xludf.DUMMYFUNCTION("VLOOKUP(REGEXREPLACE(BH141,""[?].*"",""""),ContentBuckets!A:C,2,FALSE)"),"Homepage")</f>
        <v>Homepage</v>
      </c>
      <c r="BJ141" s="8" t="str">
        <f>IFERROR(__xludf.DUMMYFUNCTION("VLOOKUP(REGEXREPLACE(BH141,""[?].*"",""""),ContentBuckets!A:C,3,FALSE)"),"Other page")</f>
        <v>Other page</v>
      </c>
    </row>
    <row r="142" ht="14.25" customHeight="1">
      <c r="A142" s="1">
        <v>153286.0</v>
      </c>
      <c r="B142" s="1" t="s">
        <v>776</v>
      </c>
      <c r="C142" s="2">
        <v>45997.6784722222</v>
      </c>
      <c r="D142" s="2"/>
      <c r="E142" s="2"/>
      <c r="F142" s="1" t="b">
        <v>1</v>
      </c>
      <c r="G142" s="4" t="b">
        <v>0</v>
      </c>
      <c r="H142" s="1" t="b">
        <v>0</v>
      </c>
      <c r="I142" s="1" t="b">
        <v>0</v>
      </c>
      <c r="J142" s="1" t="s">
        <v>534</v>
      </c>
      <c r="K142" s="1" t="s">
        <v>553</v>
      </c>
      <c r="L142" s="1" t="s">
        <v>599</v>
      </c>
      <c r="M142" s="1" t="s">
        <v>537</v>
      </c>
      <c r="N142" s="1">
        <v>0.0</v>
      </c>
      <c r="O142" s="1">
        <v>44.25</v>
      </c>
      <c r="P142" s="1">
        <v>0.0</v>
      </c>
      <c r="Q142" s="1">
        <v>0.0</v>
      </c>
      <c r="R142" s="1">
        <v>0.0</v>
      </c>
      <c r="S142" s="1" t="s">
        <v>538</v>
      </c>
      <c r="T142" s="1" t="s">
        <v>539</v>
      </c>
      <c r="V142" s="4">
        <v>7254048.0</v>
      </c>
      <c r="W142" s="4" t="s">
        <v>540</v>
      </c>
      <c r="X142" s="4">
        <v>0.0</v>
      </c>
      <c r="Y142" s="1">
        <v>1.0</v>
      </c>
      <c r="Z142" s="1">
        <v>0.0</v>
      </c>
      <c r="AA142" s="1">
        <v>0.0</v>
      </c>
      <c r="AB142" s="1">
        <v>0.0</v>
      </c>
      <c r="AC142" s="1">
        <v>0.0</v>
      </c>
      <c r="AD142" s="1">
        <v>0.0</v>
      </c>
      <c r="AE142" s="1">
        <v>0.0</v>
      </c>
      <c r="AF142" s="1">
        <v>0.0</v>
      </c>
      <c r="AG142" s="1">
        <v>0.0</v>
      </c>
      <c r="AH142" s="1">
        <v>0.0</v>
      </c>
      <c r="AI142" s="1">
        <v>0.0</v>
      </c>
      <c r="AJ142" s="1">
        <v>0.0</v>
      </c>
      <c r="AK142" s="1">
        <v>0.0</v>
      </c>
      <c r="AL142" s="1">
        <v>0.0</v>
      </c>
      <c r="AM142" s="4">
        <v>0.0</v>
      </c>
      <c r="AN142" s="1">
        <v>0.0</v>
      </c>
      <c r="AO142" s="4">
        <v>0.0</v>
      </c>
      <c r="AP142" s="1">
        <f t="shared" si="1"/>
        <v>0</v>
      </c>
      <c r="AU142" s="2"/>
      <c r="AV142" s="2">
        <v>46024.0319444444</v>
      </c>
      <c r="AW142" s="1">
        <v>0.0</v>
      </c>
      <c r="AX142" s="1">
        <v>0.0</v>
      </c>
      <c r="AY142" s="1">
        <v>0.0</v>
      </c>
      <c r="AZ142" s="1">
        <v>1.0</v>
      </c>
      <c r="BA142" s="1">
        <v>0.0</v>
      </c>
      <c r="BB142" s="1">
        <v>0.0</v>
      </c>
      <c r="BC142" s="2">
        <v>45997.0</v>
      </c>
      <c r="BD142" s="1">
        <v>48.0</v>
      </c>
      <c r="BE142" s="1" t="s">
        <v>550</v>
      </c>
      <c r="BF142" s="1">
        <v>2025.0</v>
      </c>
      <c r="BG142" s="1" t="s">
        <v>558</v>
      </c>
      <c r="BH142" s="7" t="str">
        <f>VLOOKUP(B142,CookieClicks!D:O,12,FALSE)</f>
        <v>https://www.method.me/</v>
      </c>
      <c r="BI142" s="8" t="str">
        <f>IFERROR(__xludf.DUMMYFUNCTION("VLOOKUP(REGEXREPLACE(BH142,""[?].*"",""""),ContentBuckets!A:C,2,FALSE)"),"Homepage")</f>
        <v>Homepage</v>
      </c>
      <c r="BJ142" s="8" t="str">
        <f>IFERROR(__xludf.DUMMYFUNCTION("VLOOKUP(REGEXREPLACE(BH142,""[?].*"",""""),ContentBuckets!A:C,3,FALSE)"),"Other page")</f>
        <v>Other page</v>
      </c>
    </row>
    <row r="143" ht="14.25" customHeight="1">
      <c r="A143" s="1">
        <v>153287.0</v>
      </c>
      <c r="B143" s="1" t="s">
        <v>777</v>
      </c>
      <c r="C143" s="2">
        <v>45997.7888888889</v>
      </c>
      <c r="D143" s="2"/>
      <c r="E143" s="2">
        <v>46003.4291666667</v>
      </c>
      <c r="F143" s="1" t="b">
        <v>1</v>
      </c>
      <c r="G143" s="4" t="b">
        <v>0</v>
      </c>
      <c r="H143" s="1" t="b">
        <v>0</v>
      </c>
      <c r="I143" s="1" t="b">
        <v>0</v>
      </c>
      <c r="J143" s="1" t="s">
        <v>534</v>
      </c>
      <c r="K143" s="1" t="s">
        <v>535</v>
      </c>
      <c r="L143" s="1" t="s">
        <v>536</v>
      </c>
      <c r="M143" s="1" t="s">
        <v>537</v>
      </c>
      <c r="N143" s="1">
        <v>190.5</v>
      </c>
      <c r="O143" s="1">
        <v>164.25</v>
      </c>
      <c r="P143" s="1">
        <v>0.0</v>
      </c>
      <c r="Q143" s="1">
        <v>0.0</v>
      </c>
      <c r="R143" s="1">
        <v>28.0</v>
      </c>
      <c r="S143" s="1" t="s">
        <v>538</v>
      </c>
      <c r="T143" s="1" t="s">
        <v>539</v>
      </c>
      <c r="V143" s="4">
        <v>7255075.0</v>
      </c>
      <c r="W143" s="4" t="s">
        <v>540</v>
      </c>
      <c r="X143" s="4">
        <v>0.0</v>
      </c>
      <c r="Y143" s="1">
        <v>1.0</v>
      </c>
      <c r="Z143" s="1">
        <v>0.0</v>
      </c>
      <c r="AA143" s="1">
        <v>0.0</v>
      </c>
      <c r="AB143" s="1">
        <v>0.0</v>
      </c>
      <c r="AC143" s="1">
        <v>0.0</v>
      </c>
      <c r="AD143" s="1">
        <v>0.0</v>
      </c>
      <c r="AE143" s="1">
        <v>0.0</v>
      </c>
      <c r="AF143" s="1">
        <v>0.0</v>
      </c>
      <c r="AG143" s="1">
        <v>0.0</v>
      </c>
      <c r="AH143" s="1">
        <v>0.0</v>
      </c>
      <c r="AI143" s="1">
        <v>0.0</v>
      </c>
      <c r="AJ143" s="1">
        <v>0.0</v>
      </c>
      <c r="AK143" s="1">
        <v>0.0</v>
      </c>
      <c r="AL143" s="1">
        <v>0.0</v>
      </c>
      <c r="AM143" s="4">
        <v>0.0</v>
      </c>
      <c r="AN143" s="1">
        <v>0.0</v>
      </c>
      <c r="AO143" s="4">
        <v>0.0</v>
      </c>
      <c r="AP143" s="1">
        <f t="shared" si="1"/>
        <v>0</v>
      </c>
      <c r="AQ143" s="1" t="s">
        <v>541</v>
      </c>
      <c r="AR143" s="1" t="s">
        <v>571</v>
      </c>
      <c r="AT143" s="1" t="s">
        <v>778</v>
      </c>
      <c r="AU143" s="2">
        <v>45998.0</v>
      </c>
      <c r="AV143" s="2">
        <v>46024.0395833333</v>
      </c>
      <c r="AW143" s="1">
        <v>1.0</v>
      </c>
      <c r="AX143" s="1">
        <v>0.0</v>
      </c>
      <c r="AY143" s="1">
        <v>3.0</v>
      </c>
      <c r="AZ143" s="1">
        <v>4.0</v>
      </c>
      <c r="BA143" s="1">
        <v>0.0</v>
      </c>
      <c r="BB143" s="1">
        <v>1.0</v>
      </c>
      <c r="BC143" s="2">
        <v>45997.0</v>
      </c>
      <c r="BD143" s="1">
        <v>48.0</v>
      </c>
      <c r="BE143" s="1" t="s">
        <v>550</v>
      </c>
      <c r="BF143" s="1">
        <v>2025.0</v>
      </c>
      <c r="BG143" s="1" t="s">
        <v>546</v>
      </c>
      <c r="BH143" s="7" t="str">
        <f>VLOOKUP(B143,CookieClicks!D:O,12,FALSE)</f>
        <v>https://www.method.me/</v>
      </c>
      <c r="BI143" s="8" t="str">
        <f>IFERROR(__xludf.DUMMYFUNCTION("VLOOKUP(REGEXREPLACE(BH143,""[?].*"",""""),ContentBuckets!A:C,2,FALSE)"),"Homepage")</f>
        <v>Homepage</v>
      </c>
      <c r="BJ143" s="8" t="str">
        <f>IFERROR(__xludf.DUMMYFUNCTION("VLOOKUP(REGEXREPLACE(BH143,""[?].*"",""""),ContentBuckets!A:C,3,FALSE)"),"Other page")</f>
        <v>Other page</v>
      </c>
    </row>
    <row r="144" ht="14.25" customHeight="1">
      <c r="A144" s="1">
        <v>153288.0</v>
      </c>
      <c r="B144" s="1" t="s">
        <v>779</v>
      </c>
      <c r="C144" s="2">
        <v>45997.8583333333</v>
      </c>
      <c r="D144" s="2"/>
      <c r="E144" s="2"/>
      <c r="F144" s="1" t="b">
        <v>1</v>
      </c>
      <c r="G144" s="4" t="b">
        <v>0</v>
      </c>
      <c r="H144" s="1" t="b">
        <v>0</v>
      </c>
      <c r="I144" s="1" t="b">
        <v>0</v>
      </c>
      <c r="J144" s="1" t="s">
        <v>534</v>
      </c>
      <c r="K144" s="1" t="s">
        <v>535</v>
      </c>
      <c r="L144" s="1" t="s">
        <v>536</v>
      </c>
      <c r="M144" s="1" t="s">
        <v>537</v>
      </c>
      <c r="N144" s="1">
        <v>0.0</v>
      </c>
      <c r="O144" s="1">
        <v>109.5</v>
      </c>
      <c r="P144" s="1">
        <v>0.0</v>
      </c>
      <c r="Q144" s="1">
        <v>0.0</v>
      </c>
      <c r="R144" s="1">
        <v>28.0</v>
      </c>
      <c r="S144" s="1" t="s">
        <v>538</v>
      </c>
      <c r="T144" s="1" t="s">
        <v>539</v>
      </c>
      <c r="V144" s="4">
        <v>7255782.0</v>
      </c>
      <c r="W144" s="4"/>
      <c r="X144" s="4">
        <v>0.0</v>
      </c>
      <c r="Y144" s="1">
        <v>0.0</v>
      </c>
      <c r="Z144" s="1">
        <v>0.0</v>
      </c>
      <c r="AA144" s="1">
        <v>1.0</v>
      </c>
      <c r="AB144" s="1">
        <v>0.0</v>
      </c>
      <c r="AC144" s="1">
        <v>0.0</v>
      </c>
      <c r="AD144" s="1">
        <v>0.0</v>
      </c>
      <c r="AE144" s="1">
        <v>0.0</v>
      </c>
      <c r="AF144" s="1">
        <v>0.0</v>
      </c>
      <c r="AG144" s="1">
        <v>0.0</v>
      </c>
      <c r="AH144" s="1">
        <v>0.0</v>
      </c>
      <c r="AI144" s="1">
        <v>0.0</v>
      </c>
      <c r="AJ144" s="1">
        <v>0.0</v>
      </c>
      <c r="AK144" s="1">
        <v>0.0</v>
      </c>
      <c r="AL144" s="1">
        <v>0.0</v>
      </c>
      <c r="AM144" s="4">
        <v>0.0</v>
      </c>
      <c r="AN144" s="1">
        <v>0.0</v>
      </c>
      <c r="AO144" s="4">
        <v>0.0</v>
      </c>
      <c r="AP144" s="1">
        <f t="shared" si="1"/>
        <v>0</v>
      </c>
      <c r="AQ144" s="1" t="s">
        <v>557</v>
      </c>
      <c r="AR144" s="1" t="s">
        <v>549</v>
      </c>
      <c r="AT144" s="1" t="s">
        <v>780</v>
      </c>
      <c r="AU144" s="2">
        <v>45997.0</v>
      </c>
      <c r="AV144" s="2">
        <v>46024.0104166667</v>
      </c>
      <c r="AW144" s="1">
        <v>0.0</v>
      </c>
      <c r="AX144" s="1">
        <v>100510.08</v>
      </c>
      <c r="AY144" s="1">
        <v>13.0</v>
      </c>
      <c r="AZ144" s="1">
        <v>2.0</v>
      </c>
      <c r="BA144" s="1">
        <v>0.0</v>
      </c>
      <c r="BB144" s="1">
        <v>0.0</v>
      </c>
      <c r="BC144" s="2">
        <v>45997.0</v>
      </c>
      <c r="BD144" s="1">
        <v>48.0</v>
      </c>
      <c r="BE144" s="1" t="s">
        <v>550</v>
      </c>
      <c r="BF144" s="1">
        <v>2025.0</v>
      </c>
      <c r="BG144" s="1" t="s">
        <v>558</v>
      </c>
      <c r="BH144" s="7" t="str">
        <f>VLOOKUP(B144,CookieClicks!D:O,12,FALSE)</f>
        <v>https://grow.method.me/quickbooks-crm-fb/?trc=517&amp;trk=BOF&amp;trs=FB-Lookalike&amp;utm_source=Facebook&amp;utm_medium=PPC&amp;utm_campaign=Banner_trial&amp;fbclid=IwZXh0bgNhZW0BMABhZGlkAaspG7m7EGNzcnRjBmFwcF9pZAo2NjI4NTY4Mzc5AAEezpLOts8LrMZEL1ourUll5nPIK_bJvHoqI8b72uknZ0Vv4vJQqIlADICcKZU_aem_ZOYlwLhnevMHj0U2aOkrmA&amp;campaign_id=120213444289450307&amp;ad_id=120215433569050307&amp;utm_id=120213444289450307&amp;utm_content=120215433569050307&amp;utm_term=120215433408020307</v>
      </c>
      <c r="BI144" s="8" t="str">
        <f>IFERROR(__xludf.DUMMYFUNCTION("VLOOKUP(REGEXREPLACE(BH144,""[?].*"",""""),ContentBuckets!A:C,2,FALSE)"),"#N/A")</f>
        <v>#N/A</v>
      </c>
      <c r="BJ144" s="8" t="str">
        <f>IFERROR(__xludf.DUMMYFUNCTION("VLOOKUP(REGEXREPLACE(BH144,""[?].*"",""""),ContentBuckets!A:C,3,FALSE)"),"#N/A")</f>
        <v>#N/A</v>
      </c>
    </row>
    <row r="145" ht="14.25" customHeight="1">
      <c r="A145" s="1">
        <v>153289.0</v>
      </c>
      <c r="B145" s="1" t="s">
        <v>781</v>
      </c>
      <c r="C145" s="2">
        <v>45997.9208333333</v>
      </c>
      <c r="D145" s="2"/>
      <c r="E145" s="2">
        <v>46018.1534722222</v>
      </c>
      <c r="F145" s="1" t="b">
        <v>1</v>
      </c>
      <c r="G145" s="4" t="b">
        <v>0</v>
      </c>
      <c r="H145" s="1" t="b">
        <v>0</v>
      </c>
      <c r="I145" s="1" t="b">
        <v>0</v>
      </c>
      <c r="J145" s="1" t="s">
        <v>534</v>
      </c>
      <c r="K145" s="1" t="s">
        <v>535</v>
      </c>
      <c r="L145" s="1" t="s">
        <v>536</v>
      </c>
      <c r="M145" s="1" t="s">
        <v>537</v>
      </c>
      <c r="N145" s="1">
        <v>70.5</v>
      </c>
      <c r="O145" s="1">
        <v>70.5</v>
      </c>
      <c r="P145" s="1">
        <v>0.0</v>
      </c>
      <c r="Q145" s="1">
        <v>0.0</v>
      </c>
      <c r="R145" s="1">
        <v>28.0</v>
      </c>
      <c r="S145" s="1" t="s">
        <v>538</v>
      </c>
      <c r="T145" s="1" t="s">
        <v>539</v>
      </c>
      <c r="V145" s="4">
        <v>7256372.0</v>
      </c>
      <c r="W145" s="4" t="s">
        <v>540</v>
      </c>
      <c r="X145" s="4">
        <v>0.0</v>
      </c>
      <c r="Y145" s="1">
        <v>1.0</v>
      </c>
      <c r="Z145" s="1">
        <v>0.0</v>
      </c>
      <c r="AA145" s="1">
        <v>0.0</v>
      </c>
      <c r="AB145" s="1">
        <v>0.0</v>
      </c>
      <c r="AC145" s="1">
        <v>0.0</v>
      </c>
      <c r="AD145" s="1">
        <v>0.0</v>
      </c>
      <c r="AE145" s="1">
        <v>0.0</v>
      </c>
      <c r="AF145" s="1">
        <v>0.0</v>
      </c>
      <c r="AG145" s="1">
        <v>0.0</v>
      </c>
      <c r="AH145" s="1">
        <v>0.0</v>
      </c>
      <c r="AI145" s="1">
        <v>0.0</v>
      </c>
      <c r="AJ145" s="1">
        <v>0.0</v>
      </c>
      <c r="AK145" s="1">
        <v>0.0</v>
      </c>
      <c r="AL145" s="1">
        <v>0.0</v>
      </c>
      <c r="AM145" s="4">
        <v>0.0</v>
      </c>
      <c r="AN145" s="1">
        <v>0.0</v>
      </c>
      <c r="AO145" s="4">
        <v>0.0</v>
      </c>
      <c r="AP145" s="1">
        <f t="shared" si="1"/>
        <v>0</v>
      </c>
      <c r="AQ145" s="1" t="s">
        <v>557</v>
      </c>
      <c r="AR145" s="1" t="s">
        <v>564</v>
      </c>
      <c r="AT145" s="1" t="s">
        <v>782</v>
      </c>
      <c r="AU145" s="2">
        <v>45997.0</v>
      </c>
      <c r="AV145" s="2">
        <v>46024.0395833333</v>
      </c>
      <c r="AW145" s="1">
        <v>0.0</v>
      </c>
      <c r="AX145" s="1">
        <v>0.0</v>
      </c>
      <c r="AY145" s="1">
        <v>0.0</v>
      </c>
      <c r="AZ145" s="1">
        <v>2.0</v>
      </c>
      <c r="BA145" s="1">
        <v>0.0</v>
      </c>
      <c r="BB145" s="1">
        <v>0.0</v>
      </c>
      <c r="BC145" s="2">
        <v>45997.0</v>
      </c>
      <c r="BD145" s="1">
        <v>48.0</v>
      </c>
      <c r="BE145" s="1" t="s">
        <v>550</v>
      </c>
      <c r="BF145" s="1">
        <v>2025.0</v>
      </c>
      <c r="BG145" s="1" t="s">
        <v>558</v>
      </c>
      <c r="BH145" s="7" t="str">
        <f>VLOOKUP(B145,CookieClicks!D:O,12,FALSE)</f>
        <v>https://www.method.me/</v>
      </c>
      <c r="BI145" s="8" t="str">
        <f>IFERROR(__xludf.DUMMYFUNCTION("VLOOKUP(REGEXREPLACE(BH145,""[?].*"",""""),ContentBuckets!A:C,2,FALSE)"),"Homepage")</f>
        <v>Homepage</v>
      </c>
      <c r="BJ145" s="8" t="str">
        <f>IFERROR(__xludf.DUMMYFUNCTION("VLOOKUP(REGEXREPLACE(BH145,""[?].*"",""""),ContentBuckets!A:C,3,FALSE)"),"Other page")</f>
        <v>Other page</v>
      </c>
    </row>
    <row r="146" ht="14.25" customHeight="1">
      <c r="A146" s="1">
        <v>153290.0</v>
      </c>
      <c r="B146" s="1" t="s">
        <v>783</v>
      </c>
      <c r="C146" s="2">
        <v>45997.9347222222</v>
      </c>
      <c r="D146" s="2"/>
      <c r="E146" s="2"/>
      <c r="F146" s="1" t="b">
        <v>1</v>
      </c>
      <c r="G146" s="4" t="b">
        <v>0</v>
      </c>
      <c r="H146" s="1" t="b">
        <v>0</v>
      </c>
      <c r="I146" s="1" t="b">
        <v>0</v>
      </c>
      <c r="J146" s="1" t="s">
        <v>534</v>
      </c>
      <c r="K146" s="1" t="s">
        <v>535</v>
      </c>
      <c r="L146" s="1" t="s">
        <v>536</v>
      </c>
      <c r="M146" s="1" t="s">
        <v>537</v>
      </c>
      <c r="N146" s="1">
        <v>0.0</v>
      </c>
      <c r="O146" s="1">
        <v>63.75</v>
      </c>
      <c r="P146" s="1">
        <v>0.0</v>
      </c>
      <c r="Q146" s="1">
        <v>0.0</v>
      </c>
      <c r="R146" s="1">
        <v>28.0</v>
      </c>
      <c r="S146" s="1" t="s">
        <v>538</v>
      </c>
      <c r="T146" s="1" t="s">
        <v>539</v>
      </c>
      <c r="V146" s="4">
        <v>7256490.0</v>
      </c>
      <c r="W146" s="4"/>
      <c r="X146" s="4">
        <v>0.0</v>
      </c>
      <c r="Y146" s="1">
        <v>0.0</v>
      </c>
      <c r="Z146" s="1">
        <v>1.0</v>
      </c>
      <c r="AA146" s="1">
        <v>0.0</v>
      </c>
      <c r="AB146" s="1">
        <v>0.0</v>
      </c>
      <c r="AC146" s="1">
        <v>0.0</v>
      </c>
      <c r="AD146" s="1">
        <v>0.0</v>
      </c>
      <c r="AE146" s="1">
        <v>0.0</v>
      </c>
      <c r="AF146" s="1">
        <v>0.0</v>
      </c>
      <c r="AG146" s="1">
        <v>0.0</v>
      </c>
      <c r="AH146" s="1">
        <v>0.0</v>
      </c>
      <c r="AI146" s="1">
        <v>0.0</v>
      </c>
      <c r="AJ146" s="1">
        <v>0.0</v>
      </c>
      <c r="AK146" s="1">
        <v>0.0</v>
      </c>
      <c r="AL146" s="1">
        <v>0.0</v>
      </c>
      <c r="AM146" s="4">
        <v>0.0</v>
      </c>
      <c r="AN146" s="1">
        <v>0.0</v>
      </c>
      <c r="AO146" s="4">
        <v>0.0</v>
      </c>
      <c r="AP146" s="1">
        <f t="shared" si="1"/>
        <v>0</v>
      </c>
      <c r="AQ146" s="1" t="s">
        <v>557</v>
      </c>
      <c r="AR146" s="1" t="s">
        <v>608</v>
      </c>
      <c r="AU146" s="2">
        <v>45997.0</v>
      </c>
      <c r="AV146" s="2">
        <v>46023.98125</v>
      </c>
      <c r="AW146" s="1">
        <v>2.0</v>
      </c>
      <c r="AX146" s="1">
        <v>287958.0</v>
      </c>
      <c r="AY146" s="1">
        <v>51.0</v>
      </c>
      <c r="AZ146" s="1">
        <v>1.0</v>
      </c>
      <c r="BA146" s="1">
        <v>0.0</v>
      </c>
      <c r="BB146" s="1">
        <v>0.0</v>
      </c>
      <c r="BC146" s="2">
        <v>45997.0</v>
      </c>
      <c r="BD146" s="1">
        <v>48.0</v>
      </c>
      <c r="BE146" s="1" t="s">
        <v>550</v>
      </c>
      <c r="BF146" s="1">
        <v>2025.0</v>
      </c>
      <c r="BG146" s="1" t="s">
        <v>558</v>
      </c>
      <c r="BH146" s="7" t="str">
        <f>VLOOKUP(B146,CookieClicks!D:O,12,FALSE)</f>
        <v>https://signup.method.me/QBOAppstoreSignup?offering=methodcrm</v>
      </c>
      <c r="BI146" s="8" t="str">
        <f>IFERROR(__xludf.DUMMYFUNCTION("VLOOKUP(REGEXREPLACE(BH146,""[?].*"",""""),ContentBuckets!A:C,2,FALSE)"),"#N/A")</f>
        <v>#N/A</v>
      </c>
      <c r="BJ146" s="8" t="str">
        <f>IFERROR(__xludf.DUMMYFUNCTION("VLOOKUP(REGEXREPLACE(BH146,""[?].*"",""""),ContentBuckets!A:C,3,FALSE)"),"#N/A")</f>
        <v>#N/A</v>
      </c>
    </row>
    <row r="147" ht="14.25" customHeight="1">
      <c r="A147" s="1">
        <v>153291.0</v>
      </c>
      <c r="B147" s="1" t="s">
        <v>784</v>
      </c>
      <c r="C147" s="2">
        <v>45998.0423611111</v>
      </c>
      <c r="D147" s="2">
        <v>46015.4194444444</v>
      </c>
      <c r="E147" s="2"/>
      <c r="F147" s="1" t="b">
        <v>0</v>
      </c>
      <c r="G147" s="4" t="b">
        <v>0</v>
      </c>
      <c r="H147" s="1" t="b">
        <v>0</v>
      </c>
      <c r="I147" s="1" t="b">
        <v>0</v>
      </c>
      <c r="J147" s="1" t="s">
        <v>534</v>
      </c>
      <c r="K147" s="1" t="s">
        <v>703</v>
      </c>
      <c r="L147" s="1" t="s">
        <v>536</v>
      </c>
      <c r="M147" s="1" t="s">
        <v>537</v>
      </c>
      <c r="N147" s="1">
        <v>0.0</v>
      </c>
      <c r="O147" s="1">
        <v>44.25</v>
      </c>
      <c r="P147" s="1">
        <v>0.0</v>
      </c>
      <c r="Q147" s="1">
        <v>0.0</v>
      </c>
      <c r="R147" s="1">
        <v>0.0</v>
      </c>
      <c r="S147" s="1" t="s">
        <v>538</v>
      </c>
      <c r="T147" s="1" t="s">
        <v>539</v>
      </c>
      <c r="V147" s="4">
        <v>7257392.0</v>
      </c>
      <c r="W147" s="4"/>
      <c r="X147" s="4">
        <v>0.0</v>
      </c>
      <c r="Y147" s="1">
        <v>0.0</v>
      </c>
      <c r="Z147" s="1">
        <v>0.0</v>
      </c>
      <c r="AA147" s="1">
        <v>0.0</v>
      </c>
      <c r="AB147" s="1">
        <v>0.0</v>
      </c>
      <c r="AC147" s="1">
        <v>0.0</v>
      </c>
      <c r="AD147" s="1">
        <v>0.0</v>
      </c>
      <c r="AE147" s="1">
        <v>0.0</v>
      </c>
      <c r="AF147" s="1">
        <v>0.0</v>
      </c>
      <c r="AG147" s="1">
        <v>0.0</v>
      </c>
      <c r="AH147" s="1">
        <v>0.0</v>
      </c>
      <c r="AI147" s="1">
        <v>0.0</v>
      </c>
      <c r="AJ147" s="1">
        <v>0.0</v>
      </c>
      <c r="AK147" s="1">
        <v>0.0</v>
      </c>
      <c r="AL147" s="1">
        <v>0.0</v>
      </c>
      <c r="AM147" s="4">
        <v>0.0</v>
      </c>
      <c r="AN147" s="1">
        <v>0.0</v>
      </c>
      <c r="AO147" s="4">
        <v>0.0</v>
      </c>
      <c r="AP147" s="1">
        <f t="shared" si="1"/>
        <v>1</v>
      </c>
      <c r="AU147" s="2"/>
      <c r="AV147" s="2">
        <v>46014.9909722222</v>
      </c>
      <c r="AW147" s="1">
        <v>0.0</v>
      </c>
      <c r="AX147" s="1">
        <v>0.0</v>
      </c>
      <c r="AY147" s="1">
        <v>0.0</v>
      </c>
      <c r="AZ147" s="1">
        <v>1.0</v>
      </c>
      <c r="BA147" s="1">
        <v>0.0</v>
      </c>
      <c r="BB147" s="1">
        <v>0.0</v>
      </c>
      <c r="BC147" s="2">
        <v>45998.0</v>
      </c>
      <c r="BD147" s="1">
        <v>48.0</v>
      </c>
      <c r="BE147" s="1" t="s">
        <v>550</v>
      </c>
      <c r="BF147" s="1">
        <v>2025.0</v>
      </c>
      <c r="BG147" s="1" t="s">
        <v>558</v>
      </c>
      <c r="BH147" s="7" t="str">
        <f>VLOOKUP(B147,CookieClicks!D:O,12,FALSE)</f>
        <v>http://signup.method.me/fieldservices/</v>
      </c>
      <c r="BI147" s="8" t="str">
        <f>IFERROR(__xludf.DUMMYFUNCTION("VLOOKUP(REGEXREPLACE(BH147,""[?].*"",""""),ContentBuckets!A:C,2,FALSE)"),"#N/A")</f>
        <v>#N/A</v>
      </c>
      <c r="BJ147" s="8" t="str">
        <f>IFERROR(__xludf.DUMMYFUNCTION("VLOOKUP(REGEXREPLACE(BH147,""[?].*"",""""),ContentBuckets!A:C,3,FALSE)"),"#N/A")</f>
        <v>#N/A</v>
      </c>
    </row>
    <row r="148" ht="14.25" customHeight="1">
      <c r="A148" s="1">
        <v>153292.0</v>
      </c>
      <c r="B148" s="1" t="s">
        <v>785</v>
      </c>
      <c r="C148" s="2">
        <v>45998.1520833333</v>
      </c>
      <c r="D148" s="2"/>
      <c r="E148" s="2"/>
      <c r="F148" s="1" t="b">
        <v>1</v>
      </c>
      <c r="G148" s="4" t="b">
        <v>0</v>
      </c>
      <c r="H148" s="1" t="b">
        <v>0</v>
      </c>
      <c r="I148" s="1" t="b">
        <v>0</v>
      </c>
      <c r="J148" s="1" t="s">
        <v>534</v>
      </c>
      <c r="K148" s="1" t="s">
        <v>553</v>
      </c>
      <c r="L148" s="1" t="s">
        <v>599</v>
      </c>
      <c r="M148" s="1" t="s">
        <v>537</v>
      </c>
      <c r="N148" s="1">
        <v>0.0</v>
      </c>
      <c r="O148" s="1">
        <v>44.25</v>
      </c>
      <c r="P148" s="1">
        <v>0.0</v>
      </c>
      <c r="Q148" s="1">
        <v>0.0</v>
      </c>
      <c r="R148" s="1">
        <v>0.0</v>
      </c>
      <c r="S148" s="1" t="s">
        <v>538</v>
      </c>
      <c r="T148" s="1" t="s">
        <v>539</v>
      </c>
      <c r="V148" s="4">
        <v>7258384.0</v>
      </c>
      <c r="W148" s="4" t="s">
        <v>540</v>
      </c>
      <c r="X148" s="4">
        <v>0.0</v>
      </c>
      <c r="Y148" s="1">
        <v>1.0</v>
      </c>
      <c r="Z148" s="1">
        <v>0.0</v>
      </c>
      <c r="AA148" s="1">
        <v>0.0</v>
      </c>
      <c r="AB148" s="1">
        <v>0.0</v>
      </c>
      <c r="AC148" s="1">
        <v>0.0</v>
      </c>
      <c r="AD148" s="1">
        <v>0.0</v>
      </c>
      <c r="AE148" s="1">
        <v>0.0</v>
      </c>
      <c r="AF148" s="1">
        <v>0.0</v>
      </c>
      <c r="AG148" s="1">
        <v>0.0</v>
      </c>
      <c r="AH148" s="1">
        <v>0.0</v>
      </c>
      <c r="AI148" s="1">
        <v>0.0</v>
      </c>
      <c r="AJ148" s="1">
        <v>0.0</v>
      </c>
      <c r="AK148" s="1">
        <v>0.0</v>
      </c>
      <c r="AL148" s="1">
        <v>0.0</v>
      </c>
      <c r="AM148" s="4">
        <v>0.0</v>
      </c>
      <c r="AN148" s="1">
        <v>0.0</v>
      </c>
      <c r="AO148" s="4">
        <v>0.0</v>
      </c>
      <c r="AP148" s="1">
        <f t="shared" si="1"/>
        <v>0</v>
      </c>
      <c r="AU148" s="2"/>
      <c r="AV148" s="2">
        <v>46024.0027777778</v>
      </c>
      <c r="AW148" s="1">
        <v>0.0</v>
      </c>
      <c r="AX148" s="1">
        <v>0.0</v>
      </c>
      <c r="AY148" s="1">
        <v>0.0</v>
      </c>
      <c r="AZ148" s="1">
        <v>1.0</v>
      </c>
      <c r="BA148" s="1">
        <v>0.0</v>
      </c>
      <c r="BB148" s="1">
        <v>0.0</v>
      </c>
      <c r="BC148" s="2">
        <v>45998.0</v>
      </c>
      <c r="BD148" s="1">
        <v>48.0</v>
      </c>
      <c r="BE148" s="1" t="s">
        <v>550</v>
      </c>
      <c r="BF148" s="1">
        <v>2025.0</v>
      </c>
      <c r="BG148" s="1" t="s">
        <v>786</v>
      </c>
      <c r="BH148" s="7" t="str">
        <f>VLOOKUP(B148,CookieClicks!D:O,12,FALSE)</f>
        <v>https://www.method.me/features/gmail/</v>
      </c>
      <c r="BI148" s="8" t="str">
        <f>IFERROR(__xludf.DUMMYFUNCTION("VLOOKUP(REGEXREPLACE(BH148,""[?].*"",""""),ContentBuckets!A:C,2,FALSE)"),"Features page")</f>
        <v>Features page</v>
      </c>
      <c r="BJ148" s="8" t="str">
        <f>IFERROR(__xludf.DUMMYFUNCTION("VLOOKUP(REGEXREPLACE(BH148,""[?].*"",""""),ContentBuckets!A:C,3,FALSE)"),"Other page")</f>
        <v>Other page</v>
      </c>
    </row>
    <row r="149" ht="14.25" customHeight="1">
      <c r="A149" s="1">
        <v>153293.0</v>
      </c>
      <c r="B149" s="1" t="s">
        <v>787</v>
      </c>
      <c r="C149" s="2">
        <v>45998.2541666667</v>
      </c>
      <c r="D149" s="2"/>
      <c r="E149" s="2">
        <v>46003.6180555556</v>
      </c>
      <c r="F149" s="1" t="b">
        <v>1</v>
      </c>
      <c r="G149" s="4" t="b">
        <v>0</v>
      </c>
      <c r="H149" s="1" t="b">
        <v>0</v>
      </c>
      <c r="I149" s="1" t="b">
        <v>0</v>
      </c>
      <c r="J149" s="1" t="s">
        <v>534</v>
      </c>
      <c r="K149" s="1" t="s">
        <v>535</v>
      </c>
      <c r="L149" s="1" t="s">
        <v>536</v>
      </c>
      <c r="M149" s="1" t="s">
        <v>537</v>
      </c>
      <c r="N149" s="1">
        <v>121.0</v>
      </c>
      <c r="O149" s="1">
        <v>107.0</v>
      </c>
      <c r="P149" s="1">
        <v>930.0</v>
      </c>
      <c r="Q149" s="1">
        <v>930.0</v>
      </c>
      <c r="R149" s="1">
        <v>28.0</v>
      </c>
      <c r="S149" s="1" t="s">
        <v>538</v>
      </c>
      <c r="T149" s="1" t="s">
        <v>539</v>
      </c>
      <c r="V149" s="4">
        <v>7259314.0</v>
      </c>
      <c r="W149" s="4" t="s">
        <v>540</v>
      </c>
      <c r="X149" s="4">
        <v>0.0</v>
      </c>
      <c r="Y149" s="1">
        <v>1.0</v>
      </c>
      <c r="Z149" s="1">
        <v>0.0</v>
      </c>
      <c r="AA149" s="1">
        <v>0.0</v>
      </c>
      <c r="AB149" s="1">
        <v>0.0</v>
      </c>
      <c r="AC149" s="1">
        <v>0.0</v>
      </c>
      <c r="AD149" s="1">
        <v>0.0</v>
      </c>
      <c r="AE149" s="1">
        <v>0.0</v>
      </c>
      <c r="AF149" s="1">
        <v>0.0</v>
      </c>
      <c r="AG149" s="1">
        <v>0.0</v>
      </c>
      <c r="AH149" s="1">
        <v>0.0</v>
      </c>
      <c r="AI149" s="1">
        <v>0.0</v>
      </c>
      <c r="AJ149" s="1">
        <v>0.0</v>
      </c>
      <c r="AK149" s="1">
        <v>0.0</v>
      </c>
      <c r="AL149" s="1">
        <v>0.0</v>
      </c>
      <c r="AM149" s="4">
        <v>0.0</v>
      </c>
      <c r="AN149" s="1">
        <v>0.0</v>
      </c>
      <c r="AO149" s="4">
        <v>0.0</v>
      </c>
      <c r="AP149" s="1">
        <f t="shared" si="1"/>
        <v>0</v>
      </c>
      <c r="AQ149" s="1" t="s">
        <v>557</v>
      </c>
      <c r="AR149" s="1" t="s">
        <v>564</v>
      </c>
      <c r="AT149" s="1" t="s">
        <v>788</v>
      </c>
      <c r="AU149" s="2">
        <v>45998.0</v>
      </c>
      <c r="AV149" s="2">
        <v>46023.9826388889</v>
      </c>
      <c r="AW149" s="1">
        <v>0.0</v>
      </c>
      <c r="AX149" s="1">
        <v>811368.0</v>
      </c>
      <c r="AY149" s="1">
        <v>2135.0</v>
      </c>
      <c r="AZ149" s="1">
        <v>4.0</v>
      </c>
      <c r="BA149" s="1">
        <v>0.0</v>
      </c>
      <c r="BB149" s="1">
        <v>3.0</v>
      </c>
      <c r="BC149" s="2">
        <v>45998.0</v>
      </c>
      <c r="BD149" s="1">
        <v>48.0</v>
      </c>
      <c r="BE149" s="1" t="s">
        <v>550</v>
      </c>
      <c r="BF149" s="1">
        <v>2025.0</v>
      </c>
      <c r="BG149" s="1" t="s">
        <v>558</v>
      </c>
      <c r="BH149" s="7" t="str">
        <f>VLOOKUP(B149,CookieClicks!D:O,12,FALSE)</f>
        <v>https://www.method.me/</v>
      </c>
      <c r="BI149" s="8" t="str">
        <f>IFERROR(__xludf.DUMMYFUNCTION("VLOOKUP(REGEXREPLACE(BH149,""[?].*"",""""),ContentBuckets!A:C,2,FALSE)"),"Homepage")</f>
        <v>Homepage</v>
      </c>
      <c r="BJ149" s="8" t="str">
        <f>IFERROR(__xludf.DUMMYFUNCTION("VLOOKUP(REGEXREPLACE(BH149,""[?].*"",""""),ContentBuckets!A:C,3,FALSE)"),"Other page")</f>
        <v>Other page</v>
      </c>
    </row>
    <row r="150" ht="14.25" customHeight="1">
      <c r="A150" s="1">
        <v>153294.0</v>
      </c>
      <c r="B150" s="1" t="s">
        <v>789</v>
      </c>
      <c r="C150" s="2">
        <v>45998.4729166667</v>
      </c>
      <c r="D150" s="2">
        <v>46002.4923611111</v>
      </c>
      <c r="E150" s="2"/>
      <c r="F150" s="1" t="b">
        <v>0</v>
      </c>
      <c r="G150" s="4" t="b">
        <v>1</v>
      </c>
      <c r="H150" s="1" t="b">
        <v>0</v>
      </c>
      <c r="I150" s="1" t="b">
        <v>0</v>
      </c>
      <c r="J150" s="1" t="s">
        <v>534</v>
      </c>
      <c r="K150" s="1" t="s">
        <v>553</v>
      </c>
      <c r="L150" s="1" t="s">
        <v>554</v>
      </c>
      <c r="M150" s="1" t="s">
        <v>537</v>
      </c>
      <c r="N150" s="1">
        <v>0.0</v>
      </c>
      <c r="O150" s="1">
        <v>63.75</v>
      </c>
      <c r="P150" s="1">
        <v>0.0</v>
      </c>
      <c r="Q150" s="1">
        <v>0.0</v>
      </c>
      <c r="R150" s="1">
        <v>0.0</v>
      </c>
      <c r="S150" s="1" t="s">
        <v>538</v>
      </c>
      <c r="T150" s="1" t="s">
        <v>539</v>
      </c>
      <c r="V150" s="4">
        <v>7254761.0</v>
      </c>
      <c r="W150" s="4" t="s">
        <v>653</v>
      </c>
      <c r="X150" s="4">
        <v>0.0</v>
      </c>
      <c r="Y150" s="1">
        <v>0.5</v>
      </c>
      <c r="Z150" s="1">
        <v>0.0</v>
      </c>
      <c r="AA150" s="1">
        <v>0.5</v>
      </c>
      <c r="AB150" s="1">
        <v>0.0</v>
      </c>
      <c r="AC150" s="1">
        <v>0.0</v>
      </c>
      <c r="AD150" s="1">
        <v>0.0</v>
      </c>
      <c r="AE150" s="1">
        <v>0.0</v>
      </c>
      <c r="AF150" s="1">
        <v>0.0</v>
      </c>
      <c r="AG150" s="1">
        <v>0.0</v>
      </c>
      <c r="AH150" s="1">
        <v>0.0</v>
      </c>
      <c r="AI150" s="1">
        <v>0.0</v>
      </c>
      <c r="AJ150" s="1">
        <v>0.0</v>
      </c>
      <c r="AK150" s="1">
        <v>0.0</v>
      </c>
      <c r="AL150" s="1">
        <v>0.0</v>
      </c>
      <c r="AM150" s="4">
        <v>0.0</v>
      </c>
      <c r="AN150" s="1">
        <v>0.0</v>
      </c>
      <c r="AO150" s="4">
        <v>0.0</v>
      </c>
      <c r="AP150" s="1">
        <f t="shared" si="1"/>
        <v>0</v>
      </c>
      <c r="AU150" s="2"/>
      <c r="AV150" s="2">
        <v>46002.0076388889</v>
      </c>
      <c r="AW150" s="1">
        <v>0.0</v>
      </c>
      <c r="AX150" s="1">
        <v>0.0</v>
      </c>
      <c r="AY150" s="1">
        <v>0.0</v>
      </c>
      <c r="AZ150" s="1">
        <v>1.0</v>
      </c>
      <c r="BA150" s="1">
        <v>0.0</v>
      </c>
      <c r="BB150" s="1">
        <v>0.0</v>
      </c>
      <c r="BC150" s="2">
        <v>45998.0</v>
      </c>
      <c r="BD150" s="1">
        <v>48.0</v>
      </c>
      <c r="BE150" s="1" t="s">
        <v>550</v>
      </c>
      <c r="BF150" s="1">
        <v>2025.0</v>
      </c>
      <c r="BG150" s="1" t="s">
        <v>558</v>
      </c>
      <c r="BH150" s="7" t="str">
        <f>VLOOKUP(B150,CookieClicks!D:O,12,FALSE)</f>
        <v>https://www.method.me/crm-quickbooks/pricing/</v>
      </c>
      <c r="BI150" s="8" t="str">
        <f>IFERROR(__xludf.DUMMYFUNCTION("VLOOKUP(REGEXREPLACE(BH150,""[?].*"",""""),ContentBuckets!A:C,2,FALSE)"),"/crm-quickbooks/")</f>
        <v>/crm-quickbooks/</v>
      </c>
      <c r="BJ150" s="8" t="str">
        <f>IFERROR(__xludf.DUMMYFUNCTION("VLOOKUP(REGEXREPLACE(BH150,""[?].*"",""""),ContentBuckets!A:C,3,FALSE)"),"Other page")</f>
        <v>Other page</v>
      </c>
    </row>
    <row r="151" ht="14.25" customHeight="1">
      <c r="A151" s="1">
        <v>153295.0</v>
      </c>
      <c r="B151" s="1" t="s">
        <v>790</v>
      </c>
      <c r="C151" s="2">
        <v>45998.4826388889</v>
      </c>
      <c r="D151" s="2">
        <v>46013.50625</v>
      </c>
      <c r="E151" s="2"/>
      <c r="F151" s="1" t="b">
        <v>0</v>
      </c>
      <c r="G151" s="4" t="b">
        <v>1</v>
      </c>
      <c r="H151" s="1" t="b">
        <v>0</v>
      </c>
      <c r="I151" s="1" t="b">
        <v>0</v>
      </c>
      <c r="J151" s="1" t="s">
        <v>534</v>
      </c>
      <c r="K151" s="1" t="s">
        <v>535</v>
      </c>
      <c r="L151" s="1" t="s">
        <v>536</v>
      </c>
      <c r="M151" s="1" t="s">
        <v>537</v>
      </c>
      <c r="N151" s="1">
        <v>0.0</v>
      </c>
      <c r="O151" s="1">
        <v>44.25</v>
      </c>
      <c r="P151" s="1">
        <v>0.0</v>
      </c>
      <c r="Q151" s="1">
        <v>0.0</v>
      </c>
      <c r="R151" s="1">
        <v>0.0</v>
      </c>
      <c r="S151" s="1" t="s">
        <v>538</v>
      </c>
      <c r="T151" s="1" t="s">
        <v>539</v>
      </c>
      <c r="V151" s="4">
        <v>7261719.0</v>
      </c>
      <c r="W151" s="4"/>
      <c r="X151" s="4">
        <v>0.0</v>
      </c>
      <c r="Y151" s="1">
        <v>0.0</v>
      </c>
      <c r="Z151" s="1">
        <v>1.0</v>
      </c>
      <c r="AA151" s="1">
        <v>0.0</v>
      </c>
      <c r="AB151" s="1">
        <v>0.0</v>
      </c>
      <c r="AC151" s="1">
        <v>0.0</v>
      </c>
      <c r="AD151" s="1">
        <v>0.0</v>
      </c>
      <c r="AE151" s="1">
        <v>0.0</v>
      </c>
      <c r="AF151" s="1">
        <v>0.0</v>
      </c>
      <c r="AG151" s="1">
        <v>0.0</v>
      </c>
      <c r="AH151" s="1">
        <v>0.0</v>
      </c>
      <c r="AI151" s="1">
        <v>0.0</v>
      </c>
      <c r="AJ151" s="1">
        <v>0.0</v>
      </c>
      <c r="AK151" s="1">
        <v>0.0</v>
      </c>
      <c r="AL151" s="1">
        <v>0.0</v>
      </c>
      <c r="AM151" s="4">
        <v>0.0</v>
      </c>
      <c r="AN151" s="1">
        <v>0.0</v>
      </c>
      <c r="AO151" s="4">
        <v>0.0</v>
      </c>
      <c r="AP151" s="1">
        <f t="shared" si="1"/>
        <v>0</v>
      </c>
      <c r="AQ151" s="1" t="s">
        <v>791</v>
      </c>
      <c r="AU151" s="2">
        <v>45998.0</v>
      </c>
      <c r="AV151" s="2">
        <v>46013.0145833333</v>
      </c>
      <c r="AW151" s="1">
        <v>60.0</v>
      </c>
      <c r="AX151" s="1">
        <v>666732.0</v>
      </c>
      <c r="AY151" s="1">
        <v>2409.0</v>
      </c>
      <c r="AZ151" s="1">
        <v>1.0</v>
      </c>
      <c r="BA151" s="1">
        <v>0.0</v>
      </c>
      <c r="BB151" s="1">
        <v>0.0</v>
      </c>
      <c r="BC151" s="2">
        <v>45998.0</v>
      </c>
      <c r="BD151" s="1">
        <v>48.0</v>
      </c>
      <c r="BE151" s="1" t="s">
        <v>550</v>
      </c>
      <c r="BF151" s="1">
        <v>2025.0</v>
      </c>
      <c r="BG151" s="1" t="s">
        <v>792</v>
      </c>
      <c r="BH151" s="7" t="str">
        <f>VLOOKUP(B151,CookieClicks!D:O,12,FALSE)</f>
        <v>https://signin.method.me/accounts/identitynotfound?Code=nbP7Tcy7HKzSDTbQsHnHLMosJYCt9Xshv3NbD1m1EZodo7z2wiq%2FMpw5TjQuiNIpa8Y%2BIkgYcGFjC2259VLDZaS6bklzOw693gWe8I1w6%2FxE3ny6wnxa4ib5v2MstFoeFzVvZbTLNJtGLyiwUoac1lmiWzEPuwrsugZwju9l62Z6ir3sYT%2BRgPLUYztmowZSMrrW7wi4kmFQ1QFJbvPsC5tFotYt6xIuRM2oMLJ9bTJId%2BOhUv91X7Ez0ZZrtYH3Av9LdRcRtvstxS6qZ1Anm%2B1GPegi7afsSUFjvhhAUG2t%2FpXwkCCBMBnaZwWpBA%2BJBgEJE1oIF0nsEWaBWnh3iQ%3D%3D&amp;Email=duostar.group%40gmail.com&amp;Provider=Intuit&amp;Offering=methodcrm</v>
      </c>
      <c r="BI151" s="8" t="str">
        <f>IFERROR(__xludf.DUMMYFUNCTION("VLOOKUP(REGEXREPLACE(BH151,""[?].*"",""""),ContentBuckets!A:C,2,FALSE)"),"#N/A")</f>
        <v>#N/A</v>
      </c>
      <c r="BJ151" s="8" t="str">
        <f>IFERROR(__xludf.DUMMYFUNCTION("VLOOKUP(REGEXREPLACE(BH151,""[?].*"",""""),ContentBuckets!A:C,3,FALSE)"),"#N/A")</f>
        <v>#N/A</v>
      </c>
    </row>
    <row r="152" ht="14.25" customHeight="1">
      <c r="A152" s="1">
        <v>153296.0</v>
      </c>
      <c r="B152" s="1" t="s">
        <v>793</v>
      </c>
      <c r="C152" s="2">
        <v>45998.4979166667</v>
      </c>
      <c r="D152" s="2"/>
      <c r="E152" s="2"/>
      <c r="F152" s="1" t="b">
        <v>1</v>
      </c>
      <c r="G152" s="4" t="b">
        <v>0</v>
      </c>
      <c r="H152" s="1" t="b">
        <v>0</v>
      </c>
      <c r="I152" s="1" t="b">
        <v>0</v>
      </c>
      <c r="J152" s="1" t="s">
        <v>534</v>
      </c>
      <c r="K152" s="1" t="s">
        <v>535</v>
      </c>
      <c r="L152" s="1" t="s">
        <v>536</v>
      </c>
      <c r="M152" s="1" t="s">
        <v>537</v>
      </c>
      <c r="N152" s="1">
        <v>0.0</v>
      </c>
      <c r="O152" s="1">
        <v>53.25</v>
      </c>
      <c r="P152" s="1">
        <v>0.0</v>
      </c>
      <c r="Q152" s="1">
        <v>0.0</v>
      </c>
      <c r="R152" s="1">
        <v>28.0</v>
      </c>
      <c r="S152" s="1" t="s">
        <v>538</v>
      </c>
      <c r="T152" s="1" t="s">
        <v>539</v>
      </c>
      <c r="V152" s="4">
        <v>7240248.0</v>
      </c>
      <c r="W152" s="4" t="s">
        <v>653</v>
      </c>
      <c r="X152" s="4">
        <v>0.0</v>
      </c>
      <c r="Y152" s="1">
        <v>1.0</v>
      </c>
      <c r="Z152" s="1">
        <v>0.0</v>
      </c>
      <c r="AA152" s="1">
        <v>0.0</v>
      </c>
      <c r="AB152" s="1">
        <v>0.0</v>
      </c>
      <c r="AC152" s="1">
        <v>0.0</v>
      </c>
      <c r="AD152" s="1">
        <v>0.0</v>
      </c>
      <c r="AE152" s="1">
        <v>0.0</v>
      </c>
      <c r="AF152" s="1">
        <v>0.0</v>
      </c>
      <c r="AG152" s="1">
        <v>0.0</v>
      </c>
      <c r="AH152" s="1">
        <v>0.0</v>
      </c>
      <c r="AI152" s="1">
        <v>0.0</v>
      </c>
      <c r="AJ152" s="1">
        <v>0.0</v>
      </c>
      <c r="AK152" s="1">
        <v>0.0</v>
      </c>
      <c r="AL152" s="1">
        <v>0.0</v>
      </c>
      <c r="AM152" s="4">
        <v>0.0</v>
      </c>
      <c r="AN152" s="1">
        <v>0.0</v>
      </c>
      <c r="AO152" s="4">
        <v>0.0</v>
      </c>
      <c r="AP152" s="1">
        <f t="shared" si="1"/>
        <v>0</v>
      </c>
      <c r="AQ152" s="1" t="s">
        <v>557</v>
      </c>
      <c r="AR152" s="1" t="s">
        <v>542</v>
      </c>
      <c r="AU152" s="2">
        <v>45998.0</v>
      </c>
      <c r="AV152" s="2">
        <v>46024.0166666667</v>
      </c>
      <c r="AW152" s="1">
        <v>26.0</v>
      </c>
      <c r="AX152" s="1">
        <v>537210.0</v>
      </c>
      <c r="AY152" s="1">
        <v>378.0</v>
      </c>
      <c r="AZ152" s="1">
        <v>1.0</v>
      </c>
      <c r="BA152" s="1">
        <v>0.0</v>
      </c>
      <c r="BB152" s="1">
        <v>1.0</v>
      </c>
      <c r="BC152" s="2">
        <v>45998.0</v>
      </c>
      <c r="BD152" s="1">
        <v>48.0</v>
      </c>
      <c r="BE152" s="1" t="s">
        <v>550</v>
      </c>
      <c r="BF152" s="1">
        <v>2025.0</v>
      </c>
      <c r="BG152" s="1" t="s">
        <v>558</v>
      </c>
      <c r="BH152" s="7" t="str">
        <f>VLOOKUP(B152,CookieClicks!D:O,12,FALSE)</f>
        <v>https://www.method.me/</v>
      </c>
      <c r="BI152" s="8" t="str">
        <f>IFERROR(__xludf.DUMMYFUNCTION("VLOOKUP(REGEXREPLACE(BH152,""[?].*"",""""),ContentBuckets!A:C,2,FALSE)"),"Homepage")</f>
        <v>Homepage</v>
      </c>
      <c r="BJ152" s="8" t="str">
        <f>IFERROR(__xludf.DUMMYFUNCTION("VLOOKUP(REGEXREPLACE(BH152,""[?].*"",""""),ContentBuckets!A:C,3,FALSE)"),"Other page")</f>
        <v>Other page</v>
      </c>
    </row>
    <row r="153" ht="14.25" customHeight="1">
      <c r="A153" s="1">
        <v>153297.0</v>
      </c>
      <c r="B153" s="1" t="s">
        <v>794</v>
      </c>
      <c r="C153" s="2">
        <v>45998.7180555556</v>
      </c>
      <c r="D153" s="2">
        <v>46003.3208333333</v>
      </c>
      <c r="E153" s="2"/>
      <c r="F153" s="1" t="b">
        <v>0</v>
      </c>
      <c r="G153" s="4" t="b">
        <v>0</v>
      </c>
      <c r="H153" s="1" t="b">
        <v>0</v>
      </c>
      <c r="I153" s="1" t="b">
        <v>0</v>
      </c>
      <c r="J153" s="1" t="s">
        <v>534</v>
      </c>
      <c r="K153" s="1" t="s">
        <v>622</v>
      </c>
      <c r="L153" s="1" t="s">
        <v>623</v>
      </c>
      <c r="M153" s="1" t="s">
        <v>537</v>
      </c>
      <c r="N153" s="1">
        <v>0.0</v>
      </c>
      <c r="O153" s="1">
        <v>53.25</v>
      </c>
      <c r="P153" s="1">
        <v>0.0</v>
      </c>
      <c r="Q153" s="1">
        <v>0.0</v>
      </c>
      <c r="R153" s="1">
        <v>28.0</v>
      </c>
      <c r="S153" s="1" t="s">
        <v>538</v>
      </c>
      <c r="T153" s="1" t="s">
        <v>539</v>
      </c>
      <c r="V153" s="4">
        <v>7264509.0</v>
      </c>
      <c r="W153" s="4" t="s">
        <v>540</v>
      </c>
      <c r="X153" s="4">
        <v>0.0</v>
      </c>
      <c r="Y153" s="1">
        <v>1.0</v>
      </c>
      <c r="Z153" s="1">
        <v>0.0</v>
      </c>
      <c r="AA153" s="1">
        <v>0.0</v>
      </c>
      <c r="AB153" s="1">
        <v>0.0</v>
      </c>
      <c r="AC153" s="1">
        <v>0.0</v>
      </c>
      <c r="AD153" s="1">
        <v>0.0</v>
      </c>
      <c r="AE153" s="1">
        <v>0.0</v>
      </c>
      <c r="AF153" s="1">
        <v>0.0</v>
      </c>
      <c r="AG153" s="1">
        <v>0.0</v>
      </c>
      <c r="AH153" s="1">
        <v>0.0</v>
      </c>
      <c r="AI153" s="1">
        <v>0.0</v>
      </c>
      <c r="AJ153" s="1">
        <v>0.0</v>
      </c>
      <c r="AK153" s="1">
        <v>0.0</v>
      </c>
      <c r="AL153" s="1">
        <v>0.0</v>
      </c>
      <c r="AM153" s="4">
        <v>0.0</v>
      </c>
      <c r="AN153" s="1">
        <v>0.0</v>
      </c>
      <c r="AO153" s="4">
        <v>0.0</v>
      </c>
      <c r="AP153" s="1">
        <f t="shared" si="1"/>
        <v>0</v>
      </c>
      <c r="AQ153" s="1" t="s">
        <v>795</v>
      </c>
      <c r="AR153" s="1" t="s">
        <v>564</v>
      </c>
      <c r="AU153" s="2">
        <v>46003.0</v>
      </c>
      <c r="AV153" s="2">
        <v>46003.0361111111</v>
      </c>
      <c r="AW153" s="1">
        <v>0.0</v>
      </c>
      <c r="AX153" s="1">
        <v>0.0</v>
      </c>
      <c r="AY153" s="1">
        <v>0.0</v>
      </c>
      <c r="AZ153" s="1">
        <v>1.0</v>
      </c>
      <c r="BA153" s="1">
        <v>0.0</v>
      </c>
      <c r="BB153" s="1">
        <v>0.0</v>
      </c>
      <c r="BC153" s="2">
        <v>45998.0</v>
      </c>
      <c r="BD153" s="1">
        <v>48.0</v>
      </c>
      <c r="BE153" s="1" t="s">
        <v>550</v>
      </c>
      <c r="BF153" s="1">
        <v>2025.0</v>
      </c>
      <c r="BG153" s="1" t="s">
        <v>649</v>
      </c>
      <c r="BH153" s="7" t="str">
        <f>VLOOKUP(B153,CookieClicks!D:O,12,FALSE)</f>
        <v>https://www.method.me/</v>
      </c>
      <c r="BI153" s="8" t="str">
        <f>IFERROR(__xludf.DUMMYFUNCTION("VLOOKUP(REGEXREPLACE(BH153,""[?].*"",""""),ContentBuckets!A:C,2,FALSE)"),"Homepage")</f>
        <v>Homepage</v>
      </c>
      <c r="BJ153" s="8" t="str">
        <f>IFERROR(__xludf.DUMMYFUNCTION("VLOOKUP(REGEXREPLACE(BH153,""[?].*"",""""),ContentBuckets!A:C,3,FALSE)"),"Other page")</f>
        <v>Other page</v>
      </c>
    </row>
    <row r="154" ht="14.25" customHeight="1">
      <c r="A154" s="1">
        <v>153298.0</v>
      </c>
      <c r="B154" s="1" t="s">
        <v>796</v>
      </c>
      <c r="C154" s="2">
        <v>45998.7576388889</v>
      </c>
      <c r="D154" s="2"/>
      <c r="E154" s="2"/>
      <c r="F154" s="1" t="b">
        <v>1</v>
      </c>
      <c r="G154" s="4" t="b">
        <v>0</v>
      </c>
      <c r="H154" s="1" t="b">
        <v>0</v>
      </c>
      <c r="I154" s="1" t="b">
        <v>0</v>
      </c>
      <c r="J154" s="1" t="s">
        <v>534</v>
      </c>
      <c r="K154" s="1" t="s">
        <v>535</v>
      </c>
      <c r="L154" s="1" t="s">
        <v>536</v>
      </c>
      <c r="M154" s="1" t="s">
        <v>537</v>
      </c>
      <c r="N154" s="1">
        <v>0.0</v>
      </c>
      <c r="O154" s="1">
        <v>44.25</v>
      </c>
      <c r="P154" s="1">
        <v>0.0</v>
      </c>
      <c r="Q154" s="1">
        <v>0.0</v>
      </c>
      <c r="R154" s="1">
        <v>28.0</v>
      </c>
      <c r="S154" s="1" t="s">
        <v>538</v>
      </c>
      <c r="T154" s="1" t="s">
        <v>539</v>
      </c>
      <c r="V154" s="4">
        <v>7240059.0</v>
      </c>
      <c r="W154" s="4" t="s">
        <v>540</v>
      </c>
      <c r="X154" s="4">
        <v>0.0</v>
      </c>
      <c r="Y154" s="1">
        <v>1.0</v>
      </c>
      <c r="Z154" s="1">
        <v>0.0</v>
      </c>
      <c r="AA154" s="1">
        <v>0.0</v>
      </c>
      <c r="AB154" s="1">
        <v>0.0</v>
      </c>
      <c r="AC154" s="1">
        <v>0.0</v>
      </c>
      <c r="AD154" s="1">
        <v>0.0</v>
      </c>
      <c r="AE154" s="1">
        <v>0.0</v>
      </c>
      <c r="AF154" s="1">
        <v>0.0</v>
      </c>
      <c r="AG154" s="1">
        <v>0.0</v>
      </c>
      <c r="AH154" s="1">
        <v>0.0</v>
      </c>
      <c r="AI154" s="1">
        <v>0.0</v>
      </c>
      <c r="AJ154" s="1">
        <v>0.0</v>
      </c>
      <c r="AK154" s="1">
        <v>0.0</v>
      </c>
      <c r="AL154" s="1">
        <v>0.0</v>
      </c>
      <c r="AM154" s="4">
        <v>0.0</v>
      </c>
      <c r="AN154" s="1">
        <v>0.0</v>
      </c>
      <c r="AO154" s="4">
        <v>0.0</v>
      </c>
      <c r="AP154" s="1">
        <f t="shared" si="1"/>
        <v>0</v>
      </c>
      <c r="AQ154" s="1" t="s">
        <v>557</v>
      </c>
      <c r="AR154" s="1" t="s">
        <v>571</v>
      </c>
      <c r="AU154" s="2">
        <v>45998.0</v>
      </c>
      <c r="AV154" s="2">
        <v>46024.0076388889</v>
      </c>
      <c r="AW154" s="1">
        <v>1.0</v>
      </c>
      <c r="AX154" s="1">
        <v>1866225.48</v>
      </c>
      <c r="AY154" s="1">
        <v>2066.0</v>
      </c>
      <c r="AZ154" s="1">
        <v>1.0</v>
      </c>
      <c r="BA154" s="1">
        <v>0.0</v>
      </c>
      <c r="BB154" s="1">
        <v>0.0</v>
      </c>
      <c r="BC154" s="2">
        <v>45998.0</v>
      </c>
      <c r="BD154" s="1">
        <v>48.0</v>
      </c>
      <c r="BE154" s="1" t="s">
        <v>550</v>
      </c>
      <c r="BF154" s="1">
        <v>2025.0</v>
      </c>
      <c r="BG154" s="1" t="s">
        <v>558</v>
      </c>
      <c r="BH154" s="7" t="str">
        <f>VLOOKUP(B154,CookieClicks!D:O,12,FALSE)</f>
        <v>https://www.method.me/</v>
      </c>
      <c r="BI154" s="8" t="str">
        <f>IFERROR(__xludf.DUMMYFUNCTION("VLOOKUP(REGEXREPLACE(BH154,""[?].*"",""""),ContentBuckets!A:C,2,FALSE)"),"Homepage")</f>
        <v>Homepage</v>
      </c>
      <c r="BJ154" s="8" t="str">
        <f>IFERROR(__xludf.DUMMYFUNCTION("VLOOKUP(REGEXREPLACE(BH154,""[?].*"",""""),ContentBuckets!A:C,3,FALSE)"),"Other page")</f>
        <v>Other page</v>
      </c>
    </row>
    <row r="155" ht="14.25" customHeight="1">
      <c r="A155" s="1">
        <v>153299.0</v>
      </c>
      <c r="B155" s="1" t="s">
        <v>797</v>
      </c>
      <c r="C155" s="2">
        <v>45998.7715277778</v>
      </c>
      <c r="D155" s="2"/>
      <c r="E155" s="2"/>
      <c r="F155" s="1" t="b">
        <v>1</v>
      </c>
      <c r="G155" s="4" t="b">
        <v>0</v>
      </c>
      <c r="H155" s="1" t="b">
        <v>0</v>
      </c>
      <c r="I155" s="1" t="b">
        <v>0</v>
      </c>
      <c r="J155" s="1" t="s">
        <v>534</v>
      </c>
      <c r="K155" s="1" t="s">
        <v>535</v>
      </c>
      <c r="L155" s="1" t="s">
        <v>536</v>
      </c>
      <c r="M155" s="1" t="s">
        <v>537</v>
      </c>
      <c r="N155" s="1">
        <v>0.0</v>
      </c>
      <c r="O155" s="1">
        <v>44.25</v>
      </c>
      <c r="P155" s="1">
        <v>0.0</v>
      </c>
      <c r="Q155" s="1">
        <v>0.0</v>
      </c>
      <c r="R155" s="1">
        <v>28.0</v>
      </c>
      <c r="S155" s="1" t="s">
        <v>538</v>
      </c>
      <c r="T155" s="1" t="s">
        <v>539</v>
      </c>
      <c r="V155" s="4">
        <v>7265317.0</v>
      </c>
      <c r="W155" s="4" t="s">
        <v>798</v>
      </c>
      <c r="X155" s="4">
        <v>0.0</v>
      </c>
      <c r="Y155" s="1">
        <v>1.0</v>
      </c>
      <c r="Z155" s="1">
        <v>0.0</v>
      </c>
      <c r="AA155" s="1">
        <v>0.0</v>
      </c>
      <c r="AB155" s="1">
        <v>0.0</v>
      </c>
      <c r="AC155" s="1">
        <v>0.0</v>
      </c>
      <c r="AD155" s="1">
        <v>0.0</v>
      </c>
      <c r="AE155" s="1">
        <v>0.0</v>
      </c>
      <c r="AF155" s="1">
        <v>0.0</v>
      </c>
      <c r="AG155" s="1">
        <v>0.0</v>
      </c>
      <c r="AH155" s="1">
        <v>0.0</v>
      </c>
      <c r="AI155" s="1">
        <v>0.0</v>
      </c>
      <c r="AJ155" s="1">
        <v>0.0</v>
      </c>
      <c r="AK155" s="1">
        <v>0.0</v>
      </c>
      <c r="AL155" s="1">
        <v>0.0</v>
      </c>
      <c r="AM155" s="4">
        <v>0.0</v>
      </c>
      <c r="AN155" s="1">
        <v>0.0</v>
      </c>
      <c r="AO155" s="4">
        <v>0.0</v>
      </c>
      <c r="AP155" s="1">
        <f t="shared" si="1"/>
        <v>0</v>
      </c>
      <c r="AR155" s="1" t="s">
        <v>542</v>
      </c>
      <c r="AU155" s="2"/>
      <c r="AV155" s="2">
        <v>46024.0034722222</v>
      </c>
      <c r="AW155" s="1">
        <v>0.0</v>
      </c>
      <c r="AX155" s="1">
        <v>0.0</v>
      </c>
      <c r="AY155" s="1">
        <v>0.0</v>
      </c>
      <c r="AZ155" s="1">
        <v>1.0</v>
      </c>
      <c r="BA155" s="1">
        <v>0.0</v>
      </c>
      <c r="BB155" s="1">
        <v>0.0</v>
      </c>
      <c r="BC155" s="2">
        <v>45998.0</v>
      </c>
      <c r="BD155" s="1">
        <v>48.0</v>
      </c>
      <c r="BE155" s="1" t="s">
        <v>550</v>
      </c>
      <c r="BF155" s="1">
        <v>2025.0</v>
      </c>
      <c r="BG155" s="1" t="s">
        <v>799</v>
      </c>
      <c r="BH155" s="7" t="str">
        <f>VLOOKUP(B155,CookieClicks!D:O,12,FALSE)</f>
        <v>https://www.method.me/features/mobile-app/</v>
      </c>
      <c r="BI155" s="8" t="str">
        <f>IFERROR(__xludf.DUMMYFUNCTION("VLOOKUP(REGEXREPLACE(BH155,""[?].*"",""""),ContentBuckets!A:C,2,FALSE)"),"Features page")</f>
        <v>Features page</v>
      </c>
      <c r="BJ155" s="8" t="str">
        <f>IFERROR(__xludf.DUMMYFUNCTION("VLOOKUP(REGEXREPLACE(BH155,""[?].*"",""""),ContentBuckets!A:C,3,FALSE)"),"Other page")</f>
        <v>Other page</v>
      </c>
    </row>
    <row r="156" ht="14.25" customHeight="1">
      <c r="A156" s="1">
        <v>153300.0</v>
      </c>
      <c r="B156" s="1" t="s">
        <v>800</v>
      </c>
      <c r="C156" s="2">
        <v>45998.7763888889</v>
      </c>
      <c r="D156" s="2"/>
      <c r="E156" s="2"/>
      <c r="F156" s="1" t="b">
        <v>1</v>
      </c>
      <c r="G156" s="4" t="b">
        <v>0</v>
      </c>
      <c r="H156" s="1" t="b">
        <v>0</v>
      </c>
      <c r="I156" s="1" t="b">
        <v>0</v>
      </c>
      <c r="J156" s="1" t="s">
        <v>534</v>
      </c>
      <c r="K156" s="1" t="s">
        <v>801</v>
      </c>
      <c r="L156" s="1" t="s">
        <v>599</v>
      </c>
      <c r="M156" s="1" t="s">
        <v>537</v>
      </c>
      <c r="N156" s="1">
        <v>0.0</v>
      </c>
      <c r="O156" s="1">
        <v>44.25</v>
      </c>
      <c r="P156" s="1">
        <v>0.0</v>
      </c>
      <c r="Q156" s="1">
        <v>0.0</v>
      </c>
      <c r="R156" s="1">
        <v>0.0</v>
      </c>
      <c r="S156" s="1" t="s">
        <v>538</v>
      </c>
      <c r="T156" s="1" t="s">
        <v>539</v>
      </c>
      <c r="V156" s="4">
        <v>7265403.0</v>
      </c>
      <c r="W156" s="4"/>
      <c r="X156" s="4">
        <v>0.0</v>
      </c>
      <c r="Y156" s="1">
        <v>0.0</v>
      </c>
      <c r="Z156" s="1">
        <v>0.0</v>
      </c>
      <c r="AA156" s="1">
        <v>1.0</v>
      </c>
      <c r="AB156" s="1">
        <v>0.0</v>
      </c>
      <c r="AC156" s="1">
        <v>0.0</v>
      </c>
      <c r="AD156" s="1">
        <v>0.0</v>
      </c>
      <c r="AE156" s="1">
        <v>0.0</v>
      </c>
      <c r="AF156" s="1">
        <v>0.0</v>
      </c>
      <c r="AG156" s="1">
        <v>0.0</v>
      </c>
      <c r="AH156" s="1">
        <v>0.0</v>
      </c>
      <c r="AI156" s="1">
        <v>0.0</v>
      </c>
      <c r="AJ156" s="1">
        <v>0.0</v>
      </c>
      <c r="AK156" s="1">
        <v>0.0</v>
      </c>
      <c r="AL156" s="1">
        <v>0.0</v>
      </c>
      <c r="AM156" s="4">
        <v>0.0</v>
      </c>
      <c r="AN156" s="1">
        <v>0.0</v>
      </c>
      <c r="AO156" s="4">
        <v>0.0</v>
      </c>
      <c r="AP156" s="1">
        <f t="shared" si="1"/>
        <v>0</v>
      </c>
      <c r="AU156" s="2"/>
      <c r="AV156" s="2">
        <v>46023.9972222222</v>
      </c>
      <c r="AW156" s="1">
        <v>0.0</v>
      </c>
      <c r="AX156" s="1">
        <v>0.0</v>
      </c>
      <c r="AY156" s="1">
        <v>0.0</v>
      </c>
      <c r="AZ156" s="1">
        <v>1.0</v>
      </c>
      <c r="BA156" s="1">
        <v>0.0</v>
      </c>
      <c r="BB156" s="1">
        <v>0.0</v>
      </c>
      <c r="BC156" s="2">
        <v>45998.0</v>
      </c>
      <c r="BD156" s="1">
        <v>48.0</v>
      </c>
      <c r="BE156" s="1" t="s">
        <v>550</v>
      </c>
      <c r="BF156" s="1">
        <v>2025.0</v>
      </c>
      <c r="BG156" s="1" t="s">
        <v>558</v>
      </c>
      <c r="BH156" s="7" t="str">
        <f>VLOOKUP(B156,CookieClicks!D:O,12,FALSE)</f>
        <v>https://www.method.me/crm-quickbooks/job-scheduling-software/?trc=81&amp;trk=&amp;trs=USA-DSA&amp;campaignid=13038312612&amp;adgroupid=127756898611&amp;adid=771467139249&amp;gad_source=1&amp;gad_campaignid=13038312612&amp;gclid=Cj0KCQiA6NTJBhDEARIsAB7QHD37sDDk_-jbQfSubQ2BT2PGynYeYCzRcQFH0jVqR41sNDnntWzqVzoaAuFMEALw_wcB</v>
      </c>
      <c r="BI156" s="8" t="str">
        <f>IFERROR(__xludf.DUMMYFUNCTION("VLOOKUP(REGEXREPLACE(BH156,""[?].*"",""""),ContentBuckets!A:C,2,FALSE)"),"/crm-quickbooks/")</f>
        <v>/crm-quickbooks/</v>
      </c>
      <c r="BJ156" s="8" t="str">
        <f>IFERROR(__xludf.DUMMYFUNCTION("VLOOKUP(REGEXREPLACE(BH156,""[?].*"",""""),ContentBuckets!A:C,3,FALSE)"),"Other page")</f>
        <v>Other page</v>
      </c>
    </row>
    <row r="157" ht="14.25" customHeight="1">
      <c r="A157" s="1">
        <v>153301.0</v>
      </c>
      <c r="B157" s="1" t="s">
        <v>802</v>
      </c>
      <c r="C157" s="2">
        <v>45999.0243055556</v>
      </c>
      <c r="D157" s="2"/>
      <c r="E157" s="2">
        <v>46018.0333333333</v>
      </c>
      <c r="F157" s="1" t="b">
        <v>1</v>
      </c>
      <c r="G157" s="4" t="b">
        <v>0</v>
      </c>
      <c r="H157" s="1" t="b">
        <v>0</v>
      </c>
      <c r="I157" s="1" t="b">
        <v>0</v>
      </c>
      <c r="J157" s="1" t="s">
        <v>601</v>
      </c>
      <c r="K157" s="1" t="s">
        <v>535</v>
      </c>
      <c r="L157" s="1" t="s">
        <v>536</v>
      </c>
      <c r="M157" s="1" t="s">
        <v>537</v>
      </c>
      <c r="N157" s="1">
        <v>151.4</v>
      </c>
      <c r="O157" s="1">
        <v>170.0</v>
      </c>
      <c r="P157" s="1">
        <v>0.0</v>
      </c>
      <c r="Q157" s="1">
        <v>0.0</v>
      </c>
      <c r="R157" s="1">
        <v>28.0</v>
      </c>
      <c r="T157" s="1" t="s">
        <v>539</v>
      </c>
      <c r="V157" s="4">
        <v>7268249.0</v>
      </c>
      <c r="W157" s="4" t="s">
        <v>653</v>
      </c>
      <c r="X157" s="4">
        <v>0.0</v>
      </c>
      <c r="Y157" s="1">
        <v>1.0</v>
      </c>
      <c r="Z157" s="1">
        <v>0.0</v>
      </c>
      <c r="AA157" s="1">
        <v>0.0</v>
      </c>
      <c r="AB157" s="1">
        <v>0.0</v>
      </c>
      <c r="AC157" s="1">
        <v>0.0</v>
      </c>
      <c r="AD157" s="1">
        <v>0.0</v>
      </c>
      <c r="AE157" s="1">
        <v>0.0</v>
      </c>
      <c r="AF157" s="1">
        <v>0.0</v>
      </c>
      <c r="AG157" s="1">
        <v>0.0</v>
      </c>
      <c r="AH157" s="1">
        <v>0.0</v>
      </c>
      <c r="AI157" s="1">
        <v>0.0</v>
      </c>
      <c r="AJ157" s="1">
        <v>0.0</v>
      </c>
      <c r="AK157" s="1">
        <v>0.0</v>
      </c>
      <c r="AL157" s="1">
        <v>0.0</v>
      </c>
      <c r="AM157" s="4">
        <v>0.0</v>
      </c>
      <c r="AN157" s="1">
        <v>0.0</v>
      </c>
      <c r="AO157" s="4">
        <v>0.0</v>
      </c>
      <c r="AP157" s="1">
        <f t="shared" si="1"/>
        <v>0</v>
      </c>
      <c r="AQ157" s="1" t="s">
        <v>557</v>
      </c>
      <c r="AR157" s="1" t="s">
        <v>571</v>
      </c>
      <c r="AU157" s="2">
        <v>45999.0</v>
      </c>
      <c r="AV157" s="2">
        <v>46024.00625</v>
      </c>
      <c r="AW157" s="1">
        <v>0.0</v>
      </c>
      <c r="AX157" s="1">
        <v>0.0</v>
      </c>
      <c r="AY157" s="1">
        <v>4.0</v>
      </c>
      <c r="AZ157" s="1">
        <v>2.0</v>
      </c>
      <c r="BA157" s="1">
        <v>0.0</v>
      </c>
      <c r="BB157" s="1">
        <v>0.0</v>
      </c>
      <c r="BC157" s="2">
        <v>45999.0</v>
      </c>
      <c r="BD157" s="1">
        <v>49.0</v>
      </c>
      <c r="BE157" s="1" t="s">
        <v>550</v>
      </c>
      <c r="BF157" s="1">
        <v>2025.0</v>
      </c>
      <c r="BG157" s="1" t="s">
        <v>558</v>
      </c>
      <c r="BH157" s="7" t="str">
        <f>VLOOKUP(B157,CookieClicks!D:O,12,FALSE)</f>
        <v>https://www.method.me/</v>
      </c>
      <c r="BI157" s="8" t="str">
        <f>IFERROR(__xludf.DUMMYFUNCTION("VLOOKUP(REGEXREPLACE(BH157,""[?].*"",""""),ContentBuckets!A:C,2,FALSE)"),"Homepage")</f>
        <v>Homepage</v>
      </c>
      <c r="BJ157" s="8" t="str">
        <f>IFERROR(__xludf.DUMMYFUNCTION("VLOOKUP(REGEXREPLACE(BH157,""[?].*"",""""),ContentBuckets!A:C,3,FALSE)"),"Other page")</f>
        <v>Other page</v>
      </c>
    </row>
    <row r="158" ht="14.25" customHeight="1">
      <c r="A158" s="1">
        <v>153302.0</v>
      </c>
      <c r="B158" s="1" t="s">
        <v>803</v>
      </c>
      <c r="C158" s="2">
        <v>45999.3083333333</v>
      </c>
      <c r="D158" s="2"/>
      <c r="E158" s="2"/>
      <c r="F158" s="1" t="b">
        <v>1</v>
      </c>
      <c r="G158" s="4" t="b">
        <v>0</v>
      </c>
      <c r="H158" s="1" t="b">
        <v>0</v>
      </c>
      <c r="I158" s="1" t="b">
        <v>0</v>
      </c>
      <c r="J158" s="1" t="s">
        <v>534</v>
      </c>
      <c r="K158" s="1" t="s">
        <v>535</v>
      </c>
      <c r="L158" s="1" t="s">
        <v>536</v>
      </c>
      <c r="M158" s="1" t="s">
        <v>537</v>
      </c>
      <c r="N158" s="1">
        <v>0.0</v>
      </c>
      <c r="O158" s="1">
        <v>44.25</v>
      </c>
      <c r="P158" s="1">
        <v>0.0</v>
      </c>
      <c r="Q158" s="1">
        <v>0.0</v>
      </c>
      <c r="R158" s="1">
        <v>28.0</v>
      </c>
      <c r="S158" s="1" t="s">
        <v>538</v>
      </c>
      <c r="T158" s="1" t="s">
        <v>539</v>
      </c>
      <c r="V158" s="4">
        <v>7271853.0</v>
      </c>
      <c r="W158" s="4"/>
      <c r="X158" s="4">
        <v>0.0</v>
      </c>
      <c r="Y158" s="1">
        <v>0.0</v>
      </c>
      <c r="Z158" s="1">
        <v>0.0</v>
      </c>
      <c r="AA158" s="1">
        <v>0.5</v>
      </c>
      <c r="AB158" s="1">
        <v>0.5</v>
      </c>
      <c r="AC158" s="1">
        <v>0.0</v>
      </c>
      <c r="AD158" s="1">
        <v>0.0</v>
      </c>
      <c r="AE158" s="1">
        <v>0.0</v>
      </c>
      <c r="AF158" s="1">
        <v>0.0</v>
      </c>
      <c r="AG158" s="1">
        <v>0.0</v>
      </c>
      <c r="AH158" s="1">
        <v>0.0</v>
      </c>
      <c r="AI158" s="1">
        <v>0.0</v>
      </c>
      <c r="AJ158" s="1">
        <v>0.0</v>
      </c>
      <c r="AK158" s="1">
        <v>0.0</v>
      </c>
      <c r="AL158" s="1">
        <v>0.0</v>
      </c>
      <c r="AM158" s="4">
        <v>0.0</v>
      </c>
      <c r="AN158" s="1">
        <v>0.0</v>
      </c>
      <c r="AO158" s="4">
        <v>0.0</v>
      </c>
      <c r="AP158" s="1">
        <f t="shared" si="1"/>
        <v>0</v>
      </c>
      <c r="AQ158" s="1" t="s">
        <v>557</v>
      </c>
      <c r="AR158" s="1" t="s">
        <v>560</v>
      </c>
      <c r="AU158" s="2">
        <v>46020.0</v>
      </c>
      <c r="AV158" s="2">
        <v>46023.99375</v>
      </c>
      <c r="AW158" s="1">
        <v>0.0</v>
      </c>
      <c r="AX158" s="1">
        <v>0.0</v>
      </c>
      <c r="AY158" s="1">
        <v>0.0</v>
      </c>
      <c r="AZ158" s="1">
        <v>1.0</v>
      </c>
      <c r="BA158" s="1">
        <v>0.0</v>
      </c>
      <c r="BB158" s="1">
        <v>0.0</v>
      </c>
      <c r="BC158" s="2">
        <v>45999.0</v>
      </c>
      <c r="BD158" s="1">
        <v>49.0</v>
      </c>
      <c r="BE158" s="1" t="s">
        <v>550</v>
      </c>
      <c r="BF158" s="1">
        <v>2025.0</v>
      </c>
      <c r="BG158" s="1" t="s">
        <v>558</v>
      </c>
      <c r="BH158" s="1" t="str">
        <f>VLOOKUP(B158,CookieClicks!D:O,12,FALSE)</f>
        <v>https://grow.method.me/qb-payment/?trc=81&amp;trk=quickbooks online payment&amp;trs=US-payment&amp;campaignid=19733246298&amp;adgroupid=146278163933&amp;adid=649435146420&amp;gad_source=1&amp;gad_campaignid=19733246298&amp;gbraid=0AAAAAD3ItnYGQL7x1n3-WZNXzE83wRH-Z&amp;gclid=Cj0KCQiAi9rJBhCYARIsALyPDtuLeVDX5qx2_vorNMq0UsNWPgRZL3Sp9hEmMl1p5BGuI9DkWYjsdtQaAk2xEALw_wcB</v>
      </c>
      <c r="BI158" s="8" t="str">
        <f>IFERROR(__xludf.DUMMYFUNCTION("VLOOKUP(REGEXREPLACE(BH158,""[?].*"",""""),ContentBuckets!A:C,2,FALSE)"),"#N/A")</f>
        <v>#N/A</v>
      </c>
      <c r="BJ158" s="8" t="str">
        <f>IFERROR(__xludf.DUMMYFUNCTION("VLOOKUP(REGEXREPLACE(BH158,""[?].*"",""""),ContentBuckets!A:C,3,FALSE)"),"#N/A")</f>
        <v>#N/A</v>
      </c>
    </row>
    <row r="159" ht="14.25" customHeight="1">
      <c r="A159" s="1">
        <v>153303.0</v>
      </c>
      <c r="B159" s="1" t="s">
        <v>804</v>
      </c>
      <c r="C159" s="2">
        <v>45999.3291666667</v>
      </c>
      <c r="D159" s="2">
        <v>46013.3986111111</v>
      </c>
      <c r="E159" s="2"/>
      <c r="F159" s="1" t="b">
        <v>0</v>
      </c>
      <c r="G159" s="4" t="b">
        <v>0</v>
      </c>
      <c r="H159" s="1" t="b">
        <v>0</v>
      </c>
      <c r="I159" s="1" t="b">
        <v>0</v>
      </c>
      <c r="J159" s="1" t="s">
        <v>534</v>
      </c>
      <c r="K159" s="1" t="s">
        <v>553</v>
      </c>
      <c r="L159" s="1" t="s">
        <v>599</v>
      </c>
      <c r="M159" s="1" t="s">
        <v>537</v>
      </c>
      <c r="N159" s="1">
        <v>0.0</v>
      </c>
      <c r="O159" s="1">
        <v>44.25</v>
      </c>
      <c r="P159" s="1">
        <v>0.0</v>
      </c>
      <c r="Q159" s="1">
        <v>0.0</v>
      </c>
      <c r="R159" s="1">
        <v>0.0</v>
      </c>
      <c r="S159" s="1" t="s">
        <v>538</v>
      </c>
      <c r="T159" s="1" t="s">
        <v>539</v>
      </c>
      <c r="V159" s="4">
        <v>7230951.0</v>
      </c>
      <c r="W159" s="4" t="s">
        <v>653</v>
      </c>
      <c r="X159" s="4">
        <v>0.0</v>
      </c>
      <c r="Y159" s="1">
        <v>1.0</v>
      </c>
      <c r="Z159" s="1">
        <v>0.0</v>
      </c>
      <c r="AA159" s="1">
        <v>0.0</v>
      </c>
      <c r="AB159" s="1">
        <v>0.0</v>
      </c>
      <c r="AC159" s="1">
        <v>0.0</v>
      </c>
      <c r="AD159" s="1">
        <v>0.0</v>
      </c>
      <c r="AE159" s="1">
        <v>0.0</v>
      </c>
      <c r="AF159" s="1">
        <v>0.0</v>
      </c>
      <c r="AG159" s="1">
        <v>0.0</v>
      </c>
      <c r="AH159" s="1">
        <v>0.0</v>
      </c>
      <c r="AI159" s="1">
        <v>0.0</v>
      </c>
      <c r="AJ159" s="1">
        <v>0.0</v>
      </c>
      <c r="AK159" s="1">
        <v>0.0</v>
      </c>
      <c r="AL159" s="1">
        <v>0.0</v>
      </c>
      <c r="AM159" s="4">
        <v>0.0</v>
      </c>
      <c r="AN159" s="1">
        <v>0.0</v>
      </c>
      <c r="AO159" s="4">
        <v>0.0</v>
      </c>
      <c r="AP159" s="1">
        <f t="shared" si="1"/>
        <v>0</v>
      </c>
      <c r="AU159" s="2"/>
      <c r="AV159" s="2">
        <v>46013.0243055556</v>
      </c>
      <c r="AW159" s="1">
        <v>0.0</v>
      </c>
      <c r="AX159" s="1">
        <v>0.0</v>
      </c>
      <c r="AY159" s="1">
        <v>0.0</v>
      </c>
      <c r="AZ159" s="1">
        <v>1.0</v>
      </c>
      <c r="BA159" s="1">
        <v>0.0</v>
      </c>
      <c r="BB159" s="1">
        <v>0.0</v>
      </c>
      <c r="BC159" s="2">
        <v>45999.0</v>
      </c>
      <c r="BD159" s="1">
        <v>49.0</v>
      </c>
      <c r="BE159" s="1" t="s">
        <v>550</v>
      </c>
      <c r="BF159" s="1">
        <v>2025.0</v>
      </c>
      <c r="BG159" s="1" t="s">
        <v>558</v>
      </c>
      <c r="BH159" s="7" t="str">
        <f>VLOOKUP(B159,CookieClicks!D:O,12,FALSE)</f>
        <v>https://www.method.me/</v>
      </c>
      <c r="BI159" s="8" t="str">
        <f>IFERROR(__xludf.DUMMYFUNCTION("VLOOKUP(REGEXREPLACE(BH159,""[?].*"",""""),ContentBuckets!A:C,2,FALSE)"),"Homepage")</f>
        <v>Homepage</v>
      </c>
      <c r="BJ159" s="8" t="str">
        <f>IFERROR(__xludf.DUMMYFUNCTION("VLOOKUP(REGEXREPLACE(BH159,""[?].*"",""""),ContentBuckets!A:C,3,FALSE)"),"Other page")</f>
        <v>Other page</v>
      </c>
    </row>
    <row r="160" ht="14.25" customHeight="1">
      <c r="A160" s="1">
        <v>153308.0</v>
      </c>
      <c r="B160" s="1" t="s">
        <v>805</v>
      </c>
      <c r="C160" s="2">
        <v>45999.3958333333</v>
      </c>
      <c r="D160" s="2">
        <v>46007.6097222222</v>
      </c>
      <c r="E160" s="2"/>
      <c r="F160" s="1" t="b">
        <v>0</v>
      </c>
      <c r="G160" s="4" t="b">
        <v>0</v>
      </c>
      <c r="H160" s="1" t="b">
        <v>0</v>
      </c>
      <c r="I160" s="1" t="b">
        <v>0</v>
      </c>
      <c r="J160" s="1" t="s">
        <v>534</v>
      </c>
      <c r="K160" s="1" t="s">
        <v>566</v>
      </c>
      <c r="L160" s="1" t="s">
        <v>567</v>
      </c>
      <c r="M160" s="1" t="s">
        <v>537</v>
      </c>
      <c r="N160" s="1">
        <v>0.0</v>
      </c>
      <c r="O160" s="1">
        <v>106.5</v>
      </c>
      <c r="P160" s="1">
        <v>0.0</v>
      </c>
      <c r="Q160" s="1">
        <v>0.0</v>
      </c>
      <c r="R160" s="1">
        <v>28.0</v>
      </c>
      <c r="S160" s="1" t="s">
        <v>538</v>
      </c>
      <c r="T160" s="1" t="s">
        <v>539</v>
      </c>
      <c r="V160" s="4">
        <v>7177412.0</v>
      </c>
      <c r="W160" s="4" t="s">
        <v>540</v>
      </c>
      <c r="X160" s="4">
        <v>0.0</v>
      </c>
      <c r="Y160" s="1">
        <v>1.0</v>
      </c>
      <c r="Z160" s="1">
        <v>0.0</v>
      </c>
      <c r="AA160" s="1">
        <v>0.0</v>
      </c>
      <c r="AB160" s="1">
        <v>0.0</v>
      </c>
      <c r="AC160" s="1">
        <v>0.0</v>
      </c>
      <c r="AD160" s="1">
        <v>0.0</v>
      </c>
      <c r="AE160" s="1">
        <v>0.0</v>
      </c>
      <c r="AF160" s="1">
        <v>0.0</v>
      </c>
      <c r="AG160" s="1">
        <v>0.0</v>
      </c>
      <c r="AH160" s="1">
        <v>0.0</v>
      </c>
      <c r="AI160" s="1">
        <v>0.0</v>
      </c>
      <c r="AJ160" s="1">
        <v>0.0</v>
      </c>
      <c r="AK160" s="1">
        <v>0.0</v>
      </c>
      <c r="AL160" s="1">
        <v>0.0</v>
      </c>
      <c r="AM160" s="4">
        <v>0.0</v>
      </c>
      <c r="AN160" s="1">
        <v>0.0</v>
      </c>
      <c r="AO160" s="4">
        <v>0.0</v>
      </c>
      <c r="AP160" s="1">
        <f t="shared" si="1"/>
        <v>0</v>
      </c>
      <c r="AQ160" s="1" t="s">
        <v>557</v>
      </c>
      <c r="AR160" s="1" t="s">
        <v>568</v>
      </c>
      <c r="AT160" s="1" t="s">
        <v>616</v>
      </c>
      <c r="AU160" s="2">
        <v>45999.0</v>
      </c>
      <c r="AV160" s="2">
        <v>46007.0506944444</v>
      </c>
      <c r="AW160" s="1">
        <v>9.0</v>
      </c>
      <c r="AX160" s="1">
        <v>760992.0</v>
      </c>
      <c r="AY160" s="1">
        <v>736.0</v>
      </c>
      <c r="AZ160" s="1">
        <v>2.0</v>
      </c>
      <c r="BA160" s="1">
        <v>0.0</v>
      </c>
      <c r="BB160" s="1">
        <v>0.0</v>
      </c>
      <c r="BC160" s="2">
        <v>45999.0</v>
      </c>
      <c r="BD160" s="1">
        <v>49.0</v>
      </c>
      <c r="BE160" s="1" t="s">
        <v>550</v>
      </c>
      <c r="BF160" s="1">
        <v>2025.0</v>
      </c>
      <c r="BG160" s="1" t="s">
        <v>558</v>
      </c>
      <c r="BH160" s="7" t="str">
        <f>VLOOKUP(B160,CookieClicks!D:O,12,FALSE)</f>
        <v>https://www.method.me/crm-quickbooks/pricing/</v>
      </c>
      <c r="BI160" s="8" t="str">
        <f>IFERROR(__xludf.DUMMYFUNCTION("VLOOKUP(REGEXREPLACE(BH160,""[?].*"",""""),ContentBuckets!A:C,2,FALSE)"),"/crm-quickbooks/")</f>
        <v>/crm-quickbooks/</v>
      </c>
      <c r="BJ160" s="8" t="str">
        <f>IFERROR(__xludf.DUMMYFUNCTION("VLOOKUP(REGEXREPLACE(BH160,""[?].*"",""""),ContentBuckets!A:C,3,FALSE)"),"Other page")</f>
        <v>Other page</v>
      </c>
    </row>
    <row r="161" ht="14.25" customHeight="1">
      <c r="A161" s="1">
        <v>153312.0</v>
      </c>
      <c r="B161" s="1" t="s">
        <v>806</v>
      </c>
      <c r="C161" s="2">
        <v>45999.4243055556</v>
      </c>
      <c r="D161" s="2"/>
      <c r="E161" s="2"/>
      <c r="F161" s="1" t="b">
        <v>1</v>
      </c>
      <c r="G161" s="4" t="b">
        <v>0</v>
      </c>
      <c r="H161" s="1" t="b">
        <v>0</v>
      </c>
      <c r="I161" s="1" t="b">
        <v>0</v>
      </c>
      <c r="J161" s="1" t="s">
        <v>534</v>
      </c>
      <c r="K161" s="1" t="s">
        <v>553</v>
      </c>
      <c r="L161" s="1" t="s">
        <v>599</v>
      </c>
      <c r="M161" s="1" t="s">
        <v>537</v>
      </c>
      <c r="N161" s="1">
        <v>0.0</v>
      </c>
      <c r="O161" s="1">
        <v>44.25</v>
      </c>
      <c r="P161" s="1">
        <v>0.0</v>
      </c>
      <c r="Q161" s="1">
        <v>0.0</v>
      </c>
      <c r="R161" s="1">
        <v>0.0</v>
      </c>
      <c r="S161" s="1" t="s">
        <v>538</v>
      </c>
      <c r="T161" s="1" t="s">
        <v>539</v>
      </c>
      <c r="V161" s="4">
        <v>7273486.0</v>
      </c>
      <c r="W161" s="4" t="s">
        <v>540</v>
      </c>
      <c r="X161" s="4">
        <v>0.0</v>
      </c>
      <c r="Y161" s="1">
        <v>1.0</v>
      </c>
      <c r="Z161" s="1">
        <v>0.0</v>
      </c>
      <c r="AA161" s="1">
        <v>0.0</v>
      </c>
      <c r="AB161" s="1">
        <v>0.0</v>
      </c>
      <c r="AC161" s="1">
        <v>0.0</v>
      </c>
      <c r="AD161" s="1">
        <v>0.0</v>
      </c>
      <c r="AE161" s="1">
        <v>0.0</v>
      </c>
      <c r="AF161" s="1">
        <v>0.0</v>
      </c>
      <c r="AG161" s="1">
        <v>0.0</v>
      </c>
      <c r="AH161" s="1">
        <v>0.0</v>
      </c>
      <c r="AI161" s="1">
        <v>0.0</v>
      </c>
      <c r="AJ161" s="1">
        <v>0.0</v>
      </c>
      <c r="AK161" s="1">
        <v>0.0</v>
      </c>
      <c r="AL161" s="1">
        <v>0.0</v>
      </c>
      <c r="AM161" s="4">
        <v>0.0</v>
      </c>
      <c r="AN161" s="1">
        <v>0.0</v>
      </c>
      <c r="AO161" s="4">
        <v>0.0</v>
      </c>
      <c r="AP161" s="1">
        <f t="shared" si="1"/>
        <v>0</v>
      </c>
      <c r="AU161" s="2"/>
      <c r="AV161" s="2">
        <v>46024.0083333333</v>
      </c>
      <c r="AW161" s="1">
        <v>0.0</v>
      </c>
      <c r="AX161" s="1">
        <v>0.0</v>
      </c>
      <c r="AY161" s="1">
        <v>0.0</v>
      </c>
      <c r="AZ161" s="1">
        <v>1.0</v>
      </c>
      <c r="BA161" s="1">
        <v>0.0</v>
      </c>
      <c r="BB161" s="1">
        <v>0.0</v>
      </c>
      <c r="BC161" s="2">
        <v>45999.0</v>
      </c>
      <c r="BD161" s="1">
        <v>49.0</v>
      </c>
      <c r="BE161" s="1" t="s">
        <v>550</v>
      </c>
      <c r="BF161" s="1">
        <v>2025.0</v>
      </c>
      <c r="BG161" s="1" t="s">
        <v>558</v>
      </c>
      <c r="BH161" s="7" t="str">
        <f>VLOOKUP(B161,CookieClicks!D:O,12,FALSE)</f>
        <v>https://www.method.me/blog/process-ach-payments-quickbooks-online/</v>
      </c>
      <c r="BI161" s="8" t="str">
        <f>IFERROR(__xludf.DUMMYFUNCTION("VLOOKUP(REGEXREPLACE(BH161,""[?].*"",""""),ContentBuckets!A:C,2,FALSE)"),"QuickBooks - How-to")</f>
        <v>QuickBooks - How-to</v>
      </c>
      <c r="BJ161" s="8" t="str">
        <f>IFERROR(__xludf.DUMMYFUNCTION("VLOOKUP(REGEXREPLACE(BH161,""[?].*"",""""),ContentBuckets!A:C,3,FALSE)"),"Blog")</f>
        <v>Blog</v>
      </c>
    </row>
    <row r="162" ht="14.25" customHeight="1">
      <c r="A162" s="1">
        <v>153313.0</v>
      </c>
      <c r="B162" s="1" t="s">
        <v>807</v>
      </c>
      <c r="C162" s="2">
        <v>45999.4597222222</v>
      </c>
      <c r="D162" s="2">
        <v>46002.4784722222</v>
      </c>
      <c r="E162" s="2"/>
      <c r="F162" s="1" t="b">
        <v>0</v>
      </c>
      <c r="G162" s="4" t="b">
        <v>1</v>
      </c>
      <c r="H162" s="1" t="b">
        <v>0</v>
      </c>
      <c r="I162" s="1" t="b">
        <v>0</v>
      </c>
      <c r="J162" s="1" t="s">
        <v>534</v>
      </c>
      <c r="K162" s="1" t="s">
        <v>535</v>
      </c>
      <c r="L162" s="1" t="s">
        <v>536</v>
      </c>
      <c r="M162" s="1" t="s">
        <v>537</v>
      </c>
      <c r="N162" s="1">
        <v>0.0</v>
      </c>
      <c r="O162" s="1">
        <v>72.75</v>
      </c>
      <c r="P162" s="1">
        <v>0.0</v>
      </c>
      <c r="Q162" s="1">
        <v>0.0</v>
      </c>
      <c r="R162" s="1">
        <v>28.0</v>
      </c>
      <c r="S162" s="1" t="s">
        <v>538</v>
      </c>
      <c r="T162" s="1" t="s">
        <v>539</v>
      </c>
      <c r="V162" s="4">
        <v>7201522.0</v>
      </c>
      <c r="W162" s="4"/>
      <c r="X162" s="4">
        <v>1.0</v>
      </c>
      <c r="Y162" s="1">
        <v>0.0</v>
      </c>
      <c r="Z162" s="1">
        <v>0.0</v>
      </c>
      <c r="AA162" s="1">
        <v>0.0</v>
      </c>
      <c r="AB162" s="1">
        <v>0.0</v>
      </c>
      <c r="AC162" s="1">
        <v>0.0</v>
      </c>
      <c r="AD162" s="1">
        <v>0.0</v>
      </c>
      <c r="AE162" s="1">
        <v>0.0</v>
      </c>
      <c r="AF162" s="1">
        <v>0.0</v>
      </c>
      <c r="AG162" s="1">
        <v>0.0</v>
      </c>
      <c r="AH162" s="1">
        <v>0.0</v>
      </c>
      <c r="AI162" s="1">
        <v>0.0</v>
      </c>
      <c r="AJ162" s="1">
        <v>0.0</v>
      </c>
      <c r="AK162" s="1">
        <v>0.0</v>
      </c>
      <c r="AL162" s="1">
        <v>0.0</v>
      </c>
      <c r="AM162" s="4">
        <v>0.0</v>
      </c>
      <c r="AN162" s="1">
        <v>0.0</v>
      </c>
      <c r="AO162" s="4">
        <v>0.0</v>
      </c>
      <c r="AP162" s="1">
        <f t="shared" si="1"/>
        <v>0</v>
      </c>
      <c r="AR162" s="1" t="s">
        <v>542</v>
      </c>
      <c r="AU162" s="2"/>
      <c r="AV162" s="2">
        <v>46002.0479166667</v>
      </c>
      <c r="AW162" s="1">
        <v>0.0</v>
      </c>
      <c r="AX162" s="1">
        <v>0.0</v>
      </c>
      <c r="AY162" s="1">
        <v>0.0</v>
      </c>
      <c r="AZ162" s="1">
        <v>1.0</v>
      </c>
      <c r="BA162" s="1">
        <v>0.0</v>
      </c>
      <c r="BB162" s="1">
        <v>0.0</v>
      </c>
      <c r="BC162" s="2">
        <v>45999.0</v>
      </c>
      <c r="BD162" s="1">
        <v>49.0</v>
      </c>
      <c r="BE162" s="1" t="s">
        <v>550</v>
      </c>
      <c r="BF162" s="1">
        <v>2025.0</v>
      </c>
      <c r="BG162" s="1" t="s">
        <v>808</v>
      </c>
      <c r="BH162" s="7" t="str">
        <f>VLOOKUP(B162,CookieClicks!D:O,12,FALSE)</f>
        <v>https://www.method.me/industries/construction-crm-software/</v>
      </c>
      <c r="BI162" s="8" t="str">
        <f>IFERROR(__xludf.DUMMYFUNCTION("VLOOKUP(REGEXREPLACE(BH162,""[?].*"",""""),ContentBuckets!A:C,2,FALSE)"),"Industries page")</f>
        <v>Industries page</v>
      </c>
      <c r="BJ162" s="8" t="str">
        <f>IFERROR(__xludf.DUMMYFUNCTION("VLOOKUP(REGEXREPLACE(BH162,""[?].*"",""""),ContentBuckets!A:C,3,FALSE)"),"Other page")</f>
        <v>Other page</v>
      </c>
    </row>
    <row r="163" ht="14.25" customHeight="1">
      <c r="A163" s="1">
        <v>153314.0</v>
      </c>
      <c r="B163" s="1" t="s">
        <v>809</v>
      </c>
      <c r="C163" s="2">
        <v>45999.4625</v>
      </c>
      <c r="D163" s="2"/>
      <c r="E163" s="2"/>
      <c r="F163" s="1" t="b">
        <v>1</v>
      </c>
      <c r="G163" s="4" t="b">
        <v>0</v>
      </c>
      <c r="H163" s="1" t="b">
        <v>0</v>
      </c>
      <c r="I163" s="1" t="b">
        <v>0</v>
      </c>
      <c r="J163" s="1" t="s">
        <v>534</v>
      </c>
      <c r="K163" s="1" t="s">
        <v>535</v>
      </c>
      <c r="L163" s="1" t="s">
        <v>536</v>
      </c>
      <c r="M163" s="1" t="s">
        <v>537</v>
      </c>
      <c r="N163" s="1">
        <v>0.0</v>
      </c>
      <c r="O163" s="1">
        <v>44.25</v>
      </c>
      <c r="P163" s="1">
        <v>0.0</v>
      </c>
      <c r="Q163" s="1">
        <v>0.0</v>
      </c>
      <c r="R163" s="1">
        <v>0.0</v>
      </c>
      <c r="S163" s="1" t="s">
        <v>538</v>
      </c>
      <c r="T163" s="1" t="s">
        <v>539</v>
      </c>
      <c r="V163" s="4">
        <v>7274020.0</v>
      </c>
      <c r="W163" s="4"/>
      <c r="X163" s="4">
        <v>0.0</v>
      </c>
      <c r="Y163" s="1">
        <v>0.0</v>
      </c>
      <c r="Z163" s="1">
        <v>0.0</v>
      </c>
      <c r="AA163" s="1">
        <v>1.0</v>
      </c>
      <c r="AB163" s="1">
        <v>0.0</v>
      </c>
      <c r="AC163" s="1">
        <v>0.0</v>
      </c>
      <c r="AD163" s="1">
        <v>0.0</v>
      </c>
      <c r="AE163" s="1">
        <v>0.0</v>
      </c>
      <c r="AF163" s="1">
        <v>0.0</v>
      </c>
      <c r="AG163" s="1">
        <v>0.0</v>
      </c>
      <c r="AH163" s="1">
        <v>0.0</v>
      </c>
      <c r="AI163" s="1">
        <v>0.0</v>
      </c>
      <c r="AJ163" s="1">
        <v>0.0</v>
      </c>
      <c r="AK163" s="1">
        <v>0.0</v>
      </c>
      <c r="AL163" s="1">
        <v>0.0</v>
      </c>
      <c r="AM163" s="4">
        <v>0.0</v>
      </c>
      <c r="AN163" s="1">
        <v>0.0</v>
      </c>
      <c r="AO163" s="4">
        <v>0.0</v>
      </c>
      <c r="AP163" s="1">
        <f t="shared" si="1"/>
        <v>0</v>
      </c>
      <c r="AU163" s="2">
        <v>45999.0</v>
      </c>
      <c r="AV163" s="2">
        <v>46023.9868055556</v>
      </c>
      <c r="AW163" s="1">
        <v>0.0</v>
      </c>
      <c r="AX163" s="1">
        <v>0.0</v>
      </c>
      <c r="AY163" s="1">
        <v>0.0</v>
      </c>
      <c r="AZ163" s="1">
        <v>1.0</v>
      </c>
      <c r="BA163" s="1">
        <v>0.0</v>
      </c>
      <c r="BB163" s="1">
        <v>0.0</v>
      </c>
      <c r="BC163" s="2">
        <v>45999.0</v>
      </c>
      <c r="BD163" s="1">
        <v>49.0</v>
      </c>
      <c r="BE163" s="1" t="s">
        <v>550</v>
      </c>
      <c r="BF163" s="1">
        <v>2025.0</v>
      </c>
      <c r="BG163" s="1" t="s">
        <v>558</v>
      </c>
      <c r="BH163" s="1" t="str">
        <f>VLOOKUP(B163,CookieClicks!D:O,12,FALSE)</f>
        <v>https://grow.method.me/qb-payment/?trc=81&amp;trk=quickbooks payment processor&amp;trs=US-payment&amp;campaignid=19733246298&amp;adgroupid=146278163933&amp;adid=649435146420&amp;gad_source=1&amp;gad_campaignid=19733246298&amp;gclid=Cj0KCQiAi9rJBhCYARIsALyPDtt7UJYIWORyaqzSU9TBL_SWgMwZy7NHCz__WR5cA-4R-XyYomzuFz0aAmiEEALw_wcB</v>
      </c>
      <c r="BI163" s="8" t="str">
        <f>IFERROR(__xludf.DUMMYFUNCTION("VLOOKUP(REGEXREPLACE(BH163,""[?].*"",""""),ContentBuckets!A:C,2,FALSE)"),"#N/A")</f>
        <v>#N/A</v>
      </c>
      <c r="BJ163" s="8" t="str">
        <f>IFERROR(__xludf.DUMMYFUNCTION("VLOOKUP(REGEXREPLACE(BH163,""[?].*"",""""),ContentBuckets!A:C,3,FALSE)"),"#N/A")</f>
        <v>#N/A</v>
      </c>
    </row>
    <row r="164" ht="14.25" customHeight="1">
      <c r="A164" s="1">
        <v>153315.0</v>
      </c>
      <c r="B164" s="1" t="s">
        <v>810</v>
      </c>
      <c r="C164" s="2">
        <v>45999.5013888889</v>
      </c>
      <c r="D164" s="2"/>
      <c r="E164" s="2"/>
      <c r="F164" s="1" t="b">
        <v>1</v>
      </c>
      <c r="G164" s="4" t="b">
        <v>0</v>
      </c>
      <c r="H164" s="1" t="b">
        <v>0</v>
      </c>
      <c r="I164" s="1" t="b">
        <v>0</v>
      </c>
      <c r="J164" s="1" t="s">
        <v>534</v>
      </c>
      <c r="K164" s="1" t="s">
        <v>566</v>
      </c>
      <c r="L164" s="1" t="s">
        <v>567</v>
      </c>
      <c r="M164" s="1" t="s">
        <v>537</v>
      </c>
      <c r="N164" s="1">
        <v>0.0</v>
      </c>
      <c r="O164" s="1">
        <v>62.25</v>
      </c>
      <c r="P164" s="1">
        <v>0.0</v>
      </c>
      <c r="Q164" s="1">
        <v>0.0</v>
      </c>
      <c r="R164" s="1">
        <v>28.0</v>
      </c>
      <c r="S164" s="1" t="s">
        <v>538</v>
      </c>
      <c r="T164" s="1" t="s">
        <v>539</v>
      </c>
      <c r="V164" s="4">
        <v>7196193.0</v>
      </c>
      <c r="W164" s="4"/>
      <c r="X164" s="4">
        <v>0.0</v>
      </c>
      <c r="Y164" s="1">
        <v>0.0</v>
      </c>
      <c r="Z164" s="1">
        <v>0.0</v>
      </c>
      <c r="AA164" s="1">
        <v>0.0</v>
      </c>
      <c r="AB164" s="1">
        <v>0.0</v>
      </c>
      <c r="AC164" s="1">
        <v>1.0</v>
      </c>
      <c r="AD164" s="1">
        <v>0.0</v>
      </c>
      <c r="AE164" s="1">
        <v>0.0</v>
      </c>
      <c r="AF164" s="1">
        <v>0.0</v>
      </c>
      <c r="AG164" s="1">
        <v>0.0</v>
      </c>
      <c r="AH164" s="1">
        <v>0.0</v>
      </c>
      <c r="AI164" s="1">
        <v>0.0</v>
      </c>
      <c r="AJ164" s="1">
        <v>0.0</v>
      </c>
      <c r="AK164" s="1">
        <v>0.0</v>
      </c>
      <c r="AL164" s="1">
        <v>0.0</v>
      </c>
      <c r="AM164" s="4">
        <v>0.0</v>
      </c>
      <c r="AN164" s="1">
        <v>0.0</v>
      </c>
      <c r="AO164" s="4">
        <v>0.0</v>
      </c>
      <c r="AP164" s="1">
        <f t="shared" si="1"/>
        <v>0</v>
      </c>
      <c r="AR164" s="1" t="s">
        <v>549</v>
      </c>
      <c r="AU164" s="2"/>
      <c r="AV164" s="2">
        <v>46024.0208333333</v>
      </c>
      <c r="AW164" s="1">
        <v>0.0</v>
      </c>
      <c r="AX164" s="1">
        <v>0.0</v>
      </c>
      <c r="AY164" s="1">
        <v>0.0</v>
      </c>
      <c r="AZ164" s="1">
        <v>1.0</v>
      </c>
      <c r="BA164" s="1">
        <v>0.0</v>
      </c>
      <c r="BB164" s="1">
        <v>0.0</v>
      </c>
      <c r="BC164" s="2">
        <v>45999.0</v>
      </c>
      <c r="BD164" s="1">
        <v>49.0</v>
      </c>
      <c r="BE164" s="1" t="s">
        <v>550</v>
      </c>
      <c r="BF164" s="1">
        <v>2025.0</v>
      </c>
      <c r="BG164" s="1" t="s">
        <v>558</v>
      </c>
      <c r="BH164" s="1" t="str">
        <f>VLOOKUP(B164,CookieClicks!D:O,12,FALSE)</f>
        <v>https://grow.method.me/black-friday-cyber-monday-2025/?trc=711&amp;trk=CTA&amp;trs=Email2&amp;utm_campaign=%5B6733%5D%3A 2 5 Black Friday Promo - Leads&amp;utm_content=Our Black Friday Sale is HERE - 25  off First 3 Months&amp;utm_medium=email&amp;utm_source=ActiveCampaign&amp;vgo_ee=tt7nmnPHu5ys6J8d3IZgXPPOsZ2nSZuZSRnqg6FKX%2BkiP54%3D%3A0m%2FZ8gEgnf0hVbZBbcrUx7bzNe2LchQh</v>
      </c>
      <c r="BI164" s="8" t="str">
        <f>IFERROR(__xludf.DUMMYFUNCTION("VLOOKUP(REGEXREPLACE(BH164,""[?].*"",""""),ContentBuckets!A:C,2,FALSE)"),"#N/A")</f>
        <v>#N/A</v>
      </c>
      <c r="BJ164" s="8" t="str">
        <f>IFERROR(__xludf.DUMMYFUNCTION("VLOOKUP(REGEXREPLACE(BH164,""[?].*"",""""),ContentBuckets!A:C,3,FALSE)"),"#N/A")</f>
        <v>#N/A</v>
      </c>
    </row>
    <row r="165" ht="14.25" customHeight="1">
      <c r="A165" s="1">
        <v>153316.0</v>
      </c>
      <c r="B165" s="1" t="s">
        <v>811</v>
      </c>
      <c r="C165" s="2">
        <v>45999.5361111111</v>
      </c>
      <c r="D165" s="2">
        <v>46002.4965277778</v>
      </c>
      <c r="E165" s="2"/>
      <c r="F165" s="1" t="b">
        <v>0</v>
      </c>
      <c r="G165" s="4" t="b">
        <v>0</v>
      </c>
      <c r="H165" s="1" t="b">
        <v>0</v>
      </c>
      <c r="I165" s="1" t="b">
        <v>0</v>
      </c>
      <c r="J165" s="1" t="s">
        <v>534</v>
      </c>
      <c r="K165" s="1" t="s">
        <v>535</v>
      </c>
      <c r="L165" s="1" t="s">
        <v>536</v>
      </c>
      <c r="M165" s="1" t="s">
        <v>537</v>
      </c>
      <c r="N165" s="1">
        <v>0.0</v>
      </c>
      <c r="O165" s="1">
        <v>53.25</v>
      </c>
      <c r="P165" s="1">
        <v>0.0</v>
      </c>
      <c r="Q165" s="1">
        <v>0.0</v>
      </c>
      <c r="R165" s="1">
        <v>0.0</v>
      </c>
      <c r="S165" s="1" t="s">
        <v>538</v>
      </c>
      <c r="T165" s="1" t="s">
        <v>539</v>
      </c>
      <c r="V165" s="4">
        <v>7275272.0</v>
      </c>
      <c r="W165" s="4"/>
      <c r="X165" s="4">
        <v>0.0</v>
      </c>
      <c r="Y165" s="1">
        <v>0.0</v>
      </c>
      <c r="Z165" s="1">
        <v>0.0</v>
      </c>
      <c r="AA165" s="1">
        <v>1.0</v>
      </c>
      <c r="AB165" s="1">
        <v>0.0</v>
      </c>
      <c r="AC165" s="1">
        <v>0.0</v>
      </c>
      <c r="AD165" s="1">
        <v>0.0</v>
      </c>
      <c r="AE165" s="1">
        <v>0.0</v>
      </c>
      <c r="AF165" s="1">
        <v>0.0</v>
      </c>
      <c r="AG165" s="1">
        <v>0.0</v>
      </c>
      <c r="AH165" s="1">
        <v>0.0</v>
      </c>
      <c r="AI165" s="1">
        <v>0.0</v>
      </c>
      <c r="AJ165" s="1">
        <v>0.0</v>
      </c>
      <c r="AK165" s="1">
        <v>0.0</v>
      </c>
      <c r="AL165" s="1">
        <v>0.0</v>
      </c>
      <c r="AM165" s="4">
        <v>0.0</v>
      </c>
      <c r="AN165" s="1">
        <v>0.0</v>
      </c>
      <c r="AO165" s="4">
        <v>0.0</v>
      </c>
      <c r="AP165" s="1">
        <f t="shared" si="1"/>
        <v>0</v>
      </c>
      <c r="AQ165" s="1" t="s">
        <v>557</v>
      </c>
      <c r="AT165" s="1" t="s">
        <v>812</v>
      </c>
      <c r="AU165" s="2">
        <v>45999.0</v>
      </c>
      <c r="AV165" s="2">
        <v>46002.0027777778</v>
      </c>
      <c r="AW165" s="1">
        <v>0.0</v>
      </c>
      <c r="AX165" s="1">
        <v>628404.0</v>
      </c>
      <c r="AY165" s="1">
        <v>87.0</v>
      </c>
      <c r="AZ165" s="1">
        <v>1.0</v>
      </c>
      <c r="BA165" s="1">
        <v>0.0</v>
      </c>
      <c r="BB165" s="1">
        <v>0.0</v>
      </c>
      <c r="BC165" s="2">
        <v>45999.0</v>
      </c>
      <c r="BD165" s="1">
        <v>49.0</v>
      </c>
      <c r="BE165" s="1" t="s">
        <v>550</v>
      </c>
      <c r="BF165" s="1">
        <v>2025.0</v>
      </c>
      <c r="BG165" s="1" t="s">
        <v>558</v>
      </c>
      <c r="BH165" s="1" t="str">
        <f>VLOOKUP(B165,CookieClicks!D:O,12,FALSE)</f>
        <v>https://grow.method.me/crm-quickbooks/?trc=81&amp;trk=crm with quickbooks&amp;trs=USA-QB-G&amp;campaignid=1543381580&amp;adgroupid=61437797000&amp;adid=704678754673&amp;gad_source=1&amp;gad_campaignid=1543381580&amp;gbraid=0AAAAAD3Itnbw1EiYK0OtaCjUxAIHtoaFP&amp;gclid=Cj0KCQiAi9rJBhCYARIsALyPDtsqt88s8wS99FipAzv9-pTLVR8pPljWrG8XH-sgsngZ_4MB0QD8N4QaAnhmEALw_wcB</v>
      </c>
      <c r="BI165" s="8" t="str">
        <f>IFERROR(__xludf.DUMMYFUNCTION("VLOOKUP(REGEXREPLACE(BH165,""[?].*"",""""),ContentBuckets!A:C,2,FALSE)"),"#N/A")</f>
        <v>#N/A</v>
      </c>
      <c r="BJ165" s="8" t="str">
        <f>IFERROR(__xludf.DUMMYFUNCTION("VLOOKUP(REGEXREPLACE(BH165,""[?].*"",""""),ContentBuckets!A:C,3,FALSE)"),"#N/A")</f>
        <v>#N/A</v>
      </c>
    </row>
    <row r="166" ht="14.25" customHeight="1">
      <c r="A166" s="1">
        <v>153317.0</v>
      </c>
      <c r="B166" s="1" t="s">
        <v>813</v>
      </c>
      <c r="C166" s="2">
        <v>45999.5520833333</v>
      </c>
      <c r="D166" s="2"/>
      <c r="E166" s="2"/>
      <c r="F166" s="1" t="b">
        <v>1</v>
      </c>
      <c r="G166" s="4" t="b">
        <v>0</v>
      </c>
      <c r="H166" s="1" t="b">
        <v>0</v>
      </c>
      <c r="I166" s="1" t="b">
        <v>0</v>
      </c>
      <c r="J166" s="1" t="s">
        <v>534</v>
      </c>
      <c r="K166" s="1" t="s">
        <v>535</v>
      </c>
      <c r="L166" s="1" t="s">
        <v>536</v>
      </c>
      <c r="M166" s="1" t="s">
        <v>537</v>
      </c>
      <c r="N166" s="1">
        <v>0.0</v>
      </c>
      <c r="O166" s="1">
        <v>63.75</v>
      </c>
      <c r="P166" s="1">
        <v>0.0</v>
      </c>
      <c r="Q166" s="1">
        <v>0.0</v>
      </c>
      <c r="R166" s="1">
        <v>28.0</v>
      </c>
      <c r="S166" s="1" t="s">
        <v>538</v>
      </c>
      <c r="T166" s="1" t="s">
        <v>539</v>
      </c>
      <c r="V166" s="4">
        <v>7260101.0</v>
      </c>
      <c r="W166" s="4"/>
      <c r="X166" s="4">
        <v>0.0</v>
      </c>
      <c r="Y166" s="1">
        <v>0.0</v>
      </c>
      <c r="Z166" s="1">
        <v>0.0</v>
      </c>
      <c r="AA166" s="1">
        <v>1.0</v>
      </c>
      <c r="AB166" s="1">
        <v>0.0</v>
      </c>
      <c r="AC166" s="1">
        <v>0.0</v>
      </c>
      <c r="AD166" s="1">
        <v>0.0</v>
      </c>
      <c r="AE166" s="1">
        <v>0.0</v>
      </c>
      <c r="AF166" s="1">
        <v>0.0</v>
      </c>
      <c r="AG166" s="1">
        <v>0.0</v>
      </c>
      <c r="AH166" s="1">
        <v>0.0</v>
      </c>
      <c r="AI166" s="1">
        <v>0.0</v>
      </c>
      <c r="AJ166" s="1">
        <v>0.0</v>
      </c>
      <c r="AK166" s="1">
        <v>0.0</v>
      </c>
      <c r="AL166" s="1">
        <v>0.0</v>
      </c>
      <c r="AM166" s="4">
        <v>0.0</v>
      </c>
      <c r="AN166" s="1">
        <v>0.0</v>
      </c>
      <c r="AO166" s="4">
        <v>0.0</v>
      </c>
      <c r="AP166" s="1">
        <f t="shared" si="1"/>
        <v>0</v>
      </c>
      <c r="AQ166" s="1" t="s">
        <v>557</v>
      </c>
      <c r="AR166" s="1" t="s">
        <v>560</v>
      </c>
      <c r="AU166" s="2">
        <v>45999.0</v>
      </c>
      <c r="AV166" s="2">
        <v>46023.99375</v>
      </c>
      <c r="AW166" s="1">
        <v>0.0</v>
      </c>
      <c r="AX166" s="1">
        <v>0.0</v>
      </c>
      <c r="AY166" s="1">
        <v>0.0</v>
      </c>
      <c r="AZ166" s="1">
        <v>1.0</v>
      </c>
      <c r="BA166" s="1">
        <v>0.0</v>
      </c>
      <c r="BB166" s="1">
        <v>0.0</v>
      </c>
      <c r="BC166" s="2">
        <v>45999.0</v>
      </c>
      <c r="BD166" s="1">
        <v>49.0</v>
      </c>
      <c r="BE166" s="1" t="s">
        <v>550</v>
      </c>
      <c r="BF166" s="1">
        <v>2025.0</v>
      </c>
      <c r="BG166" s="1" t="s">
        <v>558</v>
      </c>
      <c r="BH166" s="7" t="str">
        <f>VLOOKUP(B166,CookieClicks!D:O,12,FALSE)</f>
        <v>https://grow.method.me/best-quickbooks-crm/?trc=517&amp;trk=1CRM&amp;trs=FB-Lookalike&amp;utm_source=Facebook&amp;utm_medium=PPC&amp;utm_campaign=Banner_trial&amp;utm_id=120213444289450307&amp;utm_content=120232952122110307&amp;utm_term=120215433068320307&amp;fbclid=PAZXh0bgNhZW0BMABhZGlkAasqO0I3zLNzcnRjBmFwcF9pZA8xMjQwMjQ1NzQyODc0MTQAAafa2ppve6jQgeTibA7yyDqe2mStcvrlb9HBgbN4hHkBSuiHi9fBswbTkElpBQ_aem_WAtdlQHpnPv-x7p1QIERLA&amp;campaign_id=120213444289450307&amp;ad_id=120232952122110307</v>
      </c>
      <c r="BI166" s="8" t="str">
        <f>IFERROR(__xludf.DUMMYFUNCTION("VLOOKUP(REGEXREPLACE(BH166,""[?].*"",""""),ContentBuckets!A:C,2,FALSE)"),"#N/A")</f>
        <v>#N/A</v>
      </c>
      <c r="BJ166" s="8" t="str">
        <f>IFERROR(__xludf.DUMMYFUNCTION("VLOOKUP(REGEXREPLACE(BH166,""[?].*"",""""),ContentBuckets!A:C,3,FALSE)"),"#N/A")</f>
        <v>#N/A</v>
      </c>
    </row>
    <row r="167" ht="14.25" customHeight="1">
      <c r="A167" s="1">
        <v>153318.0</v>
      </c>
      <c r="B167" s="1" t="s">
        <v>814</v>
      </c>
      <c r="C167" s="2">
        <v>45999.5770833333</v>
      </c>
      <c r="D167" s="2"/>
      <c r="E167" s="2"/>
      <c r="F167" s="1" t="b">
        <v>1</v>
      </c>
      <c r="G167" s="4" t="b">
        <v>0</v>
      </c>
      <c r="H167" s="1" t="b">
        <v>0</v>
      </c>
      <c r="I167" s="1" t="b">
        <v>0</v>
      </c>
      <c r="J167" s="1" t="s">
        <v>534</v>
      </c>
      <c r="K167" s="1" t="s">
        <v>535</v>
      </c>
      <c r="L167" s="1" t="s">
        <v>536</v>
      </c>
      <c r="M167" s="1" t="s">
        <v>537</v>
      </c>
      <c r="N167" s="1">
        <v>0.0</v>
      </c>
      <c r="O167" s="1">
        <v>54.75</v>
      </c>
      <c r="P167" s="1">
        <v>0.0</v>
      </c>
      <c r="Q167" s="1">
        <v>0.0</v>
      </c>
      <c r="R167" s="1">
        <v>28.0</v>
      </c>
      <c r="S167" s="1" t="s">
        <v>538</v>
      </c>
      <c r="T167" s="1" t="s">
        <v>539</v>
      </c>
      <c r="V167" s="4">
        <v>7244828.0</v>
      </c>
      <c r="W167" s="4" t="s">
        <v>540</v>
      </c>
      <c r="X167" s="4">
        <v>0.0</v>
      </c>
      <c r="Y167" s="1">
        <v>1.0</v>
      </c>
      <c r="Z167" s="1">
        <v>0.0</v>
      </c>
      <c r="AA167" s="1">
        <v>0.0</v>
      </c>
      <c r="AB167" s="1">
        <v>0.0</v>
      </c>
      <c r="AC167" s="1">
        <v>0.0</v>
      </c>
      <c r="AD167" s="1">
        <v>0.0</v>
      </c>
      <c r="AE167" s="1">
        <v>0.0</v>
      </c>
      <c r="AF167" s="1">
        <v>0.0</v>
      </c>
      <c r="AG167" s="1">
        <v>0.0</v>
      </c>
      <c r="AH167" s="1">
        <v>0.0</v>
      </c>
      <c r="AI167" s="1">
        <v>0.0</v>
      </c>
      <c r="AJ167" s="1">
        <v>0.0</v>
      </c>
      <c r="AK167" s="1">
        <v>0.0</v>
      </c>
      <c r="AL167" s="1">
        <v>0.0</v>
      </c>
      <c r="AM167" s="4">
        <v>0.0</v>
      </c>
      <c r="AN167" s="1">
        <v>0.0</v>
      </c>
      <c r="AO167" s="4">
        <v>0.0</v>
      </c>
      <c r="AP167" s="1">
        <f t="shared" si="1"/>
        <v>0</v>
      </c>
      <c r="AR167" s="1" t="s">
        <v>560</v>
      </c>
      <c r="AU167" s="2"/>
      <c r="AV167" s="2">
        <v>46024.0</v>
      </c>
      <c r="AW167" s="1">
        <v>0.0</v>
      </c>
      <c r="AX167" s="1">
        <v>0.0</v>
      </c>
      <c r="AY167" s="1">
        <v>0.0</v>
      </c>
      <c r="AZ167" s="1">
        <v>1.0</v>
      </c>
      <c r="BA167" s="1">
        <v>0.0</v>
      </c>
      <c r="BB167" s="1">
        <v>0.0</v>
      </c>
      <c r="BC167" s="2">
        <v>45999.0</v>
      </c>
      <c r="BD167" s="1">
        <v>49.0</v>
      </c>
      <c r="BE167" s="1" t="s">
        <v>550</v>
      </c>
      <c r="BF167" s="1">
        <v>2025.0</v>
      </c>
      <c r="BG167" s="1" t="s">
        <v>558</v>
      </c>
      <c r="BH167" s="7" t="str">
        <f>VLOOKUP(B167,CookieClicks!D:O,12,FALSE)</f>
        <v>https://www.method.me/contact-us/?trc=180&amp;trk=contact-us&amp;trs=gmb-profile&amp;utm_source=seo&amp;utm_medium=google&amp;utm_campaign=my-business-profile</v>
      </c>
      <c r="BI167" s="8" t="str">
        <f>IFERROR(__xludf.DUMMYFUNCTION("VLOOKUP(REGEXREPLACE(BH167,""[?].*"",""""),ContentBuckets!A:C,2,FALSE)"),"Other page")</f>
        <v>Other page</v>
      </c>
      <c r="BJ167" s="8" t="str">
        <f>IFERROR(__xludf.DUMMYFUNCTION("VLOOKUP(REGEXREPLACE(BH167,""[?].*"",""""),ContentBuckets!A:C,3,FALSE)"),"Other page")</f>
        <v>Other page</v>
      </c>
    </row>
    <row r="168" ht="14.25" customHeight="1">
      <c r="A168" s="1">
        <v>153319.0</v>
      </c>
      <c r="B168" s="1" t="s">
        <v>815</v>
      </c>
      <c r="C168" s="2">
        <v>45999.5791666667</v>
      </c>
      <c r="D168" s="2"/>
      <c r="E168" s="2"/>
      <c r="F168" s="1" t="b">
        <v>1</v>
      </c>
      <c r="G168" s="4" t="b">
        <v>0</v>
      </c>
      <c r="H168" s="1" t="b">
        <v>0</v>
      </c>
      <c r="I168" s="1" t="b">
        <v>0</v>
      </c>
      <c r="J168" s="1" t="s">
        <v>534</v>
      </c>
      <c r="K168" s="1" t="s">
        <v>553</v>
      </c>
      <c r="L168" s="1" t="s">
        <v>554</v>
      </c>
      <c r="M168" s="1" t="s">
        <v>537</v>
      </c>
      <c r="N168" s="1">
        <v>0.0</v>
      </c>
      <c r="O168" s="1">
        <v>53.25</v>
      </c>
      <c r="P168" s="1">
        <v>0.0</v>
      </c>
      <c r="Q168" s="1">
        <v>0.0</v>
      </c>
      <c r="R168" s="1">
        <v>28.0</v>
      </c>
      <c r="S168" s="1" t="s">
        <v>538</v>
      </c>
      <c r="T168" s="1" t="s">
        <v>725</v>
      </c>
      <c r="U168" s="1" t="s">
        <v>816</v>
      </c>
      <c r="V168" s="4">
        <v>7165234.0</v>
      </c>
      <c r="W168" s="4"/>
      <c r="X168" s="4">
        <v>0.0</v>
      </c>
      <c r="Y168" s="1">
        <v>0.0</v>
      </c>
      <c r="Z168" s="1">
        <v>0.0</v>
      </c>
      <c r="AA168" s="1">
        <v>0.5</v>
      </c>
      <c r="AB168" s="1">
        <v>0.5</v>
      </c>
      <c r="AC168" s="1">
        <v>0.0</v>
      </c>
      <c r="AD168" s="1">
        <v>0.0</v>
      </c>
      <c r="AE168" s="1">
        <v>0.0</v>
      </c>
      <c r="AF168" s="1">
        <v>0.0</v>
      </c>
      <c r="AG168" s="1">
        <v>0.0</v>
      </c>
      <c r="AH168" s="1">
        <v>0.0</v>
      </c>
      <c r="AI168" s="1">
        <v>0.0</v>
      </c>
      <c r="AJ168" s="1">
        <v>0.0</v>
      </c>
      <c r="AK168" s="1">
        <v>0.0</v>
      </c>
      <c r="AL168" s="1">
        <v>0.0</v>
      </c>
      <c r="AM168" s="4">
        <v>0.0</v>
      </c>
      <c r="AN168" s="1">
        <v>0.0</v>
      </c>
      <c r="AO168" s="4">
        <v>0.0</v>
      </c>
      <c r="AP168" s="1">
        <f t="shared" si="1"/>
        <v>0</v>
      </c>
      <c r="AR168" s="1" t="s">
        <v>542</v>
      </c>
      <c r="AU168" s="2"/>
      <c r="AV168" s="2">
        <v>46024.0256944444</v>
      </c>
      <c r="AW168" s="1">
        <v>0.0</v>
      </c>
      <c r="AX168" s="1">
        <v>0.0</v>
      </c>
      <c r="AY168" s="1">
        <v>0.0</v>
      </c>
      <c r="AZ168" s="1">
        <v>1.0</v>
      </c>
      <c r="BA168" s="1">
        <v>0.0</v>
      </c>
      <c r="BB168" s="1">
        <v>0.0</v>
      </c>
      <c r="BC168" s="2">
        <v>45999.0</v>
      </c>
      <c r="BD168" s="1">
        <v>49.0</v>
      </c>
      <c r="BE168" s="1" t="s">
        <v>550</v>
      </c>
      <c r="BF168" s="1">
        <v>2025.0</v>
      </c>
      <c r="BG168" s="1" t="s">
        <v>558</v>
      </c>
      <c r="BH168" s="1" t="str">
        <f>VLOOKUP(B168,CookieClicks!D:O,12,FALSE)</f>
        <v>https://grow.method.me/crm-quickbooks/?trc=81&amp;trk=crm with quickbooks&amp;trs=USA-QB-G&amp;campaignid=1543381580&amp;adgroupid=61437797000&amp;adid=704678754673&amp;gad_source=1&amp;gad_campaignid=1543381580&amp;gbraid=0AAAAAD3Itnb_QgxDyuEzdcsTOVFXeP3gV&amp;gclid=CjwKCAiAz_DIBhBJEiwAVH2XwEtF0OxKbpmFG6OmGR7NdJAhSRp8vKrSUgTBF22gf7OPuth03jZzVRoCjCIQAvD_BwE</v>
      </c>
      <c r="BI168" s="8" t="str">
        <f>IFERROR(__xludf.DUMMYFUNCTION("VLOOKUP(REGEXREPLACE(BH168,""[?].*"",""""),ContentBuckets!A:C,2,FALSE)"),"#N/A")</f>
        <v>#N/A</v>
      </c>
      <c r="BJ168" s="8" t="str">
        <f>IFERROR(__xludf.DUMMYFUNCTION("VLOOKUP(REGEXREPLACE(BH168,""[?].*"",""""),ContentBuckets!A:C,3,FALSE)"),"#N/A")</f>
        <v>#N/A</v>
      </c>
    </row>
    <row r="169" ht="14.25" customHeight="1">
      <c r="A169" s="1">
        <v>153320.0</v>
      </c>
      <c r="B169" s="1" t="s">
        <v>817</v>
      </c>
      <c r="C169" s="2">
        <v>45999.5888888889</v>
      </c>
      <c r="D169" s="2"/>
      <c r="E169" s="2"/>
      <c r="F169" s="1" t="b">
        <v>1</v>
      </c>
      <c r="G169" s="4" t="b">
        <v>0</v>
      </c>
      <c r="H169" s="1" t="b">
        <v>0</v>
      </c>
      <c r="I169" s="1" t="b">
        <v>0</v>
      </c>
      <c r="J169" s="1" t="s">
        <v>534</v>
      </c>
      <c r="K169" s="1" t="s">
        <v>535</v>
      </c>
      <c r="L169" s="1" t="s">
        <v>536</v>
      </c>
      <c r="M169" s="1" t="s">
        <v>537</v>
      </c>
      <c r="N169" s="1">
        <v>0.0</v>
      </c>
      <c r="O169" s="1">
        <v>70.5</v>
      </c>
      <c r="P169" s="1">
        <v>0.0</v>
      </c>
      <c r="Q169" s="1">
        <v>0.0</v>
      </c>
      <c r="R169" s="1">
        <v>0.0</v>
      </c>
      <c r="S169" s="1" t="s">
        <v>538</v>
      </c>
      <c r="T169" s="1" t="s">
        <v>725</v>
      </c>
      <c r="U169" s="1" t="s">
        <v>726</v>
      </c>
      <c r="V169" s="4">
        <v>6579359.0</v>
      </c>
      <c r="W169" s="4"/>
      <c r="X169" s="4">
        <v>0.0</v>
      </c>
      <c r="Y169" s="1">
        <v>0.0</v>
      </c>
      <c r="Z169" s="1">
        <v>0.0</v>
      </c>
      <c r="AA169" s="1">
        <v>0.0</v>
      </c>
      <c r="AB169" s="1">
        <v>1.0</v>
      </c>
      <c r="AC169" s="1">
        <v>0.0</v>
      </c>
      <c r="AD169" s="1">
        <v>0.0</v>
      </c>
      <c r="AE169" s="1">
        <v>0.0</v>
      </c>
      <c r="AF169" s="1">
        <v>0.0</v>
      </c>
      <c r="AG169" s="1">
        <v>0.0</v>
      </c>
      <c r="AH169" s="1">
        <v>0.0</v>
      </c>
      <c r="AI169" s="1">
        <v>0.0</v>
      </c>
      <c r="AJ169" s="1">
        <v>0.0</v>
      </c>
      <c r="AK169" s="1">
        <v>0.0</v>
      </c>
      <c r="AL169" s="1">
        <v>0.0</v>
      </c>
      <c r="AM169" s="4">
        <v>0.0</v>
      </c>
      <c r="AN169" s="1">
        <v>0.0</v>
      </c>
      <c r="AO169" s="4">
        <v>0.0</v>
      </c>
      <c r="AP169" s="1">
        <f t="shared" si="1"/>
        <v>0</v>
      </c>
      <c r="AT169" s="1" t="s">
        <v>818</v>
      </c>
      <c r="AU169" s="2">
        <v>45999.0</v>
      </c>
      <c r="AV169" s="2">
        <v>46024.0159722222</v>
      </c>
      <c r="AW169" s="1">
        <v>0.0</v>
      </c>
      <c r="AX169" s="1">
        <v>0.0</v>
      </c>
      <c r="AY169" s="1">
        <v>239.0</v>
      </c>
      <c r="AZ169" s="1">
        <v>2.0</v>
      </c>
      <c r="BA169" s="1">
        <v>0.0</v>
      </c>
      <c r="BB169" s="1">
        <v>0.0</v>
      </c>
      <c r="BC169" s="2">
        <v>45999.0</v>
      </c>
      <c r="BD169" s="1">
        <v>49.0</v>
      </c>
      <c r="BE169" s="1" t="s">
        <v>550</v>
      </c>
      <c r="BF169" s="1">
        <v>2025.0</v>
      </c>
      <c r="BG169" s="1" t="s">
        <v>558</v>
      </c>
      <c r="BH169" s="7" t="str">
        <f>VLOOKUP(B169,CookieClicks!D:O,12,FALSE)</f>
        <v>https://www.method.me/</v>
      </c>
      <c r="BI169" s="8" t="str">
        <f>IFERROR(__xludf.DUMMYFUNCTION("VLOOKUP(REGEXREPLACE(BH169,""[?].*"",""""),ContentBuckets!A:C,2,FALSE)"),"Homepage")</f>
        <v>Homepage</v>
      </c>
      <c r="BJ169" s="8" t="str">
        <f>IFERROR(__xludf.DUMMYFUNCTION("VLOOKUP(REGEXREPLACE(BH169,""[?].*"",""""),ContentBuckets!A:C,3,FALSE)"),"Other page")</f>
        <v>Other page</v>
      </c>
    </row>
    <row r="170" ht="14.25" customHeight="1">
      <c r="A170" s="1">
        <v>153321.0</v>
      </c>
      <c r="B170" s="1" t="s">
        <v>819</v>
      </c>
      <c r="C170" s="2">
        <v>45999.5972222222</v>
      </c>
      <c r="D170" s="2"/>
      <c r="E170" s="2"/>
      <c r="F170" s="1" t="b">
        <v>1</v>
      </c>
      <c r="G170" s="4" t="b">
        <v>0</v>
      </c>
      <c r="H170" s="1" t="b">
        <v>0</v>
      </c>
      <c r="I170" s="1" t="b">
        <v>0</v>
      </c>
      <c r="J170" s="1" t="s">
        <v>534</v>
      </c>
      <c r="K170" s="1" t="s">
        <v>535</v>
      </c>
      <c r="L170" s="1" t="s">
        <v>536</v>
      </c>
      <c r="M170" s="1" t="s">
        <v>537</v>
      </c>
      <c r="N170" s="1">
        <v>0.0</v>
      </c>
      <c r="O170" s="1">
        <v>40.0</v>
      </c>
      <c r="P170" s="1">
        <v>0.0</v>
      </c>
      <c r="Q170" s="1">
        <v>0.0</v>
      </c>
      <c r="R170" s="1">
        <v>0.0</v>
      </c>
      <c r="S170" s="1" t="s">
        <v>538</v>
      </c>
      <c r="T170" s="1" t="s">
        <v>725</v>
      </c>
      <c r="U170" s="1" t="s">
        <v>726</v>
      </c>
      <c r="V170" s="4">
        <v>0.0</v>
      </c>
      <c r="W170" s="4"/>
      <c r="X170" s="4">
        <v>0.0</v>
      </c>
      <c r="Y170" s="1">
        <v>0.0</v>
      </c>
      <c r="Z170" s="1">
        <v>0.0</v>
      </c>
      <c r="AA170" s="1">
        <v>0.0</v>
      </c>
      <c r="AB170" s="1">
        <v>1.0</v>
      </c>
      <c r="AC170" s="1">
        <v>0.0</v>
      </c>
      <c r="AD170" s="1">
        <v>0.0</v>
      </c>
      <c r="AE170" s="1">
        <v>0.0</v>
      </c>
      <c r="AF170" s="1">
        <v>0.0</v>
      </c>
      <c r="AG170" s="1">
        <v>0.0</v>
      </c>
      <c r="AH170" s="1">
        <v>0.0</v>
      </c>
      <c r="AI170" s="1">
        <v>0.0</v>
      </c>
      <c r="AJ170" s="1">
        <v>0.0</v>
      </c>
      <c r="AK170" s="1">
        <v>0.0</v>
      </c>
      <c r="AL170" s="1">
        <v>0.0</v>
      </c>
      <c r="AM170" s="4">
        <v>0.0</v>
      </c>
      <c r="AN170" s="1">
        <v>0.0</v>
      </c>
      <c r="AO170" s="4">
        <v>0.0</v>
      </c>
      <c r="AP170" s="1">
        <f t="shared" si="1"/>
        <v>0</v>
      </c>
      <c r="AQ170" s="1" t="s">
        <v>557</v>
      </c>
      <c r="AT170" s="1" t="s">
        <v>820</v>
      </c>
      <c r="AU170" s="2">
        <v>45999.0</v>
      </c>
      <c r="AV170" s="2">
        <v>46023.9798611111</v>
      </c>
      <c r="AW170" s="1">
        <v>0.0</v>
      </c>
      <c r="AX170" s="1">
        <v>852708.6</v>
      </c>
      <c r="AY170" s="1">
        <v>40.0</v>
      </c>
      <c r="AZ170" s="1">
        <v>1.0</v>
      </c>
      <c r="BA170" s="1">
        <v>0.0</v>
      </c>
      <c r="BB170" s="1">
        <v>0.0</v>
      </c>
      <c r="BC170" s="2">
        <v>45999.0</v>
      </c>
      <c r="BD170" s="1">
        <v>49.0</v>
      </c>
      <c r="BE170" s="1" t="s">
        <v>550</v>
      </c>
      <c r="BF170" s="1">
        <v>2025.0</v>
      </c>
      <c r="BG170" s="1" t="s">
        <v>558</v>
      </c>
      <c r="BH170" s="1" t="str">
        <f>VLOOKUP(B170,CookieClicks!D:O,12,FALSE)</f>
        <v>#N/A</v>
      </c>
      <c r="BI170" s="8" t="str">
        <f>IFERROR(__xludf.DUMMYFUNCTION("VLOOKUP(REGEXREPLACE(BH170,""[?].*"",""""),ContentBuckets!A:C,2,FALSE)"),"#N/A")</f>
        <v>#N/A</v>
      </c>
      <c r="BJ170" s="8" t="str">
        <f>IFERROR(__xludf.DUMMYFUNCTION("VLOOKUP(REGEXREPLACE(BH170,""[?].*"",""""),ContentBuckets!A:C,3,FALSE)"),"#N/A")</f>
        <v>#N/A</v>
      </c>
    </row>
    <row r="171" ht="14.25" customHeight="1">
      <c r="A171" s="1">
        <v>153322.0</v>
      </c>
      <c r="B171" s="1" t="s">
        <v>821</v>
      </c>
      <c r="C171" s="2">
        <v>45999.5979166667</v>
      </c>
      <c r="D171" s="2"/>
      <c r="E171" s="2"/>
      <c r="F171" s="1" t="b">
        <v>1</v>
      </c>
      <c r="G171" s="4" t="b">
        <v>1</v>
      </c>
      <c r="H171" s="1" t="b">
        <v>0</v>
      </c>
      <c r="I171" s="1" t="b">
        <v>0</v>
      </c>
      <c r="J171" s="1" t="s">
        <v>534</v>
      </c>
      <c r="K171" s="1" t="s">
        <v>535</v>
      </c>
      <c r="L171" s="1" t="s">
        <v>536</v>
      </c>
      <c r="M171" s="1" t="s">
        <v>537</v>
      </c>
      <c r="N171" s="1">
        <v>0.0</v>
      </c>
      <c r="O171" s="1">
        <v>40.0</v>
      </c>
      <c r="P171" s="1">
        <v>0.0</v>
      </c>
      <c r="Q171" s="1">
        <v>0.0</v>
      </c>
      <c r="R171" s="1">
        <v>0.0</v>
      </c>
      <c r="S171" s="1" t="s">
        <v>538</v>
      </c>
      <c r="T171" s="1" t="s">
        <v>725</v>
      </c>
      <c r="U171" s="1" t="s">
        <v>726</v>
      </c>
      <c r="V171" s="4">
        <v>0.0</v>
      </c>
      <c r="W171" s="4"/>
      <c r="X171" s="4">
        <v>0.0</v>
      </c>
      <c r="Y171" s="1">
        <v>0.0</v>
      </c>
      <c r="Z171" s="1">
        <v>0.0</v>
      </c>
      <c r="AA171" s="1">
        <v>0.0</v>
      </c>
      <c r="AB171" s="1">
        <v>1.0</v>
      </c>
      <c r="AC171" s="1">
        <v>0.0</v>
      </c>
      <c r="AD171" s="1">
        <v>0.0</v>
      </c>
      <c r="AE171" s="1">
        <v>0.0</v>
      </c>
      <c r="AF171" s="1">
        <v>0.0</v>
      </c>
      <c r="AG171" s="1">
        <v>0.0</v>
      </c>
      <c r="AH171" s="1">
        <v>0.0</v>
      </c>
      <c r="AI171" s="1">
        <v>0.0</v>
      </c>
      <c r="AJ171" s="1">
        <v>0.0</v>
      </c>
      <c r="AK171" s="1">
        <v>0.0</v>
      </c>
      <c r="AL171" s="1">
        <v>0.0</v>
      </c>
      <c r="AM171" s="4">
        <v>0.0</v>
      </c>
      <c r="AN171" s="1">
        <v>0.0</v>
      </c>
      <c r="AO171" s="4">
        <v>0.0</v>
      </c>
      <c r="AP171" s="1">
        <f t="shared" si="1"/>
        <v>0</v>
      </c>
      <c r="AU171" s="2"/>
      <c r="AV171" s="2">
        <v>46023.9798611111</v>
      </c>
      <c r="AW171" s="1">
        <v>0.0</v>
      </c>
      <c r="AX171" s="1">
        <v>0.0</v>
      </c>
      <c r="AY171" s="1">
        <v>0.0</v>
      </c>
      <c r="AZ171" s="1">
        <v>1.0</v>
      </c>
      <c r="BA171" s="1">
        <v>0.0</v>
      </c>
      <c r="BB171" s="1">
        <v>0.0</v>
      </c>
      <c r="BC171" s="2">
        <v>45999.0</v>
      </c>
      <c r="BD171" s="1">
        <v>49.0</v>
      </c>
      <c r="BE171" s="1" t="s">
        <v>550</v>
      </c>
      <c r="BF171" s="1">
        <v>2025.0</v>
      </c>
      <c r="BG171" s="1" t="s">
        <v>558</v>
      </c>
      <c r="BH171" s="1" t="str">
        <f>VLOOKUP(B171,CookieClicks!D:O,12,FALSE)</f>
        <v>#N/A</v>
      </c>
      <c r="BI171" s="8" t="str">
        <f>IFERROR(__xludf.DUMMYFUNCTION("VLOOKUP(REGEXREPLACE(BH171,""[?].*"",""""),ContentBuckets!A:C,2,FALSE)"),"#N/A")</f>
        <v>#N/A</v>
      </c>
      <c r="BJ171" s="8" t="str">
        <f>IFERROR(__xludf.DUMMYFUNCTION("VLOOKUP(REGEXREPLACE(BH171,""[?].*"",""""),ContentBuckets!A:C,3,FALSE)"),"#N/A")</f>
        <v>#N/A</v>
      </c>
    </row>
    <row r="172" ht="14.25" customHeight="1">
      <c r="A172" s="1">
        <v>153323.0</v>
      </c>
      <c r="B172" s="1" t="s">
        <v>822</v>
      </c>
      <c r="C172" s="2">
        <v>45999.5979166667</v>
      </c>
      <c r="D172" s="2"/>
      <c r="E172" s="2"/>
      <c r="F172" s="1" t="b">
        <v>1</v>
      </c>
      <c r="G172" s="4" t="b">
        <v>1</v>
      </c>
      <c r="H172" s="1" t="b">
        <v>0</v>
      </c>
      <c r="I172" s="1" t="b">
        <v>0</v>
      </c>
      <c r="J172" s="1" t="s">
        <v>534</v>
      </c>
      <c r="K172" s="1" t="s">
        <v>535</v>
      </c>
      <c r="L172" s="1" t="s">
        <v>536</v>
      </c>
      <c r="M172" s="1" t="s">
        <v>537</v>
      </c>
      <c r="N172" s="1">
        <v>0.0</v>
      </c>
      <c r="O172" s="1">
        <v>40.0</v>
      </c>
      <c r="P172" s="1">
        <v>0.0</v>
      </c>
      <c r="Q172" s="1">
        <v>0.0</v>
      </c>
      <c r="R172" s="1">
        <v>0.0</v>
      </c>
      <c r="S172" s="1" t="s">
        <v>538</v>
      </c>
      <c r="T172" s="1" t="s">
        <v>725</v>
      </c>
      <c r="U172" s="1" t="s">
        <v>726</v>
      </c>
      <c r="V172" s="4">
        <v>0.0</v>
      </c>
      <c r="W172" s="4"/>
      <c r="X172" s="4">
        <v>0.0</v>
      </c>
      <c r="Y172" s="1">
        <v>0.0</v>
      </c>
      <c r="Z172" s="1">
        <v>0.0</v>
      </c>
      <c r="AA172" s="1">
        <v>0.0</v>
      </c>
      <c r="AB172" s="1">
        <v>1.0</v>
      </c>
      <c r="AC172" s="1">
        <v>0.0</v>
      </c>
      <c r="AD172" s="1">
        <v>0.0</v>
      </c>
      <c r="AE172" s="1">
        <v>0.0</v>
      </c>
      <c r="AF172" s="1">
        <v>0.0</v>
      </c>
      <c r="AG172" s="1">
        <v>0.0</v>
      </c>
      <c r="AH172" s="1">
        <v>0.0</v>
      </c>
      <c r="AI172" s="1">
        <v>0.0</v>
      </c>
      <c r="AJ172" s="1">
        <v>0.0</v>
      </c>
      <c r="AK172" s="1">
        <v>0.0</v>
      </c>
      <c r="AL172" s="1">
        <v>0.0</v>
      </c>
      <c r="AM172" s="4">
        <v>0.0</v>
      </c>
      <c r="AN172" s="1">
        <v>0.0</v>
      </c>
      <c r="AO172" s="4">
        <v>0.0</v>
      </c>
      <c r="AP172" s="1">
        <f t="shared" si="1"/>
        <v>0</v>
      </c>
      <c r="AU172" s="2"/>
      <c r="AV172" s="2">
        <v>46023.9798611111</v>
      </c>
      <c r="AW172" s="1">
        <v>0.0</v>
      </c>
      <c r="AX172" s="1">
        <v>0.0</v>
      </c>
      <c r="AY172" s="1">
        <v>0.0</v>
      </c>
      <c r="AZ172" s="1">
        <v>1.0</v>
      </c>
      <c r="BA172" s="1">
        <v>0.0</v>
      </c>
      <c r="BB172" s="1">
        <v>0.0</v>
      </c>
      <c r="BC172" s="2">
        <v>45999.0</v>
      </c>
      <c r="BD172" s="1">
        <v>49.0</v>
      </c>
      <c r="BE172" s="1" t="s">
        <v>550</v>
      </c>
      <c r="BF172" s="1">
        <v>2025.0</v>
      </c>
      <c r="BG172" s="1" t="s">
        <v>558</v>
      </c>
      <c r="BH172" s="1" t="str">
        <f>VLOOKUP(B172,CookieClicks!D:O,12,FALSE)</f>
        <v>#N/A</v>
      </c>
      <c r="BI172" s="8" t="str">
        <f>IFERROR(__xludf.DUMMYFUNCTION("VLOOKUP(REGEXREPLACE(BH172,""[?].*"",""""),ContentBuckets!A:C,2,FALSE)"),"#N/A")</f>
        <v>#N/A</v>
      </c>
      <c r="BJ172" s="8" t="str">
        <f>IFERROR(__xludf.DUMMYFUNCTION("VLOOKUP(REGEXREPLACE(BH172,""[?].*"",""""),ContentBuckets!A:C,3,FALSE)"),"#N/A")</f>
        <v>#N/A</v>
      </c>
    </row>
    <row r="173" ht="14.25" customHeight="1">
      <c r="A173" s="1">
        <v>153324.0</v>
      </c>
      <c r="B173" s="1" t="s">
        <v>823</v>
      </c>
      <c r="C173" s="2">
        <v>45999.6076388889</v>
      </c>
      <c r="D173" s="2">
        <v>46000.9277777778</v>
      </c>
      <c r="E173" s="2"/>
      <c r="F173" s="1" t="b">
        <v>0</v>
      </c>
      <c r="G173" s="4" t="b">
        <v>0</v>
      </c>
      <c r="H173" s="1" t="b">
        <v>0</v>
      </c>
      <c r="I173" s="1" t="b">
        <v>0</v>
      </c>
      <c r="J173" s="1" t="s">
        <v>534</v>
      </c>
      <c r="K173" s="1" t="s">
        <v>535</v>
      </c>
      <c r="L173" s="1" t="s">
        <v>536</v>
      </c>
      <c r="M173" s="1" t="s">
        <v>537</v>
      </c>
      <c r="N173" s="1">
        <v>0.0</v>
      </c>
      <c r="O173" s="1">
        <v>44.25</v>
      </c>
      <c r="P173" s="1">
        <v>0.0</v>
      </c>
      <c r="Q173" s="1">
        <v>0.0</v>
      </c>
      <c r="R173" s="1">
        <v>0.0</v>
      </c>
      <c r="S173" s="1" t="s">
        <v>538</v>
      </c>
      <c r="T173" s="1" t="s">
        <v>539</v>
      </c>
      <c r="V173" s="4">
        <v>7276342.0</v>
      </c>
      <c r="W173" s="4" t="s">
        <v>540</v>
      </c>
      <c r="X173" s="4">
        <v>0.0</v>
      </c>
      <c r="Y173" s="1">
        <v>1.0</v>
      </c>
      <c r="Z173" s="1">
        <v>0.0</v>
      </c>
      <c r="AA173" s="1">
        <v>0.0</v>
      </c>
      <c r="AB173" s="1">
        <v>0.0</v>
      </c>
      <c r="AC173" s="1">
        <v>0.0</v>
      </c>
      <c r="AD173" s="1">
        <v>0.0</v>
      </c>
      <c r="AE173" s="1">
        <v>0.0</v>
      </c>
      <c r="AF173" s="1">
        <v>0.0</v>
      </c>
      <c r="AG173" s="1">
        <v>0.0</v>
      </c>
      <c r="AH173" s="1">
        <v>0.0</v>
      </c>
      <c r="AI173" s="1">
        <v>0.0</v>
      </c>
      <c r="AJ173" s="1">
        <v>0.0</v>
      </c>
      <c r="AK173" s="1">
        <v>0.0</v>
      </c>
      <c r="AL173" s="1">
        <v>0.0</v>
      </c>
      <c r="AM173" s="4">
        <v>0.0</v>
      </c>
      <c r="AN173" s="1">
        <v>0.0</v>
      </c>
      <c r="AO173" s="4">
        <v>0.0</v>
      </c>
      <c r="AP173" s="1">
        <f t="shared" si="1"/>
        <v>0</v>
      </c>
      <c r="AQ173" s="1" t="s">
        <v>557</v>
      </c>
      <c r="AT173" s="1" t="s">
        <v>824</v>
      </c>
      <c r="AU173" s="2">
        <v>45999.0</v>
      </c>
      <c r="AV173" s="2">
        <v>46000.0256944444</v>
      </c>
      <c r="AW173" s="1">
        <v>0.0</v>
      </c>
      <c r="AX173" s="1">
        <v>0.0</v>
      </c>
      <c r="AY173" s="1">
        <v>0.0</v>
      </c>
      <c r="AZ173" s="1">
        <v>1.0</v>
      </c>
      <c r="BA173" s="1">
        <v>0.0</v>
      </c>
      <c r="BB173" s="1">
        <v>0.0</v>
      </c>
      <c r="BC173" s="2">
        <v>45999.0</v>
      </c>
      <c r="BD173" s="1">
        <v>49.0</v>
      </c>
      <c r="BE173" s="1" t="s">
        <v>550</v>
      </c>
      <c r="BF173" s="1">
        <v>2025.0</v>
      </c>
      <c r="BG173" s="1" t="s">
        <v>558</v>
      </c>
      <c r="BH173" s="7" t="str">
        <f>VLOOKUP(B173,CookieClicks!D:O,12,FALSE)</f>
        <v>https://www.method.me/crm-quickbooks/pricing/</v>
      </c>
      <c r="BI173" s="8" t="str">
        <f>IFERROR(__xludf.DUMMYFUNCTION("VLOOKUP(REGEXREPLACE(BH173,""[?].*"",""""),ContentBuckets!A:C,2,FALSE)"),"/crm-quickbooks/")</f>
        <v>/crm-quickbooks/</v>
      </c>
      <c r="BJ173" s="8" t="str">
        <f>IFERROR(__xludf.DUMMYFUNCTION("VLOOKUP(REGEXREPLACE(BH173,""[?].*"",""""),ContentBuckets!A:C,3,FALSE)"),"Other page")</f>
        <v>Other page</v>
      </c>
    </row>
    <row r="174" ht="14.25" customHeight="1">
      <c r="A174" s="1">
        <v>153325.0</v>
      </c>
      <c r="B174" s="1" t="s">
        <v>825</v>
      </c>
      <c r="C174" s="2">
        <v>45999.6194444444</v>
      </c>
      <c r="D174" s="2"/>
      <c r="E174" s="2"/>
      <c r="F174" s="1" t="b">
        <v>1</v>
      </c>
      <c r="G174" s="4" t="b">
        <v>0</v>
      </c>
      <c r="H174" s="1" t="b">
        <v>0</v>
      </c>
      <c r="I174" s="1" t="b">
        <v>0</v>
      </c>
      <c r="J174" s="1" t="s">
        <v>534</v>
      </c>
      <c r="K174" s="1" t="s">
        <v>535</v>
      </c>
      <c r="L174" s="1" t="s">
        <v>536</v>
      </c>
      <c r="M174" s="1" t="s">
        <v>537</v>
      </c>
      <c r="N174" s="1">
        <v>0.0</v>
      </c>
      <c r="O174" s="1">
        <v>383.25</v>
      </c>
      <c r="P174" s="1">
        <v>0.0</v>
      </c>
      <c r="Q174" s="1">
        <v>0.0</v>
      </c>
      <c r="R174" s="1">
        <v>28.0</v>
      </c>
      <c r="S174" s="1" t="s">
        <v>538</v>
      </c>
      <c r="T174" s="1" t="s">
        <v>539</v>
      </c>
      <c r="V174" s="4">
        <v>7045685.0</v>
      </c>
      <c r="W174" s="4" t="s">
        <v>540</v>
      </c>
      <c r="X174" s="4">
        <v>0.0</v>
      </c>
      <c r="Y174" s="1">
        <v>1.0</v>
      </c>
      <c r="Z174" s="1">
        <v>0.0</v>
      </c>
      <c r="AA174" s="1">
        <v>0.0</v>
      </c>
      <c r="AB174" s="1">
        <v>0.0</v>
      </c>
      <c r="AC174" s="1">
        <v>0.0</v>
      </c>
      <c r="AD174" s="1">
        <v>0.0</v>
      </c>
      <c r="AE174" s="1">
        <v>0.0</v>
      </c>
      <c r="AF174" s="1">
        <v>0.0</v>
      </c>
      <c r="AG174" s="1">
        <v>0.0</v>
      </c>
      <c r="AH174" s="1">
        <v>0.0</v>
      </c>
      <c r="AI174" s="1">
        <v>0.0</v>
      </c>
      <c r="AJ174" s="1">
        <v>0.0</v>
      </c>
      <c r="AK174" s="1">
        <v>0.0</v>
      </c>
      <c r="AL174" s="1">
        <v>0.0</v>
      </c>
      <c r="AM174" s="4">
        <v>0.0</v>
      </c>
      <c r="AN174" s="1">
        <v>0.0</v>
      </c>
      <c r="AO174" s="4">
        <v>0.0</v>
      </c>
      <c r="AP174" s="1">
        <f t="shared" si="1"/>
        <v>0</v>
      </c>
      <c r="AQ174" s="1" t="s">
        <v>826</v>
      </c>
      <c r="AR174" s="1" t="s">
        <v>560</v>
      </c>
      <c r="AT174" s="1" t="s">
        <v>827</v>
      </c>
      <c r="AU174" s="2">
        <v>45999.0</v>
      </c>
      <c r="AV174" s="2">
        <v>46024.0291666667</v>
      </c>
      <c r="AW174" s="1">
        <v>21.0</v>
      </c>
      <c r="AX174" s="1">
        <v>2.6067338448E8</v>
      </c>
      <c r="AY174" s="1">
        <v>96.0</v>
      </c>
      <c r="AZ174" s="1">
        <v>7.0</v>
      </c>
      <c r="BA174" s="1">
        <v>0.0</v>
      </c>
      <c r="BB174" s="1">
        <v>0.0</v>
      </c>
      <c r="BC174" s="2">
        <v>45999.0</v>
      </c>
      <c r="BD174" s="1">
        <v>49.0</v>
      </c>
      <c r="BE174" s="1" t="s">
        <v>550</v>
      </c>
      <c r="BF174" s="1">
        <v>2025.0</v>
      </c>
      <c r="BG174" s="1" t="s">
        <v>828</v>
      </c>
      <c r="BH174" s="7" t="str">
        <f>VLOOKUP(B174,CookieClicks!D:O,12,FALSE)</f>
        <v>https://www.method.me/blog/how-to-delete-multiple-transactions-in-quickbooks-desktop-and-online/</v>
      </c>
      <c r="BI174" s="8" t="str">
        <f>IFERROR(__xludf.DUMMYFUNCTION("VLOOKUP(REGEXREPLACE(BH174,""[?].*"",""""),ContentBuckets!A:C,2,FALSE)"),"QuickBooks - How-to")</f>
        <v>QuickBooks - How-to</v>
      </c>
      <c r="BJ174" s="8" t="str">
        <f>IFERROR(__xludf.DUMMYFUNCTION("VLOOKUP(REGEXREPLACE(BH174,""[?].*"",""""),ContentBuckets!A:C,3,FALSE)"),"Blog")</f>
        <v>Blog</v>
      </c>
    </row>
    <row r="175" ht="14.25" customHeight="1">
      <c r="A175" s="1">
        <v>153329.0</v>
      </c>
      <c r="B175" s="1" t="s">
        <v>829</v>
      </c>
      <c r="C175" s="2">
        <v>45999.6666666667</v>
      </c>
      <c r="D175" s="2"/>
      <c r="E175" s="2"/>
      <c r="F175" s="1" t="b">
        <v>1</v>
      </c>
      <c r="G175" s="4" t="b">
        <v>0</v>
      </c>
      <c r="H175" s="1" t="b">
        <v>0</v>
      </c>
      <c r="I175" s="1" t="b">
        <v>0</v>
      </c>
      <c r="J175" s="1" t="s">
        <v>534</v>
      </c>
      <c r="K175" s="1" t="s">
        <v>535</v>
      </c>
      <c r="L175" s="1" t="s">
        <v>536</v>
      </c>
      <c r="M175" s="1" t="s">
        <v>537</v>
      </c>
      <c r="N175" s="1">
        <v>0.0</v>
      </c>
      <c r="O175" s="1">
        <v>54.75</v>
      </c>
      <c r="P175" s="1">
        <v>0.0</v>
      </c>
      <c r="Q175" s="1">
        <v>0.0</v>
      </c>
      <c r="R175" s="1">
        <v>28.0</v>
      </c>
      <c r="S175" s="1" t="s">
        <v>538</v>
      </c>
      <c r="T175" s="1" t="s">
        <v>539</v>
      </c>
      <c r="V175" s="4">
        <v>7233302.0</v>
      </c>
      <c r="W175" s="4"/>
      <c r="X175" s="4">
        <v>0.0</v>
      </c>
      <c r="Y175" s="1">
        <v>0.0</v>
      </c>
      <c r="Z175" s="1">
        <v>0.0</v>
      </c>
      <c r="AA175" s="1">
        <v>1.0</v>
      </c>
      <c r="AB175" s="1">
        <v>0.0</v>
      </c>
      <c r="AC175" s="1">
        <v>0.0</v>
      </c>
      <c r="AD175" s="1">
        <v>0.0</v>
      </c>
      <c r="AE175" s="1">
        <v>0.0</v>
      </c>
      <c r="AF175" s="1">
        <v>0.0</v>
      </c>
      <c r="AG175" s="1">
        <v>0.0</v>
      </c>
      <c r="AH175" s="1">
        <v>0.0</v>
      </c>
      <c r="AI175" s="1">
        <v>0.0</v>
      </c>
      <c r="AJ175" s="1">
        <v>0.0</v>
      </c>
      <c r="AK175" s="1">
        <v>0.0</v>
      </c>
      <c r="AL175" s="1">
        <v>0.0</v>
      </c>
      <c r="AM175" s="4">
        <v>0.0</v>
      </c>
      <c r="AN175" s="1">
        <v>0.0</v>
      </c>
      <c r="AO175" s="4">
        <v>0.0</v>
      </c>
      <c r="AP175" s="1">
        <f t="shared" si="1"/>
        <v>0</v>
      </c>
      <c r="AQ175" s="1" t="s">
        <v>557</v>
      </c>
      <c r="AR175" s="1" t="s">
        <v>571</v>
      </c>
      <c r="AU175" s="2">
        <v>45999.0</v>
      </c>
      <c r="AV175" s="2">
        <v>46024.0388888889</v>
      </c>
      <c r="AW175" s="1">
        <v>6.0</v>
      </c>
      <c r="AX175" s="1">
        <v>4563564.24</v>
      </c>
      <c r="AY175" s="1">
        <v>870.0</v>
      </c>
      <c r="AZ175" s="1">
        <v>1.0</v>
      </c>
      <c r="BA175" s="1">
        <v>0.0</v>
      </c>
      <c r="BB175" s="1">
        <v>5.0</v>
      </c>
      <c r="BC175" s="2">
        <v>45999.0</v>
      </c>
      <c r="BD175" s="1">
        <v>49.0</v>
      </c>
      <c r="BE175" s="1" t="s">
        <v>550</v>
      </c>
      <c r="BF175" s="1">
        <v>2025.0</v>
      </c>
      <c r="BG175" s="1" t="s">
        <v>558</v>
      </c>
      <c r="BH175" s="1" t="str">
        <f>VLOOKUP(B175,CookieClicks!D:O,12,FALSE)</f>
        <v>https://grow.method.me/crm-quickbooks/?trc=81&amp;trk=crm integrates with quickbooks&amp;trs=US-QBInt-Ex&amp;campaignid=22265826203&amp;adgroupid=186545727779&amp;adid=777091446185&amp;gad_source=1&amp;gad_campaignid=22265826203&amp;gbraid=0AAAAAD3Itnakt5W0ExNkHAnsH3CZy4us-&amp;gclid=CjwKCAiA3L_JBhAlEiwAlcWO54odTX0XnDgAQ6VVn1GPYMmhfrXHl-lwz1SNLy33XpU2ITcqlJyh8xoCDb0QAvD_BwE</v>
      </c>
      <c r="BI175" s="8" t="str">
        <f>IFERROR(__xludf.DUMMYFUNCTION("VLOOKUP(REGEXREPLACE(BH175,""[?].*"",""""),ContentBuckets!A:C,2,FALSE)"),"#N/A")</f>
        <v>#N/A</v>
      </c>
      <c r="BJ175" s="8" t="str">
        <f>IFERROR(__xludf.DUMMYFUNCTION("VLOOKUP(REGEXREPLACE(BH175,""[?].*"",""""),ContentBuckets!A:C,3,FALSE)"),"#N/A")</f>
        <v>#N/A</v>
      </c>
    </row>
    <row r="176" ht="14.25" customHeight="1">
      <c r="A176" s="1">
        <v>153330.0</v>
      </c>
      <c r="B176" s="1" t="s">
        <v>830</v>
      </c>
      <c r="C176" s="2">
        <v>45999.6680555556</v>
      </c>
      <c r="D176" s="2">
        <v>46003.7472222222</v>
      </c>
      <c r="E176" s="2"/>
      <c r="F176" s="1" t="b">
        <v>0</v>
      </c>
      <c r="G176" s="4" t="b">
        <v>0</v>
      </c>
      <c r="H176" s="1" t="b">
        <v>0</v>
      </c>
      <c r="I176" s="1" t="b">
        <v>0</v>
      </c>
      <c r="J176" s="1" t="s">
        <v>534</v>
      </c>
      <c r="K176" s="1" t="s">
        <v>535</v>
      </c>
      <c r="L176" s="1" t="s">
        <v>536</v>
      </c>
      <c r="M176" s="1" t="s">
        <v>537</v>
      </c>
      <c r="N176" s="1">
        <v>0.0</v>
      </c>
      <c r="O176" s="1">
        <v>54.75</v>
      </c>
      <c r="P176" s="1">
        <v>0.0</v>
      </c>
      <c r="Q176" s="1">
        <v>0.0</v>
      </c>
      <c r="R176" s="1">
        <v>28.0</v>
      </c>
      <c r="S176" s="1" t="s">
        <v>538</v>
      </c>
      <c r="T176" s="1" t="s">
        <v>539</v>
      </c>
      <c r="V176" s="4">
        <v>7273827.0</v>
      </c>
      <c r="W176" s="4" t="s">
        <v>831</v>
      </c>
      <c r="X176" s="4">
        <v>0.0</v>
      </c>
      <c r="Y176" s="1">
        <v>1.0</v>
      </c>
      <c r="Z176" s="1">
        <v>0.0</v>
      </c>
      <c r="AA176" s="1">
        <v>0.0</v>
      </c>
      <c r="AB176" s="1">
        <v>0.0</v>
      </c>
      <c r="AC176" s="1">
        <v>0.0</v>
      </c>
      <c r="AD176" s="1">
        <v>0.0</v>
      </c>
      <c r="AE176" s="1">
        <v>0.0</v>
      </c>
      <c r="AF176" s="1">
        <v>0.0</v>
      </c>
      <c r="AG176" s="1">
        <v>0.0</v>
      </c>
      <c r="AH176" s="1">
        <v>0.0</v>
      </c>
      <c r="AI176" s="1">
        <v>0.0</v>
      </c>
      <c r="AJ176" s="1">
        <v>0.0</v>
      </c>
      <c r="AK176" s="1">
        <v>0.0</v>
      </c>
      <c r="AL176" s="1">
        <v>0.0</v>
      </c>
      <c r="AM176" s="4">
        <v>0.0</v>
      </c>
      <c r="AN176" s="1">
        <v>0.0</v>
      </c>
      <c r="AO176" s="4">
        <v>0.0</v>
      </c>
      <c r="AP176" s="1">
        <f t="shared" si="1"/>
        <v>0</v>
      </c>
      <c r="AQ176" s="1" t="s">
        <v>541</v>
      </c>
      <c r="AR176" s="1" t="s">
        <v>564</v>
      </c>
      <c r="AT176" s="1" t="s">
        <v>832</v>
      </c>
      <c r="AU176" s="2">
        <v>45999.0</v>
      </c>
      <c r="AV176" s="2">
        <v>46003.0430555556</v>
      </c>
      <c r="AW176" s="1">
        <v>1.0</v>
      </c>
      <c r="AX176" s="1">
        <v>57369.72</v>
      </c>
      <c r="AY176" s="1">
        <v>8.0</v>
      </c>
      <c r="AZ176" s="1">
        <v>1.0</v>
      </c>
      <c r="BA176" s="1">
        <v>0.0</v>
      </c>
      <c r="BB176" s="1">
        <v>0.0</v>
      </c>
      <c r="BC176" s="2">
        <v>45999.0</v>
      </c>
      <c r="BD176" s="1">
        <v>49.0</v>
      </c>
      <c r="BE176" s="1" t="s">
        <v>550</v>
      </c>
      <c r="BF176" s="1">
        <v>2025.0</v>
      </c>
      <c r="BG176" s="1" t="s">
        <v>546</v>
      </c>
      <c r="BH176" s="7" t="str">
        <f>VLOOKUP(B176,CookieClicks!D:O,12,FALSE)</f>
        <v>https://www.method.me/blog/quickbooks-work-order/</v>
      </c>
      <c r="BI176" s="8" t="str">
        <f>IFERROR(__xludf.DUMMYFUNCTION("VLOOKUP(REGEXREPLACE(BH176,""[?].*"",""""),ContentBuckets!A:C,2,FALSE)"),"QuickBooks - How-to")</f>
        <v>QuickBooks - How-to</v>
      </c>
      <c r="BJ176" s="8" t="str">
        <f>IFERROR(__xludf.DUMMYFUNCTION("VLOOKUP(REGEXREPLACE(BH176,""[?].*"",""""),ContentBuckets!A:C,3,FALSE)"),"Blog")</f>
        <v>Blog</v>
      </c>
    </row>
    <row r="177" ht="14.25" customHeight="1">
      <c r="A177" s="1">
        <v>153331.0</v>
      </c>
      <c r="B177" s="1" t="s">
        <v>833</v>
      </c>
      <c r="C177" s="2">
        <v>45999.6895833333</v>
      </c>
      <c r="D177" s="2"/>
      <c r="E177" s="2"/>
      <c r="F177" s="1" t="b">
        <v>1</v>
      </c>
      <c r="G177" s="4" t="b">
        <v>0</v>
      </c>
      <c r="H177" s="1" t="b">
        <v>0</v>
      </c>
      <c r="I177" s="1" t="b">
        <v>0</v>
      </c>
      <c r="J177" s="1" t="s">
        <v>534</v>
      </c>
      <c r="K177" s="1" t="s">
        <v>535</v>
      </c>
      <c r="L177" s="1" t="s">
        <v>536</v>
      </c>
      <c r="M177" s="1" t="s">
        <v>537</v>
      </c>
      <c r="N177" s="1">
        <v>0.0</v>
      </c>
      <c r="O177" s="1">
        <v>44.25</v>
      </c>
      <c r="P177" s="1">
        <v>0.0</v>
      </c>
      <c r="Q177" s="1">
        <v>0.0</v>
      </c>
      <c r="R177" s="1">
        <v>28.0</v>
      </c>
      <c r="S177" s="1" t="s">
        <v>538</v>
      </c>
      <c r="T177" s="1" t="s">
        <v>539</v>
      </c>
      <c r="V177" s="4">
        <v>7166736.0</v>
      </c>
      <c r="W177" s="4" t="s">
        <v>540</v>
      </c>
      <c r="X177" s="4">
        <v>0.0</v>
      </c>
      <c r="Y177" s="1">
        <v>1.0</v>
      </c>
      <c r="Z177" s="1">
        <v>0.0</v>
      </c>
      <c r="AA177" s="1">
        <v>0.0</v>
      </c>
      <c r="AB177" s="1">
        <v>0.0</v>
      </c>
      <c r="AC177" s="1">
        <v>0.0</v>
      </c>
      <c r="AD177" s="1">
        <v>0.0</v>
      </c>
      <c r="AE177" s="1">
        <v>0.0</v>
      </c>
      <c r="AF177" s="1">
        <v>0.0</v>
      </c>
      <c r="AG177" s="1">
        <v>0.0</v>
      </c>
      <c r="AH177" s="1">
        <v>0.0</v>
      </c>
      <c r="AI177" s="1">
        <v>0.0</v>
      </c>
      <c r="AJ177" s="1">
        <v>0.0</v>
      </c>
      <c r="AK177" s="1">
        <v>0.0</v>
      </c>
      <c r="AL177" s="1">
        <v>0.0</v>
      </c>
      <c r="AM177" s="4">
        <v>0.0</v>
      </c>
      <c r="AN177" s="1">
        <v>0.0</v>
      </c>
      <c r="AO177" s="4">
        <v>0.0</v>
      </c>
      <c r="AP177" s="1">
        <f t="shared" si="1"/>
        <v>0</v>
      </c>
      <c r="AQ177" s="1" t="s">
        <v>557</v>
      </c>
      <c r="AR177" s="1" t="s">
        <v>591</v>
      </c>
      <c r="AU177" s="2">
        <v>45999.0</v>
      </c>
      <c r="AV177" s="2">
        <v>46024.0173611111</v>
      </c>
      <c r="AW177" s="1">
        <v>2.0</v>
      </c>
      <c r="AX177" s="1">
        <v>7879148.76</v>
      </c>
      <c r="AY177" s="1">
        <v>939.0</v>
      </c>
      <c r="AZ177" s="1">
        <v>1.0</v>
      </c>
      <c r="BA177" s="1">
        <v>0.0</v>
      </c>
      <c r="BB177" s="1">
        <v>0.0</v>
      </c>
      <c r="BC177" s="2">
        <v>45999.0</v>
      </c>
      <c r="BD177" s="1">
        <v>49.0</v>
      </c>
      <c r="BE177" s="1" t="s">
        <v>550</v>
      </c>
      <c r="BF177" s="1">
        <v>2025.0</v>
      </c>
      <c r="BG177" s="1" t="s">
        <v>558</v>
      </c>
      <c r="BH177" s="7" t="str">
        <f>VLOOKUP(B177,CookieClicks!D:O,12,FALSE)</f>
        <v>https://www.method.me/</v>
      </c>
      <c r="BI177" s="8" t="str">
        <f>IFERROR(__xludf.DUMMYFUNCTION("VLOOKUP(REGEXREPLACE(BH177,""[?].*"",""""),ContentBuckets!A:C,2,FALSE)"),"Homepage")</f>
        <v>Homepage</v>
      </c>
      <c r="BJ177" s="8" t="str">
        <f>IFERROR(__xludf.DUMMYFUNCTION("VLOOKUP(REGEXREPLACE(BH177,""[?].*"",""""),ContentBuckets!A:C,3,FALSE)"),"Other page")</f>
        <v>Other page</v>
      </c>
    </row>
    <row r="178" ht="14.25" customHeight="1">
      <c r="A178" s="1">
        <v>153332.0</v>
      </c>
      <c r="B178" s="1" t="s">
        <v>834</v>
      </c>
      <c r="C178" s="2">
        <v>45999.7027777778</v>
      </c>
      <c r="D178" s="2"/>
      <c r="E178" s="2"/>
      <c r="F178" s="1" t="b">
        <v>1</v>
      </c>
      <c r="G178" s="4" t="b">
        <v>0</v>
      </c>
      <c r="H178" s="1" t="b">
        <v>0</v>
      </c>
      <c r="I178" s="1" t="b">
        <v>0</v>
      </c>
      <c r="J178" s="1" t="s">
        <v>534</v>
      </c>
      <c r="K178" s="1" t="s">
        <v>566</v>
      </c>
      <c r="L178" s="1" t="s">
        <v>567</v>
      </c>
      <c r="M178" s="1" t="s">
        <v>537</v>
      </c>
      <c r="N178" s="1">
        <v>0.0</v>
      </c>
      <c r="O178" s="1">
        <v>44.25</v>
      </c>
      <c r="P178" s="1">
        <v>0.0</v>
      </c>
      <c r="Q178" s="1">
        <v>0.0</v>
      </c>
      <c r="R178" s="1">
        <v>0.0</v>
      </c>
      <c r="S178" s="1" t="s">
        <v>538</v>
      </c>
      <c r="T178" s="1" t="s">
        <v>539</v>
      </c>
      <c r="V178" s="4">
        <v>7277976.0</v>
      </c>
      <c r="W178" s="4"/>
      <c r="X178" s="4">
        <v>1.0</v>
      </c>
      <c r="Y178" s="1">
        <v>0.0</v>
      </c>
      <c r="Z178" s="1">
        <v>0.0</v>
      </c>
      <c r="AA178" s="1">
        <v>0.0</v>
      </c>
      <c r="AB178" s="1">
        <v>0.0</v>
      </c>
      <c r="AC178" s="1">
        <v>0.0</v>
      </c>
      <c r="AD178" s="1">
        <v>0.0</v>
      </c>
      <c r="AE178" s="1">
        <v>0.0</v>
      </c>
      <c r="AF178" s="1">
        <v>0.0</v>
      </c>
      <c r="AG178" s="1">
        <v>0.0</v>
      </c>
      <c r="AH178" s="1">
        <v>0.0</v>
      </c>
      <c r="AI178" s="1">
        <v>0.0</v>
      </c>
      <c r="AJ178" s="1">
        <v>0.0</v>
      </c>
      <c r="AK178" s="1">
        <v>0.0</v>
      </c>
      <c r="AL178" s="1">
        <v>0.0</v>
      </c>
      <c r="AM178" s="4">
        <v>0.0</v>
      </c>
      <c r="AN178" s="1">
        <v>0.0</v>
      </c>
      <c r="AO178" s="4">
        <v>0.0</v>
      </c>
      <c r="AP178" s="1">
        <f t="shared" si="1"/>
        <v>0</v>
      </c>
      <c r="AU178" s="2"/>
      <c r="AV178" s="2">
        <v>46024.0083333333</v>
      </c>
      <c r="AW178" s="1">
        <v>0.0</v>
      </c>
      <c r="AX178" s="1">
        <v>0.0</v>
      </c>
      <c r="AY178" s="1">
        <v>0.0</v>
      </c>
      <c r="AZ178" s="1">
        <v>1.0</v>
      </c>
      <c r="BA178" s="1">
        <v>0.0</v>
      </c>
      <c r="BB178" s="1">
        <v>0.0</v>
      </c>
      <c r="BC178" s="2">
        <v>45999.0</v>
      </c>
      <c r="BD178" s="1">
        <v>49.0</v>
      </c>
      <c r="BE178" s="1" t="s">
        <v>550</v>
      </c>
      <c r="BF178" s="1">
        <v>2025.0</v>
      </c>
      <c r="BG178" s="1" t="s">
        <v>835</v>
      </c>
      <c r="BH178" s="7" t="str">
        <f>VLOOKUP(B178,CookieClicks!D:O,12,FALSE)</f>
        <v>https://www.method.me/blog/price-a-job-as-a-contractor/</v>
      </c>
      <c r="BI178" s="8" t="str">
        <f>IFERROR(__xludf.DUMMYFUNCTION("VLOOKUP(REGEXREPLACE(BH178,""[?].*"",""""),ContentBuckets!A:C,2,FALSE)"),"General how-to")</f>
        <v>General how-to</v>
      </c>
      <c r="BJ178" s="8" t="str">
        <f>IFERROR(__xludf.DUMMYFUNCTION("VLOOKUP(REGEXREPLACE(BH178,""[?].*"",""""),ContentBuckets!A:C,3,FALSE)"),"Blog")</f>
        <v>Blog</v>
      </c>
    </row>
    <row r="179" ht="14.25" customHeight="1">
      <c r="A179" s="1">
        <v>153334.0</v>
      </c>
      <c r="B179" s="1" t="s">
        <v>836</v>
      </c>
      <c r="C179" s="2">
        <v>45999.8180555556</v>
      </c>
      <c r="D179" s="2"/>
      <c r="E179" s="2">
        <v>46006.6236111111</v>
      </c>
      <c r="F179" s="1" t="b">
        <v>1</v>
      </c>
      <c r="G179" s="4" t="b">
        <v>0</v>
      </c>
      <c r="H179" s="1" t="b">
        <v>0</v>
      </c>
      <c r="I179" s="1" t="b">
        <v>0</v>
      </c>
      <c r="J179" s="1" t="s">
        <v>601</v>
      </c>
      <c r="K179" s="1" t="s">
        <v>535</v>
      </c>
      <c r="L179" s="1" t="s">
        <v>536</v>
      </c>
      <c r="M179" s="1" t="s">
        <v>537</v>
      </c>
      <c r="N179" s="1">
        <v>620.0</v>
      </c>
      <c r="O179" s="1">
        <v>295.0</v>
      </c>
      <c r="P179" s="1">
        <v>0.0</v>
      </c>
      <c r="Q179" s="1">
        <v>0.0</v>
      </c>
      <c r="R179" s="1">
        <v>28.0</v>
      </c>
      <c r="T179" s="1" t="s">
        <v>725</v>
      </c>
      <c r="U179" s="1" t="s">
        <v>726</v>
      </c>
      <c r="V179" s="4">
        <v>7077601.0</v>
      </c>
      <c r="W179" s="4" t="s">
        <v>540</v>
      </c>
      <c r="X179" s="4">
        <v>0.0</v>
      </c>
      <c r="Y179" s="1">
        <v>0.4</v>
      </c>
      <c r="Z179" s="1">
        <v>0.0</v>
      </c>
      <c r="AA179" s="1">
        <v>0.0</v>
      </c>
      <c r="AB179" s="1">
        <v>0.6</v>
      </c>
      <c r="AC179" s="1">
        <v>0.0</v>
      </c>
      <c r="AD179" s="1">
        <v>0.0</v>
      </c>
      <c r="AE179" s="1">
        <v>0.0</v>
      </c>
      <c r="AF179" s="1">
        <v>0.0</v>
      </c>
      <c r="AG179" s="1">
        <v>0.0</v>
      </c>
      <c r="AH179" s="1">
        <v>0.0</v>
      </c>
      <c r="AI179" s="1">
        <v>0.0</v>
      </c>
      <c r="AJ179" s="1">
        <v>0.0</v>
      </c>
      <c r="AK179" s="1">
        <v>0.0</v>
      </c>
      <c r="AL179" s="1">
        <v>0.0</v>
      </c>
      <c r="AM179" s="4">
        <v>0.0</v>
      </c>
      <c r="AN179" s="1">
        <v>0.0</v>
      </c>
      <c r="AO179" s="4">
        <v>0.0</v>
      </c>
      <c r="AP179" s="1">
        <f t="shared" si="1"/>
        <v>0</v>
      </c>
      <c r="AQ179" s="1" t="s">
        <v>557</v>
      </c>
      <c r="AR179" s="1" t="s">
        <v>542</v>
      </c>
      <c r="AT179" s="1" t="s">
        <v>818</v>
      </c>
      <c r="AU179" s="2">
        <v>45999.0</v>
      </c>
      <c r="AV179" s="2">
        <v>46024.0173611111</v>
      </c>
      <c r="AW179" s="1">
        <v>18.0</v>
      </c>
      <c r="AX179" s="1">
        <v>0.0</v>
      </c>
      <c r="AY179" s="1">
        <v>251.0</v>
      </c>
      <c r="AZ179" s="1">
        <v>5.0</v>
      </c>
      <c r="BA179" s="1">
        <v>0.0</v>
      </c>
      <c r="BB179" s="1">
        <v>12.0</v>
      </c>
      <c r="BC179" s="2">
        <v>45999.0</v>
      </c>
      <c r="BD179" s="1">
        <v>49.0</v>
      </c>
      <c r="BE179" s="1" t="s">
        <v>550</v>
      </c>
      <c r="BF179" s="1">
        <v>2025.0</v>
      </c>
      <c r="BG179" s="1" t="s">
        <v>558</v>
      </c>
      <c r="BH179" s="7" t="str">
        <f>VLOOKUP(B179,CookieClicks!D:O,12,FALSE)</f>
        <v>https://www.method.me/</v>
      </c>
      <c r="BI179" s="8" t="str">
        <f>IFERROR(__xludf.DUMMYFUNCTION("VLOOKUP(REGEXREPLACE(BH179,""[?].*"",""""),ContentBuckets!A:C,2,FALSE)"),"Homepage")</f>
        <v>Homepage</v>
      </c>
      <c r="BJ179" s="8" t="str">
        <f>IFERROR(__xludf.DUMMYFUNCTION("VLOOKUP(REGEXREPLACE(BH179,""[?].*"",""""),ContentBuckets!A:C,3,FALSE)"),"Other page")</f>
        <v>Other page</v>
      </c>
    </row>
    <row r="180" ht="14.25" customHeight="1">
      <c r="A180" s="1">
        <v>153335.0</v>
      </c>
      <c r="B180" s="1" t="s">
        <v>837</v>
      </c>
      <c r="C180" s="2">
        <v>45999.8201388889</v>
      </c>
      <c r="D180" s="2"/>
      <c r="E180" s="2">
        <v>46013.8180555556</v>
      </c>
      <c r="F180" s="1" t="b">
        <v>1</v>
      </c>
      <c r="G180" s="4" t="b">
        <v>0</v>
      </c>
      <c r="H180" s="1" t="b">
        <v>0</v>
      </c>
      <c r="I180" s="1" t="b">
        <v>0</v>
      </c>
      <c r="J180" s="1" t="s">
        <v>534</v>
      </c>
      <c r="K180" s="1" t="s">
        <v>535</v>
      </c>
      <c r="L180" s="1" t="s">
        <v>536</v>
      </c>
      <c r="M180" s="1" t="s">
        <v>537</v>
      </c>
      <c r="N180" s="1">
        <v>44.25</v>
      </c>
      <c r="O180" s="1">
        <v>44.25</v>
      </c>
      <c r="P180" s="1">
        <v>0.0</v>
      </c>
      <c r="Q180" s="1">
        <v>0.0</v>
      </c>
      <c r="R180" s="1">
        <v>0.0</v>
      </c>
      <c r="S180" s="1" t="s">
        <v>538</v>
      </c>
      <c r="T180" s="1" t="s">
        <v>725</v>
      </c>
      <c r="U180" s="1" t="s">
        <v>726</v>
      </c>
      <c r="V180" s="4">
        <v>0.0</v>
      </c>
      <c r="W180" s="4"/>
      <c r="X180" s="4">
        <v>0.0</v>
      </c>
      <c r="Y180" s="1">
        <v>0.0</v>
      </c>
      <c r="Z180" s="1">
        <v>0.0</v>
      </c>
      <c r="AA180" s="1">
        <v>0.0</v>
      </c>
      <c r="AB180" s="1">
        <v>1.0</v>
      </c>
      <c r="AC180" s="1">
        <v>0.0</v>
      </c>
      <c r="AD180" s="1">
        <v>0.0</v>
      </c>
      <c r="AE180" s="1">
        <v>0.0</v>
      </c>
      <c r="AF180" s="1">
        <v>0.0</v>
      </c>
      <c r="AG180" s="1">
        <v>0.0</v>
      </c>
      <c r="AH180" s="1">
        <v>0.0</v>
      </c>
      <c r="AI180" s="1">
        <v>0.0</v>
      </c>
      <c r="AJ180" s="1">
        <v>0.0</v>
      </c>
      <c r="AK180" s="1">
        <v>0.0</v>
      </c>
      <c r="AL180" s="1">
        <v>0.0</v>
      </c>
      <c r="AM180" s="4">
        <v>0.0</v>
      </c>
      <c r="AN180" s="1">
        <v>0.0</v>
      </c>
      <c r="AO180" s="4">
        <v>0.0</v>
      </c>
      <c r="AP180" s="1">
        <f t="shared" si="1"/>
        <v>0</v>
      </c>
      <c r="AQ180" s="1" t="s">
        <v>557</v>
      </c>
      <c r="AT180" s="1" t="s">
        <v>727</v>
      </c>
      <c r="AU180" s="2">
        <v>46001.0</v>
      </c>
      <c r="AV180" s="2">
        <v>46023.9798611111</v>
      </c>
      <c r="AW180" s="1">
        <v>19.0</v>
      </c>
      <c r="AX180" s="1">
        <v>4897983.6</v>
      </c>
      <c r="AY180" s="1">
        <v>8462.0</v>
      </c>
      <c r="AZ180" s="1">
        <v>1.0</v>
      </c>
      <c r="BA180" s="1">
        <v>0.0</v>
      </c>
      <c r="BB180" s="1">
        <v>0.0</v>
      </c>
      <c r="BC180" s="2">
        <v>45999.0</v>
      </c>
      <c r="BD180" s="1">
        <v>49.0</v>
      </c>
      <c r="BE180" s="1" t="s">
        <v>550</v>
      </c>
      <c r="BF180" s="1">
        <v>2025.0</v>
      </c>
      <c r="BG180" s="1" t="s">
        <v>558</v>
      </c>
      <c r="BH180" s="1" t="str">
        <f>VLOOKUP(B180,CookieClicks!D:O,12,FALSE)</f>
        <v>#N/A</v>
      </c>
      <c r="BI180" s="8" t="str">
        <f>IFERROR(__xludf.DUMMYFUNCTION("VLOOKUP(REGEXREPLACE(BH180,""[?].*"",""""),ContentBuckets!A:C,2,FALSE)"),"#N/A")</f>
        <v>#N/A</v>
      </c>
      <c r="BJ180" s="8" t="str">
        <f>IFERROR(__xludf.DUMMYFUNCTION("VLOOKUP(REGEXREPLACE(BH180,""[?].*"",""""),ContentBuckets!A:C,3,FALSE)"),"#N/A")</f>
        <v>#N/A</v>
      </c>
    </row>
    <row r="181" ht="14.25" customHeight="1">
      <c r="A181" s="1">
        <v>153336.0</v>
      </c>
      <c r="B181" s="1" t="s">
        <v>838</v>
      </c>
      <c r="C181" s="2">
        <v>45999.8229166667</v>
      </c>
      <c r="D181" s="2"/>
      <c r="E181" s="2">
        <v>46013.8180555556</v>
      </c>
      <c r="F181" s="1" t="b">
        <v>1</v>
      </c>
      <c r="G181" s="4" t="b">
        <v>0</v>
      </c>
      <c r="H181" s="1" t="b">
        <v>0</v>
      </c>
      <c r="I181" s="1" t="b">
        <v>0</v>
      </c>
      <c r="J181" s="1" t="s">
        <v>534</v>
      </c>
      <c r="K181" s="1" t="s">
        <v>535</v>
      </c>
      <c r="L181" s="1" t="s">
        <v>536</v>
      </c>
      <c r="M181" s="1" t="s">
        <v>537</v>
      </c>
      <c r="N181" s="1">
        <v>40.0</v>
      </c>
      <c r="O181" s="1">
        <v>40.0</v>
      </c>
      <c r="P181" s="1">
        <v>0.0</v>
      </c>
      <c r="Q181" s="1">
        <v>0.0</v>
      </c>
      <c r="R181" s="1">
        <v>0.0</v>
      </c>
      <c r="S181" s="1" t="s">
        <v>538</v>
      </c>
      <c r="T181" s="1" t="s">
        <v>725</v>
      </c>
      <c r="U181" s="1" t="s">
        <v>726</v>
      </c>
      <c r="V181" s="4">
        <v>0.0</v>
      </c>
      <c r="W181" s="4"/>
      <c r="X181" s="4">
        <v>0.0</v>
      </c>
      <c r="Y181" s="1">
        <v>0.0</v>
      </c>
      <c r="Z181" s="1">
        <v>0.0</v>
      </c>
      <c r="AA181" s="1">
        <v>0.0</v>
      </c>
      <c r="AB181" s="1">
        <v>1.0</v>
      </c>
      <c r="AC181" s="1">
        <v>0.0</v>
      </c>
      <c r="AD181" s="1">
        <v>0.0</v>
      </c>
      <c r="AE181" s="1">
        <v>0.0</v>
      </c>
      <c r="AF181" s="1">
        <v>0.0</v>
      </c>
      <c r="AG181" s="1">
        <v>0.0</v>
      </c>
      <c r="AH181" s="1">
        <v>0.0</v>
      </c>
      <c r="AI181" s="1">
        <v>0.0</v>
      </c>
      <c r="AJ181" s="1">
        <v>0.0</v>
      </c>
      <c r="AK181" s="1">
        <v>0.0</v>
      </c>
      <c r="AL181" s="1">
        <v>0.0</v>
      </c>
      <c r="AM181" s="4">
        <v>0.0</v>
      </c>
      <c r="AN181" s="1">
        <v>0.0</v>
      </c>
      <c r="AO181" s="4">
        <v>0.0</v>
      </c>
      <c r="AP181" s="1">
        <f t="shared" si="1"/>
        <v>0</v>
      </c>
      <c r="AQ181" s="1" t="s">
        <v>557</v>
      </c>
      <c r="AT181" s="1" t="s">
        <v>820</v>
      </c>
      <c r="AU181" s="2">
        <v>46001.0</v>
      </c>
      <c r="AV181" s="2">
        <v>46023.9798611111</v>
      </c>
      <c r="AW181" s="1">
        <v>7.0</v>
      </c>
      <c r="AX181" s="1">
        <v>2171979.0</v>
      </c>
      <c r="AY181" s="1">
        <v>41.0</v>
      </c>
      <c r="AZ181" s="1">
        <v>0.0</v>
      </c>
      <c r="BA181" s="1">
        <v>0.0</v>
      </c>
      <c r="BB181" s="1">
        <v>0.0</v>
      </c>
      <c r="BC181" s="2">
        <v>45999.0</v>
      </c>
      <c r="BD181" s="1">
        <v>49.0</v>
      </c>
      <c r="BE181" s="1" t="s">
        <v>550</v>
      </c>
      <c r="BF181" s="1">
        <v>2025.0</v>
      </c>
      <c r="BG181" s="1" t="s">
        <v>558</v>
      </c>
      <c r="BH181" s="1" t="str">
        <f>VLOOKUP(B181,CookieClicks!D:O,12,FALSE)</f>
        <v>#N/A</v>
      </c>
      <c r="BI181" s="8" t="str">
        <f>IFERROR(__xludf.DUMMYFUNCTION("VLOOKUP(REGEXREPLACE(BH181,""[?].*"",""""),ContentBuckets!A:C,2,FALSE)"),"#N/A")</f>
        <v>#N/A</v>
      </c>
      <c r="BJ181" s="8" t="str">
        <f>IFERROR(__xludf.DUMMYFUNCTION("VLOOKUP(REGEXREPLACE(BH181,""[?].*"",""""),ContentBuckets!A:C,3,FALSE)"),"#N/A")</f>
        <v>#N/A</v>
      </c>
    </row>
    <row r="182" ht="14.25" customHeight="1">
      <c r="A182" s="1">
        <v>153337.0</v>
      </c>
      <c r="B182" s="1" t="s">
        <v>839</v>
      </c>
      <c r="C182" s="2">
        <v>45999.83125</v>
      </c>
      <c r="D182" s="2"/>
      <c r="E182" s="2">
        <v>46013.8180555556</v>
      </c>
      <c r="F182" s="1" t="b">
        <v>1</v>
      </c>
      <c r="G182" s="4" t="b">
        <v>0</v>
      </c>
      <c r="H182" s="1" t="b">
        <v>0</v>
      </c>
      <c r="I182" s="1" t="b">
        <v>0</v>
      </c>
      <c r="J182" s="1" t="s">
        <v>534</v>
      </c>
      <c r="K182" s="1" t="s">
        <v>535</v>
      </c>
      <c r="L182" s="1" t="s">
        <v>536</v>
      </c>
      <c r="M182" s="1" t="s">
        <v>537</v>
      </c>
      <c r="N182" s="1">
        <v>44.25</v>
      </c>
      <c r="O182" s="1">
        <v>44.25</v>
      </c>
      <c r="P182" s="1">
        <v>0.0</v>
      </c>
      <c r="Q182" s="1">
        <v>0.0</v>
      </c>
      <c r="R182" s="1">
        <v>0.0</v>
      </c>
      <c r="S182" s="1" t="s">
        <v>538</v>
      </c>
      <c r="T182" s="1" t="s">
        <v>725</v>
      </c>
      <c r="U182" s="1" t="s">
        <v>726</v>
      </c>
      <c r="V182" s="4">
        <v>0.0</v>
      </c>
      <c r="W182" s="4"/>
      <c r="X182" s="4">
        <v>0.0</v>
      </c>
      <c r="Y182" s="1">
        <v>0.0</v>
      </c>
      <c r="Z182" s="1">
        <v>0.0</v>
      </c>
      <c r="AA182" s="1">
        <v>0.0</v>
      </c>
      <c r="AB182" s="1">
        <v>1.0</v>
      </c>
      <c r="AC182" s="1">
        <v>0.0</v>
      </c>
      <c r="AD182" s="1">
        <v>0.0</v>
      </c>
      <c r="AE182" s="1">
        <v>0.0</v>
      </c>
      <c r="AF182" s="1">
        <v>0.0</v>
      </c>
      <c r="AG182" s="1">
        <v>0.0</v>
      </c>
      <c r="AH182" s="1">
        <v>0.0</v>
      </c>
      <c r="AI182" s="1">
        <v>0.0</v>
      </c>
      <c r="AJ182" s="1">
        <v>0.0</v>
      </c>
      <c r="AK182" s="1">
        <v>0.0</v>
      </c>
      <c r="AL182" s="1">
        <v>0.0</v>
      </c>
      <c r="AM182" s="4">
        <v>0.0</v>
      </c>
      <c r="AN182" s="1">
        <v>0.0</v>
      </c>
      <c r="AO182" s="4">
        <v>0.0</v>
      </c>
      <c r="AP182" s="1">
        <f t="shared" si="1"/>
        <v>0</v>
      </c>
      <c r="AQ182" s="1" t="s">
        <v>557</v>
      </c>
      <c r="AT182" s="1" t="s">
        <v>840</v>
      </c>
      <c r="AU182" s="2">
        <v>46001.0</v>
      </c>
      <c r="AV182" s="2">
        <v>46023.9798611111</v>
      </c>
      <c r="AW182" s="1">
        <v>5.0</v>
      </c>
      <c r="AX182" s="1">
        <v>66900.0</v>
      </c>
      <c r="AY182" s="1">
        <v>281.0</v>
      </c>
      <c r="AZ182" s="1">
        <v>1.0</v>
      </c>
      <c r="BA182" s="1">
        <v>0.0</v>
      </c>
      <c r="BB182" s="1">
        <v>0.0</v>
      </c>
      <c r="BC182" s="2">
        <v>45999.0</v>
      </c>
      <c r="BD182" s="1">
        <v>49.0</v>
      </c>
      <c r="BE182" s="1" t="s">
        <v>550</v>
      </c>
      <c r="BF182" s="1">
        <v>2025.0</v>
      </c>
      <c r="BG182" s="1" t="s">
        <v>558</v>
      </c>
      <c r="BH182" s="1" t="str">
        <f>VLOOKUP(B182,CookieClicks!D:O,12,FALSE)</f>
        <v>#N/A</v>
      </c>
      <c r="BI182" s="8" t="str">
        <f>IFERROR(__xludf.DUMMYFUNCTION("VLOOKUP(REGEXREPLACE(BH182,""[?].*"",""""),ContentBuckets!A:C,2,FALSE)"),"#N/A")</f>
        <v>#N/A</v>
      </c>
      <c r="BJ182" s="8" t="str">
        <f>IFERROR(__xludf.DUMMYFUNCTION("VLOOKUP(REGEXREPLACE(BH182,""[?].*"",""""),ContentBuckets!A:C,3,FALSE)"),"#N/A")</f>
        <v>#N/A</v>
      </c>
    </row>
    <row r="183" ht="14.25" customHeight="1">
      <c r="A183" s="1">
        <v>153338.0</v>
      </c>
      <c r="B183" s="1" t="s">
        <v>841</v>
      </c>
      <c r="C183" s="2">
        <v>45999.83125</v>
      </c>
      <c r="D183" s="2"/>
      <c r="E183" s="2"/>
      <c r="F183" s="1" t="b">
        <v>1</v>
      </c>
      <c r="G183" s="4" t="b">
        <v>0</v>
      </c>
      <c r="H183" s="1" t="b">
        <v>0</v>
      </c>
      <c r="I183" s="1" t="b">
        <v>0</v>
      </c>
      <c r="J183" s="1" t="s">
        <v>534</v>
      </c>
      <c r="K183" s="1" t="s">
        <v>553</v>
      </c>
      <c r="L183" s="1" t="s">
        <v>599</v>
      </c>
      <c r="M183" s="1" t="s">
        <v>537</v>
      </c>
      <c r="N183" s="1">
        <v>0.0</v>
      </c>
      <c r="O183" s="1">
        <v>44.25</v>
      </c>
      <c r="P183" s="1">
        <v>0.0</v>
      </c>
      <c r="Q183" s="1">
        <v>0.0</v>
      </c>
      <c r="R183" s="1">
        <v>0.0</v>
      </c>
      <c r="S183" s="1" t="s">
        <v>538</v>
      </c>
      <c r="T183" s="1" t="s">
        <v>539</v>
      </c>
      <c r="V183" s="4">
        <v>7279779.0</v>
      </c>
      <c r="W183" s="4"/>
      <c r="X183" s="4">
        <v>0.0</v>
      </c>
      <c r="Y183" s="1">
        <v>0.0</v>
      </c>
      <c r="Z183" s="1">
        <v>0.0</v>
      </c>
      <c r="AA183" s="1">
        <v>1.0</v>
      </c>
      <c r="AB183" s="1">
        <v>0.0</v>
      </c>
      <c r="AC183" s="1">
        <v>0.0</v>
      </c>
      <c r="AD183" s="1">
        <v>0.0</v>
      </c>
      <c r="AE183" s="1">
        <v>0.0</v>
      </c>
      <c r="AF183" s="1">
        <v>0.0</v>
      </c>
      <c r="AG183" s="1">
        <v>0.0</v>
      </c>
      <c r="AH183" s="1">
        <v>0.0</v>
      </c>
      <c r="AI183" s="1">
        <v>0.0</v>
      </c>
      <c r="AJ183" s="1">
        <v>0.0</v>
      </c>
      <c r="AK183" s="1">
        <v>0.0</v>
      </c>
      <c r="AL183" s="1">
        <v>0.0</v>
      </c>
      <c r="AM183" s="4">
        <v>0.0</v>
      </c>
      <c r="AN183" s="1">
        <v>0.0</v>
      </c>
      <c r="AO183" s="4">
        <v>0.0</v>
      </c>
      <c r="AP183" s="1">
        <f t="shared" si="1"/>
        <v>0</v>
      </c>
      <c r="AU183" s="2"/>
      <c r="AV183" s="2">
        <v>46024.0354166667</v>
      </c>
      <c r="AW183" s="1">
        <v>0.0</v>
      </c>
      <c r="AX183" s="1">
        <v>0.0</v>
      </c>
      <c r="AY183" s="1">
        <v>0.0</v>
      </c>
      <c r="AZ183" s="1">
        <v>1.0</v>
      </c>
      <c r="BA183" s="1">
        <v>0.0</v>
      </c>
      <c r="BB183" s="1">
        <v>0.0</v>
      </c>
      <c r="BC183" s="2">
        <v>45999.0</v>
      </c>
      <c r="BD183" s="1">
        <v>49.0</v>
      </c>
      <c r="BE183" s="1" t="s">
        <v>550</v>
      </c>
      <c r="BF183" s="1">
        <v>2025.0</v>
      </c>
      <c r="BG183" s="1" t="s">
        <v>558</v>
      </c>
      <c r="BH183" s="7" t="str">
        <f>VLOOKUP(B183,CookieClicks!D:O,12,FALSE)</f>
        <v>https://grow.method.me/quickbooks-crm/?trc=81&amp;trk=&amp;trs=US-PMax&amp;campaignid=20681425566&amp;adgroupid=&amp;adid=&amp;gad_source=5&amp;gad_campaignid=20687584292&amp;gclid=EAIaIQobChMI-rqlgKWvkQMV7U7_AR2kiR-oEAAYASAAEgJbB_D_BwE</v>
      </c>
      <c r="BI183" s="8" t="str">
        <f>IFERROR(__xludf.DUMMYFUNCTION("VLOOKUP(REGEXREPLACE(BH183,""[?].*"",""""),ContentBuckets!A:C,2,FALSE)"),"#N/A")</f>
        <v>#N/A</v>
      </c>
      <c r="BJ183" s="8" t="str">
        <f>IFERROR(__xludf.DUMMYFUNCTION("VLOOKUP(REGEXREPLACE(BH183,""[?].*"",""""),ContentBuckets!A:C,3,FALSE)"),"#N/A")</f>
        <v>#N/A</v>
      </c>
    </row>
    <row r="184" ht="14.25" customHeight="1">
      <c r="A184" s="1">
        <v>153339.0</v>
      </c>
      <c r="B184" s="1" t="s">
        <v>842</v>
      </c>
      <c r="C184" s="2">
        <v>45999.8541666667</v>
      </c>
      <c r="D184" s="2"/>
      <c r="E184" s="2"/>
      <c r="F184" s="1" t="b">
        <v>1</v>
      </c>
      <c r="G184" s="4" t="b">
        <v>0</v>
      </c>
      <c r="H184" s="1" t="b">
        <v>0</v>
      </c>
      <c r="I184" s="1" t="b">
        <v>0</v>
      </c>
      <c r="J184" s="1" t="s">
        <v>534</v>
      </c>
      <c r="K184" s="1" t="s">
        <v>553</v>
      </c>
      <c r="L184" s="1" t="s">
        <v>599</v>
      </c>
      <c r="M184" s="1" t="s">
        <v>537</v>
      </c>
      <c r="N184" s="1">
        <v>0.0</v>
      </c>
      <c r="O184" s="1">
        <v>44.25</v>
      </c>
      <c r="P184" s="1">
        <v>0.0</v>
      </c>
      <c r="Q184" s="1">
        <v>0.0</v>
      </c>
      <c r="R184" s="1">
        <v>0.0</v>
      </c>
      <c r="S184" s="1" t="s">
        <v>538</v>
      </c>
      <c r="T184" s="1" t="s">
        <v>539</v>
      </c>
      <c r="V184" s="4">
        <v>7280163.0</v>
      </c>
      <c r="W184" s="4"/>
      <c r="X184" s="4">
        <v>0.0</v>
      </c>
      <c r="Y184" s="1">
        <v>0.0</v>
      </c>
      <c r="Z184" s="1">
        <v>0.0</v>
      </c>
      <c r="AA184" s="1">
        <v>1.0</v>
      </c>
      <c r="AB184" s="1">
        <v>0.0</v>
      </c>
      <c r="AC184" s="1">
        <v>0.0</v>
      </c>
      <c r="AD184" s="1">
        <v>0.0</v>
      </c>
      <c r="AE184" s="1">
        <v>0.0</v>
      </c>
      <c r="AF184" s="1">
        <v>0.0</v>
      </c>
      <c r="AG184" s="1">
        <v>0.0</v>
      </c>
      <c r="AH184" s="1">
        <v>0.0</v>
      </c>
      <c r="AI184" s="1">
        <v>0.0</v>
      </c>
      <c r="AJ184" s="1">
        <v>0.0</v>
      </c>
      <c r="AK184" s="1">
        <v>0.0</v>
      </c>
      <c r="AL184" s="1">
        <v>0.0</v>
      </c>
      <c r="AM184" s="4">
        <v>0.0</v>
      </c>
      <c r="AN184" s="1">
        <v>0.0</v>
      </c>
      <c r="AO184" s="4">
        <v>0.0</v>
      </c>
      <c r="AP184" s="1">
        <f t="shared" si="1"/>
        <v>0</v>
      </c>
      <c r="AU184" s="2"/>
      <c r="AV184" s="2">
        <v>46024.0236111111</v>
      </c>
      <c r="AW184" s="1">
        <v>0.0</v>
      </c>
      <c r="AX184" s="1">
        <v>0.0</v>
      </c>
      <c r="AY184" s="1">
        <v>0.0</v>
      </c>
      <c r="AZ184" s="1">
        <v>1.0</v>
      </c>
      <c r="BA184" s="1">
        <v>0.0</v>
      </c>
      <c r="BB184" s="1">
        <v>0.0</v>
      </c>
      <c r="BC184" s="2">
        <v>45999.0</v>
      </c>
      <c r="BD184" s="1">
        <v>49.0</v>
      </c>
      <c r="BE184" s="1" t="s">
        <v>550</v>
      </c>
      <c r="BF184" s="1">
        <v>2025.0</v>
      </c>
      <c r="BG184" s="1" t="s">
        <v>558</v>
      </c>
      <c r="BH184" s="7" t="str">
        <f>VLOOKUP(B184,CookieClicks!D:O,12,FALSE)</f>
        <v>https://grow.method.me/no-erp/?trc=81&amp;trk=&amp;trs=US-ERP&amp;campaignid=20938141894&amp;adgroupid=&amp;adid=&amp;gad_source=5&amp;gad_campaignid=20938142383&amp;gclid=EAIaIQobChMI-KvGyKmvkQMVz1NHAR1piAKBEAAYASAAEgK-DPD_BwE</v>
      </c>
      <c r="BI184" s="8" t="str">
        <f>IFERROR(__xludf.DUMMYFUNCTION("VLOOKUP(REGEXREPLACE(BH184,""[?].*"",""""),ContentBuckets!A:C,2,FALSE)"),"#N/A")</f>
        <v>#N/A</v>
      </c>
      <c r="BJ184" s="8" t="str">
        <f>IFERROR(__xludf.DUMMYFUNCTION("VLOOKUP(REGEXREPLACE(BH184,""[?].*"",""""),ContentBuckets!A:C,3,FALSE)"),"#N/A")</f>
        <v>#N/A</v>
      </c>
    </row>
    <row r="185" ht="14.25" customHeight="1">
      <c r="A185" s="1">
        <v>153340.0</v>
      </c>
      <c r="B185" s="1" t="s">
        <v>843</v>
      </c>
      <c r="C185" s="2">
        <v>45999.9548611111</v>
      </c>
      <c r="D185" s="2"/>
      <c r="E185" s="2"/>
      <c r="F185" s="1" t="b">
        <v>1</v>
      </c>
      <c r="G185" s="4" t="b">
        <v>0</v>
      </c>
      <c r="H185" s="1" t="b">
        <v>0</v>
      </c>
      <c r="I185" s="1" t="b">
        <v>0</v>
      </c>
      <c r="J185" s="1" t="s">
        <v>534</v>
      </c>
      <c r="K185" s="1" t="s">
        <v>535</v>
      </c>
      <c r="L185" s="1" t="s">
        <v>536</v>
      </c>
      <c r="M185" s="1" t="s">
        <v>537</v>
      </c>
      <c r="N185" s="1">
        <v>0.0</v>
      </c>
      <c r="O185" s="1">
        <v>63.75</v>
      </c>
      <c r="P185" s="1">
        <v>0.0</v>
      </c>
      <c r="Q185" s="1">
        <v>0.0</v>
      </c>
      <c r="R185" s="1">
        <v>28.0</v>
      </c>
      <c r="S185" s="1" t="s">
        <v>538</v>
      </c>
      <c r="T185" s="1" t="s">
        <v>539</v>
      </c>
      <c r="V185" s="4">
        <v>7281303.0</v>
      </c>
      <c r="W185" s="4" t="s">
        <v>540</v>
      </c>
      <c r="X185" s="4">
        <v>0.0</v>
      </c>
      <c r="Y185" s="1">
        <v>1.0</v>
      </c>
      <c r="Z185" s="1">
        <v>0.0</v>
      </c>
      <c r="AA185" s="1">
        <v>0.0</v>
      </c>
      <c r="AB185" s="1">
        <v>0.0</v>
      </c>
      <c r="AC185" s="1">
        <v>0.0</v>
      </c>
      <c r="AD185" s="1">
        <v>0.0</v>
      </c>
      <c r="AE185" s="1">
        <v>0.0</v>
      </c>
      <c r="AF185" s="1">
        <v>0.0</v>
      </c>
      <c r="AG185" s="1">
        <v>0.0</v>
      </c>
      <c r="AH185" s="1">
        <v>0.0</v>
      </c>
      <c r="AI185" s="1">
        <v>0.0</v>
      </c>
      <c r="AJ185" s="1">
        <v>0.0</v>
      </c>
      <c r="AK185" s="1">
        <v>0.0</v>
      </c>
      <c r="AL185" s="1">
        <v>0.0</v>
      </c>
      <c r="AM185" s="4">
        <v>0.0</v>
      </c>
      <c r="AN185" s="1">
        <v>0.0</v>
      </c>
      <c r="AO185" s="4">
        <v>0.0</v>
      </c>
      <c r="AP185" s="1">
        <f t="shared" si="1"/>
        <v>0</v>
      </c>
      <c r="AR185" s="1" t="s">
        <v>542</v>
      </c>
      <c r="AU185" s="2"/>
      <c r="AV185" s="2">
        <v>46024.01875</v>
      </c>
      <c r="AW185" s="1">
        <v>0.0</v>
      </c>
      <c r="AX185" s="1">
        <v>0.0</v>
      </c>
      <c r="AY185" s="1">
        <v>0.0</v>
      </c>
      <c r="AZ185" s="1">
        <v>1.0</v>
      </c>
      <c r="BA185" s="1">
        <v>0.0</v>
      </c>
      <c r="BB185" s="1">
        <v>0.0</v>
      </c>
      <c r="BC185" s="2">
        <v>45999.0</v>
      </c>
      <c r="BD185" s="1">
        <v>49.0</v>
      </c>
      <c r="BE185" s="1" t="s">
        <v>550</v>
      </c>
      <c r="BF185" s="1">
        <v>2025.0</v>
      </c>
      <c r="BG185" s="1" t="s">
        <v>558</v>
      </c>
      <c r="BH185" s="7" t="str">
        <f>VLOOKUP(B185,CookieClicks!D:O,12,FALSE)</f>
        <v>https://www.method.me/blog/crm-for-logistics/</v>
      </c>
      <c r="BI185" s="8" t="str">
        <f>IFERROR(__xludf.DUMMYFUNCTION("VLOOKUP(REGEXREPLACE(BH185,""[?].*"",""""),ContentBuckets!A:C,2,FALSE)"),"Listicle - Software / Software overview")</f>
        <v>Listicle - Software / Software overview</v>
      </c>
      <c r="BJ185" s="8" t="str">
        <f>IFERROR(__xludf.DUMMYFUNCTION("VLOOKUP(REGEXREPLACE(BH185,""[?].*"",""""),ContentBuckets!A:C,3,FALSE)"),"Blog")</f>
        <v>Blog</v>
      </c>
    </row>
    <row r="186" ht="14.25" customHeight="1">
      <c r="A186" s="1">
        <v>153341.0</v>
      </c>
      <c r="B186" s="1" t="s">
        <v>844</v>
      </c>
      <c r="C186" s="2">
        <v>45999.9590277778</v>
      </c>
      <c r="D186" s="2"/>
      <c r="E186" s="2"/>
      <c r="F186" s="1" t="b">
        <v>1</v>
      </c>
      <c r="G186" s="4" t="b">
        <v>0</v>
      </c>
      <c r="H186" s="1" t="b">
        <v>0</v>
      </c>
      <c r="I186" s="1" t="b">
        <v>0</v>
      </c>
      <c r="J186" s="1" t="s">
        <v>534</v>
      </c>
      <c r="K186" s="1" t="s">
        <v>535</v>
      </c>
      <c r="L186" s="1" t="s">
        <v>536</v>
      </c>
      <c r="M186" s="1" t="s">
        <v>537</v>
      </c>
      <c r="N186" s="1">
        <v>0.0</v>
      </c>
      <c r="O186" s="1">
        <v>72.75</v>
      </c>
      <c r="P186" s="1">
        <v>0.0</v>
      </c>
      <c r="Q186" s="1">
        <v>0.0</v>
      </c>
      <c r="R186" s="1">
        <v>28.0</v>
      </c>
      <c r="S186" s="1" t="s">
        <v>538</v>
      </c>
      <c r="T186" s="1" t="s">
        <v>539</v>
      </c>
      <c r="V186" s="4">
        <v>7281696.0</v>
      </c>
      <c r="W186" s="4" t="s">
        <v>540</v>
      </c>
      <c r="X186" s="4">
        <v>0.0</v>
      </c>
      <c r="Y186" s="1">
        <v>1.0</v>
      </c>
      <c r="Z186" s="1">
        <v>0.0</v>
      </c>
      <c r="AA186" s="1">
        <v>0.0</v>
      </c>
      <c r="AB186" s="1">
        <v>0.0</v>
      </c>
      <c r="AC186" s="1">
        <v>0.0</v>
      </c>
      <c r="AD186" s="1">
        <v>0.0</v>
      </c>
      <c r="AE186" s="1">
        <v>0.0</v>
      </c>
      <c r="AF186" s="1">
        <v>0.0</v>
      </c>
      <c r="AG186" s="1">
        <v>0.0</v>
      </c>
      <c r="AH186" s="1">
        <v>0.0</v>
      </c>
      <c r="AI186" s="1">
        <v>0.0</v>
      </c>
      <c r="AJ186" s="1">
        <v>0.0</v>
      </c>
      <c r="AK186" s="1">
        <v>0.0</v>
      </c>
      <c r="AL186" s="1">
        <v>0.0</v>
      </c>
      <c r="AM186" s="4">
        <v>0.0</v>
      </c>
      <c r="AN186" s="1">
        <v>0.0</v>
      </c>
      <c r="AO186" s="4">
        <v>0.0</v>
      </c>
      <c r="AP186" s="1">
        <f t="shared" si="1"/>
        <v>0</v>
      </c>
      <c r="AQ186" s="1" t="s">
        <v>541</v>
      </c>
      <c r="AR186" s="1" t="s">
        <v>549</v>
      </c>
      <c r="AU186" s="2">
        <v>45999.0</v>
      </c>
      <c r="AV186" s="2">
        <v>46024.0159722222</v>
      </c>
      <c r="AW186" s="1">
        <v>42.0</v>
      </c>
      <c r="AX186" s="1">
        <v>471485.4</v>
      </c>
      <c r="AY186" s="1">
        <v>600.0</v>
      </c>
      <c r="AZ186" s="1">
        <v>1.0</v>
      </c>
      <c r="BA186" s="1">
        <v>0.0</v>
      </c>
      <c r="BB186" s="1">
        <v>0.0</v>
      </c>
      <c r="BC186" s="2">
        <v>45999.0</v>
      </c>
      <c r="BD186" s="1">
        <v>49.0</v>
      </c>
      <c r="BE186" s="1" t="s">
        <v>550</v>
      </c>
      <c r="BF186" s="1">
        <v>2025.0</v>
      </c>
      <c r="BG186" s="1" t="s">
        <v>546</v>
      </c>
      <c r="BH186" s="7" t="str">
        <f>VLOOKUP(B186,CookieClicks!D:O,12,FALSE)</f>
        <v>https://www.method.me/</v>
      </c>
      <c r="BI186" s="8" t="str">
        <f>IFERROR(__xludf.DUMMYFUNCTION("VLOOKUP(REGEXREPLACE(BH186,""[?].*"",""""),ContentBuckets!A:C,2,FALSE)"),"Homepage")</f>
        <v>Homepage</v>
      </c>
      <c r="BJ186" s="8" t="str">
        <f>IFERROR(__xludf.DUMMYFUNCTION("VLOOKUP(REGEXREPLACE(BH186,""[?].*"",""""),ContentBuckets!A:C,3,FALSE)"),"Other page")</f>
        <v>Other page</v>
      </c>
    </row>
    <row r="187" ht="14.25" customHeight="1">
      <c r="A187" s="1">
        <v>153342.0</v>
      </c>
      <c r="B187" s="1" t="s">
        <v>845</v>
      </c>
      <c r="C187" s="2">
        <v>45999.99375</v>
      </c>
      <c r="D187" s="2"/>
      <c r="E187" s="2"/>
      <c r="F187" s="1" t="b">
        <v>1</v>
      </c>
      <c r="G187" s="4" t="b">
        <v>0</v>
      </c>
      <c r="H187" s="1" t="b">
        <v>0</v>
      </c>
      <c r="I187" s="1" t="b">
        <v>0</v>
      </c>
      <c r="J187" s="1" t="s">
        <v>534</v>
      </c>
      <c r="K187" s="1" t="s">
        <v>535</v>
      </c>
      <c r="L187" s="1" t="s">
        <v>536</v>
      </c>
      <c r="M187" s="1" t="s">
        <v>537</v>
      </c>
      <c r="N187" s="1">
        <v>0.0</v>
      </c>
      <c r="O187" s="1">
        <v>44.25</v>
      </c>
      <c r="P187" s="1">
        <v>0.0</v>
      </c>
      <c r="Q187" s="1">
        <v>0.0</v>
      </c>
      <c r="R187" s="1">
        <v>0.0</v>
      </c>
      <c r="S187" s="1" t="s">
        <v>538</v>
      </c>
      <c r="T187" s="1" t="s">
        <v>539</v>
      </c>
      <c r="V187" s="4">
        <v>7282184.0</v>
      </c>
      <c r="W187" s="4"/>
      <c r="X187" s="4">
        <v>0.0</v>
      </c>
      <c r="Y187" s="1">
        <v>0.0</v>
      </c>
      <c r="Z187" s="1">
        <v>1.0</v>
      </c>
      <c r="AA187" s="1">
        <v>0.0</v>
      </c>
      <c r="AB187" s="1">
        <v>0.0</v>
      </c>
      <c r="AC187" s="1">
        <v>0.0</v>
      </c>
      <c r="AD187" s="1">
        <v>0.0</v>
      </c>
      <c r="AE187" s="1">
        <v>0.0</v>
      </c>
      <c r="AF187" s="1">
        <v>0.0</v>
      </c>
      <c r="AG187" s="1">
        <v>0.0</v>
      </c>
      <c r="AH187" s="1">
        <v>0.0</v>
      </c>
      <c r="AI187" s="1">
        <v>0.0</v>
      </c>
      <c r="AJ187" s="1">
        <v>0.0</v>
      </c>
      <c r="AK187" s="1">
        <v>0.0</v>
      </c>
      <c r="AL187" s="1">
        <v>0.0</v>
      </c>
      <c r="AM187" s="4">
        <v>0.0</v>
      </c>
      <c r="AN187" s="1">
        <v>0.0</v>
      </c>
      <c r="AO187" s="4">
        <v>0.0</v>
      </c>
      <c r="AP187" s="1">
        <f t="shared" si="1"/>
        <v>0</v>
      </c>
      <c r="AQ187" s="1" t="s">
        <v>557</v>
      </c>
      <c r="AU187" s="2">
        <v>45999.0</v>
      </c>
      <c r="AV187" s="2">
        <v>46023.9888888889</v>
      </c>
      <c r="AW187" s="1">
        <v>11.0</v>
      </c>
      <c r="AX187" s="1">
        <v>2.658378E7</v>
      </c>
      <c r="AY187" s="1">
        <v>149.0</v>
      </c>
      <c r="AZ187" s="1">
        <v>1.0</v>
      </c>
      <c r="BA187" s="1">
        <v>0.0</v>
      </c>
      <c r="BB187" s="1">
        <v>0.0</v>
      </c>
      <c r="BC187" s="2">
        <v>45999.0</v>
      </c>
      <c r="BD187" s="1">
        <v>49.0</v>
      </c>
      <c r="BE187" s="1" t="s">
        <v>550</v>
      </c>
      <c r="BF187" s="1">
        <v>2025.0</v>
      </c>
      <c r="BG187" s="1" t="s">
        <v>558</v>
      </c>
      <c r="BH187" s="7" t="str">
        <f>VLOOKUP(B187,CookieClicks!D:O,12,FALSE)</f>
        <v>https://signup.method.me/QBOAppstoreSignup?offering=methodcrm</v>
      </c>
      <c r="BI187" s="8" t="str">
        <f>IFERROR(__xludf.DUMMYFUNCTION("VLOOKUP(REGEXREPLACE(BH187,""[?].*"",""""),ContentBuckets!A:C,2,FALSE)"),"#N/A")</f>
        <v>#N/A</v>
      </c>
      <c r="BJ187" s="8" t="str">
        <f>IFERROR(__xludf.DUMMYFUNCTION("VLOOKUP(REGEXREPLACE(BH187,""[?].*"",""""),ContentBuckets!A:C,3,FALSE)"),"#N/A")</f>
        <v>#N/A</v>
      </c>
    </row>
    <row r="188" ht="14.25" customHeight="1">
      <c r="A188" s="1">
        <v>153343.0</v>
      </c>
      <c r="B188" s="1" t="s">
        <v>846</v>
      </c>
      <c r="C188" s="2">
        <v>46000.0736111111</v>
      </c>
      <c r="D188" s="2"/>
      <c r="E188" s="2"/>
      <c r="F188" s="1" t="b">
        <v>1</v>
      </c>
      <c r="G188" s="4" t="b">
        <v>0</v>
      </c>
      <c r="H188" s="1" t="b">
        <v>0</v>
      </c>
      <c r="I188" s="1" t="b">
        <v>0</v>
      </c>
      <c r="J188" s="1" t="s">
        <v>534</v>
      </c>
      <c r="K188" s="1" t="s">
        <v>535</v>
      </c>
      <c r="L188" s="1" t="s">
        <v>536</v>
      </c>
      <c r="M188" s="1" t="s">
        <v>537</v>
      </c>
      <c r="N188" s="1">
        <v>0.0</v>
      </c>
      <c r="O188" s="1">
        <v>63.75</v>
      </c>
      <c r="P188" s="1">
        <v>0.0</v>
      </c>
      <c r="Q188" s="1">
        <v>0.0</v>
      </c>
      <c r="R188" s="1">
        <v>28.0</v>
      </c>
      <c r="S188" s="1" t="s">
        <v>538</v>
      </c>
      <c r="T188" s="1" t="s">
        <v>539</v>
      </c>
      <c r="V188" s="4">
        <v>7283340.0</v>
      </c>
      <c r="W188" s="4"/>
      <c r="X188" s="4">
        <v>0.0</v>
      </c>
      <c r="Y188" s="1">
        <v>0.0</v>
      </c>
      <c r="Z188" s="1">
        <v>1.0</v>
      </c>
      <c r="AA188" s="1">
        <v>0.0</v>
      </c>
      <c r="AB188" s="1">
        <v>0.0</v>
      </c>
      <c r="AC188" s="1">
        <v>0.0</v>
      </c>
      <c r="AD188" s="1">
        <v>0.0</v>
      </c>
      <c r="AE188" s="1">
        <v>0.0</v>
      </c>
      <c r="AF188" s="1">
        <v>0.0</v>
      </c>
      <c r="AG188" s="1">
        <v>0.0</v>
      </c>
      <c r="AH188" s="1">
        <v>0.0</v>
      </c>
      <c r="AI188" s="1">
        <v>0.0</v>
      </c>
      <c r="AJ188" s="1">
        <v>0.0</v>
      </c>
      <c r="AK188" s="1">
        <v>0.0</v>
      </c>
      <c r="AL188" s="1">
        <v>0.0</v>
      </c>
      <c r="AM188" s="4">
        <v>0.0</v>
      </c>
      <c r="AN188" s="1">
        <v>0.0</v>
      </c>
      <c r="AO188" s="4">
        <v>0.0</v>
      </c>
      <c r="AP188" s="1">
        <f t="shared" si="1"/>
        <v>0</v>
      </c>
      <c r="AQ188" s="1" t="s">
        <v>791</v>
      </c>
      <c r="AR188" s="1" t="s">
        <v>542</v>
      </c>
      <c r="AU188" s="2">
        <v>46000.0</v>
      </c>
      <c r="AV188" s="2">
        <v>46024.0215277778</v>
      </c>
      <c r="AW188" s="1">
        <v>11.0</v>
      </c>
      <c r="AX188" s="1">
        <v>6073092.0</v>
      </c>
      <c r="AY188" s="1">
        <v>635.0</v>
      </c>
      <c r="AZ188" s="1">
        <v>1.0</v>
      </c>
      <c r="BA188" s="1">
        <v>0.0</v>
      </c>
      <c r="BB188" s="1">
        <v>0.0</v>
      </c>
      <c r="BC188" s="2">
        <v>46000.0</v>
      </c>
      <c r="BD188" s="1">
        <v>49.0</v>
      </c>
      <c r="BE188" s="1" t="s">
        <v>550</v>
      </c>
      <c r="BF188" s="1">
        <v>2025.0</v>
      </c>
      <c r="BG188" s="1" t="s">
        <v>792</v>
      </c>
      <c r="BH188" s="7" t="str">
        <f>VLOOKUP(B188,CookieClicks!D:O,12,FALSE)</f>
        <v>https://signup.method.me/QBOAppstoreSignup?offering=methodcrm</v>
      </c>
      <c r="BI188" s="8" t="str">
        <f>IFERROR(__xludf.DUMMYFUNCTION("VLOOKUP(REGEXREPLACE(BH188,""[?].*"",""""),ContentBuckets!A:C,2,FALSE)"),"#N/A")</f>
        <v>#N/A</v>
      </c>
      <c r="BJ188" s="8" t="str">
        <f>IFERROR(__xludf.DUMMYFUNCTION("VLOOKUP(REGEXREPLACE(BH188,""[?].*"",""""),ContentBuckets!A:C,3,FALSE)"),"#N/A")</f>
        <v>#N/A</v>
      </c>
    </row>
    <row r="189" ht="14.25" customHeight="1">
      <c r="A189" s="1">
        <v>153344.0</v>
      </c>
      <c r="B189" s="1" t="s">
        <v>847</v>
      </c>
      <c r="C189" s="2">
        <v>46000.19375</v>
      </c>
      <c r="D189" s="2"/>
      <c r="E189" s="2"/>
      <c r="F189" s="1" t="b">
        <v>1</v>
      </c>
      <c r="G189" s="4" t="b">
        <v>0</v>
      </c>
      <c r="H189" s="1" t="b">
        <v>0</v>
      </c>
      <c r="I189" s="1" t="b">
        <v>0</v>
      </c>
      <c r="J189" s="1" t="s">
        <v>534</v>
      </c>
      <c r="K189" s="1" t="s">
        <v>535</v>
      </c>
      <c r="L189" s="1" t="s">
        <v>536</v>
      </c>
      <c r="M189" s="1" t="s">
        <v>537</v>
      </c>
      <c r="N189" s="1">
        <v>0.0</v>
      </c>
      <c r="O189" s="1">
        <v>44.25</v>
      </c>
      <c r="P189" s="1">
        <v>0.0</v>
      </c>
      <c r="Q189" s="1">
        <v>0.0</v>
      </c>
      <c r="R189" s="1">
        <v>28.0</v>
      </c>
      <c r="S189" s="1" t="s">
        <v>538</v>
      </c>
      <c r="T189" s="1" t="s">
        <v>539</v>
      </c>
      <c r="V189" s="4">
        <v>7285028.0</v>
      </c>
      <c r="W189" s="4" t="s">
        <v>540</v>
      </c>
      <c r="X189" s="4">
        <v>0.0</v>
      </c>
      <c r="Y189" s="1">
        <v>1.0</v>
      </c>
      <c r="Z189" s="1">
        <v>0.0</v>
      </c>
      <c r="AA189" s="1">
        <v>0.0</v>
      </c>
      <c r="AB189" s="1">
        <v>0.0</v>
      </c>
      <c r="AC189" s="1">
        <v>0.0</v>
      </c>
      <c r="AD189" s="1">
        <v>0.0</v>
      </c>
      <c r="AE189" s="1">
        <v>0.0</v>
      </c>
      <c r="AF189" s="1">
        <v>0.0</v>
      </c>
      <c r="AG189" s="1">
        <v>0.0</v>
      </c>
      <c r="AH189" s="1">
        <v>0.0</v>
      </c>
      <c r="AI189" s="1">
        <v>0.0</v>
      </c>
      <c r="AJ189" s="1">
        <v>0.0</v>
      </c>
      <c r="AK189" s="1">
        <v>0.0</v>
      </c>
      <c r="AL189" s="1">
        <v>0.0</v>
      </c>
      <c r="AM189" s="4">
        <v>0.0</v>
      </c>
      <c r="AN189" s="1">
        <v>0.0</v>
      </c>
      <c r="AO189" s="4">
        <v>0.0</v>
      </c>
      <c r="AP189" s="1">
        <f t="shared" si="1"/>
        <v>0</v>
      </c>
      <c r="AR189" s="1" t="s">
        <v>681</v>
      </c>
      <c r="AU189" s="2"/>
      <c r="AV189" s="2">
        <v>46024.0381944444</v>
      </c>
      <c r="AW189" s="1">
        <v>0.0</v>
      </c>
      <c r="AX189" s="1">
        <v>0.0</v>
      </c>
      <c r="AY189" s="1">
        <v>0.0</v>
      </c>
      <c r="AZ189" s="1">
        <v>1.0</v>
      </c>
      <c r="BA189" s="1">
        <v>0.0</v>
      </c>
      <c r="BB189" s="1">
        <v>0.0</v>
      </c>
      <c r="BC189" s="2">
        <v>46000.0</v>
      </c>
      <c r="BD189" s="1">
        <v>49.0</v>
      </c>
      <c r="BE189" s="1" t="s">
        <v>550</v>
      </c>
      <c r="BF189" s="1">
        <v>2025.0</v>
      </c>
      <c r="BG189" s="1" t="s">
        <v>747</v>
      </c>
      <c r="BH189" s="7" t="str">
        <f>VLOOKUP(B189,CookieClicks!D:O,12,FALSE)</f>
        <v>https://www.method.me/blog/create-quote-in-quickbooks/</v>
      </c>
      <c r="BI189" s="8" t="str">
        <f>IFERROR(__xludf.DUMMYFUNCTION("VLOOKUP(REGEXREPLACE(BH189,""[?].*"",""""),ContentBuckets!A:C,2,FALSE)"),"QuickBooks - How-to")</f>
        <v>QuickBooks - How-to</v>
      </c>
      <c r="BJ189" s="8" t="str">
        <f>IFERROR(__xludf.DUMMYFUNCTION("VLOOKUP(REGEXREPLACE(BH189,""[?].*"",""""),ContentBuckets!A:C,3,FALSE)"),"Blog")</f>
        <v>Blog</v>
      </c>
    </row>
    <row r="190" ht="14.25" customHeight="1">
      <c r="A190" s="1">
        <v>153345.0</v>
      </c>
      <c r="B190" s="1" t="s">
        <v>848</v>
      </c>
      <c r="C190" s="2">
        <v>46000.3361111111</v>
      </c>
      <c r="D190" s="2"/>
      <c r="E190" s="2">
        <v>46000.4777777778</v>
      </c>
      <c r="F190" s="1" t="b">
        <v>1</v>
      </c>
      <c r="G190" s="4" t="b">
        <v>0</v>
      </c>
      <c r="H190" s="1" t="b">
        <v>0</v>
      </c>
      <c r="I190" s="1" t="b">
        <v>0</v>
      </c>
      <c r="J190" s="1" t="s">
        <v>534</v>
      </c>
      <c r="K190" s="1" t="s">
        <v>566</v>
      </c>
      <c r="L190" s="1" t="s">
        <v>567</v>
      </c>
      <c r="M190" s="1" t="s">
        <v>537</v>
      </c>
      <c r="N190" s="1">
        <v>544.0</v>
      </c>
      <c r="O190" s="1">
        <v>228.0</v>
      </c>
      <c r="P190" s="1">
        <v>0.0</v>
      </c>
      <c r="Q190" s="1">
        <v>0.0</v>
      </c>
      <c r="R190" s="1">
        <v>28.0</v>
      </c>
      <c r="S190" s="1" t="s">
        <v>538</v>
      </c>
      <c r="T190" s="1" t="s">
        <v>539</v>
      </c>
      <c r="V190" s="4">
        <v>7168930.0</v>
      </c>
      <c r="W190" s="4"/>
      <c r="X190" s="4">
        <v>1.0</v>
      </c>
      <c r="Y190" s="1">
        <v>0.0</v>
      </c>
      <c r="Z190" s="1">
        <v>0.0</v>
      </c>
      <c r="AA190" s="1">
        <v>0.0</v>
      </c>
      <c r="AB190" s="1">
        <v>0.0</v>
      </c>
      <c r="AC190" s="1">
        <v>0.0</v>
      </c>
      <c r="AD190" s="1">
        <v>0.0</v>
      </c>
      <c r="AE190" s="1">
        <v>0.0</v>
      </c>
      <c r="AF190" s="1">
        <v>0.0</v>
      </c>
      <c r="AG190" s="1">
        <v>0.0</v>
      </c>
      <c r="AH190" s="1">
        <v>0.0</v>
      </c>
      <c r="AI190" s="1">
        <v>0.0</v>
      </c>
      <c r="AJ190" s="1">
        <v>0.0</v>
      </c>
      <c r="AK190" s="1">
        <v>0.0</v>
      </c>
      <c r="AL190" s="1">
        <v>0.0</v>
      </c>
      <c r="AM190" s="4">
        <v>0.0</v>
      </c>
      <c r="AN190" s="1">
        <v>0.0</v>
      </c>
      <c r="AO190" s="4">
        <v>0.0</v>
      </c>
      <c r="AP190" s="1">
        <f t="shared" si="1"/>
        <v>0</v>
      </c>
      <c r="AQ190" s="1" t="s">
        <v>557</v>
      </c>
      <c r="AR190" s="1" t="s">
        <v>568</v>
      </c>
      <c r="AT190" s="1" t="s">
        <v>616</v>
      </c>
      <c r="AU190" s="2">
        <v>46000.0</v>
      </c>
      <c r="AV190" s="2">
        <v>46024.0111111111</v>
      </c>
      <c r="AW190" s="1">
        <v>32.0</v>
      </c>
      <c r="AX190" s="1">
        <v>4001316.72</v>
      </c>
      <c r="AY190" s="1">
        <v>11943.0</v>
      </c>
      <c r="AZ190" s="1">
        <v>4.0</v>
      </c>
      <c r="BA190" s="1">
        <v>0.0</v>
      </c>
      <c r="BB190" s="1">
        <v>5.0</v>
      </c>
      <c r="BC190" s="2">
        <v>46000.0</v>
      </c>
      <c r="BD190" s="1">
        <v>49.0</v>
      </c>
      <c r="BE190" s="1" t="s">
        <v>550</v>
      </c>
      <c r="BF190" s="1">
        <v>2025.0</v>
      </c>
      <c r="BG190" s="1" t="s">
        <v>558</v>
      </c>
      <c r="BH190" s="7" t="str">
        <f>VLOOKUP(B190,CookieClicks!D:O,12,FALSE)</f>
        <v>http://signup.method.me/methodcrm</v>
      </c>
      <c r="BI190" s="8" t="str">
        <f>IFERROR(__xludf.DUMMYFUNCTION("VLOOKUP(REGEXREPLACE(BH190,""[?].*"",""""),ContentBuckets!A:C,2,FALSE)"),"#N/A")</f>
        <v>#N/A</v>
      </c>
      <c r="BJ190" s="8" t="str">
        <f>IFERROR(__xludf.DUMMYFUNCTION("VLOOKUP(REGEXREPLACE(BH190,""[?].*"",""""),ContentBuckets!A:C,3,FALSE)"),"#N/A")</f>
        <v>#N/A</v>
      </c>
    </row>
    <row r="191" ht="14.25" customHeight="1">
      <c r="A191" s="1">
        <v>153346.0</v>
      </c>
      <c r="B191" s="1" t="s">
        <v>849</v>
      </c>
      <c r="C191" s="2">
        <v>46000.3847222222</v>
      </c>
      <c r="D191" s="2"/>
      <c r="E191" s="2"/>
      <c r="F191" s="1" t="b">
        <v>1</v>
      </c>
      <c r="G191" s="4" t="b">
        <v>0</v>
      </c>
      <c r="H191" s="1" t="b">
        <v>0</v>
      </c>
      <c r="I191" s="1" t="b">
        <v>0</v>
      </c>
      <c r="J191" s="1" t="s">
        <v>534</v>
      </c>
      <c r="K191" s="1" t="s">
        <v>535</v>
      </c>
      <c r="L191" s="1" t="s">
        <v>536</v>
      </c>
      <c r="M191" s="1" t="s">
        <v>537</v>
      </c>
      <c r="N191" s="1">
        <v>0.0</v>
      </c>
      <c r="O191" s="1">
        <v>109.5</v>
      </c>
      <c r="P191" s="1">
        <v>0.0</v>
      </c>
      <c r="Q191" s="1">
        <v>0.0</v>
      </c>
      <c r="R191" s="1">
        <v>28.0</v>
      </c>
      <c r="S191" s="1" t="s">
        <v>538</v>
      </c>
      <c r="T191" s="1" t="s">
        <v>539</v>
      </c>
      <c r="V191" s="4">
        <v>7288102.0</v>
      </c>
      <c r="W191" s="4"/>
      <c r="X191" s="4">
        <v>1.0</v>
      </c>
      <c r="Y191" s="1">
        <v>0.0</v>
      </c>
      <c r="Z191" s="1">
        <v>0.0</v>
      </c>
      <c r="AA191" s="1">
        <v>0.0</v>
      </c>
      <c r="AB191" s="1">
        <v>0.0</v>
      </c>
      <c r="AC191" s="1">
        <v>0.0</v>
      </c>
      <c r="AD191" s="1">
        <v>0.0</v>
      </c>
      <c r="AE191" s="1">
        <v>0.0</v>
      </c>
      <c r="AF191" s="1">
        <v>0.0</v>
      </c>
      <c r="AG191" s="1">
        <v>0.0</v>
      </c>
      <c r="AH191" s="1">
        <v>0.0</v>
      </c>
      <c r="AI191" s="1">
        <v>0.0</v>
      </c>
      <c r="AJ191" s="1">
        <v>0.0</v>
      </c>
      <c r="AK191" s="1">
        <v>0.0</v>
      </c>
      <c r="AL191" s="1">
        <v>0.0</v>
      </c>
      <c r="AM191" s="4">
        <v>0.0</v>
      </c>
      <c r="AN191" s="1">
        <v>0.0</v>
      </c>
      <c r="AO191" s="4">
        <v>0.0</v>
      </c>
      <c r="AP191" s="1">
        <f t="shared" si="1"/>
        <v>0</v>
      </c>
      <c r="AQ191" s="1" t="s">
        <v>541</v>
      </c>
      <c r="AR191" s="1" t="s">
        <v>571</v>
      </c>
      <c r="AU191" s="2">
        <v>46002.0</v>
      </c>
      <c r="AV191" s="2">
        <v>46024.01875</v>
      </c>
      <c r="AW191" s="1">
        <v>0.0</v>
      </c>
      <c r="AX191" s="1">
        <v>896813.64</v>
      </c>
      <c r="AY191" s="1">
        <v>602.0</v>
      </c>
      <c r="AZ191" s="1">
        <v>2.0</v>
      </c>
      <c r="BA191" s="1">
        <v>0.0</v>
      </c>
      <c r="BB191" s="1">
        <v>5.0</v>
      </c>
      <c r="BC191" s="2">
        <v>46000.0</v>
      </c>
      <c r="BD191" s="1">
        <v>49.0</v>
      </c>
      <c r="BE191" s="1" t="s">
        <v>550</v>
      </c>
      <c r="BF191" s="1">
        <v>2025.0</v>
      </c>
      <c r="BG191" s="1" t="s">
        <v>546</v>
      </c>
      <c r="BH191" s="7" t="str">
        <f>VLOOKUP(B191,CookieClicks!D:O,12,FALSE)</f>
        <v>http://signup.method.me/methodcrm/</v>
      </c>
      <c r="BI191" s="8" t="str">
        <f>IFERROR(__xludf.DUMMYFUNCTION("VLOOKUP(REGEXREPLACE(BH191,""[?].*"",""""),ContentBuckets!A:C,2,FALSE)"),"#N/A")</f>
        <v>#N/A</v>
      </c>
      <c r="BJ191" s="8" t="str">
        <f>IFERROR(__xludf.DUMMYFUNCTION("VLOOKUP(REGEXREPLACE(BH191,""[?].*"",""""),ContentBuckets!A:C,3,FALSE)"),"#N/A")</f>
        <v>#N/A</v>
      </c>
    </row>
    <row r="192" ht="14.25" customHeight="1">
      <c r="A192" s="1">
        <v>153347.0</v>
      </c>
      <c r="B192" s="1" t="s">
        <v>850</v>
      </c>
      <c r="C192" s="2">
        <v>46000.3923611111</v>
      </c>
      <c r="D192" s="2"/>
      <c r="E192" s="2"/>
      <c r="F192" s="1" t="b">
        <v>1</v>
      </c>
      <c r="G192" s="4" t="b">
        <v>0</v>
      </c>
      <c r="H192" s="1" t="b">
        <v>0</v>
      </c>
      <c r="I192" s="1" t="b">
        <v>0</v>
      </c>
      <c r="J192" s="1" t="s">
        <v>534</v>
      </c>
      <c r="K192" s="1" t="s">
        <v>535</v>
      </c>
      <c r="L192" s="1" t="s">
        <v>536</v>
      </c>
      <c r="M192" s="1" t="s">
        <v>537</v>
      </c>
      <c r="N192" s="1">
        <v>0.0</v>
      </c>
      <c r="O192" s="1">
        <v>53.25</v>
      </c>
      <c r="P192" s="1">
        <v>0.0</v>
      </c>
      <c r="Q192" s="1">
        <v>0.0</v>
      </c>
      <c r="R192" s="1">
        <v>28.0</v>
      </c>
      <c r="S192" s="1" t="s">
        <v>538</v>
      </c>
      <c r="T192" s="1" t="s">
        <v>539</v>
      </c>
      <c r="V192" s="4">
        <v>7288268.0</v>
      </c>
      <c r="W192" s="4"/>
      <c r="X192" s="4">
        <v>0.0</v>
      </c>
      <c r="Y192" s="1">
        <v>0.0</v>
      </c>
      <c r="Z192" s="1">
        <v>1.0</v>
      </c>
      <c r="AA192" s="1">
        <v>0.0</v>
      </c>
      <c r="AB192" s="1">
        <v>0.0</v>
      </c>
      <c r="AC192" s="1">
        <v>0.0</v>
      </c>
      <c r="AD192" s="1">
        <v>0.0</v>
      </c>
      <c r="AE192" s="1">
        <v>0.0</v>
      </c>
      <c r="AF192" s="1">
        <v>0.0</v>
      </c>
      <c r="AG192" s="1">
        <v>0.0</v>
      </c>
      <c r="AH192" s="1">
        <v>0.0</v>
      </c>
      <c r="AI192" s="1">
        <v>0.0</v>
      </c>
      <c r="AJ192" s="1">
        <v>0.0</v>
      </c>
      <c r="AK192" s="1">
        <v>0.0</v>
      </c>
      <c r="AL192" s="1">
        <v>0.0</v>
      </c>
      <c r="AM192" s="4">
        <v>0.0</v>
      </c>
      <c r="AN192" s="1">
        <v>0.0</v>
      </c>
      <c r="AO192" s="4">
        <v>0.0</v>
      </c>
      <c r="AP192" s="1">
        <f t="shared" si="1"/>
        <v>0</v>
      </c>
      <c r="AQ192" s="1" t="s">
        <v>557</v>
      </c>
      <c r="AR192" s="1" t="s">
        <v>608</v>
      </c>
      <c r="AU192" s="2">
        <v>46000.0</v>
      </c>
      <c r="AV192" s="2">
        <v>46024.0055555556</v>
      </c>
      <c r="AW192" s="1">
        <v>2.0</v>
      </c>
      <c r="AX192" s="1">
        <v>469140.0</v>
      </c>
      <c r="AY192" s="1">
        <v>15.0</v>
      </c>
      <c r="AZ192" s="1">
        <v>1.0</v>
      </c>
      <c r="BA192" s="1">
        <v>0.0</v>
      </c>
      <c r="BB192" s="1">
        <v>0.0</v>
      </c>
      <c r="BC192" s="2">
        <v>46000.0</v>
      </c>
      <c r="BD192" s="1">
        <v>49.0</v>
      </c>
      <c r="BE192" s="1" t="s">
        <v>550</v>
      </c>
      <c r="BF192" s="1">
        <v>2025.0</v>
      </c>
      <c r="BG192" s="1" t="s">
        <v>624</v>
      </c>
      <c r="BH192" s="7" t="str">
        <f>VLOOKUP(B192,CookieClicks!D:O,12,FALSE)</f>
        <v>https://signup.method.me/QBOAppstoreSignup?offering=methodcrm</v>
      </c>
      <c r="BI192" s="8" t="str">
        <f>IFERROR(__xludf.DUMMYFUNCTION("VLOOKUP(REGEXREPLACE(BH192,""[?].*"",""""),ContentBuckets!A:C,2,FALSE)"),"#N/A")</f>
        <v>#N/A</v>
      </c>
      <c r="BJ192" s="8" t="str">
        <f>IFERROR(__xludf.DUMMYFUNCTION("VLOOKUP(REGEXREPLACE(BH192,""[?].*"",""""),ContentBuckets!A:C,3,FALSE)"),"#N/A")</f>
        <v>#N/A</v>
      </c>
    </row>
    <row r="193" ht="14.25" customHeight="1">
      <c r="A193" s="1">
        <v>153353.0</v>
      </c>
      <c r="B193" s="1" t="s">
        <v>851</v>
      </c>
      <c r="C193" s="2">
        <v>46000.4020833333</v>
      </c>
      <c r="D193" s="2"/>
      <c r="E193" s="2"/>
      <c r="F193" s="1" t="b">
        <v>1</v>
      </c>
      <c r="G193" s="4" t="b">
        <v>0</v>
      </c>
      <c r="H193" s="1" t="b">
        <v>0</v>
      </c>
      <c r="I193" s="1" t="b">
        <v>0</v>
      </c>
      <c r="J193" s="1" t="s">
        <v>534</v>
      </c>
      <c r="K193" s="1" t="s">
        <v>535</v>
      </c>
      <c r="L193" s="1" t="s">
        <v>536</v>
      </c>
      <c r="M193" s="1" t="s">
        <v>537</v>
      </c>
      <c r="N193" s="1">
        <v>0.0</v>
      </c>
      <c r="O193" s="1">
        <v>44.25</v>
      </c>
      <c r="P193" s="1">
        <v>0.0</v>
      </c>
      <c r="Q193" s="1">
        <v>0.0</v>
      </c>
      <c r="R193" s="1">
        <v>28.0</v>
      </c>
      <c r="S193" s="1" t="s">
        <v>538</v>
      </c>
      <c r="T193" s="1" t="s">
        <v>539</v>
      </c>
      <c r="V193" s="4">
        <v>7097059.0</v>
      </c>
      <c r="W193" s="4" t="s">
        <v>540</v>
      </c>
      <c r="X193" s="4">
        <v>0.0</v>
      </c>
      <c r="Y193" s="1">
        <v>1.0</v>
      </c>
      <c r="Z193" s="1">
        <v>0.0</v>
      </c>
      <c r="AA193" s="1">
        <v>0.0</v>
      </c>
      <c r="AB193" s="1">
        <v>0.0</v>
      </c>
      <c r="AC193" s="1">
        <v>0.0</v>
      </c>
      <c r="AD193" s="1">
        <v>0.0</v>
      </c>
      <c r="AE193" s="1">
        <v>0.0</v>
      </c>
      <c r="AF193" s="1">
        <v>0.0</v>
      </c>
      <c r="AG193" s="1">
        <v>0.0</v>
      </c>
      <c r="AH193" s="1">
        <v>0.0</v>
      </c>
      <c r="AI193" s="1">
        <v>0.0</v>
      </c>
      <c r="AJ193" s="1">
        <v>0.0</v>
      </c>
      <c r="AK193" s="1">
        <v>0.0</v>
      </c>
      <c r="AL193" s="1">
        <v>0.0</v>
      </c>
      <c r="AM193" s="4">
        <v>0.0</v>
      </c>
      <c r="AN193" s="1">
        <v>0.0</v>
      </c>
      <c r="AO193" s="4">
        <v>0.0</v>
      </c>
      <c r="AP193" s="1">
        <f t="shared" si="1"/>
        <v>0</v>
      </c>
      <c r="AQ193" s="1" t="s">
        <v>604</v>
      </c>
      <c r="AR193" s="1" t="s">
        <v>591</v>
      </c>
      <c r="AU193" s="2">
        <v>46000.0</v>
      </c>
      <c r="AV193" s="2">
        <v>46023.9979166667</v>
      </c>
      <c r="AW193" s="1">
        <v>1.0</v>
      </c>
      <c r="AX193" s="1">
        <v>7800.0</v>
      </c>
      <c r="AY193" s="1">
        <v>8.0</v>
      </c>
      <c r="AZ193" s="1">
        <v>1.0</v>
      </c>
      <c r="BA193" s="1">
        <v>0.0</v>
      </c>
      <c r="BB193" s="1">
        <v>0.0</v>
      </c>
      <c r="BC193" s="2">
        <v>46000.0</v>
      </c>
      <c r="BD193" s="1">
        <v>49.0</v>
      </c>
      <c r="BE193" s="1" t="s">
        <v>550</v>
      </c>
      <c r="BF193" s="1">
        <v>2025.0</v>
      </c>
      <c r="BG193" s="1" t="s">
        <v>605</v>
      </c>
      <c r="BH193" s="7" t="str">
        <f>VLOOKUP(B193,CookieClicks!D:O,12,FALSE)</f>
        <v>https://www.method.me/blog/crm-for-multiple-businesses/</v>
      </c>
      <c r="BI193" s="8" t="str">
        <f>IFERROR(__xludf.DUMMYFUNCTION("VLOOKUP(REGEXREPLACE(BH193,""[?].*"",""""),ContentBuckets!A:C,2,FALSE)"),"Listicle - Software / Software overview")</f>
        <v>Listicle - Software / Software overview</v>
      </c>
      <c r="BJ193" s="8" t="str">
        <f>IFERROR(__xludf.DUMMYFUNCTION("VLOOKUP(REGEXREPLACE(BH193,""[?].*"",""""),ContentBuckets!A:C,3,FALSE)"),"Blog")</f>
        <v>Blog</v>
      </c>
    </row>
    <row r="194" ht="14.25" customHeight="1">
      <c r="A194" s="1">
        <v>153355.0</v>
      </c>
      <c r="B194" s="1" t="s">
        <v>852</v>
      </c>
      <c r="C194" s="2">
        <v>46000.4118055556</v>
      </c>
      <c r="D194" s="2"/>
      <c r="E194" s="2"/>
      <c r="F194" s="1" t="b">
        <v>1</v>
      </c>
      <c r="G194" s="4" t="b">
        <v>0</v>
      </c>
      <c r="H194" s="1" t="b">
        <v>0</v>
      </c>
      <c r="I194" s="1" t="b">
        <v>0</v>
      </c>
      <c r="J194" s="1" t="s">
        <v>534</v>
      </c>
      <c r="K194" s="1" t="s">
        <v>535</v>
      </c>
      <c r="L194" s="1" t="s">
        <v>536</v>
      </c>
      <c r="M194" s="1" t="s">
        <v>537</v>
      </c>
      <c r="N194" s="1">
        <v>0.0</v>
      </c>
      <c r="O194" s="1">
        <v>63.75</v>
      </c>
      <c r="P194" s="1">
        <v>0.0</v>
      </c>
      <c r="Q194" s="1">
        <v>0.0</v>
      </c>
      <c r="R194" s="1">
        <v>28.0</v>
      </c>
      <c r="S194" s="1" t="s">
        <v>538</v>
      </c>
      <c r="T194" s="1" t="s">
        <v>539</v>
      </c>
      <c r="V194" s="4">
        <v>7288731.0</v>
      </c>
      <c r="W194" s="4"/>
      <c r="X194" s="4">
        <v>0.0</v>
      </c>
      <c r="Y194" s="1">
        <v>0.0</v>
      </c>
      <c r="Z194" s="1">
        <v>1.0</v>
      </c>
      <c r="AA194" s="1">
        <v>0.0</v>
      </c>
      <c r="AB194" s="1">
        <v>0.0</v>
      </c>
      <c r="AC194" s="1">
        <v>0.0</v>
      </c>
      <c r="AD194" s="1">
        <v>0.0</v>
      </c>
      <c r="AE194" s="1">
        <v>0.0</v>
      </c>
      <c r="AF194" s="1">
        <v>0.0</v>
      </c>
      <c r="AG194" s="1">
        <v>0.0</v>
      </c>
      <c r="AH194" s="1">
        <v>0.0</v>
      </c>
      <c r="AI194" s="1">
        <v>0.0</v>
      </c>
      <c r="AJ194" s="1">
        <v>0.0</v>
      </c>
      <c r="AK194" s="1">
        <v>0.0</v>
      </c>
      <c r="AL194" s="1">
        <v>0.0</v>
      </c>
      <c r="AM194" s="4">
        <v>0.0</v>
      </c>
      <c r="AN194" s="1">
        <v>0.0</v>
      </c>
      <c r="AO194" s="4">
        <v>0.0</v>
      </c>
      <c r="AP194" s="1">
        <f t="shared" si="1"/>
        <v>0</v>
      </c>
      <c r="AQ194" s="1" t="s">
        <v>853</v>
      </c>
      <c r="AR194" s="1" t="s">
        <v>681</v>
      </c>
      <c r="AT194" s="1" t="s">
        <v>854</v>
      </c>
      <c r="AU194" s="2">
        <v>46000.0</v>
      </c>
      <c r="AV194" s="2">
        <v>46024.0055555556</v>
      </c>
      <c r="AW194" s="1">
        <v>2.0</v>
      </c>
      <c r="AX194" s="1">
        <v>7668219.6</v>
      </c>
      <c r="AY194" s="1">
        <v>18.0</v>
      </c>
      <c r="AZ194" s="1">
        <v>1.0</v>
      </c>
      <c r="BA194" s="1">
        <v>0.0</v>
      </c>
      <c r="BB194" s="1">
        <v>0.0</v>
      </c>
      <c r="BC194" s="2">
        <v>46000.0</v>
      </c>
      <c r="BD194" s="1">
        <v>49.0</v>
      </c>
      <c r="BE194" s="1" t="s">
        <v>550</v>
      </c>
      <c r="BF194" s="1">
        <v>2025.0</v>
      </c>
      <c r="BG194" s="1" t="s">
        <v>835</v>
      </c>
      <c r="BH194" s="7" t="str">
        <f>VLOOKUP(B194,CookieClicks!D:O,12,FALSE)</f>
        <v>https://signup.method.me/QBOAppstoreSignup?offering=methodcrm</v>
      </c>
      <c r="BI194" s="8" t="str">
        <f>IFERROR(__xludf.DUMMYFUNCTION("VLOOKUP(REGEXREPLACE(BH194,""[?].*"",""""),ContentBuckets!A:C,2,FALSE)"),"#N/A")</f>
        <v>#N/A</v>
      </c>
      <c r="BJ194" s="8" t="str">
        <f>IFERROR(__xludf.DUMMYFUNCTION("VLOOKUP(REGEXREPLACE(BH194,""[?].*"",""""),ContentBuckets!A:C,3,FALSE)"),"#N/A")</f>
        <v>#N/A</v>
      </c>
    </row>
    <row r="195" ht="14.25" customHeight="1">
      <c r="A195" s="1">
        <v>153358.0</v>
      </c>
      <c r="B195" s="1" t="s">
        <v>855</v>
      </c>
      <c r="C195" s="2">
        <v>46000.4284722222</v>
      </c>
      <c r="D195" s="2"/>
      <c r="E195" s="2"/>
      <c r="F195" s="1" t="b">
        <v>1</v>
      </c>
      <c r="G195" s="4" t="b">
        <v>0</v>
      </c>
      <c r="H195" s="1" t="b">
        <v>0</v>
      </c>
      <c r="I195" s="1" t="b">
        <v>0</v>
      </c>
      <c r="J195" s="1" t="s">
        <v>534</v>
      </c>
      <c r="K195" s="1" t="s">
        <v>535</v>
      </c>
      <c r="L195" s="1" t="s">
        <v>536</v>
      </c>
      <c r="M195" s="1" t="s">
        <v>537</v>
      </c>
      <c r="N195" s="1">
        <v>0.0</v>
      </c>
      <c r="O195" s="1">
        <v>191.25</v>
      </c>
      <c r="P195" s="1">
        <v>0.0</v>
      </c>
      <c r="Q195" s="1">
        <v>0.0</v>
      </c>
      <c r="R195" s="1">
        <v>28.0</v>
      </c>
      <c r="S195" s="1" t="s">
        <v>538</v>
      </c>
      <c r="T195" s="1" t="s">
        <v>539</v>
      </c>
      <c r="V195" s="4">
        <v>7277947.0</v>
      </c>
      <c r="W195" s="4" t="s">
        <v>540</v>
      </c>
      <c r="X195" s="4">
        <v>0.0</v>
      </c>
      <c r="Y195" s="1">
        <v>1.0</v>
      </c>
      <c r="Z195" s="1">
        <v>0.0</v>
      </c>
      <c r="AA195" s="1">
        <v>0.0</v>
      </c>
      <c r="AB195" s="1">
        <v>0.0</v>
      </c>
      <c r="AC195" s="1">
        <v>0.0</v>
      </c>
      <c r="AD195" s="1">
        <v>0.0</v>
      </c>
      <c r="AE195" s="1">
        <v>0.0</v>
      </c>
      <c r="AF195" s="1">
        <v>0.0</v>
      </c>
      <c r="AG195" s="1">
        <v>0.0</v>
      </c>
      <c r="AH195" s="1">
        <v>0.0</v>
      </c>
      <c r="AI195" s="1">
        <v>0.0</v>
      </c>
      <c r="AJ195" s="1">
        <v>0.0</v>
      </c>
      <c r="AK195" s="1">
        <v>0.0</v>
      </c>
      <c r="AL195" s="1">
        <v>0.0</v>
      </c>
      <c r="AM195" s="4">
        <v>0.0</v>
      </c>
      <c r="AN195" s="1">
        <v>0.0</v>
      </c>
      <c r="AO195" s="4">
        <v>0.0</v>
      </c>
      <c r="AP195" s="1">
        <f t="shared" si="1"/>
        <v>0</v>
      </c>
      <c r="AQ195" s="1" t="s">
        <v>557</v>
      </c>
      <c r="AR195" s="1" t="s">
        <v>560</v>
      </c>
      <c r="AU195" s="2">
        <v>46000.0</v>
      </c>
      <c r="AV195" s="2">
        <v>46023.9847222222</v>
      </c>
      <c r="AW195" s="1">
        <v>1.0</v>
      </c>
      <c r="AX195" s="1">
        <v>341820.0</v>
      </c>
      <c r="AY195" s="1">
        <v>245.0</v>
      </c>
      <c r="AZ195" s="1">
        <v>3.0</v>
      </c>
      <c r="BA195" s="1">
        <v>0.0</v>
      </c>
      <c r="BB195" s="1">
        <v>0.0</v>
      </c>
      <c r="BC195" s="2">
        <v>46000.0</v>
      </c>
      <c r="BD195" s="1">
        <v>49.0</v>
      </c>
      <c r="BE195" s="1" t="s">
        <v>550</v>
      </c>
      <c r="BF195" s="1">
        <v>2025.0</v>
      </c>
      <c r="BG195" s="1" t="s">
        <v>558</v>
      </c>
      <c r="BH195" s="7" t="str">
        <f>VLOOKUP(B195,CookieClicks!D:O,12,FALSE)</f>
        <v>https://signin.method.me/</v>
      </c>
      <c r="BI195" s="8" t="str">
        <f>IFERROR(__xludf.DUMMYFUNCTION("VLOOKUP(REGEXREPLACE(BH195,""[?].*"",""""),ContentBuckets!A:C,2,FALSE)"),"#N/A")</f>
        <v>#N/A</v>
      </c>
      <c r="BJ195" s="8" t="str">
        <f>IFERROR(__xludf.DUMMYFUNCTION("VLOOKUP(REGEXREPLACE(BH195,""[?].*"",""""),ContentBuckets!A:C,3,FALSE)"),"#N/A")</f>
        <v>#N/A</v>
      </c>
    </row>
    <row r="196" ht="14.25" customHeight="1">
      <c r="A196" s="1">
        <v>153361.0</v>
      </c>
      <c r="B196" s="1" t="s">
        <v>856</v>
      </c>
      <c r="C196" s="2">
        <v>46000.4909722222</v>
      </c>
      <c r="D196" s="2"/>
      <c r="E196" s="2"/>
      <c r="F196" s="1" t="b">
        <v>1</v>
      </c>
      <c r="G196" s="4" t="b">
        <v>0</v>
      </c>
      <c r="H196" s="1" t="b">
        <v>0</v>
      </c>
      <c r="I196" s="1" t="b">
        <v>0</v>
      </c>
      <c r="J196" s="1" t="s">
        <v>534</v>
      </c>
      <c r="K196" s="1" t="s">
        <v>703</v>
      </c>
      <c r="L196" s="1" t="s">
        <v>536</v>
      </c>
      <c r="M196" s="1" t="s">
        <v>537</v>
      </c>
      <c r="N196" s="1">
        <v>0.0</v>
      </c>
      <c r="O196" s="1">
        <v>106.5</v>
      </c>
      <c r="P196" s="1">
        <v>0.0</v>
      </c>
      <c r="Q196" s="1">
        <v>0.0</v>
      </c>
      <c r="R196" s="1">
        <v>28.0</v>
      </c>
      <c r="S196" s="1" t="s">
        <v>538</v>
      </c>
      <c r="T196" s="1" t="s">
        <v>539</v>
      </c>
      <c r="V196" s="4">
        <v>7288780.0</v>
      </c>
      <c r="W196" s="4" t="s">
        <v>540</v>
      </c>
      <c r="X196" s="4">
        <v>0.0</v>
      </c>
      <c r="Y196" s="1">
        <v>1.0</v>
      </c>
      <c r="Z196" s="1">
        <v>0.0</v>
      </c>
      <c r="AA196" s="1">
        <v>0.0</v>
      </c>
      <c r="AB196" s="1">
        <v>0.0</v>
      </c>
      <c r="AC196" s="1">
        <v>0.0</v>
      </c>
      <c r="AD196" s="1">
        <v>0.0</v>
      </c>
      <c r="AE196" s="1">
        <v>0.0</v>
      </c>
      <c r="AF196" s="1">
        <v>0.0</v>
      </c>
      <c r="AG196" s="1">
        <v>0.0</v>
      </c>
      <c r="AH196" s="1">
        <v>0.0</v>
      </c>
      <c r="AI196" s="1">
        <v>0.0</v>
      </c>
      <c r="AJ196" s="1">
        <v>0.0</v>
      </c>
      <c r="AK196" s="1">
        <v>0.0</v>
      </c>
      <c r="AL196" s="1">
        <v>0.0</v>
      </c>
      <c r="AM196" s="4">
        <v>0.0</v>
      </c>
      <c r="AN196" s="1">
        <v>0.0</v>
      </c>
      <c r="AO196" s="4">
        <v>0.0</v>
      </c>
      <c r="AP196" s="1">
        <f t="shared" si="1"/>
        <v>0</v>
      </c>
      <c r="AQ196" s="1" t="s">
        <v>557</v>
      </c>
      <c r="AR196" s="1" t="s">
        <v>857</v>
      </c>
      <c r="AT196" s="1" t="s">
        <v>858</v>
      </c>
      <c r="AU196" s="2">
        <v>46000.0</v>
      </c>
      <c r="AV196" s="2">
        <v>46024.0125</v>
      </c>
      <c r="AW196" s="1">
        <v>0.0</v>
      </c>
      <c r="AX196" s="1">
        <v>88239.24</v>
      </c>
      <c r="AY196" s="1">
        <v>15.0</v>
      </c>
      <c r="AZ196" s="1">
        <v>2.0</v>
      </c>
      <c r="BA196" s="1">
        <v>0.0</v>
      </c>
      <c r="BB196" s="1">
        <v>0.0</v>
      </c>
      <c r="BC196" s="2">
        <v>46000.0</v>
      </c>
      <c r="BD196" s="1">
        <v>49.0</v>
      </c>
      <c r="BE196" s="1" t="s">
        <v>550</v>
      </c>
      <c r="BF196" s="1">
        <v>2025.0</v>
      </c>
      <c r="BG196" s="1" t="s">
        <v>558</v>
      </c>
      <c r="BH196" s="7" t="str">
        <f>VLOOKUP(B196,CookieClicks!D:O,12,FALSE)</f>
        <v>https://www.method.me/crm-quickbooks/job-scheduling-software/</v>
      </c>
      <c r="BI196" s="8" t="str">
        <f>IFERROR(__xludf.DUMMYFUNCTION("VLOOKUP(REGEXREPLACE(BH196,""[?].*"",""""),ContentBuckets!A:C,2,FALSE)"),"/crm-quickbooks/")</f>
        <v>/crm-quickbooks/</v>
      </c>
      <c r="BJ196" s="8" t="str">
        <f>IFERROR(__xludf.DUMMYFUNCTION("VLOOKUP(REGEXREPLACE(BH196,""[?].*"",""""),ContentBuckets!A:C,3,FALSE)"),"Other page")</f>
        <v>Other page</v>
      </c>
    </row>
    <row r="197" ht="14.25" customHeight="1">
      <c r="A197" s="1">
        <v>153363.0</v>
      </c>
      <c r="B197" s="1" t="s">
        <v>859</v>
      </c>
      <c r="C197" s="2">
        <v>46000.5118055556</v>
      </c>
      <c r="D197" s="2"/>
      <c r="E197" s="2"/>
      <c r="F197" s="1" t="b">
        <v>1</v>
      </c>
      <c r="G197" s="4" t="b">
        <v>0</v>
      </c>
      <c r="H197" s="1" t="b">
        <v>0</v>
      </c>
      <c r="I197" s="1" t="b">
        <v>0</v>
      </c>
      <c r="J197" s="1" t="s">
        <v>534</v>
      </c>
      <c r="K197" s="1" t="s">
        <v>535</v>
      </c>
      <c r="L197" s="1" t="s">
        <v>536</v>
      </c>
      <c r="M197" s="1" t="s">
        <v>537</v>
      </c>
      <c r="N197" s="1">
        <v>0.0</v>
      </c>
      <c r="O197" s="1">
        <v>44.25</v>
      </c>
      <c r="P197" s="1">
        <v>0.0</v>
      </c>
      <c r="Q197" s="1">
        <v>0.0</v>
      </c>
      <c r="R197" s="1">
        <v>28.0</v>
      </c>
      <c r="S197" s="1" t="s">
        <v>538</v>
      </c>
      <c r="T197" s="1" t="s">
        <v>539</v>
      </c>
      <c r="V197" s="4">
        <v>7245206.0</v>
      </c>
      <c r="W197" s="4"/>
      <c r="X197" s="4">
        <v>1.0</v>
      </c>
      <c r="Y197" s="1">
        <v>0.0</v>
      </c>
      <c r="Z197" s="1">
        <v>0.0</v>
      </c>
      <c r="AA197" s="1">
        <v>0.0</v>
      </c>
      <c r="AB197" s="1">
        <v>0.0</v>
      </c>
      <c r="AC197" s="1">
        <v>0.0</v>
      </c>
      <c r="AD197" s="1">
        <v>0.0</v>
      </c>
      <c r="AE197" s="1">
        <v>0.0</v>
      </c>
      <c r="AF197" s="1">
        <v>0.0</v>
      </c>
      <c r="AG197" s="1">
        <v>0.0</v>
      </c>
      <c r="AH197" s="1">
        <v>0.0</v>
      </c>
      <c r="AI197" s="1">
        <v>0.0</v>
      </c>
      <c r="AJ197" s="1">
        <v>0.0</v>
      </c>
      <c r="AK197" s="1">
        <v>0.0</v>
      </c>
      <c r="AL197" s="1">
        <v>0.0</v>
      </c>
      <c r="AM197" s="4">
        <v>0.0</v>
      </c>
      <c r="AN197" s="1">
        <v>0.0</v>
      </c>
      <c r="AO197" s="4">
        <v>0.0</v>
      </c>
      <c r="AP197" s="1">
        <f t="shared" si="1"/>
        <v>0</v>
      </c>
      <c r="AR197" s="1" t="s">
        <v>549</v>
      </c>
      <c r="AU197" s="2"/>
      <c r="AV197" s="2">
        <v>46023.9895833333</v>
      </c>
      <c r="AW197" s="1">
        <v>0.0</v>
      </c>
      <c r="AX197" s="1">
        <v>0.0</v>
      </c>
      <c r="AY197" s="1">
        <v>0.0</v>
      </c>
      <c r="AZ197" s="1">
        <v>1.0</v>
      </c>
      <c r="BA197" s="1">
        <v>0.0</v>
      </c>
      <c r="BB197" s="1">
        <v>0.0</v>
      </c>
      <c r="BC197" s="2">
        <v>46000.0</v>
      </c>
      <c r="BD197" s="1">
        <v>49.0</v>
      </c>
      <c r="BE197" s="1" t="s">
        <v>550</v>
      </c>
      <c r="BF197" s="1">
        <v>2025.0</v>
      </c>
      <c r="BG197" s="1" t="s">
        <v>860</v>
      </c>
      <c r="BH197" s="7" t="str">
        <f>VLOOKUP(B197,CookieClicks!D:O,12,FALSE)</f>
        <v>https://www.method.me/</v>
      </c>
      <c r="BI197" s="8" t="str">
        <f>IFERROR(__xludf.DUMMYFUNCTION("VLOOKUP(REGEXREPLACE(BH197,""[?].*"",""""),ContentBuckets!A:C,2,FALSE)"),"Homepage")</f>
        <v>Homepage</v>
      </c>
      <c r="BJ197" s="8" t="str">
        <f>IFERROR(__xludf.DUMMYFUNCTION("VLOOKUP(REGEXREPLACE(BH197,""[?].*"",""""),ContentBuckets!A:C,3,FALSE)"),"Other page")</f>
        <v>Other page</v>
      </c>
    </row>
    <row r="198" ht="14.25" customHeight="1">
      <c r="A198" s="1">
        <v>153364.0</v>
      </c>
      <c r="B198" s="1" t="s">
        <v>861</v>
      </c>
      <c r="C198" s="2">
        <v>46000.5145833333</v>
      </c>
      <c r="D198" s="2"/>
      <c r="E198" s="2"/>
      <c r="F198" s="1" t="b">
        <v>1</v>
      </c>
      <c r="G198" s="4" t="b">
        <v>0</v>
      </c>
      <c r="H198" s="1" t="b">
        <v>0</v>
      </c>
      <c r="I198" s="1" t="b">
        <v>0</v>
      </c>
      <c r="J198" s="1" t="s">
        <v>534</v>
      </c>
      <c r="K198" s="1" t="s">
        <v>535</v>
      </c>
      <c r="L198" s="1" t="s">
        <v>536</v>
      </c>
      <c r="M198" s="1" t="s">
        <v>537</v>
      </c>
      <c r="N198" s="1">
        <v>0.0</v>
      </c>
      <c r="O198" s="1">
        <v>96.0</v>
      </c>
      <c r="P198" s="1">
        <v>0.0</v>
      </c>
      <c r="Q198" s="1">
        <v>0.0</v>
      </c>
      <c r="R198" s="1">
        <v>28.0</v>
      </c>
      <c r="S198" s="1" t="s">
        <v>538</v>
      </c>
      <c r="T198" s="1" t="s">
        <v>539</v>
      </c>
      <c r="V198" s="4">
        <v>7290569.0</v>
      </c>
      <c r="W198" s="4" t="s">
        <v>653</v>
      </c>
      <c r="X198" s="4">
        <v>0.0</v>
      </c>
      <c r="Y198" s="1">
        <v>1.0</v>
      </c>
      <c r="Z198" s="1">
        <v>0.0</v>
      </c>
      <c r="AA198" s="1">
        <v>0.0</v>
      </c>
      <c r="AB198" s="1">
        <v>0.0</v>
      </c>
      <c r="AC198" s="1">
        <v>0.0</v>
      </c>
      <c r="AD198" s="1">
        <v>0.0</v>
      </c>
      <c r="AE198" s="1">
        <v>0.0</v>
      </c>
      <c r="AF198" s="1">
        <v>0.0</v>
      </c>
      <c r="AG198" s="1">
        <v>0.0</v>
      </c>
      <c r="AH198" s="1">
        <v>0.0</v>
      </c>
      <c r="AI198" s="1">
        <v>0.0</v>
      </c>
      <c r="AJ198" s="1">
        <v>0.0</v>
      </c>
      <c r="AK198" s="1">
        <v>0.0</v>
      </c>
      <c r="AL198" s="1">
        <v>0.0</v>
      </c>
      <c r="AM198" s="4">
        <v>0.0</v>
      </c>
      <c r="AN198" s="1">
        <v>0.0</v>
      </c>
      <c r="AO198" s="4">
        <v>0.0</v>
      </c>
      <c r="AP198" s="1">
        <f t="shared" si="1"/>
        <v>0</v>
      </c>
      <c r="AQ198" s="1" t="s">
        <v>557</v>
      </c>
      <c r="AR198" s="1" t="s">
        <v>578</v>
      </c>
      <c r="AU198" s="2">
        <v>46000.0</v>
      </c>
      <c r="AV198" s="2">
        <v>46024.0034722222</v>
      </c>
      <c r="AW198" s="1">
        <v>0.0</v>
      </c>
      <c r="AX198" s="1">
        <v>0.0</v>
      </c>
      <c r="AY198" s="1">
        <v>17.0</v>
      </c>
      <c r="AZ198" s="1">
        <v>2.0</v>
      </c>
      <c r="BA198" s="1">
        <v>0.0</v>
      </c>
      <c r="BB198" s="1">
        <v>0.0</v>
      </c>
      <c r="BC198" s="2">
        <v>46000.0</v>
      </c>
      <c r="BD198" s="1">
        <v>49.0</v>
      </c>
      <c r="BE198" s="1" t="s">
        <v>550</v>
      </c>
      <c r="BF198" s="1">
        <v>2025.0</v>
      </c>
      <c r="BG198" s="1" t="s">
        <v>558</v>
      </c>
      <c r="BH198" s="7" t="str">
        <f>VLOOKUP(B198,CookieClicks!D:O,12,FALSE)</f>
        <v>https://www.method.me/</v>
      </c>
      <c r="BI198" s="8" t="str">
        <f>IFERROR(__xludf.DUMMYFUNCTION("VLOOKUP(REGEXREPLACE(BH198,""[?].*"",""""),ContentBuckets!A:C,2,FALSE)"),"Homepage")</f>
        <v>Homepage</v>
      </c>
      <c r="BJ198" s="8" t="str">
        <f>IFERROR(__xludf.DUMMYFUNCTION("VLOOKUP(REGEXREPLACE(BH198,""[?].*"",""""),ContentBuckets!A:C,3,FALSE)"),"Other page")</f>
        <v>Other page</v>
      </c>
    </row>
    <row r="199" ht="14.25" customHeight="1">
      <c r="A199" s="1">
        <v>153365.0</v>
      </c>
      <c r="B199" s="1" t="s">
        <v>862</v>
      </c>
      <c r="C199" s="2">
        <v>46000.5229166667</v>
      </c>
      <c r="D199" s="2"/>
      <c r="E199" s="2">
        <v>46002.44375</v>
      </c>
      <c r="F199" s="1" t="b">
        <v>1</v>
      </c>
      <c r="G199" s="4" t="b">
        <v>0</v>
      </c>
      <c r="H199" s="1" t="b">
        <v>0</v>
      </c>
      <c r="I199" s="1" t="b">
        <v>0</v>
      </c>
      <c r="J199" s="1" t="s">
        <v>534</v>
      </c>
      <c r="K199" s="1" t="s">
        <v>566</v>
      </c>
      <c r="L199" s="1" t="s">
        <v>567</v>
      </c>
      <c r="M199" s="1" t="s">
        <v>537</v>
      </c>
      <c r="N199" s="1">
        <v>99.0</v>
      </c>
      <c r="O199" s="1">
        <v>99.0</v>
      </c>
      <c r="P199" s="1">
        <v>0.0</v>
      </c>
      <c r="Q199" s="1">
        <v>0.0</v>
      </c>
      <c r="R199" s="1">
        <v>28.0</v>
      </c>
      <c r="S199" s="1" t="s">
        <v>538</v>
      </c>
      <c r="T199" s="1" t="s">
        <v>539</v>
      </c>
      <c r="V199" s="4">
        <v>7290931.0</v>
      </c>
      <c r="W199" s="4" t="s">
        <v>540</v>
      </c>
      <c r="X199" s="4">
        <v>0.0</v>
      </c>
      <c r="Y199" s="1">
        <v>1.0</v>
      </c>
      <c r="Z199" s="1">
        <v>0.0</v>
      </c>
      <c r="AA199" s="1">
        <v>0.0</v>
      </c>
      <c r="AB199" s="1">
        <v>0.0</v>
      </c>
      <c r="AC199" s="1">
        <v>0.0</v>
      </c>
      <c r="AD199" s="1">
        <v>0.0</v>
      </c>
      <c r="AE199" s="1">
        <v>0.0</v>
      </c>
      <c r="AF199" s="1">
        <v>0.0</v>
      </c>
      <c r="AG199" s="1">
        <v>0.0</v>
      </c>
      <c r="AH199" s="1">
        <v>0.0</v>
      </c>
      <c r="AI199" s="1">
        <v>0.0</v>
      </c>
      <c r="AJ199" s="1">
        <v>0.0</v>
      </c>
      <c r="AK199" s="1">
        <v>0.0</v>
      </c>
      <c r="AL199" s="1">
        <v>0.0</v>
      </c>
      <c r="AM199" s="4">
        <v>0.0</v>
      </c>
      <c r="AN199" s="1">
        <v>0.0</v>
      </c>
      <c r="AO199" s="4">
        <v>0.0</v>
      </c>
      <c r="AP199" s="1">
        <f t="shared" si="1"/>
        <v>0</v>
      </c>
      <c r="AQ199" s="1" t="s">
        <v>557</v>
      </c>
      <c r="AR199" s="1" t="s">
        <v>571</v>
      </c>
      <c r="AT199" s="1" t="s">
        <v>616</v>
      </c>
      <c r="AU199" s="2">
        <v>46000.0</v>
      </c>
      <c r="AV199" s="2">
        <v>46024.0291666667</v>
      </c>
      <c r="AW199" s="1">
        <v>4.0</v>
      </c>
      <c r="AX199" s="1">
        <v>2577702.84</v>
      </c>
      <c r="AY199" s="1">
        <v>926.0</v>
      </c>
      <c r="AZ199" s="1">
        <v>2.0</v>
      </c>
      <c r="BA199" s="1">
        <v>0.0</v>
      </c>
      <c r="BB199" s="1">
        <v>4.0</v>
      </c>
      <c r="BC199" s="2">
        <v>46000.0</v>
      </c>
      <c r="BD199" s="1">
        <v>49.0</v>
      </c>
      <c r="BE199" s="1" t="s">
        <v>550</v>
      </c>
      <c r="BF199" s="1">
        <v>2025.0</v>
      </c>
      <c r="BG199" s="1" t="s">
        <v>558</v>
      </c>
      <c r="BH199" s="7" t="str">
        <f>VLOOKUP(B199,CookieClicks!D:O,12,FALSE)</f>
        <v>https://www.method.me/</v>
      </c>
      <c r="BI199" s="8" t="str">
        <f>IFERROR(__xludf.DUMMYFUNCTION("VLOOKUP(REGEXREPLACE(BH199,""[?].*"",""""),ContentBuckets!A:C,2,FALSE)"),"Homepage")</f>
        <v>Homepage</v>
      </c>
      <c r="BJ199" s="8" t="str">
        <f>IFERROR(__xludf.DUMMYFUNCTION("VLOOKUP(REGEXREPLACE(BH199,""[?].*"",""""),ContentBuckets!A:C,3,FALSE)"),"Other page")</f>
        <v>Other page</v>
      </c>
    </row>
    <row r="200" ht="14.25" customHeight="1">
      <c r="A200" s="1">
        <v>153366.0</v>
      </c>
      <c r="B200" s="1" t="s">
        <v>863</v>
      </c>
      <c r="C200" s="2">
        <v>46000.5506944444</v>
      </c>
      <c r="D200" s="2"/>
      <c r="E200" s="2"/>
      <c r="F200" s="1" t="b">
        <v>1</v>
      </c>
      <c r="G200" s="4" t="b">
        <v>0</v>
      </c>
      <c r="H200" s="1" t="b">
        <v>0</v>
      </c>
      <c r="I200" s="1" t="b">
        <v>0</v>
      </c>
      <c r="J200" s="1" t="s">
        <v>534</v>
      </c>
      <c r="K200" s="1" t="s">
        <v>553</v>
      </c>
      <c r="L200" s="1" t="s">
        <v>554</v>
      </c>
      <c r="M200" s="1" t="s">
        <v>537</v>
      </c>
      <c r="N200" s="1">
        <v>0.0</v>
      </c>
      <c r="O200" s="1">
        <v>44.25</v>
      </c>
      <c r="P200" s="1">
        <v>0.0</v>
      </c>
      <c r="Q200" s="1">
        <v>0.0</v>
      </c>
      <c r="R200" s="1">
        <v>0.0</v>
      </c>
      <c r="S200" s="1" t="s">
        <v>538</v>
      </c>
      <c r="T200" s="1" t="s">
        <v>539</v>
      </c>
      <c r="V200" s="4">
        <v>7291572.0</v>
      </c>
      <c r="W200" s="4" t="s">
        <v>540</v>
      </c>
      <c r="X200" s="4">
        <v>0.0</v>
      </c>
      <c r="Y200" s="1">
        <v>1.0</v>
      </c>
      <c r="Z200" s="1">
        <v>0.0</v>
      </c>
      <c r="AA200" s="1">
        <v>0.0</v>
      </c>
      <c r="AB200" s="1">
        <v>0.0</v>
      </c>
      <c r="AC200" s="1">
        <v>0.0</v>
      </c>
      <c r="AD200" s="1">
        <v>0.0</v>
      </c>
      <c r="AE200" s="1">
        <v>0.0</v>
      </c>
      <c r="AF200" s="1">
        <v>0.0</v>
      </c>
      <c r="AG200" s="1">
        <v>0.0</v>
      </c>
      <c r="AH200" s="1">
        <v>0.0</v>
      </c>
      <c r="AI200" s="1">
        <v>0.0</v>
      </c>
      <c r="AJ200" s="1">
        <v>0.0</v>
      </c>
      <c r="AK200" s="1">
        <v>0.0</v>
      </c>
      <c r="AL200" s="1">
        <v>0.0</v>
      </c>
      <c r="AM200" s="4">
        <v>0.0</v>
      </c>
      <c r="AN200" s="1">
        <v>0.0</v>
      </c>
      <c r="AO200" s="4">
        <v>0.0</v>
      </c>
      <c r="AP200" s="1">
        <f t="shared" si="1"/>
        <v>0</v>
      </c>
      <c r="AU200" s="2"/>
      <c r="AV200" s="2">
        <v>46024.0055555556</v>
      </c>
      <c r="AW200" s="1">
        <v>0.0</v>
      </c>
      <c r="AX200" s="1">
        <v>0.0</v>
      </c>
      <c r="AY200" s="1">
        <v>0.0</v>
      </c>
      <c r="AZ200" s="1">
        <v>1.0</v>
      </c>
      <c r="BA200" s="1">
        <v>0.0</v>
      </c>
      <c r="BB200" s="1">
        <v>0.0</v>
      </c>
      <c r="BC200" s="2">
        <v>46000.0</v>
      </c>
      <c r="BD200" s="1">
        <v>49.0</v>
      </c>
      <c r="BE200" s="1" t="s">
        <v>550</v>
      </c>
      <c r="BF200" s="1">
        <v>2025.0</v>
      </c>
      <c r="BG200" s="1" t="s">
        <v>558</v>
      </c>
      <c r="BH200" s="7" t="str">
        <f>VLOOKUP(B200,CookieClicks!D:O,12,FALSE)</f>
        <v>https://www.method.me/</v>
      </c>
      <c r="BI200" s="8" t="str">
        <f>IFERROR(__xludf.DUMMYFUNCTION("VLOOKUP(REGEXREPLACE(BH200,""[?].*"",""""),ContentBuckets!A:C,2,FALSE)"),"Homepage")</f>
        <v>Homepage</v>
      </c>
      <c r="BJ200" s="8" t="str">
        <f>IFERROR(__xludf.DUMMYFUNCTION("VLOOKUP(REGEXREPLACE(BH200,""[?].*"",""""),ContentBuckets!A:C,3,FALSE)"),"Other page")</f>
        <v>Other page</v>
      </c>
    </row>
    <row r="201" ht="14.25" customHeight="1">
      <c r="A201" s="1">
        <v>153370.0</v>
      </c>
      <c r="B201" s="1" t="s">
        <v>864</v>
      </c>
      <c r="C201" s="2">
        <v>46000.6055555556</v>
      </c>
      <c r="D201" s="2"/>
      <c r="E201" s="2"/>
      <c r="F201" s="1" t="b">
        <v>1</v>
      </c>
      <c r="G201" s="4" t="b">
        <v>0</v>
      </c>
      <c r="H201" s="1" t="b">
        <v>0</v>
      </c>
      <c r="I201" s="1" t="b">
        <v>0</v>
      </c>
      <c r="J201" s="1" t="s">
        <v>534</v>
      </c>
      <c r="K201" s="1" t="s">
        <v>566</v>
      </c>
      <c r="L201" s="1" t="s">
        <v>567</v>
      </c>
      <c r="M201" s="1" t="s">
        <v>537</v>
      </c>
      <c r="N201" s="1">
        <v>0.0</v>
      </c>
      <c r="O201" s="1">
        <v>53.25</v>
      </c>
      <c r="P201" s="1">
        <v>0.0</v>
      </c>
      <c r="Q201" s="1">
        <v>0.0</v>
      </c>
      <c r="R201" s="1">
        <v>0.0</v>
      </c>
      <c r="S201" s="1" t="s">
        <v>538</v>
      </c>
      <c r="T201" s="1" t="s">
        <v>539</v>
      </c>
      <c r="V201" s="4">
        <v>7292733.0</v>
      </c>
      <c r="W201" s="4"/>
      <c r="X201" s="4">
        <v>1.0</v>
      </c>
      <c r="Y201" s="1">
        <v>0.0</v>
      </c>
      <c r="Z201" s="1">
        <v>0.0</v>
      </c>
      <c r="AA201" s="1">
        <v>0.0</v>
      </c>
      <c r="AB201" s="1">
        <v>0.0</v>
      </c>
      <c r="AC201" s="1">
        <v>0.0</v>
      </c>
      <c r="AD201" s="1">
        <v>0.0</v>
      </c>
      <c r="AE201" s="1">
        <v>0.0</v>
      </c>
      <c r="AF201" s="1">
        <v>0.0</v>
      </c>
      <c r="AG201" s="1">
        <v>0.0</v>
      </c>
      <c r="AH201" s="1">
        <v>0.0</v>
      </c>
      <c r="AI201" s="1">
        <v>0.0</v>
      </c>
      <c r="AJ201" s="1">
        <v>0.0</v>
      </c>
      <c r="AK201" s="1">
        <v>0.0</v>
      </c>
      <c r="AL201" s="1">
        <v>0.0</v>
      </c>
      <c r="AM201" s="4">
        <v>0.0</v>
      </c>
      <c r="AN201" s="1">
        <v>0.0</v>
      </c>
      <c r="AO201" s="4">
        <v>0.0</v>
      </c>
      <c r="AP201" s="1">
        <f t="shared" si="1"/>
        <v>0</v>
      </c>
      <c r="AU201" s="2"/>
      <c r="AV201" s="2">
        <v>46024.0006944444</v>
      </c>
      <c r="AW201" s="1">
        <v>0.0</v>
      </c>
      <c r="AX201" s="1">
        <v>0.0</v>
      </c>
      <c r="AY201" s="1">
        <v>0.0</v>
      </c>
      <c r="AZ201" s="1">
        <v>1.0</v>
      </c>
      <c r="BA201" s="1">
        <v>0.0</v>
      </c>
      <c r="BB201" s="1">
        <v>0.0</v>
      </c>
      <c r="BC201" s="2">
        <v>46000.0</v>
      </c>
      <c r="BD201" s="1">
        <v>49.0</v>
      </c>
      <c r="BE201" s="1" t="s">
        <v>550</v>
      </c>
      <c r="BF201" s="1">
        <v>2025.0</v>
      </c>
      <c r="BG201" s="1" t="s">
        <v>558</v>
      </c>
      <c r="BH201" s="7" t="str">
        <f>VLOOKUP(B201,CookieClicks!D:O,12,FALSE)</f>
        <v>https://grow.method.me/</v>
      </c>
      <c r="BI201" s="8" t="str">
        <f>IFERROR(__xludf.DUMMYFUNCTION("VLOOKUP(REGEXREPLACE(BH201,""[?].*"",""""),ContentBuckets!A:C,2,FALSE)"),"#N/A")</f>
        <v>#N/A</v>
      </c>
      <c r="BJ201" s="8" t="str">
        <f>IFERROR(__xludf.DUMMYFUNCTION("VLOOKUP(REGEXREPLACE(BH201,""[?].*"",""""),ContentBuckets!A:C,3,FALSE)"),"#N/A")</f>
        <v>#N/A</v>
      </c>
    </row>
    <row r="202" ht="14.25" customHeight="1">
      <c r="A202" s="1">
        <v>153371.0</v>
      </c>
      <c r="B202" s="1" t="s">
        <v>865</v>
      </c>
      <c r="C202" s="2">
        <v>46000.6097222222</v>
      </c>
      <c r="D202" s="2"/>
      <c r="E202" s="2"/>
      <c r="F202" s="1" t="b">
        <v>1</v>
      </c>
      <c r="G202" s="4" t="b">
        <v>0</v>
      </c>
      <c r="H202" s="1" t="b">
        <v>0</v>
      </c>
      <c r="I202" s="1" t="b">
        <v>0</v>
      </c>
      <c r="J202" s="1" t="s">
        <v>534</v>
      </c>
      <c r="K202" s="1" t="s">
        <v>535</v>
      </c>
      <c r="L202" s="1" t="s">
        <v>536</v>
      </c>
      <c r="M202" s="1" t="s">
        <v>537</v>
      </c>
      <c r="N202" s="1">
        <v>0.0</v>
      </c>
      <c r="O202" s="1">
        <v>44.25</v>
      </c>
      <c r="P202" s="1">
        <v>0.0</v>
      </c>
      <c r="Q202" s="1">
        <v>0.0</v>
      </c>
      <c r="R202" s="1">
        <v>28.0</v>
      </c>
      <c r="S202" s="1" t="s">
        <v>538</v>
      </c>
      <c r="T202" s="1" t="s">
        <v>539</v>
      </c>
      <c r="V202" s="4">
        <v>7292825.0</v>
      </c>
      <c r="W202" s="4"/>
      <c r="X202" s="4">
        <v>0.0</v>
      </c>
      <c r="Y202" s="1">
        <v>0.0</v>
      </c>
      <c r="Z202" s="1">
        <v>1.0</v>
      </c>
      <c r="AA202" s="1">
        <v>0.0</v>
      </c>
      <c r="AB202" s="1">
        <v>0.0</v>
      </c>
      <c r="AC202" s="1">
        <v>0.0</v>
      </c>
      <c r="AD202" s="1">
        <v>0.0</v>
      </c>
      <c r="AE202" s="1">
        <v>0.0</v>
      </c>
      <c r="AF202" s="1">
        <v>0.0</v>
      </c>
      <c r="AG202" s="1">
        <v>0.0</v>
      </c>
      <c r="AH202" s="1">
        <v>0.0</v>
      </c>
      <c r="AI202" s="1">
        <v>0.0</v>
      </c>
      <c r="AJ202" s="1">
        <v>0.0</v>
      </c>
      <c r="AK202" s="1">
        <v>0.0</v>
      </c>
      <c r="AL202" s="1">
        <v>0.0</v>
      </c>
      <c r="AM202" s="4">
        <v>0.0</v>
      </c>
      <c r="AN202" s="1">
        <v>0.0</v>
      </c>
      <c r="AO202" s="4">
        <v>0.0</v>
      </c>
      <c r="AP202" s="1">
        <f t="shared" si="1"/>
        <v>0</v>
      </c>
      <c r="AQ202" s="1" t="s">
        <v>604</v>
      </c>
      <c r="AR202" s="1" t="s">
        <v>568</v>
      </c>
      <c r="AU202" s="2">
        <v>46000.0</v>
      </c>
      <c r="AV202" s="2">
        <v>46023.99375</v>
      </c>
      <c r="AW202" s="1">
        <v>29.0</v>
      </c>
      <c r="AX202" s="1">
        <v>679169.04</v>
      </c>
      <c r="AY202" s="1">
        <v>644.0</v>
      </c>
      <c r="AZ202" s="1">
        <v>1.0</v>
      </c>
      <c r="BA202" s="1">
        <v>0.0</v>
      </c>
      <c r="BB202" s="1">
        <v>0.0</v>
      </c>
      <c r="BC202" s="2">
        <v>46000.0</v>
      </c>
      <c r="BD202" s="1">
        <v>49.0</v>
      </c>
      <c r="BE202" s="1" t="s">
        <v>550</v>
      </c>
      <c r="BF202" s="1">
        <v>2025.0</v>
      </c>
      <c r="BG202" s="1" t="s">
        <v>605</v>
      </c>
      <c r="BH202" s="7" t="str">
        <f>VLOOKUP(B202,CookieClicks!D:O,12,FALSE)</f>
        <v>https://signup.method.me/QBOAppstoreSignup?offering=methodcrm</v>
      </c>
      <c r="BI202" s="8" t="str">
        <f>IFERROR(__xludf.DUMMYFUNCTION("VLOOKUP(REGEXREPLACE(BH202,""[?].*"",""""),ContentBuckets!A:C,2,FALSE)"),"#N/A")</f>
        <v>#N/A</v>
      </c>
      <c r="BJ202" s="8" t="str">
        <f>IFERROR(__xludf.DUMMYFUNCTION("VLOOKUP(REGEXREPLACE(BH202,""[?].*"",""""),ContentBuckets!A:C,3,FALSE)"),"#N/A")</f>
        <v>#N/A</v>
      </c>
    </row>
    <row r="203" ht="14.25" customHeight="1">
      <c r="A203" s="1">
        <v>153372.0</v>
      </c>
      <c r="B203" s="1" t="s">
        <v>866</v>
      </c>
      <c r="C203" s="2">
        <v>46000.6423611111</v>
      </c>
      <c r="D203" s="2">
        <v>46010.55</v>
      </c>
      <c r="E203" s="2"/>
      <c r="F203" s="1" t="b">
        <v>0</v>
      </c>
      <c r="G203" s="4" t="b">
        <v>1</v>
      </c>
      <c r="H203" s="1" t="b">
        <v>0</v>
      </c>
      <c r="I203" s="1" t="b">
        <v>0</v>
      </c>
      <c r="J203" s="1" t="s">
        <v>534</v>
      </c>
      <c r="K203" s="1" t="s">
        <v>535</v>
      </c>
      <c r="L203" s="1" t="s">
        <v>536</v>
      </c>
      <c r="M203" s="1" t="s">
        <v>537</v>
      </c>
      <c r="N203" s="1">
        <v>0.0</v>
      </c>
      <c r="O203" s="1">
        <v>44.25</v>
      </c>
      <c r="P203" s="1">
        <v>0.0</v>
      </c>
      <c r="Q203" s="1">
        <v>0.0</v>
      </c>
      <c r="R203" s="1">
        <v>0.0</v>
      </c>
      <c r="S203" s="1" t="s">
        <v>538</v>
      </c>
      <c r="T203" s="1" t="s">
        <v>539</v>
      </c>
      <c r="V203" s="4">
        <v>7293523.0</v>
      </c>
      <c r="W203" s="4" t="s">
        <v>540</v>
      </c>
      <c r="X203" s="4">
        <v>0.0</v>
      </c>
      <c r="Y203" s="1">
        <v>1.0</v>
      </c>
      <c r="Z203" s="1">
        <v>0.0</v>
      </c>
      <c r="AA203" s="1">
        <v>0.0</v>
      </c>
      <c r="AB203" s="1">
        <v>0.0</v>
      </c>
      <c r="AC203" s="1">
        <v>0.0</v>
      </c>
      <c r="AD203" s="1">
        <v>0.0</v>
      </c>
      <c r="AE203" s="1">
        <v>0.0</v>
      </c>
      <c r="AF203" s="1">
        <v>0.0</v>
      </c>
      <c r="AG203" s="1">
        <v>0.0</v>
      </c>
      <c r="AH203" s="1">
        <v>0.0</v>
      </c>
      <c r="AI203" s="1">
        <v>0.0</v>
      </c>
      <c r="AJ203" s="1">
        <v>0.0</v>
      </c>
      <c r="AK203" s="1">
        <v>0.0</v>
      </c>
      <c r="AL203" s="1">
        <v>0.0</v>
      </c>
      <c r="AM203" s="4">
        <v>0.0</v>
      </c>
      <c r="AN203" s="1">
        <v>0.0</v>
      </c>
      <c r="AO203" s="4">
        <v>0.0</v>
      </c>
      <c r="AP203" s="1">
        <f t="shared" si="1"/>
        <v>0</v>
      </c>
      <c r="AU203" s="2"/>
      <c r="AV203" s="2">
        <v>46009.9944444444</v>
      </c>
      <c r="AW203" s="1">
        <v>0.0</v>
      </c>
      <c r="AX203" s="1">
        <v>0.0</v>
      </c>
      <c r="AY203" s="1">
        <v>0.0</v>
      </c>
      <c r="AZ203" s="1">
        <v>1.0</v>
      </c>
      <c r="BA203" s="1">
        <v>0.0</v>
      </c>
      <c r="BB203" s="1">
        <v>0.0</v>
      </c>
      <c r="BC203" s="2">
        <v>46000.0</v>
      </c>
      <c r="BD203" s="1">
        <v>49.0</v>
      </c>
      <c r="BE203" s="1" t="s">
        <v>550</v>
      </c>
      <c r="BF203" s="1">
        <v>2025.0</v>
      </c>
      <c r="BG203" s="1" t="s">
        <v>835</v>
      </c>
      <c r="BH203" s="7" t="str">
        <f>VLOOKUP(B203,CookieClicks!D:O,12,FALSE)</f>
        <v>https://www.method.me/</v>
      </c>
      <c r="BI203" s="8" t="str">
        <f>IFERROR(__xludf.DUMMYFUNCTION("VLOOKUP(REGEXREPLACE(BH203,""[?].*"",""""),ContentBuckets!A:C,2,FALSE)"),"Homepage")</f>
        <v>Homepage</v>
      </c>
      <c r="BJ203" s="8" t="str">
        <f>IFERROR(__xludf.DUMMYFUNCTION("VLOOKUP(REGEXREPLACE(BH203,""[?].*"",""""),ContentBuckets!A:C,3,FALSE)"),"Other page")</f>
        <v>Other page</v>
      </c>
    </row>
    <row r="204" ht="14.25" customHeight="1">
      <c r="A204" s="1">
        <v>153373.0</v>
      </c>
      <c r="B204" s="1" t="s">
        <v>867</v>
      </c>
      <c r="C204" s="2">
        <v>46000.6590277778</v>
      </c>
      <c r="D204" s="2"/>
      <c r="E204" s="2"/>
      <c r="F204" s="1" t="b">
        <v>1</v>
      </c>
      <c r="G204" s="4" t="b">
        <v>0</v>
      </c>
      <c r="H204" s="1" t="b">
        <v>0</v>
      </c>
      <c r="I204" s="1" t="b">
        <v>0</v>
      </c>
      <c r="J204" s="1" t="s">
        <v>534</v>
      </c>
      <c r="K204" s="1" t="s">
        <v>535</v>
      </c>
      <c r="L204" s="1" t="s">
        <v>536</v>
      </c>
      <c r="M204" s="1" t="s">
        <v>537</v>
      </c>
      <c r="N204" s="1">
        <v>0.0</v>
      </c>
      <c r="O204" s="1">
        <v>72.75</v>
      </c>
      <c r="P204" s="1">
        <v>0.0</v>
      </c>
      <c r="Q204" s="1">
        <v>0.0</v>
      </c>
      <c r="R204" s="1">
        <v>28.0</v>
      </c>
      <c r="S204" s="1" t="s">
        <v>538</v>
      </c>
      <c r="T204" s="1" t="s">
        <v>539</v>
      </c>
      <c r="V204" s="4">
        <v>7293900.0</v>
      </c>
      <c r="W204" s="4"/>
      <c r="X204" s="4">
        <v>0.0</v>
      </c>
      <c r="Y204" s="1">
        <v>0.0</v>
      </c>
      <c r="Z204" s="1">
        <v>0.0</v>
      </c>
      <c r="AA204" s="1">
        <v>1.0</v>
      </c>
      <c r="AB204" s="1">
        <v>0.0</v>
      </c>
      <c r="AC204" s="1">
        <v>0.0</v>
      </c>
      <c r="AD204" s="1">
        <v>0.0</v>
      </c>
      <c r="AE204" s="1">
        <v>0.0</v>
      </c>
      <c r="AF204" s="1">
        <v>0.0</v>
      </c>
      <c r="AG204" s="1">
        <v>0.0</v>
      </c>
      <c r="AH204" s="1">
        <v>0.0</v>
      </c>
      <c r="AI204" s="1">
        <v>0.0</v>
      </c>
      <c r="AJ204" s="1">
        <v>0.0</v>
      </c>
      <c r="AK204" s="1">
        <v>0.0</v>
      </c>
      <c r="AL204" s="1">
        <v>0.0</v>
      </c>
      <c r="AM204" s="4">
        <v>0.0</v>
      </c>
      <c r="AN204" s="1">
        <v>0.0</v>
      </c>
      <c r="AO204" s="4">
        <v>0.0</v>
      </c>
      <c r="AP204" s="1">
        <f t="shared" si="1"/>
        <v>0</v>
      </c>
      <c r="AR204" s="1" t="s">
        <v>542</v>
      </c>
      <c r="AU204" s="2"/>
      <c r="AV204" s="2">
        <v>46024.0395833333</v>
      </c>
      <c r="AW204" s="1">
        <v>0.0</v>
      </c>
      <c r="AX204" s="1">
        <v>0.0</v>
      </c>
      <c r="AY204" s="1">
        <v>0.0</v>
      </c>
      <c r="AZ204" s="1">
        <v>1.0</v>
      </c>
      <c r="BA204" s="1">
        <v>0.0</v>
      </c>
      <c r="BB204" s="1">
        <v>0.0</v>
      </c>
      <c r="BC204" s="2">
        <v>46000.0</v>
      </c>
      <c r="BD204" s="1">
        <v>49.0</v>
      </c>
      <c r="BE204" s="1" t="s">
        <v>550</v>
      </c>
      <c r="BF204" s="1">
        <v>2025.0</v>
      </c>
      <c r="BG204" s="1" t="s">
        <v>558</v>
      </c>
      <c r="BH204" s="1" t="str">
        <f>VLOOKUP(B204,CookieClicks!D:O,12,FALSE)</f>
        <v>https://grow.method.me/qb-payment/?trc=81&amp;trk=quickbooks online payment processing&amp;trs=US-payment&amp;campaignid=19733246298&amp;adgroupid=146278163933&amp;adid=649435146420&amp;gad_source=1&amp;gad_campaignid=19733246298&amp;gclid=Cj0KCQiArt_JBhCTARIsADQZaykcF5zb16RMxLoT0ocB6otVymtpuptYwJ98A3g31tKqtYEgKMfqu4EaAkI6EALw_wcB</v>
      </c>
      <c r="BI204" s="8" t="str">
        <f>IFERROR(__xludf.DUMMYFUNCTION("VLOOKUP(REGEXREPLACE(BH204,""[?].*"",""""),ContentBuckets!A:C,2,FALSE)"),"#N/A")</f>
        <v>#N/A</v>
      </c>
      <c r="BJ204" s="8" t="str">
        <f>IFERROR(__xludf.DUMMYFUNCTION("VLOOKUP(REGEXREPLACE(BH204,""[?].*"",""""),ContentBuckets!A:C,3,FALSE)"),"#N/A")</f>
        <v>#N/A</v>
      </c>
    </row>
    <row r="205" ht="14.25" customHeight="1">
      <c r="A205" s="1">
        <v>153374.0</v>
      </c>
      <c r="B205" s="1" t="s">
        <v>868</v>
      </c>
      <c r="C205" s="2">
        <v>46000.6756944444</v>
      </c>
      <c r="D205" s="2"/>
      <c r="E205" s="2"/>
      <c r="F205" s="1" t="b">
        <v>1</v>
      </c>
      <c r="G205" s="4" t="b">
        <v>0</v>
      </c>
      <c r="H205" s="1" t="b">
        <v>0</v>
      </c>
      <c r="I205" s="1" t="b">
        <v>0</v>
      </c>
      <c r="J205" s="1" t="s">
        <v>534</v>
      </c>
      <c r="K205" s="1" t="s">
        <v>535</v>
      </c>
      <c r="L205" s="1" t="s">
        <v>536</v>
      </c>
      <c r="M205" s="1" t="s">
        <v>537</v>
      </c>
      <c r="N205" s="1">
        <v>0.0</v>
      </c>
      <c r="O205" s="1">
        <v>44.25</v>
      </c>
      <c r="P205" s="1">
        <v>0.0</v>
      </c>
      <c r="Q205" s="1">
        <v>0.0</v>
      </c>
      <c r="R205" s="1">
        <v>28.0</v>
      </c>
      <c r="S205" s="1" t="s">
        <v>538</v>
      </c>
      <c r="T205" s="1" t="s">
        <v>539</v>
      </c>
      <c r="V205" s="4">
        <v>6912095.0</v>
      </c>
      <c r="W205" s="4" t="s">
        <v>540</v>
      </c>
      <c r="X205" s="4">
        <v>0.0</v>
      </c>
      <c r="Y205" s="1">
        <v>1.0</v>
      </c>
      <c r="Z205" s="1">
        <v>0.0</v>
      </c>
      <c r="AA205" s="1">
        <v>0.0</v>
      </c>
      <c r="AB205" s="1">
        <v>0.0</v>
      </c>
      <c r="AC205" s="1">
        <v>0.0</v>
      </c>
      <c r="AD205" s="1">
        <v>0.0</v>
      </c>
      <c r="AE205" s="1">
        <v>0.0</v>
      </c>
      <c r="AF205" s="1">
        <v>0.0</v>
      </c>
      <c r="AG205" s="1">
        <v>0.0</v>
      </c>
      <c r="AH205" s="1">
        <v>0.0</v>
      </c>
      <c r="AI205" s="1">
        <v>0.0</v>
      </c>
      <c r="AJ205" s="1">
        <v>0.0</v>
      </c>
      <c r="AK205" s="1">
        <v>0.0</v>
      </c>
      <c r="AL205" s="1">
        <v>0.0</v>
      </c>
      <c r="AM205" s="4">
        <v>0.0</v>
      </c>
      <c r="AN205" s="1">
        <v>0.0</v>
      </c>
      <c r="AO205" s="4">
        <v>0.0</v>
      </c>
      <c r="AP205" s="1">
        <f t="shared" si="1"/>
        <v>0</v>
      </c>
      <c r="AR205" s="1" t="s">
        <v>571</v>
      </c>
      <c r="AU205" s="2"/>
      <c r="AV205" s="2">
        <v>46024.0013888889</v>
      </c>
      <c r="AW205" s="1">
        <v>0.0</v>
      </c>
      <c r="AX205" s="1">
        <v>0.0</v>
      </c>
      <c r="AY205" s="1">
        <v>0.0</v>
      </c>
      <c r="AZ205" s="1">
        <v>1.0</v>
      </c>
      <c r="BA205" s="1">
        <v>0.0</v>
      </c>
      <c r="BB205" s="1">
        <v>0.0</v>
      </c>
      <c r="BC205" s="2">
        <v>46000.0</v>
      </c>
      <c r="BD205" s="1">
        <v>49.0</v>
      </c>
      <c r="BE205" s="1" t="s">
        <v>550</v>
      </c>
      <c r="BF205" s="1">
        <v>2025.0</v>
      </c>
      <c r="BG205" s="1" t="s">
        <v>558</v>
      </c>
      <c r="BH205" s="7" t="str">
        <f>VLOOKUP(B205,CookieClicks!D:O,12,FALSE)</f>
        <v>https://www.method.me/</v>
      </c>
      <c r="BI205" s="8" t="str">
        <f>IFERROR(__xludf.DUMMYFUNCTION("VLOOKUP(REGEXREPLACE(BH205,""[?].*"",""""),ContentBuckets!A:C,2,FALSE)"),"Homepage")</f>
        <v>Homepage</v>
      </c>
      <c r="BJ205" s="8" t="str">
        <f>IFERROR(__xludf.DUMMYFUNCTION("VLOOKUP(REGEXREPLACE(BH205,""[?].*"",""""),ContentBuckets!A:C,3,FALSE)"),"Other page")</f>
        <v>Other page</v>
      </c>
    </row>
    <row r="206" ht="14.25" customHeight="1">
      <c r="A206" s="1">
        <v>153376.0</v>
      </c>
      <c r="B206" s="1" t="s">
        <v>869</v>
      </c>
      <c r="C206" s="2">
        <v>46000.6944444444</v>
      </c>
      <c r="D206" s="2">
        <v>46003.4104166667</v>
      </c>
      <c r="E206" s="2"/>
      <c r="F206" s="1" t="b">
        <v>0</v>
      </c>
      <c r="G206" s="4" t="b">
        <v>1</v>
      </c>
      <c r="H206" s="1" t="b">
        <v>0</v>
      </c>
      <c r="I206" s="1" t="b">
        <v>0</v>
      </c>
      <c r="J206" s="1" t="s">
        <v>534</v>
      </c>
      <c r="K206" s="1" t="s">
        <v>535</v>
      </c>
      <c r="L206" s="1" t="s">
        <v>536</v>
      </c>
      <c r="M206" s="1" t="s">
        <v>537</v>
      </c>
      <c r="N206" s="1">
        <v>0.0</v>
      </c>
      <c r="O206" s="1">
        <v>44.25</v>
      </c>
      <c r="P206" s="1">
        <v>0.0</v>
      </c>
      <c r="Q206" s="1">
        <v>0.0</v>
      </c>
      <c r="R206" s="1">
        <v>28.0</v>
      </c>
      <c r="S206" s="1" t="s">
        <v>538</v>
      </c>
      <c r="T206" s="1" t="s">
        <v>539</v>
      </c>
      <c r="V206" s="4">
        <v>7294729.0</v>
      </c>
      <c r="W206" s="4"/>
      <c r="X206" s="4">
        <v>0.0</v>
      </c>
      <c r="Y206" s="1">
        <v>0.0</v>
      </c>
      <c r="Z206" s="1">
        <v>0.0</v>
      </c>
      <c r="AA206" s="1">
        <v>1.0</v>
      </c>
      <c r="AB206" s="1">
        <v>0.0</v>
      </c>
      <c r="AC206" s="1">
        <v>0.0</v>
      </c>
      <c r="AD206" s="1">
        <v>0.0</v>
      </c>
      <c r="AE206" s="1">
        <v>0.0</v>
      </c>
      <c r="AF206" s="1">
        <v>0.0</v>
      </c>
      <c r="AG206" s="1">
        <v>0.0</v>
      </c>
      <c r="AH206" s="1">
        <v>0.0</v>
      </c>
      <c r="AI206" s="1">
        <v>0.0</v>
      </c>
      <c r="AJ206" s="1">
        <v>0.0</v>
      </c>
      <c r="AK206" s="1">
        <v>0.0</v>
      </c>
      <c r="AL206" s="1">
        <v>0.0</v>
      </c>
      <c r="AM206" s="4">
        <v>0.0</v>
      </c>
      <c r="AN206" s="1">
        <v>0.0</v>
      </c>
      <c r="AO206" s="4">
        <v>0.0</v>
      </c>
      <c r="AP206" s="1">
        <f t="shared" si="1"/>
        <v>0</v>
      </c>
      <c r="AR206" s="1" t="s">
        <v>578</v>
      </c>
      <c r="AU206" s="2"/>
      <c r="AV206" s="2">
        <v>46003.05</v>
      </c>
      <c r="AW206" s="1">
        <v>0.0</v>
      </c>
      <c r="AX206" s="1">
        <v>0.0</v>
      </c>
      <c r="AY206" s="1">
        <v>0.0</v>
      </c>
      <c r="AZ206" s="1">
        <v>1.0</v>
      </c>
      <c r="BA206" s="1">
        <v>0.0</v>
      </c>
      <c r="BB206" s="1">
        <v>0.0</v>
      </c>
      <c r="BC206" s="2">
        <v>46000.0</v>
      </c>
      <c r="BD206" s="1">
        <v>49.0</v>
      </c>
      <c r="BE206" s="1" t="s">
        <v>550</v>
      </c>
      <c r="BF206" s="1">
        <v>2025.0</v>
      </c>
      <c r="BG206" s="1" t="s">
        <v>558</v>
      </c>
      <c r="BH206" s="1" t="str">
        <f>VLOOKUP(B206,CookieClicks!D:O,12,FALSE)</f>
        <v>https://www.method.me/crm-quickbooks/pricing/?trc=81&amp;trk=crm integrates with quickbooks&amp;trs=US-QBInt-Ex&amp;campaignid=22265826203&amp;adgroupid=186545727779&amp;adid=777091446185&amp;gad_source=1&amp;gad_campaignid=22265826203&amp;gbraid=0AAAAAD3Itnb0dVbRk-F8zdXkf5UYH6t_6&amp;gclid=Cj0KCQiArt_JBhCTARIsADQZaym2Q13x7kNuza8EULNXSyeBJVP5nYmgVpL6DmOKQ3-DTngBoCcdM88aAvgrEALw_wcB</v>
      </c>
      <c r="BI206" s="8" t="str">
        <f>IFERROR(__xludf.DUMMYFUNCTION("VLOOKUP(REGEXREPLACE(BH206,""[?].*"",""""),ContentBuckets!A:C,2,FALSE)"),"/crm-quickbooks/")</f>
        <v>/crm-quickbooks/</v>
      </c>
      <c r="BJ206" s="8" t="str">
        <f>IFERROR(__xludf.DUMMYFUNCTION("VLOOKUP(REGEXREPLACE(BH206,""[?].*"",""""),ContentBuckets!A:C,3,FALSE)"),"Other page")</f>
        <v>Other page</v>
      </c>
    </row>
    <row r="207" ht="14.25" customHeight="1">
      <c r="A207" s="1">
        <v>153377.0</v>
      </c>
      <c r="B207" s="1" t="s">
        <v>870</v>
      </c>
      <c r="C207" s="2">
        <v>46000.7013888889</v>
      </c>
      <c r="D207" s="2"/>
      <c r="E207" s="2"/>
      <c r="F207" s="1" t="b">
        <v>1</v>
      </c>
      <c r="G207" s="4" t="b">
        <v>0</v>
      </c>
      <c r="H207" s="1" t="b">
        <v>0</v>
      </c>
      <c r="I207" s="1" t="b">
        <v>0</v>
      </c>
      <c r="J207" s="1" t="s">
        <v>534</v>
      </c>
      <c r="K207" s="1" t="s">
        <v>871</v>
      </c>
      <c r="L207" s="1" t="s">
        <v>536</v>
      </c>
      <c r="M207" s="1" t="s">
        <v>537</v>
      </c>
      <c r="N207" s="1">
        <v>0.0</v>
      </c>
      <c r="O207" s="1">
        <v>26.25</v>
      </c>
      <c r="P207" s="1">
        <v>0.0</v>
      </c>
      <c r="Q207" s="1">
        <v>0.0</v>
      </c>
      <c r="R207" s="1">
        <v>28.0</v>
      </c>
      <c r="S207" s="1" t="s">
        <v>538</v>
      </c>
      <c r="T207" s="1" t="s">
        <v>539</v>
      </c>
      <c r="V207" s="4">
        <v>7294914.0</v>
      </c>
      <c r="W207" s="4" t="s">
        <v>540</v>
      </c>
      <c r="X207" s="4">
        <v>0.0</v>
      </c>
      <c r="Y207" s="1">
        <v>1.0</v>
      </c>
      <c r="Z207" s="1">
        <v>0.0</v>
      </c>
      <c r="AA207" s="1">
        <v>0.0</v>
      </c>
      <c r="AB207" s="1">
        <v>0.0</v>
      </c>
      <c r="AC207" s="1">
        <v>0.0</v>
      </c>
      <c r="AD207" s="1">
        <v>0.0</v>
      </c>
      <c r="AE207" s="1">
        <v>0.0</v>
      </c>
      <c r="AF207" s="1">
        <v>0.0</v>
      </c>
      <c r="AG207" s="1">
        <v>0.0</v>
      </c>
      <c r="AH207" s="1">
        <v>0.0</v>
      </c>
      <c r="AI207" s="1">
        <v>0.0</v>
      </c>
      <c r="AJ207" s="1">
        <v>0.0</v>
      </c>
      <c r="AK207" s="1">
        <v>0.0</v>
      </c>
      <c r="AL207" s="1">
        <v>0.0</v>
      </c>
      <c r="AM207" s="4">
        <v>0.0</v>
      </c>
      <c r="AN207" s="1">
        <v>0.0</v>
      </c>
      <c r="AO207" s="4">
        <v>0.0</v>
      </c>
      <c r="AP207" s="1">
        <f t="shared" si="1"/>
        <v>0</v>
      </c>
      <c r="AQ207" s="1" t="s">
        <v>557</v>
      </c>
      <c r="AR207" s="1" t="s">
        <v>542</v>
      </c>
      <c r="AU207" s="2">
        <v>46000.0</v>
      </c>
      <c r="AV207" s="2">
        <v>46024.0430555556</v>
      </c>
      <c r="AW207" s="1">
        <v>13.0</v>
      </c>
      <c r="AX207" s="1">
        <v>991425.84</v>
      </c>
      <c r="AY207" s="1">
        <v>376.0</v>
      </c>
      <c r="AZ207" s="1">
        <v>1.0</v>
      </c>
      <c r="BA207" s="1">
        <v>0.0</v>
      </c>
      <c r="BB207" s="1">
        <v>0.0</v>
      </c>
      <c r="BC207" s="2">
        <v>46000.0</v>
      </c>
      <c r="BD207" s="1">
        <v>49.0</v>
      </c>
      <c r="BE207" s="1" t="s">
        <v>550</v>
      </c>
      <c r="BF207" s="1">
        <v>2025.0</v>
      </c>
      <c r="BG207" s="1" t="s">
        <v>558</v>
      </c>
      <c r="BH207" s="7" t="str">
        <f>VLOOKUP(B207,CookieClicks!D:O,12,FALSE)</f>
        <v>https://www.method.me/nonprofit-crm/</v>
      </c>
      <c r="BI207" s="8" t="str">
        <f>IFERROR(__xludf.DUMMYFUNCTION("VLOOKUP(REGEXREPLACE(BH207,""[?].*"",""""),ContentBuckets!A:C,2,FALSE)"),"Other page")</f>
        <v>Other page</v>
      </c>
      <c r="BJ207" s="8" t="str">
        <f>IFERROR(__xludf.DUMMYFUNCTION("VLOOKUP(REGEXREPLACE(BH207,""[?].*"",""""),ContentBuckets!A:C,3,FALSE)"),"Other page")</f>
        <v>Other page</v>
      </c>
    </row>
    <row r="208" ht="14.25" customHeight="1">
      <c r="A208" s="1">
        <v>153379.0</v>
      </c>
      <c r="B208" s="1" t="s">
        <v>872</v>
      </c>
      <c r="C208" s="2">
        <v>46000.8006944444</v>
      </c>
      <c r="D208" s="2"/>
      <c r="E208" s="2"/>
      <c r="F208" s="1" t="b">
        <v>1</v>
      </c>
      <c r="G208" s="4" t="b">
        <v>0</v>
      </c>
      <c r="H208" s="1" t="b">
        <v>0</v>
      </c>
      <c r="I208" s="1" t="b">
        <v>0</v>
      </c>
      <c r="J208" s="1" t="s">
        <v>534</v>
      </c>
      <c r="K208" s="1" t="s">
        <v>553</v>
      </c>
      <c r="L208" s="1" t="s">
        <v>599</v>
      </c>
      <c r="M208" s="1" t="s">
        <v>537</v>
      </c>
      <c r="N208" s="1">
        <v>0.0</v>
      </c>
      <c r="O208" s="1">
        <v>44.25</v>
      </c>
      <c r="P208" s="1">
        <v>0.0</v>
      </c>
      <c r="Q208" s="1">
        <v>0.0</v>
      </c>
      <c r="R208" s="1">
        <v>0.0</v>
      </c>
      <c r="S208" s="1" t="s">
        <v>538</v>
      </c>
      <c r="T208" s="1" t="s">
        <v>539</v>
      </c>
      <c r="V208" s="4">
        <v>7296950.0</v>
      </c>
      <c r="W208" s="4" t="s">
        <v>540</v>
      </c>
      <c r="X208" s="4">
        <v>0.0</v>
      </c>
      <c r="Y208" s="1">
        <v>1.0</v>
      </c>
      <c r="Z208" s="1">
        <v>0.0</v>
      </c>
      <c r="AA208" s="1">
        <v>0.0</v>
      </c>
      <c r="AB208" s="1">
        <v>0.0</v>
      </c>
      <c r="AC208" s="1">
        <v>0.0</v>
      </c>
      <c r="AD208" s="1">
        <v>0.0</v>
      </c>
      <c r="AE208" s="1">
        <v>0.0</v>
      </c>
      <c r="AF208" s="1">
        <v>0.0</v>
      </c>
      <c r="AG208" s="1">
        <v>0.0</v>
      </c>
      <c r="AH208" s="1">
        <v>0.0</v>
      </c>
      <c r="AI208" s="1">
        <v>0.0</v>
      </c>
      <c r="AJ208" s="1">
        <v>0.0</v>
      </c>
      <c r="AK208" s="1">
        <v>0.0</v>
      </c>
      <c r="AL208" s="1">
        <v>0.0</v>
      </c>
      <c r="AM208" s="4">
        <v>0.0</v>
      </c>
      <c r="AN208" s="1">
        <v>0.0</v>
      </c>
      <c r="AO208" s="4">
        <v>0.0</v>
      </c>
      <c r="AP208" s="1">
        <f t="shared" si="1"/>
        <v>0</v>
      </c>
      <c r="AU208" s="2"/>
      <c r="AV208" s="2">
        <v>46023.9868055556</v>
      </c>
      <c r="AW208" s="1">
        <v>0.0</v>
      </c>
      <c r="AX208" s="1">
        <v>0.0</v>
      </c>
      <c r="AY208" s="1">
        <v>0.0</v>
      </c>
      <c r="AZ208" s="1">
        <v>1.0</v>
      </c>
      <c r="BA208" s="1">
        <v>0.0</v>
      </c>
      <c r="BB208" s="1">
        <v>0.0</v>
      </c>
      <c r="BC208" s="2">
        <v>46000.0</v>
      </c>
      <c r="BD208" s="1">
        <v>49.0</v>
      </c>
      <c r="BE208" s="1" t="s">
        <v>550</v>
      </c>
      <c r="BF208" s="1">
        <v>2025.0</v>
      </c>
      <c r="BG208" s="1" t="s">
        <v>546</v>
      </c>
      <c r="BH208" s="7" t="str">
        <f>VLOOKUP(B208,CookieClicks!D:O,12,FALSE)</f>
        <v>https://www.method.me/quickbooks-crm/</v>
      </c>
      <c r="BI208" s="8" t="str">
        <f>IFERROR(__xludf.DUMMYFUNCTION("VLOOKUP(REGEXREPLACE(BH208,""[?].*"",""""),ContentBuckets!A:C,2,FALSE)"),"/crm-quickbooks/")</f>
        <v>/crm-quickbooks/</v>
      </c>
      <c r="BJ208" s="8" t="str">
        <f>IFERROR(__xludf.DUMMYFUNCTION("VLOOKUP(REGEXREPLACE(BH208,""[?].*"",""""),ContentBuckets!A:C,3,FALSE)"),"Other page")</f>
        <v>Other page</v>
      </c>
    </row>
    <row r="209" ht="14.25" customHeight="1">
      <c r="A209" s="1">
        <v>153380.0</v>
      </c>
      <c r="B209" s="1" t="s">
        <v>873</v>
      </c>
      <c r="C209" s="2">
        <v>46000.8118055556</v>
      </c>
      <c r="D209" s="2"/>
      <c r="E209" s="2"/>
      <c r="F209" s="1" t="b">
        <v>1</v>
      </c>
      <c r="G209" s="4" t="b">
        <v>0</v>
      </c>
      <c r="H209" s="1" t="b">
        <v>0</v>
      </c>
      <c r="I209" s="1" t="b">
        <v>0</v>
      </c>
      <c r="J209" s="1" t="s">
        <v>534</v>
      </c>
      <c r="K209" s="1" t="s">
        <v>566</v>
      </c>
      <c r="L209" s="1" t="s">
        <v>567</v>
      </c>
      <c r="M209" s="1" t="s">
        <v>537</v>
      </c>
      <c r="N209" s="1">
        <v>0.0</v>
      </c>
      <c r="O209" s="1">
        <v>53.25</v>
      </c>
      <c r="P209" s="1">
        <v>0.0</v>
      </c>
      <c r="Q209" s="1">
        <v>0.0</v>
      </c>
      <c r="R209" s="1">
        <v>28.0</v>
      </c>
      <c r="S209" s="1" t="s">
        <v>538</v>
      </c>
      <c r="T209" s="1" t="s">
        <v>539</v>
      </c>
      <c r="V209" s="4">
        <v>7297136.0</v>
      </c>
      <c r="W209" s="4"/>
      <c r="X209" s="4">
        <v>0.0</v>
      </c>
      <c r="Y209" s="1">
        <v>0.0</v>
      </c>
      <c r="Z209" s="1">
        <v>0.0</v>
      </c>
      <c r="AA209" s="1">
        <v>1.0</v>
      </c>
      <c r="AB209" s="1">
        <v>0.0</v>
      </c>
      <c r="AC209" s="1">
        <v>0.0</v>
      </c>
      <c r="AD209" s="1">
        <v>0.0</v>
      </c>
      <c r="AE209" s="1">
        <v>0.0</v>
      </c>
      <c r="AF209" s="1">
        <v>0.0</v>
      </c>
      <c r="AG209" s="1">
        <v>0.0</v>
      </c>
      <c r="AH209" s="1">
        <v>0.0</v>
      </c>
      <c r="AI209" s="1">
        <v>0.0</v>
      </c>
      <c r="AJ209" s="1">
        <v>0.0</v>
      </c>
      <c r="AK209" s="1">
        <v>0.0</v>
      </c>
      <c r="AL209" s="1">
        <v>0.0</v>
      </c>
      <c r="AM209" s="4">
        <v>0.0</v>
      </c>
      <c r="AN209" s="1">
        <v>0.0</v>
      </c>
      <c r="AO209" s="4">
        <v>0.0</v>
      </c>
      <c r="AP209" s="1">
        <f t="shared" si="1"/>
        <v>0</v>
      </c>
      <c r="AR209" s="1" t="s">
        <v>549</v>
      </c>
      <c r="AU209" s="2"/>
      <c r="AV209" s="2">
        <v>46024.0104166667</v>
      </c>
      <c r="AW209" s="1">
        <v>0.0</v>
      </c>
      <c r="AX209" s="1">
        <v>0.0</v>
      </c>
      <c r="AY209" s="1">
        <v>0.0</v>
      </c>
      <c r="AZ209" s="1">
        <v>1.0</v>
      </c>
      <c r="BA209" s="1">
        <v>0.0</v>
      </c>
      <c r="BB209" s="1">
        <v>0.0</v>
      </c>
      <c r="BC209" s="2">
        <v>46000.0</v>
      </c>
      <c r="BD209" s="1">
        <v>49.0</v>
      </c>
      <c r="BE209" s="1" t="s">
        <v>550</v>
      </c>
      <c r="BF209" s="1">
        <v>2025.0</v>
      </c>
      <c r="BG209" s="1" t="s">
        <v>558</v>
      </c>
      <c r="BH209" s="7" t="str">
        <f>VLOOKUP(B209,CookieClicks!D:O,12,FALSE)</f>
        <v>https://www.method.me/crm-quickbooks/job-scheduling-software/?trc=81&amp;trk=&amp;trs=USA-DSA&amp;campaignid=13038312612&amp;adgroupid=127756898611&amp;adid=771467139249&amp;gad_source=1&amp;gad_campaignid=13038312612&amp;gbraid=0AAAAAD3ItnZocmAdmM1dKXwf4GyZlfCck&amp;gclid=Cj0KCQiArt_JBhCTARIsADQZaymvmEJjD9kE_S83Qntdgh4Z9ZDe5u9oIUtJw4X-0-cmCeBFA3CGmBwaAuJVEALw_wcB</v>
      </c>
      <c r="BI209" s="8" t="str">
        <f>IFERROR(__xludf.DUMMYFUNCTION("VLOOKUP(REGEXREPLACE(BH209,""[?].*"",""""),ContentBuckets!A:C,2,FALSE)"),"/crm-quickbooks/")</f>
        <v>/crm-quickbooks/</v>
      </c>
      <c r="BJ209" s="8" t="str">
        <f>IFERROR(__xludf.DUMMYFUNCTION("VLOOKUP(REGEXREPLACE(BH209,""[?].*"",""""),ContentBuckets!A:C,3,FALSE)"),"Other page")</f>
        <v>Other page</v>
      </c>
    </row>
    <row r="210" ht="14.25" customHeight="1">
      <c r="A210" s="1">
        <v>153381.0</v>
      </c>
      <c r="B210" s="1" t="s">
        <v>874</v>
      </c>
      <c r="C210" s="2">
        <v>46000.8256944444</v>
      </c>
      <c r="D210" s="2"/>
      <c r="E210" s="2">
        <v>46014.8263888889</v>
      </c>
      <c r="F210" s="1" t="b">
        <v>1</v>
      </c>
      <c r="G210" s="4" t="b">
        <v>0</v>
      </c>
      <c r="H210" s="1" t="b">
        <v>0</v>
      </c>
      <c r="I210" s="1" t="b">
        <v>0</v>
      </c>
      <c r="J210" s="1" t="s">
        <v>534</v>
      </c>
      <c r="K210" s="1" t="s">
        <v>535</v>
      </c>
      <c r="L210" s="1" t="s">
        <v>536</v>
      </c>
      <c r="M210" s="1" t="s">
        <v>537</v>
      </c>
      <c r="N210" s="1">
        <v>88.5</v>
      </c>
      <c r="O210" s="1">
        <v>88.5</v>
      </c>
      <c r="P210" s="1">
        <v>0.0</v>
      </c>
      <c r="Q210" s="1">
        <v>0.0</v>
      </c>
      <c r="R210" s="1">
        <v>28.0</v>
      </c>
      <c r="S210" s="1" t="s">
        <v>538</v>
      </c>
      <c r="T210" s="1" t="s">
        <v>539</v>
      </c>
      <c r="V210" s="4">
        <v>7296773.0</v>
      </c>
      <c r="W210" s="4"/>
      <c r="X210" s="4">
        <v>1.0</v>
      </c>
      <c r="Y210" s="1">
        <v>0.0</v>
      </c>
      <c r="Z210" s="1">
        <v>0.0</v>
      </c>
      <c r="AA210" s="1">
        <v>0.0</v>
      </c>
      <c r="AB210" s="1">
        <v>0.0</v>
      </c>
      <c r="AC210" s="1">
        <v>0.0</v>
      </c>
      <c r="AD210" s="1">
        <v>0.0</v>
      </c>
      <c r="AE210" s="1">
        <v>0.0</v>
      </c>
      <c r="AF210" s="1">
        <v>0.0</v>
      </c>
      <c r="AG210" s="1">
        <v>0.0</v>
      </c>
      <c r="AH210" s="1">
        <v>0.0</v>
      </c>
      <c r="AI210" s="1">
        <v>0.0</v>
      </c>
      <c r="AJ210" s="1">
        <v>0.0</v>
      </c>
      <c r="AK210" s="1">
        <v>0.0</v>
      </c>
      <c r="AL210" s="1">
        <v>0.0</v>
      </c>
      <c r="AM210" s="4">
        <v>0.0</v>
      </c>
      <c r="AN210" s="1">
        <v>0.0</v>
      </c>
      <c r="AO210" s="4">
        <v>0.0</v>
      </c>
      <c r="AP210" s="1">
        <f t="shared" si="1"/>
        <v>0</v>
      </c>
      <c r="AQ210" s="1" t="s">
        <v>557</v>
      </c>
      <c r="AR210" s="1" t="s">
        <v>560</v>
      </c>
      <c r="AU210" s="2">
        <v>46000.0</v>
      </c>
      <c r="AV210" s="2">
        <v>46023.99375</v>
      </c>
      <c r="AW210" s="1">
        <v>0.0</v>
      </c>
      <c r="AX210" s="1">
        <v>1947756.84</v>
      </c>
      <c r="AY210" s="1">
        <v>136.0</v>
      </c>
      <c r="AZ210" s="1">
        <v>2.0</v>
      </c>
      <c r="BA210" s="1">
        <v>0.0</v>
      </c>
      <c r="BB210" s="1">
        <v>0.0</v>
      </c>
      <c r="BC210" s="2">
        <v>46000.0</v>
      </c>
      <c r="BD210" s="1">
        <v>49.0</v>
      </c>
      <c r="BE210" s="1" t="s">
        <v>550</v>
      </c>
      <c r="BF210" s="1">
        <v>2025.0</v>
      </c>
      <c r="BG210" s="1" t="s">
        <v>558</v>
      </c>
      <c r="BH210" s="7" t="str">
        <f>VLOOKUP(B210,CookieClicks!D:O,12,FALSE)</f>
        <v>https://www.method.me/</v>
      </c>
      <c r="BI210" s="8" t="str">
        <f>IFERROR(__xludf.DUMMYFUNCTION("VLOOKUP(REGEXREPLACE(BH210,""[?].*"",""""),ContentBuckets!A:C,2,FALSE)"),"Homepage")</f>
        <v>Homepage</v>
      </c>
      <c r="BJ210" s="8" t="str">
        <f>IFERROR(__xludf.DUMMYFUNCTION("VLOOKUP(REGEXREPLACE(BH210,""[?].*"",""""),ContentBuckets!A:C,3,FALSE)"),"Other page")</f>
        <v>Other page</v>
      </c>
    </row>
    <row r="211" ht="14.25" customHeight="1">
      <c r="A211" s="1">
        <v>153382.0</v>
      </c>
      <c r="B211" s="1" t="s">
        <v>875</v>
      </c>
      <c r="C211" s="2">
        <v>46000.8652777778</v>
      </c>
      <c r="D211" s="2"/>
      <c r="E211" s="2"/>
      <c r="F211" s="1" t="b">
        <v>1</v>
      </c>
      <c r="G211" s="4" t="b">
        <v>0</v>
      </c>
      <c r="H211" s="1" t="b">
        <v>0</v>
      </c>
      <c r="I211" s="1" t="b">
        <v>0</v>
      </c>
      <c r="J211" s="1" t="s">
        <v>534</v>
      </c>
      <c r="K211" s="1" t="s">
        <v>535</v>
      </c>
      <c r="L211" s="1" t="s">
        <v>536</v>
      </c>
      <c r="M211" s="1" t="s">
        <v>537</v>
      </c>
      <c r="N211" s="1">
        <v>0.0</v>
      </c>
      <c r="O211" s="1">
        <v>177.0</v>
      </c>
      <c r="P211" s="1">
        <v>0.0</v>
      </c>
      <c r="Q211" s="1">
        <v>0.0</v>
      </c>
      <c r="R211" s="1">
        <v>28.0</v>
      </c>
      <c r="S211" s="1" t="s">
        <v>538</v>
      </c>
      <c r="T211" s="1" t="s">
        <v>539</v>
      </c>
      <c r="V211" s="4">
        <v>7298299.0</v>
      </c>
      <c r="W211" s="4" t="s">
        <v>540</v>
      </c>
      <c r="X211" s="4">
        <v>0.0</v>
      </c>
      <c r="Y211" s="1">
        <v>1.0</v>
      </c>
      <c r="Z211" s="1">
        <v>0.0</v>
      </c>
      <c r="AA211" s="1">
        <v>0.0</v>
      </c>
      <c r="AB211" s="1">
        <v>0.0</v>
      </c>
      <c r="AC211" s="1">
        <v>0.0</v>
      </c>
      <c r="AD211" s="1">
        <v>0.0</v>
      </c>
      <c r="AE211" s="1">
        <v>0.0</v>
      </c>
      <c r="AF211" s="1">
        <v>0.0</v>
      </c>
      <c r="AG211" s="1">
        <v>0.0</v>
      </c>
      <c r="AH211" s="1">
        <v>0.0</v>
      </c>
      <c r="AI211" s="1">
        <v>0.0</v>
      </c>
      <c r="AJ211" s="1">
        <v>0.0</v>
      </c>
      <c r="AK211" s="1">
        <v>0.0</v>
      </c>
      <c r="AL211" s="1">
        <v>0.0</v>
      </c>
      <c r="AM211" s="4">
        <v>0.0</v>
      </c>
      <c r="AN211" s="1">
        <v>0.0</v>
      </c>
      <c r="AO211" s="4">
        <v>0.0</v>
      </c>
      <c r="AP211" s="1">
        <f t="shared" si="1"/>
        <v>0</v>
      </c>
      <c r="AQ211" s="1" t="s">
        <v>557</v>
      </c>
      <c r="AR211" s="1" t="s">
        <v>578</v>
      </c>
      <c r="AU211" s="2">
        <v>46000.0</v>
      </c>
      <c r="AV211" s="2">
        <v>46024.0208333333</v>
      </c>
      <c r="AW211" s="1">
        <v>31.0</v>
      </c>
      <c r="AX211" s="1">
        <v>35596.8</v>
      </c>
      <c r="AY211" s="1">
        <v>204.0</v>
      </c>
      <c r="AZ211" s="1">
        <v>4.0</v>
      </c>
      <c r="BA211" s="1">
        <v>0.0</v>
      </c>
      <c r="BB211" s="1">
        <v>0.0</v>
      </c>
      <c r="BC211" s="2">
        <v>46000.0</v>
      </c>
      <c r="BD211" s="1">
        <v>49.0</v>
      </c>
      <c r="BE211" s="1" t="s">
        <v>550</v>
      </c>
      <c r="BF211" s="1">
        <v>2025.0</v>
      </c>
      <c r="BG211" s="1" t="s">
        <v>558</v>
      </c>
      <c r="BH211" s="7" t="str">
        <f>VLOOKUP(B211,CookieClicks!D:O,12,FALSE)</f>
        <v>https://www.method.me/quickbooks-crm/</v>
      </c>
      <c r="BI211" s="8" t="str">
        <f>IFERROR(__xludf.DUMMYFUNCTION("VLOOKUP(REGEXREPLACE(BH211,""[?].*"",""""),ContentBuckets!A:C,2,FALSE)"),"/crm-quickbooks/")</f>
        <v>/crm-quickbooks/</v>
      </c>
      <c r="BJ211" s="8" t="str">
        <f>IFERROR(__xludf.DUMMYFUNCTION("VLOOKUP(REGEXREPLACE(BH211,""[?].*"",""""),ContentBuckets!A:C,3,FALSE)"),"Other page")</f>
        <v>Other page</v>
      </c>
    </row>
    <row r="212" ht="14.25" customHeight="1">
      <c r="A212" s="1">
        <v>153383.0</v>
      </c>
      <c r="B212" s="1" t="s">
        <v>876</v>
      </c>
      <c r="C212" s="2">
        <v>46000.9555555556</v>
      </c>
      <c r="D212" s="2"/>
      <c r="E212" s="2"/>
      <c r="F212" s="1" t="b">
        <v>1</v>
      </c>
      <c r="G212" s="4" t="b">
        <v>0</v>
      </c>
      <c r="H212" s="1" t="b">
        <v>0</v>
      </c>
      <c r="I212" s="1" t="b">
        <v>0</v>
      </c>
      <c r="J212" s="1" t="s">
        <v>534</v>
      </c>
      <c r="K212" s="1" t="s">
        <v>535</v>
      </c>
      <c r="L212" s="1" t="s">
        <v>536</v>
      </c>
      <c r="M212" s="1" t="s">
        <v>537</v>
      </c>
      <c r="N212" s="1">
        <v>0.0</v>
      </c>
      <c r="O212" s="1">
        <v>44.25</v>
      </c>
      <c r="P212" s="1">
        <v>0.0</v>
      </c>
      <c r="Q212" s="1">
        <v>0.0</v>
      </c>
      <c r="R212" s="1">
        <v>0.0</v>
      </c>
      <c r="S212" s="1" t="s">
        <v>538</v>
      </c>
      <c r="T212" s="1" t="s">
        <v>539</v>
      </c>
      <c r="V212" s="4">
        <v>7300043.0</v>
      </c>
      <c r="W212" s="4" t="s">
        <v>653</v>
      </c>
      <c r="X212" s="4">
        <v>0.0</v>
      </c>
      <c r="Y212" s="1">
        <v>1.0</v>
      </c>
      <c r="Z212" s="1">
        <v>0.0</v>
      </c>
      <c r="AA212" s="1">
        <v>0.0</v>
      </c>
      <c r="AB212" s="1">
        <v>0.0</v>
      </c>
      <c r="AC212" s="1">
        <v>0.0</v>
      </c>
      <c r="AD212" s="1">
        <v>0.0</v>
      </c>
      <c r="AE212" s="1">
        <v>0.0</v>
      </c>
      <c r="AF212" s="1">
        <v>0.0</v>
      </c>
      <c r="AG212" s="1">
        <v>0.0</v>
      </c>
      <c r="AH212" s="1">
        <v>0.0</v>
      </c>
      <c r="AI212" s="1">
        <v>0.0</v>
      </c>
      <c r="AJ212" s="1">
        <v>0.0</v>
      </c>
      <c r="AK212" s="1">
        <v>0.0</v>
      </c>
      <c r="AL212" s="1">
        <v>0.0</v>
      </c>
      <c r="AM212" s="4">
        <v>0.0</v>
      </c>
      <c r="AN212" s="1">
        <v>0.0</v>
      </c>
      <c r="AO212" s="4">
        <v>0.0</v>
      </c>
      <c r="AP212" s="1">
        <f t="shared" si="1"/>
        <v>0</v>
      </c>
      <c r="AU212" s="2"/>
      <c r="AV212" s="2">
        <v>46024.0319444444</v>
      </c>
      <c r="AW212" s="1">
        <v>0.0</v>
      </c>
      <c r="AX212" s="1">
        <v>0.0</v>
      </c>
      <c r="AY212" s="1">
        <v>0.0</v>
      </c>
      <c r="AZ212" s="1">
        <v>1.0</v>
      </c>
      <c r="BA212" s="1">
        <v>0.0</v>
      </c>
      <c r="BB212" s="1">
        <v>0.0</v>
      </c>
      <c r="BC212" s="2">
        <v>46000.0</v>
      </c>
      <c r="BD212" s="1">
        <v>49.0</v>
      </c>
      <c r="BE212" s="1" t="s">
        <v>550</v>
      </c>
      <c r="BF212" s="1">
        <v>2025.0</v>
      </c>
      <c r="BG212" s="1" t="s">
        <v>808</v>
      </c>
      <c r="BH212" s="7" t="str">
        <f>VLOOKUP(B212,CookieClicks!D:O,12,FALSE)</f>
        <v>https://www.method.me/</v>
      </c>
      <c r="BI212" s="8" t="str">
        <f>IFERROR(__xludf.DUMMYFUNCTION("VLOOKUP(REGEXREPLACE(BH212,""[?].*"",""""),ContentBuckets!A:C,2,FALSE)"),"Homepage")</f>
        <v>Homepage</v>
      </c>
      <c r="BJ212" s="8" t="str">
        <f>IFERROR(__xludf.DUMMYFUNCTION("VLOOKUP(REGEXREPLACE(BH212,""[?].*"",""""),ContentBuckets!A:C,3,FALSE)"),"Other page")</f>
        <v>Other page</v>
      </c>
    </row>
    <row r="213" ht="14.25" customHeight="1">
      <c r="A213" s="1">
        <v>153384.0</v>
      </c>
      <c r="B213" s="1" t="s">
        <v>877</v>
      </c>
      <c r="C213" s="2">
        <v>46000.9583333333</v>
      </c>
      <c r="D213" s="2"/>
      <c r="E213" s="2">
        <v>46015.5111111111</v>
      </c>
      <c r="F213" s="1" t="b">
        <v>1</v>
      </c>
      <c r="G213" s="4" t="b">
        <v>0</v>
      </c>
      <c r="H213" s="1" t="b">
        <v>0</v>
      </c>
      <c r="I213" s="1" t="b">
        <v>0</v>
      </c>
      <c r="J213" s="1" t="s">
        <v>534</v>
      </c>
      <c r="K213" s="1" t="s">
        <v>535</v>
      </c>
      <c r="L213" s="1" t="s">
        <v>536</v>
      </c>
      <c r="M213" s="1" t="s">
        <v>537</v>
      </c>
      <c r="N213" s="1">
        <v>132.75</v>
      </c>
      <c r="O213" s="1">
        <v>132.75</v>
      </c>
      <c r="P213" s="1">
        <v>0.0</v>
      </c>
      <c r="Q213" s="1">
        <v>0.0</v>
      </c>
      <c r="R213" s="1">
        <v>28.0</v>
      </c>
      <c r="S213" s="1" t="s">
        <v>538</v>
      </c>
      <c r="T213" s="1" t="s">
        <v>539</v>
      </c>
      <c r="V213" s="4">
        <v>7288135.0</v>
      </c>
      <c r="W213" s="4" t="s">
        <v>831</v>
      </c>
      <c r="X213" s="4">
        <v>0.0</v>
      </c>
      <c r="Y213" s="1">
        <v>1.0</v>
      </c>
      <c r="Z213" s="1">
        <v>0.0</v>
      </c>
      <c r="AA213" s="1">
        <v>0.0</v>
      </c>
      <c r="AB213" s="1">
        <v>0.0</v>
      </c>
      <c r="AC213" s="1">
        <v>0.0</v>
      </c>
      <c r="AD213" s="1">
        <v>0.0</v>
      </c>
      <c r="AE213" s="1">
        <v>0.0</v>
      </c>
      <c r="AF213" s="1">
        <v>0.0</v>
      </c>
      <c r="AG213" s="1">
        <v>0.0</v>
      </c>
      <c r="AH213" s="1">
        <v>0.0</v>
      </c>
      <c r="AI213" s="1">
        <v>0.0</v>
      </c>
      <c r="AJ213" s="1">
        <v>0.0</v>
      </c>
      <c r="AK213" s="1">
        <v>0.0</v>
      </c>
      <c r="AL213" s="1">
        <v>0.0</v>
      </c>
      <c r="AM213" s="4">
        <v>0.0</v>
      </c>
      <c r="AN213" s="1">
        <v>0.0</v>
      </c>
      <c r="AO213" s="4">
        <v>0.0</v>
      </c>
      <c r="AP213" s="1">
        <f t="shared" si="1"/>
        <v>0</v>
      </c>
      <c r="AQ213" s="1" t="s">
        <v>557</v>
      </c>
      <c r="AR213" s="1" t="s">
        <v>560</v>
      </c>
      <c r="AU213" s="2">
        <v>46000.0</v>
      </c>
      <c r="AV213" s="2">
        <v>46024.0013888889</v>
      </c>
      <c r="AW213" s="1">
        <v>0.0</v>
      </c>
      <c r="AX213" s="1">
        <v>1160705.52</v>
      </c>
      <c r="AY213" s="1">
        <v>152.0</v>
      </c>
      <c r="AZ213" s="1">
        <v>3.0</v>
      </c>
      <c r="BA213" s="1">
        <v>0.0</v>
      </c>
      <c r="BB213" s="1">
        <v>1.0</v>
      </c>
      <c r="BC213" s="2">
        <v>46000.0</v>
      </c>
      <c r="BD213" s="1">
        <v>49.0</v>
      </c>
      <c r="BE213" s="1" t="s">
        <v>550</v>
      </c>
      <c r="BF213" s="1">
        <v>2025.0</v>
      </c>
      <c r="BG213" s="1" t="s">
        <v>558</v>
      </c>
      <c r="BH213" s="7" t="str">
        <f>VLOOKUP(B213,CookieClicks!D:O,12,FALSE)</f>
        <v>https://www.method.me/</v>
      </c>
      <c r="BI213" s="8" t="str">
        <f>IFERROR(__xludf.DUMMYFUNCTION("VLOOKUP(REGEXREPLACE(BH213,""[?].*"",""""),ContentBuckets!A:C,2,FALSE)"),"Homepage")</f>
        <v>Homepage</v>
      </c>
      <c r="BJ213" s="8" t="str">
        <f>IFERROR(__xludf.DUMMYFUNCTION("VLOOKUP(REGEXREPLACE(BH213,""[?].*"",""""),ContentBuckets!A:C,3,FALSE)"),"Other page")</f>
        <v>Other page</v>
      </c>
    </row>
    <row r="214" ht="14.25" customHeight="1">
      <c r="A214" s="1">
        <v>153385.0</v>
      </c>
      <c r="B214" s="1" t="s">
        <v>878</v>
      </c>
      <c r="C214" s="2">
        <v>46001.0416666667</v>
      </c>
      <c r="D214" s="2"/>
      <c r="E214" s="2"/>
      <c r="F214" s="1" t="b">
        <v>1</v>
      </c>
      <c r="G214" s="4" t="b">
        <v>0</v>
      </c>
      <c r="H214" s="1" t="b">
        <v>0</v>
      </c>
      <c r="I214" s="1" t="b">
        <v>0</v>
      </c>
      <c r="J214" s="1" t="s">
        <v>534</v>
      </c>
      <c r="K214" s="1" t="s">
        <v>535</v>
      </c>
      <c r="L214" s="1" t="s">
        <v>536</v>
      </c>
      <c r="M214" s="1" t="s">
        <v>537</v>
      </c>
      <c r="N214" s="1">
        <v>0.0</v>
      </c>
      <c r="O214" s="1">
        <v>44.25</v>
      </c>
      <c r="P214" s="1">
        <v>0.0</v>
      </c>
      <c r="Q214" s="1">
        <v>0.0</v>
      </c>
      <c r="R214" s="1">
        <v>28.0</v>
      </c>
      <c r="S214" s="1" t="s">
        <v>538</v>
      </c>
      <c r="T214" s="1" t="s">
        <v>539</v>
      </c>
      <c r="V214" s="4">
        <v>7261273.0</v>
      </c>
      <c r="W214" s="4" t="s">
        <v>540</v>
      </c>
      <c r="X214" s="4">
        <v>0.0</v>
      </c>
      <c r="Y214" s="1">
        <v>1.0</v>
      </c>
      <c r="Z214" s="1">
        <v>0.0</v>
      </c>
      <c r="AA214" s="1">
        <v>0.0</v>
      </c>
      <c r="AB214" s="1">
        <v>0.0</v>
      </c>
      <c r="AC214" s="1">
        <v>0.0</v>
      </c>
      <c r="AD214" s="1">
        <v>0.0</v>
      </c>
      <c r="AE214" s="1">
        <v>0.0</v>
      </c>
      <c r="AF214" s="1">
        <v>0.0</v>
      </c>
      <c r="AG214" s="1">
        <v>0.0</v>
      </c>
      <c r="AH214" s="1">
        <v>0.0</v>
      </c>
      <c r="AI214" s="1">
        <v>0.0</v>
      </c>
      <c r="AJ214" s="1">
        <v>0.0</v>
      </c>
      <c r="AK214" s="1">
        <v>0.0</v>
      </c>
      <c r="AL214" s="1">
        <v>0.0</v>
      </c>
      <c r="AM214" s="4">
        <v>0.0</v>
      </c>
      <c r="AN214" s="1">
        <v>0.0</v>
      </c>
      <c r="AO214" s="4">
        <v>0.0</v>
      </c>
      <c r="AP214" s="1">
        <f t="shared" si="1"/>
        <v>0</v>
      </c>
      <c r="AQ214" s="1" t="s">
        <v>557</v>
      </c>
      <c r="AR214" s="1" t="s">
        <v>560</v>
      </c>
      <c r="AT214" s="1" t="s">
        <v>879</v>
      </c>
      <c r="AU214" s="2">
        <v>46001.0</v>
      </c>
      <c r="AV214" s="2">
        <v>46024.0291666667</v>
      </c>
      <c r="AW214" s="1">
        <v>2.0</v>
      </c>
      <c r="AX214" s="1">
        <v>3730428.6</v>
      </c>
      <c r="AY214" s="1">
        <v>123.0</v>
      </c>
      <c r="AZ214" s="1">
        <v>1.0</v>
      </c>
      <c r="BA214" s="1">
        <v>0.0</v>
      </c>
      <c r="BB214" s="1">
        <v>4.0</v>
      </c>
      <c r="BC214" s="2">
        <v>46001.0</v>
      </c>
      <c r="BD214" s="1">
        <v>49.0</v>
      </c>
      <c r="BE214" s="1" t="s">
        <v>550</v>
      </c>
      <c r="BF214" s="1">
        <v>2025.0</v>
      </c>
      <c r="BG214" s="1" t="s">
        <v>558</v>
      </c>
      <c r="BH214" s="7" t="str">
        <f>VLOOKUP(B214,CookieClicks!D:O,12,FALSE)</f>
        <v>https://www.method.me/crm-quickbooks/pricing/</v>
      </c>
      <c r="BI214" s="8" t="str">
        <f>IFERROR(__xludf.DUMMYFUNCTION("VLOOKUP(REGEXREPLACE(BH214,""[?].*"",""""),ContentBuckets!A:C,2,FALSE)"),"/crm-quickbooks/")</f>
        <v>/crm-quickbooks/</v>
      </c>
      <c r="BJ214" s="8" t="str">
        <f>IFERROR(__xludf.DUMMYFUNCTION("VLOOKUP(REGEXREPLACE(BH214,""[?].*"",""""),ContentBuckets!A:C,3,FALSE)"),"Other page")</f>
        <v>Other page</v>
      </c>
    </row>
    <row r="215" ht="14.25" customHeight="1">
      <c r="A215" s="1">
        <v>153386.0</v>
      </c>
      <c r="B215" s="1" t="s">
        <v>880</v>
      </c>
      <c r="C215" s="2">
        <v>46001.2583333333</v>
      </c>
      <c r="D215" s="2"/>
      <c r="E215" s="2"/>
      <c r="F215" s="1" t="b">
        <v>1</v>
      </c>
      <c r="G215" s="4" t="b">
        <v>0</v>
      </c>
      <c r="H215" s="1" t="b">
        <v>0</v>
      </c>
      <c r="I215" s="1" t="b">
        <v>0</v>
      </c>
      <c r="J215" s="1" t="s">
        <v>534</v>
      </c>
      <c r="K215" s="1" t="s">
        <v>553</v>
      </c>
      <c r="L215" s="1" t="s">
        <v>599</v>
      </c>
      <c r="M215" s="1" t="s">
        <v>537</v>
      </c>
      <c r="N215" s="1">
        <v>0.0</v>
      </c>
      <c r="O215" s="1">
        <v>44.25</v>
      </c>
      <c r="P215" s="1">
        <v>0.0</v>
      </c>
      <c r="Q215" s="1">
        <v>0.0</v>
      </c>
      <c r="R215" s="1">
        <v>0.0</v>
      </c>
      <c r="S215" s="1" t="s">
        <v>538</v>
      </c>
      <c r="T215" s="1" t="s">
        <v>539</v>
      </c>
      <c r="V215" s="4">
        <v>7305341.0</v>
      </c>
      <c r="W215" s="4"/>
      <c r="X215" s="4">
        <v>0.0</v>
      </c>
      <c r="Y215" s="1">
        <v>0.0</v>
      </c>
      <c r="Z215" s="1">
        <v>0.0</v>
      </c>
      <c r="AA215" s="1">
        <v>1.0</v>
      </c>
      <c r="AB215" s="1">
        <v>0.0</v>
      </c>
      <c r="AC215" s="1">
        <v>0.0</v>
      </c>
      <c r="AD215" s="1">
        <v>0.0</v>
      </c>
      <c r="AE215" s="1">
        <v>0.0</v>
      </c>
      <c r="AF215" s="1">
        <v>0.0</v>
      </c>
      <c r="AG215" s="1">
        <v>0.0</v>
      </c>
      <c r="AH215" s="1">
        <v>0.0</v>
      </c>
      <c r="AI215" s="1">
        <v>0.0</v>
      </c>
      <c r="AJ215" s="1">
        <v>0.0</v>
      </c>
      <c r="AK215" s="1">
        <v>0.0</v>
      </c>
      <c r="AL215" s="1">
        <v>0.0</v>
      </c>
      <c r="AM215" s="4">
        <v>0.0</v>
      </c>
      <c r="AN215" s="1">
        <v>0.0</v>
      </c>
      <c r="AO215" s="4">
        <v>0.0</v>
      </c>
      <c r="AP215" s="1">
        <f t="shared" si="1"/>
        <v>0</v>
      </c>
      <c r="AU215" s="2"/>
      <c r="AV215" s="2">
        <v>46023.9993055556</v>
      </c>
      <c r="AW215" s="1">
        <v>0.0</v>
      </c>
      <c r="AX215" s="1">
        <v>0.0</v>
      </c>
      <c r="AY215" s="1">
        <v>0.0</v>
      </c>
      <c r="AZ215" s="1">
        <v>1.0</v>
      </c>
      <c r="BA215" s="1">
        <v>0.0</v>
      </c>
      <c r="BB215" s="1">
        <v>0.0</v>
      </c>
      <c r="BC215" s="2">
        <v>46001.0</v>
      </c>
      <c r="BD215" s="1">
        <v>49.0</v>
      </c>
      <c r="BE215" s="1" t="s">
        <v>550</v>
      </c>
      <c r="BF215" s="1">
        <v>2025.0</v>
      </c>
      <c r="BG215" s="1" t="s">
        <v>558</v>
      </c>
      <c r="BH215" s="1" t="str">
        <f>VLOOKUP(B215,CookieClicks!D:O,12,FALSE)</f>
        <v>https://grow.method.me/crm-quickbooks/?trc=81&amp;trk=crm with quickbooks&amp;trs=USA-QB-G&amp;campaignid=1543381580&amp;adgroupid=61437797000&amp;adid=704678754673&amp;gad_source=1&amp;gad_campaignid=1543381580&amp;gbraid=0AAAAAD3ItnY1omoLpV4oKTEORfLaVI0Gp&amp;gclid=CjwKCAiA0eTJBhBaEiwA-Pa-hUqK8Wh3Nf0HfPMwdB-gzaOOi8QdQ7bePO5xxKB-S_BHptRLhqjTCxoCzIwQAvD_BwE</v>
      </c>
      <c r="BI215" s="8" t="str">
        <f>IFERROR(__xludf.DUMMYFUNCTION("VLOOKUP(REGEXREPLACE(BH215,""[?].*"",""""),ContentBuckets!A:C,2,FALSE)"),"#N/A")</f>
        <v>#N/A</v>
      </c>
      <c r="BJ215" s="8" t="str">
        <f>IFERROR(__xludf.DUMMYFUNCTION("VLOOKUP(REGEXREPLACE(BH215,""[?].*"",""""),ContentBuckets!A:C,3,FALSE)"),"#N/A")</f>
        <v>#N/A</v>
      </c>
    </row>
    <row r="216" ht="14.25" customHeight="1">
      <c r="A216" s="1">
        <v>153387.0</v>
      </c>
      <c r="B216" s="1" t="s">
        <v>881</v>
      </c>
      <c r="C216" s="2">
        <v>46001.2930555556</v>
      </c>
      <c r="D216" s="2"/>
      <c r="E216" s="2"/>
      <c r="F216" s="1" t="b">
        <v>1</v>
      </c>
      <c r="G216" s="4" t="b">
        <v>0</v>
      </c>
      <c r="H216" s="1" t="b">
        <v>0</v>
      </c>
      <c r="I216" s="1" t="b">
        <v>0</v>
      </c>
      <c r="J216" s="1" t="s">
        <v>534</v>
      </c>
      <c r="K216" s="1" t="s">
        <v>553</v>
      </c>
      <c r="L216" s="1" t="s">
        <v>599</v>
      </c>
      <c r="M216" s="1" t="s">
        <v>537</v>
      </c>
      <c r="N216" s="1">
        <v>0.0</v>
      </c>
      <c r="O216" s="1">
        <v>44.25</v>
      </c>
      <c r="P216" s="1">
        <v>0.0</v>
      </c>
      <c r="Q216" s="1">
        <v>0.0</v>
      </c>
      <c r="R216" s="1">
        <v>0.0</v>
      </c>
      <c r="S216" s="1" t="s">
        <v>538</v>
      </c>
      <c r="T216" s="1" t="s">
        <v>539</v>
      </c>
      <c r="V216" s="4">
        <v>7305251.0</v>
      </c>
      <c r="W216" s="4"/>
      <c r="X216" s="4">
        <v>0.0</v>
      </c>
      <c r="Y216" s="1">
        <v>0.0</v>
      </c>
      <c r="Z216" s="1">
        <v>0.0</v>
      </c>
      <c r="AA216" s="1">
        <v>1.0</v>
      </c>
      <c r="AB216" s="1">
        <v>0.0</v>
      </c>
      <c r="AC216" s="1">
        <v>0.0</v>
      </c>
      <c r="AD216" s="1">
        <v>0.0</v>
      </c>
      <c r="AE216" s="1">
        <v>0.0</v>
      </c>
      <c r="AF216" s="1">
        <v>0.0</v>
      </c>
      <c r="AG216" s="1">
        <v>0.0</v>
      </c>
      <c r="AH216" s="1">
        <v>0.0</v>
      </c>
      <c r="AI216" s="1">
        <v>0.0</v>
      </c>
      <c r="AJ216" s="1">
        <v>0.0</v>
      </c>
      <c r="AK216" s="1">
        <v>0.0</v>
      </c>
      <c r="AL216" s="1">
        <v>0.0</v>
      </c>
      <c r="AM216" s="4">
        <v>0.0</v>
      </c>
      <c r="AN216" s="1">
        <v>0.0</v>
      </c>
      <c r="AO216" s="4">
        <v>0.0</v>
      </c>
      <c r="AP216" s="1">
        <f t="shared" si="1"/>
        <v>0</v>
      </c>
      <c r="AU216" s="2"/>
      <c r="AV216" s="2">
        <v>46024.0236111111</v>
      </c>
      <c r="AW216" s="1">
        <v>0.0</v>
      </c>
      <c r="AX216" s="1">
        <v>0.0</v>
      </c>
      <c r="AY216" s="1">
        <v>0.0</v>
      </c>
      <c r="AZ216" s="1">
        <v>1.0</v>
      </c>
      <c r="BA216" s="1">
        <v>0.0</v>
      </c>
      <c r="BB216" s="1">
        <v>0.0</v>
      </c>
      <c r="BC216" s="2">
        <v>46001.0</v>
      </c>
      <c r="BD216" s="1">
        <v>49.0</v>
      </c>
      <c r="BE216" s="1" t="s">
        <v>550</v>
      </c>
      <c r="BF216" s="1">
        <v>2025.0</v>
      </c>
      <c r="BG216" s="1" t="s">
        <v>558</v>
      </c>
      <c r="BH216" s="7" t="str">
        <f>VLOOKUP(B216,CookieClicks!D:O,12,FALSE)</f>
        <v>https://www.method.me/crm-quickbooks/pricing/?trc=81&amp;trk=WHSale&amp;trs=Sitelink&amp;campaignid=1543381580&amp;adgroupid=61437797000&amp;adid=704678754673&amp;gad_source=1&amp;gad_campaignid=1543381580&amp;gbraid=0AAAAAD3ItnY1omoLpV4oKTEORfLaVI0Gp&amp;gclid=CjwKCAiA0eTJBhBaEiwA-Pa-hRE_56NGMMGRYyMDk1n4soUADKb6ZYI7P5Ahff_-q82SdWOyBsndSRoCT40QAvD_BwE</v>
      </c>
      <c r="BI216" s="8" t="str">
        <f>IFERROR(__xludf.DUMMYFUNCTION("VLOOKUP(REGEXREPLACE(BH216,""[?].*"",""""),ContentBuckets!A:C,2,FALSE)"),"/crm-quickbooks/")</f>
        <v>/crm-quickbooks/</v>
      </c>
      <c r="BJ216" s="8" t="str">
        <f>IFERROR(__xludf.DUMMYFUNCTION("VLOOKUP(REGEXREPLACE(BH216,""[?].*"",""""),ContentBuckets!A:C,3,FALSE)"),"Other page")</f>
        <v>Other page</v>
      </c>
    </row>
    <row r="217" ht="14.25" customHeight="1">
      <c r="A217" s="1">
        <v>153388.0</v>
      </c>
      <c r="B217" s="1" t="s">
        <v>882</v>
      </c>
      <c r="C217" s="2">
        <v>46001.2993055556</v>
      </c>
      <c r="D217" s="2"/>
      <c r="E217" s="2"/>
      <c r="F217" s="1" t="b">
        <v>1</v>
      </c>
      <c r="G217" s="4" t="b">
        <v>0</v>
      </c>
      <c r="H217" s="1" t="b">
        <v>0</v>
      </c>
      <c r="I217" s="1" t="b">
        <v>0</v>
      </c>
      <c r="J217" s="1" t="s">
        <v>534</v>
      </c>
      <c r="K217" s="1" t="s">
        <v>553</v>
      </c>
      <c r="L217" s="1" t="s">
        <v>554</v>
      </c>
      <c r="M217" s="1" t="s">
        <v>537</v>
      </c>
      <c r="N217" s="1">
        <v>0.0</v>
      </c>
      <c r="O217" s="1">
        <v>44.25</v>
      </c>
      <c r="P217" s="1">
        <v>0.0</v>
      </c>
      <c r="Q217" s="1">
        <v>0.0</v>
      </c>
      <c r="R217" s="1">
        <v>0.0</v>
      </c>
      <c r="S217" s="1" t="s">
        <v>538</v>
      </c>
      <c r="T217" s="1" t="s">
        <v>539</v>
      </c>
      <c r="V217" s="4">
        <v>7306028.0</v>
      </c>
      <c r="W217" s="4" t="s">
        <v>540</v>
      </c>
      <c r="X217" s="4">
        <v>0.0</v>
      </c>
      <c r="Y217" s="1">
        <v>1.0</v>
      </c>
      <c r="Z217" s="1">
        <v>0.0</v>
      </c>
      <c r="AA217" s="1">
        <v>0.0</v>
      </c>
      <c r="AB217" s="1">
        <v>0.0</v>
      </c>
      <c r="AC217" s="1">
        <v>0.0</v>
      </c>
      <c r="AD217" s="1">
        <v>0.0</v>
      </c>
      <c r="AE217" s="1">
        <v>0.0</v>
      </c>
      <c r="AF217" s="1">
        <v>0.0</v>
      </c>
      <c r="AG217" s="1">
        <v>0.0</v>
      </c>
      <c r="AH217" s="1">
        <v>0.0</v>
      </c>
      <c r="AI217" s="1">
        <v>0.0</v>
      </c>
      <c r="AJ217" s="1">
        <v>0.0</v>
      </c>
      <c r="AK217" s="1">
        <v>0.0</v>
      </c>
      <c r="AL217" s="1">
        <v>0.0</v>
      </c>
      <c r="AM217" s="4">
        <v>0.0</v>
      </c>
      <c r="AN217" s="1">
        <v>0.0</v>
      </c>
      <c r="AO217" s="4">
        <v>0.0</v>
      </c>
      <c r="AP217" s="1">
        <f t="shared" si="1"/>
        <v>0</v>
      </c>
      <c r="AU217" s="2"/>
      <c r="AV217" s="2">
        <v>46024.0243055556</v>
      </c>
      <c r="AW217" s="1">
        <v>0.0</v>
      </c>
      <c r="AX217" s="1">
        <v>0.0</v>
      </c>
      <c r="AY217" s="1">
        <v>0.0</v>
      </c>
      <c r="AZ217" s="1">
        <v>1.0</v>
      </c>
      <c r="BA217" s="1">
        <v>0.0</v>
      </c>
      <c r="BB217" s="1">
        <v>0.0</v>
      </c>
      <c r="BC217" s="2">
        <v>46001.0</v>
      </c>
      <c r="BD217" s="1">
        <v>49.0</v>
      </c>
      <c r="BE217" s="1" t="s">
        <v>550</v>
      </c>
      <c r="BF217" s="1">
        <v>2025.0</v>
      </c>
      <c r="BG217" s="1" t="s">
        <v>624</v>
      </c>
      <c r="BH217" s="7" t="str">
        <f>VLOOKUP(B217,CookieClicks!D:O,12,FALSE)</f>
        <v>https://forums.method.me/</v>
      </c>
      <c r="BI217" s="8" t="str">
        <f>IFERROR(__xludf.DUMMYFUNCTION("VLOOKUP(REGEXREPLACE(BH217,""[?].*"",""""),ContentBuckets!A:C,2,FALSE)"),"#N/A")</f>
        <v>#N/A</v>
      </c>
      <c r="BJ217" s="8" t="str">
        <f>IFERROR(__xludf.DUMMYFUNCTION("VLOOKUP(REGEXREPLACE(BH217,""[?].*"",""""),ContentBuckets!A:C,3,FALSE)"),"#N/A")</f>
        <v>#N/A</v>
      </c>
    </row>
    <row r="218" ht="14.25" customHeight="1">
      <c r="A218" s="1">
        <v>153389.0</v>
      </c>
      <c r="B218" s="1" t="s">
        <v>883</v>
      </c>
      <c r="C218" s="2">
        <v>46001.3277777778</v>
      </c>
      <c r="D218" s="2"/>
      <c r="E218" s="2"/>
      <c r="F218" s="1" t="b">
        <v>1</v>
      </c>
      <c r="G218" s="4" t="b">
        <v>0</v>
      </c>
      <c r="H218" s="1" t="b">
        <v>0</v>
      </c>
      <c r="I218" s="1" t="b">
        <v>0</v>
      </c>
      <c r="J218" s="1" t="s">
        <v>534</v>
      </c>
      <c r="K218" s="1" t="s">
        <v>553</v>
      </c>
      <c r="L218" s="1" t="s">
        <v>554</v>
      </c>
      <c r="M218" s="1" t="s">
        <v>537</v>
      </c>
      <c r="N218" s="1">
        <v>0.0</v>
      </c>
      <c r="O218" s="1">
        <v>44.25</v>
      </c>
      <c r="P218" s="1">
        <v>0.0</v>
      </c>
      <c r="Q218" s="1">
        <v>0.0</v>
      </c>
      <c r="R218" s="1">
        <v>0.0</v>
      </c>
      <c r="S218" s="1" t="s">
        <v>538</v>
      </c>
      <c r="T218" s="1" t="s">
        <v>539</v>
      </c>
      <c r="V218" s="4">
        <v>7306523.0</v>
      </c>
      <c r="W218" s="4"/>
      <c r="X218" s="4">
        <v>0.0</v>
      </c>
      <c r="Y218" s="1">
        <v>0.0</v>
      </c>
      <c r="Z218" s="1">
        <v>0.0</v>
      </c>
      <c r="AA218" s="1">
        <v>1.0</v>
      </c>
      <c r="AB218" s="1">
        <v>0.0</v>
      </c>
      <c r="AC218" s="1">
        <v>0.0</v>
      </c>
      <c r="AD218" s="1">
        <v>0.0</v>
      </c>
      <c r="AE218" s="1">
        <v>0.0</v>
      </c>
      <c r="AF218" s="1">
        <v>0.0</v>
      </c>
      <c r="AG218" s="1">
        <v>0.0</v>
      </c>
      <c r="AH218" s="1">
        <v>0.0</v>
      </c>
      <c r="AI218" s="1">
        <v>0.0</v>
      </c>
      <c r="AJ218" s="1">
        <v>0.0</v>
      </c>
      <c r="AK218" s="1">
        <v>0.0</v>
      </c>
      <c r="AL218" s="1">
        <v>0.0</v>
      </c>
      <c r="AM218" s="4">
        <v>0.0</v>
      </c>
      <c r="AN218" s="1">
        <v>0.0</v>
      </c>
      <c r="AO218" s="4">
        <v>0.0</v>
      </c>
      <c r="AP218" s="1">
        <f t="shared" si="1"/>
        <v>0</v>
      </c>
      <c r="AU218" s="2"/>
      <c r="AV218" s="2">
        <v>46023.9888888889</v>
      </c>
      <c r="AW218" s="1">
        <v>0.0</v>
      </c>
      <c r="AX218" s="1">
        <v>0.0</v>
      </c>
      <c r="AY218" s="1">
        <v>0.0</v>
      </c>
      <c r="AZ218" s="1">
        <v>1.0</v>
      </c>
      <c r="BA218" s="1">
        <v>0.0</v>
      </c>
      <c r="BB218" s="1">
        <v>0.0</v>
      </c>
      <c r="BC218" s="2">
        <v>46001.0</v>
      </c>
      <c r="BD218" s="1">
        <v>49.0</v>
      </c>
      <c r="BE218" s="1" t="s">
        <v>550</v>
      </c>
      <c r="BF218" s="1">
        <v>2025.0</v>
      </c>
      <c r="BG218" s="1" t="s">
        <v>558</v>
      </c>
      <c r="BH218" s="1" t="str">
        <f>VLOOKUP(B218,CookieClicks!D:O,12,FALSE)</f>
        <v>https://grow.method.me/crm-quickbooks/?trc=86&amp;trk=CRM compatible with QuickBooks&amp;trs=US-QBInt-Bing&amp;msclkid=9411e595d00614f60fed8cacbc9b5a79&amp;utm_source=bing&amp;utm_medium=cpc&amp;utm_campaign=US - Generic 2020&amp;utm_term=CRM compatible with QuickBooks&amp;utm_content=Integrations</v>
      </c>
      <c r="BI218" s="8" t="str">
        <f>IFERROR(__xludf.DUMMYFUNCTION("VLOOKUP(REGEXREPLACE(BH218,""[?].*"",""""),ContentBuckets!A:C,2,FALSE)"),"#N/A")</f>
        <v>#N/A</v>
      </c>
      <c r="BJ218" s="8" t="str">
        <f>IFERROR(__xludf.DUMMYFUNCTION("VLOOKUP(REGEXREPLACE(BH218,""[?].*"",""""),ContentBuckets!A:C,3,FALSE)"),"#N/A")</f>
        <v>#N/A</v>
      </c>
    </row>
    <row r="219" ht="14.25" customHeight="1">
      <c r="A219" s="1">
        <v>153390.0</v>
      </c>
      <c r="B219" s="1" t="s">
        <v>884</v>
      </c>
      <c r="C219" s="2">
        <v>46001.3423611111</v>
      </c>
      <c r="D219" s="2"/>
      <c r="E219" s="2"/>
      <c r="F219" s="1" t="b">
        <v>1</v>
      </c>
      <c r="G219" s="4" t="b">
        <v>0</v>
      </c>
      <c r="H219" s="1" t="b">
        <v>0</v>
      </c>
      <c r="I219" s="1" t="b">
        <v>0</v>
      </c>
      <c r="J219" s="1" t="s">
        <v>534</v>
      </c>
      <c r="K219" s="1" t="s">
        <v>553</v>
      </c>
      <c r="L219" s="1" t="s">
        <v>599</v>
      </c>
      <c r="M219" s="1" t="s">
        <v>537</v>
      </c>
      <c r="N219" s="1">
        <v>0.0</v>
      </c>
      <c r="O219" s="1">
        <v>44.25</v>
      </c>
      <c r="P219" s="1">
        <v>0.0</v>
      </c>
      <c r="Q219" s="1">
        <v>0.0</v>
      </c>
      <c r="R219" s="1">
        <v>0.0</v>
      </c>
      <c r="S219" s="1" t="s">
        <v>538</v>
      </c>
      <c r="T219" s="1" t="s">
        <v>539</v>
      </c>
      <c r="V219" s="4">
        <v>7306779.0</v>
      </c>
      <c r="W219" s="4"/>
      <c r="X219" s="4">
        <v>0.0</v>
      </c>
      <c r="Y219" s="1">
        <v>0.0</v>
      </c>
      <c r="Z219" s="1">
        <v>0.0</v>
      </c>
      <c r="AA219" s="1">
        <v>1.0</v>
      </c>
      <c r="AB219" s="1">
        <v>0.0</v>
      </c>
      <c r="AC219" s="1">
        <v>0.0</v>
      </c>
      <c r="AD219" s="1">
        <v>0.0</v>
      </c>
      <c r="AE219" s="1">
        <v>0.0</v>
      </c>
      <c r="AF219" s="1">
        <v>0.0</v>
      </c>
      <c r="AG219" s="1">
        <v>0.0</v>
      </c>
      <c r="AH219" s="1">
        <v>0.0</v>
      </c>
      <c r="AI219" s="1">
        <v>0.0</v>
      </c>
      <c r="AJ219" s="1">
        <v>0.0</v>
      </c>
      <c r="AK219" s="1">
        <v>0.0</v>
      </c>
      <c r="AL219" s="1">
        <v>0.0</v>
      </c>
      <c r="AM219" s="4">
        <v>0.0</v>
      </c>
      <c r="AN219" s="1">
        <v>0.0</v>
      </c>
      <c r="AO219" s="4">
        <v>0.0</v>
      </c>
      <c r="AP219" s="1">
        <f t="shared" si="1"/>
        <v>0</v>
      </c>
      <c r="AU219" s="2"/>
      <c r="AV219" s="2">
        <v>46023.99375</v>
      </c>
      <c r="AW219" s="1">
        <v>0.0</v>
      </c>
      <c r="AX219" s="1">
        <v>0.0</v>
      </c>
      <c r="AY219" s="1">
        <v>0.0</v>
      </c>
      <c r="AZ219" s="1">
        <v>1.0</v>
      </c>
      <c r="BA219" s="1">
        <v>0.0</v>
      </c>
      <c r="BB219" s="1">
        <v>0.0</v>
      </c>
      <c r="BC219" s="2">
        <v>46001.0</v>
      </c>
      <c r="BD219" s="1">
        <v>49.0</v>
      </c>
      <c r="BE219" s="1" t="s">
        <v>550</v>
      </c>
      <c r="BF219" s="1">
        <v>2025.0</v>
      </c>
      <c r="BG219" s="1" t="s">
        <v>558</v>
      </c>
      <c r="BH219" s="7" t="str">
        <f>VLOOKUP(B219,CookieClicks!D:O,12,FALSE)</f>
        <v>https://grow.method.me/quickbooks-crm/?trc=81&amp;trk=&amp;trs=US-PMax&amp;campaignid=20681425566&amp;adgroupid=&amp;adid=&amp;gad_source=5&amp;gad_campaignid=20687584292&amp;gclid=EAIaIQobChMIp9XwuIyzkQMVGEpHAR1l6QhoEAAYASAAEgJ61PD_BwE</v>
      </c>
      <c r="BI219" s="8" t="str">
        <f>IFERROR(__xludf.DUMMYFUNCTION("VLOOKUP(REGEXREPLACE(BH219,""[?].*"",""""),ContentBuckets!A:C,2,FALSE)"),"#N/A")</f>
        <v>#N/A</v>
      </c>
      <c r="BJ219" s="8" t="str">
        <f>IFERROR(__xludf.DUMMYFUNCTION("VLOOKUP(REGEXREPLACE(BH219,""[?].*"",""""),ContentBuckets!A:C,3,FALSE)"),"#N/A")</f>
        <v>#N/A</v>
      </c>
    </row>
    <row r="220" ht="14.25" customHeight="1">
      <c r="A220" s="1">
        <v>153391.0</v>
      </c>
      <c r="B220" s="1" t="s">
        <v>885</v>
      </c>
      <c r="C220" s="2">
        <v>46001.3444444444</v>
      </c>
      <c r="D220" s="2">
        <v>46003.4784722222</v>
      </c>
      <c r="E220" s="2"/>
      <c r="F220" s="1" t="b">
        <v>0</v>
      </c>
      <c r="G220" s="4" t="b">
        <v>0</v>
      </c>
      <c r="H220" s="1" t="b">
        <v>0</v>
      </c>
      <c r="I220" s="1" t="b">
        <v>0</v>
      </c>
      <c r="J220" s="1" t="s">
        <v>534</v>
      </c>
      <c r="K220" s="1" t="s">
        <v>535</v>
      </c>
      <c r="L220" s="1" t="s">
        <v>536</v>
      </c>
      <c r="M220" s="1" t="s">
        <v>537</v>
      </c>
      <c r="N220" s="1">
        <v>0.0</v>
      </c>
      <c r="O220" s="1">
        <v>44.25</v>
      </c>
      <c r="P220" s="1">
        <v>0.0</v>
      </c>
      <c r="Q220" s="1">
        <v>0.0</v>
      </c>
      <c r="R220" s="1">
        <v>28.0</v>
      </c>
      <c r="S220" s="1" t="s">
        <v>538</v>
      </c>
      <c r="T220" s="1" t="s">
        <v>539</v>
      </c>
      <c r="V220" s="4">
        <v>7233085.0</v>
      </c>
      <c r="W220" s="4" t="s">
        <v>540</v>
      </c>
      <c r="X220" s="4">
        <v>0.0</v>
      </c>
      <c r="Y220" s="1">
        <v>1.0</v>
      </c>
      <c r="Z220" s="1">
        <v>0.0</v>
      </c>
      <c r="AA220" s="1">
        <v>0.0</v>
      </c>
      <c r="AB220" s="1">
        <v>0.0</v>
      </c>
      <c r="AC220" s="1">
        <v>0.0</v>
      </c>
      <c r="AD220" s="1">
        <v>0.0</v>
      </c>
      <c r="AE220" s="1">
        <v>0.0</v>
      </c>
      <c r="AF220" s="1">
        <v>0.0</v>
      </c>
      <c r="AG220" s="1">
        <v>0.0</v>
      </c>
      <c r="AH220" s="1">
        <v>0.0</v>
      </c>
      <c r="AI220" s="1">
        <v>0.0</v>
      </c>
      <c r="AJ220" s="1">
        <v>0.0</v>
      </c>
      <c r="AK220" s="1">
        <v>0.0</v>
      </c>
      <c r="AL220" s="1">
        <v>0.0</v>
      </c>
      <c r="AM220" s="4">
        <v>0.0</v>
      </c>
      <c r="AN220" s="1">
        <v>0.0</v>
      </c>
      <c r="AO220" s="4">
        <v>0.0</v>
      </c>
      <c r="AP220" s="1">
        <f t="shared" si="1"/>
        <v>0</v>
      </c>
      <c r="AQ220" s="1" t="s">
        <v>557</v>
      </c>
      <c r="AR220" s="1" t="s">
        <v>568</v>
      </c>
      <c r="AU220" s="2">
        <v>46001.0</v>
      </c>
      <c r="AV220" s="2">
        <v>46002.9826388889</v>
      </c>
      <c r="AW220" s="1">
        <v>178.0</v>
      </c>
      <c r="AX220" s="1">
        <v>3733343.04</v>
      </c>
      <c r="AY220" s="1">
        <v>200.0</v>
      </c>
      <c r="AZ220" s="1">
        <v>1.0</v>
      </c>
      <c r="BA220" s="1">
        <v>0.0</v>
      </c>
      <c r="BB220" s="1">
        <v>0.0</v>
      </c>
      <c r="BC220" s="2">
        <v>46001.0</v>
      </c>
      <c r="BD220" s="1">
        <v>49.0</v>
      </c>
      <c r="BE220" s="1" t="s">
        <v>550</v>
      </c>
      <c r="BF220" s="1">
        <v>2025.0</v>
      </c>
      <c r="BG220" s="1" t="s">
        <v>558</v>
      </c>
      <c r="BH220" s="7" t="str">
        <f>VLOOKUP(B220,CookieClicks!D:O,12,FALSE)</f>
        <v>https://www.method.me/</v>
      </c>
      <c r="BI220" s="8" t="str">
        <f>IFERROR(__xludf.DUMMYFUNCTION("VLOOKUP(REGEXREPLACE(BH220,""[?].*"",""""),ContentBuckets!A:C,2,FALSE)"),"Homepage")</f>
        <v>Homepage</v>
      </c>
      <c r="BJ220" s="8" t="str">
        <f>IFERROR(__xludf.DUMMYFUNCTION("VLOOKUP(REGEXREPLACE(BH220,""[?].*"",""""),ContentBuckets!A:C,3,FALSE)"),"Other page")</f>
        <v>Other page</v>
      </c>
    </row>
    <row r="221" ht="14.25" customHeight="1">
      <c r="A221" s="1">
        <v>153392.0</v>
      </c>
      <c r="B221" s="1" t="s">
        <v>886</v>
      </c>
      <c r="C221" s="2">
        <v>46001.3486111111</v>
      </c>
      <c r="D221" s="2"/>
      <c r="E221" s="2"/>
      <c r="F221" s="1" t="b">
        <v>1</v>
      </c>
      <c r="G221" s="4" t="b">
        <v>0</v>
      </c>
      <c r="H221" s="1" t="b">
        <v>0</v>
      </c>
      <c r="I221" s="1" t="b">
        <v>0</v>
      </c>
      <c r="J221" s="1" t="s">
        <v>534</v>
      </c>
      <c r="K221" s="1" t="s">
        <v>535</v>
      </c>
      <c r="L221" s="1" t="s">
        <v>536</v>
      </c>
      <c r="M221" s="1" t="s">
        <v>537</v>
      </c>
      <c r="N221" s="1">
        <v>0.0</v>
      </c>
      <c r="O221" s="1">
        <v>127.5</v>
      </c>
      <c r="P221" s="1">
        <v>0.0</v>
      </c>
      <c r="Q221" s="1">
        <v>0.0</v>
      </c>
      <c r="R221" s="1">
        <v>28.0</v>
      </c>
      <c r="S221" s="1" t="s">
        <v>538</v>
      </c>
      <c r="T221" s="1" t="s">
        <v>539</v>
      </c>
      <c r="V221" s="4">
        <v>7306902.0</v>
      </c>
      <c r="W221" s="4"/>
      <c r="X221" s="4">
        <v>0.0</v>
      </c>
      <c r="Y221" s="1">
        <v>0.0</v>
      </c>
      <c r="Z221" s="1">
        <v>1.0</v>
      </c>
      <c r="AA221" s="1">
        <v>0.0</v>
      </c>
      <c r="AB221" s="1">
        <v>0.0</v>
      </c>
      <c r="AC221" s="1">
        <v>0.0</v>
      </c>
      <c r="AD221" s="1">
        <v>0.0</v>
      </c>
      <c r="AE221" s="1">
        <v>0.0</v>
      </c>
      <c r="AF221" s="1">
        <v>0.0</v>
      </c>
      <c r="AG221" s="1">
        <v>0.0</v>
      </c>
      <c r="AH221" s="1">
        <v>0.0</v>
      </c>
      <c r="AI221" s="1">
        <v>0.0</v>
      </c>
      <c r="AJ221" s="1">
        <v>0.0</v>
      </c>
      <c r="AK221" s="1">
        <v>0.0</v>
      </c>
      <c r="AL221" s="1">
        <v>0.0</v>
      </c>
      <c r="AM221" s="4">
        <v>0.0</v>
      </c>
      <c r="AN221" s="1">
        <v>0.0</v>
      </c>
      <c r="AO221" s="4">
        <v>0.0</v>
      </c>
      <c r="AP221" s="1">
        <f t="shared" si="1"/>
        <v>0</v>
      </c>
      <c r="AQ221" s="1" t="s">
        <v>557</v>
      </c>
      <c r="AR221" s="1" t="s">
        <v>564</v>
      </c>
      <c r="AU221" s="2">
        <v>46001.0</v>
      </c>
      <c r="AV221" s="2">
        <v>46023.9951388889</v>
      </c>
      <c r="AW221" s="1">
        <v>8.0</v>
      </c>
      <c r="AX221" s="1">
        <v>1640959.2</v>
      </c>
      <c r="AY221" s="1">
        <v>452.0</v>
      </c>
      <c r="AZ221" s="1">
        <v>2.0</v>
      </c>
      <c r="BA221" s="1">
        <v>0.0</v>
      </c>
      <c r="BB221" s="1">
        <v>0.0</v>
      </c>
      <c r="BC221" s="2">
        <v>46001.0</v>
      </c>
      <c r="BD221" s="1">
        <v>49.0</v>
      </c>
      <c r="BE221" s="1" t="s">
        <v>550</v>
      </c>
      <c r="BF221" s="1">
        <v>2025.0</v>
      </c>
      <c r="BH221" s="7" t="str">
        <f>VLOOKUP(B221,CookieClicks!D:O,12,FALSE)</f>
        <v>https://signin.method.me/accounts/identitynotfound?Code=uu0qaqxzaeLI%2BeUbVdX9O5XZm41Fp055y24MP34tcPXzLs0j2m3RxwMDzE936IrZh6uZtULmvgONFVaoGvyM6nnoXJDOy5KhQPqfxtb337UHPWKwAVwE1c2haCIV4VNuANA62JpP96MG%2BQuyjIeggo%2F7NZbVgQCMaO8sTje0T704Rdk%2BEKBW%2BzKwn4r1LwvRqx2eD1B2SbQ5izICzcrIVh76r9NAEPhFn8Eas6FGdQLozXZqyH4OVv%2B6ddDINTqVBzLXRHuuhrFIE9kPusCcHq1RgwIbnJv6onvXkCGUoCAjGTZihsuVRmQKfXad4v3mgJd5erequp5EYmCM6vRdCA%3D%3D&amp;Email=alexandercabrera2002%40hotmail.com&amp;Provider=Intuit&amp;Offering=methodcrm</v>
      </c>
      <c r="BI221" s="8" t="str">
        <f>IFERROR(__xludf.DUMMYFUNCTION("VLOOKUP(REGEXREPLACE(BH221,""[?].*"",""""),ContentBuckets!A:C,2,FALSE)"),"#N/A")</f>
        <v>#N/A</v>
      </c>
      <c r="BJ221" s="8" t="str">
        <f>IFERROR(__xludf.DUMMYFUNCTION("VLOOKUP(REGEXREPLACE(BH221,""[?].*"",""""),ContentBuckets!A:C,3,FALSE)"),"#N/A")</f>
        <v>#N/A</v>
      </c>
    </row>
    <row r="222" ht="14.25" customHeight="1">
      <c r="A222" s="1">
        <v>153393.0</v>
      </c>
      <c r="B222" s="1" t="s">
        <v>887</v>
      </c>
      <c r="C222" s="2">
        <v>46001.3506944444</v>
      </c>
      <c r="D222" s="2"/>
      <c r="E222" s="2">
        <v>46001.3506944444</v>
      </c>
      <c r="F222" s="1" t="b">
        <v>1</v>
      </c>
      <c r="G222" s="4" t="b">
        <v>0</v>
      </c>
      <c r="H222" s="1" t="b">
        <v>0</v>
      </c>
      <c r="I222" s="1" t="b">
        <v>0</v>
      </c>
      <c r="J222" s="1" t="s">
        <v>534</v>
      </c>
      <c r="K222" s="1" t="s">
        <v>566</v>
      </c>
      <c r="L222" s="1" t="s">
        <v>567</v>
      </c>
      <c r="M222" s="1" t="s">
        <v>537</v>
      </c>
      <c r="N222" s="1">
        <v>40.0</v>
      </c>
      <c r="O222" s="1">
        <v>40.0</v>
      </c>
      <c r="P222" s="1">
        <v>0.0</v>
      </c>
      <c r="Q222" s="1">
        <v>0.0</v>
      </c>
      <c r="R222" s="1">
        <v>0.0</v>
      </c>
      <c r="S222" s="1" t="s">
        <v>538</v>
      </c>
      <c r="T222" s="1" t="s">
        <v>539</v>
      </c>
      <c r="V222" s="4">
        <v>0.0</v>
      </c>
      <c r="W222" s="4"/>
      <c r="X222" s="4">
        <v>0.0</v>
      </c>
      <c r="Y222" s="1">
        <v>0.0</v>
      </c>
      <c r="Z222" s="1">
        <v>0.0</v>
      </c>
      <c r="AA222" s="1">
        <v>0.0</v>
      </c>
      <c r="AB222" s="1">
        <v>0.0</v>
      </c>
      <c r="AC222" s="1">
        <v>0.0</v>
      </c>
      <c r="AD222" s="1">
        <v>0.0</v>
      </c>
      <c r="AE222" s="1">
        <v>0.0</v>
      </c>
      <c r="AF222" s="1">
        <v>0.0</v>
      </c>
      <c r="AG222" s="1">
        <v>0.0</v>
      </c>
      <c r="AH222" s="1">
        <v>0.0</v>
      </c>
      <c r="AI222" s="1">
        <v>0.0</v>
      </c>
      <c r="AJ222" s="1">
        <v>0.0</v>
      </c>
      <c r="AK222" s="1">
        <v>0.0</v>
      </c>
      <c r="AL222" s="1">
        <v>0.0</v>
      </c>
      <c r="AM222" s="4">
        <v>0.0</v>
      </c>
      <c r="AN222" s="1">
        <v>0.0</v>
      </c>
      <c r="AO222" s="4">
        <v>0.0</v>
      </c>
      <c r="AP222" s="1">
        <f t="shared" si="1"/>
        <v>1</v>
      </c>
      <c r="AQ222" s="1" t="s">
        <v>557</v>
      </c>
      <c r="AT222" s="1" t="s">
        <v>616</v>
      </c>
      <c r="AU222" s="2">
        <v>46001.0</v>
      </c>
      <c r="AV222" s="2">
        <v>46024.0277777778</v>
      </c>
      <c r="AW222" s="1">
        <v>8.0</v>
      </c>
      <c r="AX222" s="1">
        <v>1973829.48</v>
      </c>
      <c r="AY222" s="1">
        <v>1080.0</v>
      </c>
      <c r="AZ222" s="1">
        <v>0.0</v>
      </c>
      <c r="BA222" s="1">
        <v>0.0</v>
      </c>
      <c r="BB222" s="1">
        <v>0.0</v>
      </c>
      <c r="BC222" s="2">
        <v>46001.0</v>
      </c>
      <c r="BD222" s="1">
        <v>49.0</v>
      </c>
      <c r="BE222" s="1" t="s">
        <v>550</v>
      </c>
      <c r="BF222" s="1">
        <v>2025.0</v>
      </c>
      <c r="BG222" s="1" t="s">
        <v>558</v>
      </c>
      <c r="BH222" s="1" t="str">
        <f>VLOOKUP(B222,CookieClicks!D:O,12,FALSE)</f>
        <v>#N/A</v>
      </c>
      <c r="BI222" s="8" t="str">
        <f>IFERROR(__xludf.DUMMYFUNCTION("VLOOKUP(REGEXREPLACE(BH222,""[?].*"",""""),ContentBuckets!A:C,2,FALSE)"),"#N/A")</f>
        <v>#N/A</v>
      </c>
      <c r="BJ222" s="8" t="str">
        <f>IFERROR(__xludf.DUMMYFUNCTION("VLOOKUP(REGEXREPLACE(BH222,""[?].*"",""""),ContentBuckets!A:C,3,FALSE)"),"#N/A")</f>
        <v>#N/A</v>
      </c>
    </row>
    <row r="223" ht="14.25" customHeight="1">
      <c r="A223" s="1">
        <v>153394.0</v>
      </c>
      <c r="B223" s="1" t="s">
        <v>888</v>
      </c>
      <c r="C223" s="2">
        <v>46001.3673611111</v>
      </c>
      <c r="D223" s="2">
        <v>46003.4097222222</v>
      </c>
      <c r="E223" s="2"/>
      <c r="F223" s="1" t="b">
        <v>0</v>
      </c>
      <c r="G223" s="4" t="b">
        <v>1</v>
      </c>
      <c r="H223" s="1" t="b">
        <v>0</v>
      </c>
      <c r="I223" s="1" t="b">
        <v>0</v>
      </c>
      <c r="J223" s="1" t="s">
        <v>534</v>
      </c>
      <c r="K223" s="1" t="s">
        <v>535</v>
      </c>
      <c r="L223" s="1" t="s">
        <v>536</v>
      </c>
      <c r="M223" s="1" t="s">
        <v>537</v>
      </c>
      <c r="N223" s="1">
        <v>0.0</v>
      </c>
      <c r="O223" s="1">
        <v>72.75</v>
      </c>
      <c r="P223" s="1">
        <v>0.0</v>
      </c>
      <c r="Q223" s="1">
        <v>0.0</v>
      </c>
      <c r="R223" s="1">
        <v>0.0</v>
      </c>
      <c r="S223" s="1" t="s">
        <v>538</v>
      </c>
      <c r="T223" s="1" t="s">
        <v>539</v>
      </c>
      <c r="V223" s="4">
        <v>6624131.0</v>
      </c>
      <c r="W223" s="4"/>
      <c r="X223" s="4">
        <v>1.0</v>
      </c>
      <c r="Y223" s="1">
        <v>0.0</v>
      </c>
      <c r="Z223" s="1">
        <v>0.0</v>
      </c>
      <c r="AA223" s="1">
        <v>0.0</v>
      </c>
      <c r="AB223" s="1">
        <v>0.0</v>
      </c>
      <c r="AC223" s="1">
        <v>0.0</v>
      </c>
      <c r="AD223" s="1">
        <v>0.0</v>
      </c>
      <c r="AE223" s="1">
        <v>0.0</v>
      </c>
      <c r="AF223" s="1">
        <v>0.0</v>
      </c>
      <c r="AG223" s="1">
        <v>0.0</v>
      </c>
      <c r="AH223" s="1">
        <v>0.0</v>
      </c>
      <c r="AI223" s="1">
        <v>0.0</v>
      </c>
      <c r="AJ223" s="1">
        <v>0.0</v>
      </c>
      <c r="AK223" s="1">
        <v>0.0</v>
      </c>
      <c r="AL223" s="1">
        <v>0.0</v>
      </c>
      <c r="AM223" s="4">
        <v>0.0</v>
      </c>
      <c r="AN223" s="1">
        <v>0.0</v>
      </c>
      <c r="AO223" s="4">
        <v>0.0</v>
      </c>
      <c r="AP223" s="1">
        <f t="shared" si="1"/>
        <v>0</v>
      </c>
      <c r="AU223" s="2">
        <v>46001.0</v>
      </c>
      <c r="AV223" s="2">
        <v>46002.9958333333</v>
      </c>
      <c r="AW223" s="1">
        <v>0.0</v>
      </c>
      <c r="AX223" s="1">
        <v>0.0</v>
      </c>
      <c r="AY223" s="1">
        <v>0.0</v>
      </c>
      <c r="AZ223" s="1">
        <v>1.0</v>
      </c>
      <c r="BA223" s="1">
        <v>0.0</v>
      </c>
      <c r="BB223" s="1">
        <v>0.0</v>
      </c>
      <c r="BC223" s="2">
        <v>46001.0</v>
      </c>
      <c r="BD223" s="1">
        <v>49.0</v>
      </c>
      <c r="BE223" s="1" t="s">
        <v>550</v>
      </c>
      <c r="BF223" s="1">
        <v>2025.0</v>
      </c>
      <c r="BG223" s="1" t="s">
        <v>546</v>
      </c>
      <c r="BH223" s="7" t="str">
        <f>VLOOKUP(B223,CookieClicks!D:O,12,FALSE)</f>
        <v>https://signin.method.me/?returnUrl=https%3a%2f%2fm11errolqbo20250618.method.me%2fapps%2fDefault.aspx%3faccountName%3dm11errolqbo20250618</v>
      </c>
      <c r="BI223" s="8" t="str">
        <f>IFERROR(__xludf.DUMMYFUNCTION("VLOOKUP(REGEXREPLACE(BH223,""[?].*"",""""),ContentBuckets!A:C,2,FALSE)"),"#N/A")</f>
        <v>#N/A</v>
      </c>
      <c r="BJ223" s="8" t="str">
        <f>IFERROR(__xludf.DUMMYFUNCTION("VLOOKUP(REGEXREPLACE(BH223,""[?].*"",""""),ContentBuckets!A:C,3,FALSE)"),"#N/A")</f>
        <v>#N/A</v>
      </c>
    </row>
    <row r="224" ht="14.25" customHeight="1">
      <c r="A224" s="1">
        <v>153395.0</v>
      </c>
      <c r="B224" s="1" t="s">
        <v>889</v>
      </c>
      <c r="C224" s="2">
        <v>46001.3701388889</v>
      </c>
      <c r="D224" s="2"/>
      <c r="E224" s="2">
        <v>46015.5333333333</v>
      </c>
      <c r="F224" s="1" t="b">
        <v>1</v>
      </c>
      <c r="G224" s="4" t="b">
        <v>0</v>
      </c>
      <c r="H224" s="1" t="b">
        <v>0</v>
      </c>
      <c r="I224" s="1" t="b">
        <v>0</v>
      </c>
      <c r="J224" s="1" t="s">
        <v>534</v>
      </c>
      <c r="K224" s="1" t="s">
        <v>535</v>
      </c>
      <c r="L224" s="1" t="s">
        <v>536</v>
      </c>
      <c r="M224" s="1" t="s">
        <v>537</v>
      </c>
      <c r="N224" s="1">
        <v>88.5</v>
      </c>
      <c r="O224" s="1">
        <v>88.5</v>
      </c>
      <c r="P224" s="1">
        <v>0.0</v>
      </c>
      <c r="Q224" s="1">
        <v>0.0</v>
      </c>
      <c r="R224" s="1">
        <v>28.0</v>
      </c>
      <c r="S224" s="1" t="s">
        <v>538</v>
      </c>
      <c r="T224" s="1" t="s">
        <v>539</v>
      </c>
      <c r="V224" s="4">
        <v>7307287.0</v>
      </c>
      <c r="W224" s="4"/>
      <c r="X224" s="4">
        <v>0.0</v>
      </c>
      <c r="Y224" s="1">
        <v>0.0</v>
      </c>
      <c r="Z224" s="1">
        <v>0.0</v>
      </c>
      <c r="AA224" s="1">
        <v>1.0</v>
      </c>
      <c r="AB224" s="1">
        <v>0.0</v>
      </c>
      <c r="AC224" s="1">
        <v>0.0</v>
      </c>
      <c r="AD224" s="1">
        <v>0.0</v>
      </c>
      <c r="AE224" s="1">
        <v>0.0</v>
      </c>
      <c r="AF224" s="1">
        <v>0.0</v>
      </c>
      <c r="AG224" s="1">
        <v>0.0</v>
      </c>
      <c r="AH224" s="1">
        <v>0.0</v>
      </c>
      <c r="AI224" s="1">
        <v>0.0</v>
      </c>
      <c r="AJ224" s="1">
        <v>0.0</v>
      </c>
      <c r="AK224" s="1">
        <v>0.0</v>
      </c>
      <c r="AL224" s="1">
        <v>0.0</v>
      </c>
      <c r="AM224" s="4">
        <v>0.0</v>
      </c>
      <c r="AN224" s="1">
        <v>0.0</v>
      </c>
      <c r="AO224" s="4">
        <v>0.0</v>
      </c>
      <c r="AP224" s="1">
        <f t="shared" si="1"/>
        <v>0</v>
      </c>
      <c r="AQ224" s="1" t="s">
        <v>557</v>
      </c>
      <c r="AR224" s="1" t="s">
        <v>857</v>
      </c>
      <c r="AU224" s="2">
        <v>46002.0</v>
      </c>
      <c r="AV224" s="2">
        <v>46023.9847222222</v>
      </c>
      <c r="AW224" s="1">
        <v>40.0</v>
      </c>
      <c r="AX224" s="1">
        <v>1909168.44</v>
      </c>
      <c r="AY224" s="1">
        <v>502.0</v>
      </c>
      <c r="AZ224" s="1">
        <v>2.0</v>
      </c>
      <c r="BA224" s="1">
        <v>0.0</v>
      </c>
      <c r="BB224" s="1">
        <v>0.0</v>
      </c>
      <c r="BC224" s="2">
        <v>46001.0</v>
      </c>
      <c r="BD224" s="1">
        <v>49.0</v>
      </c>
      <c r="BE224" s="1" t="s">
        <v>550</v>
      </c>
      <c r="BF224" s="1">
        <v>2025.0</v>
      </c>
      <c r="BG224" s="1" t="s">
        <v>558</v>
      </c>
      <c r="BH224" s="1" t="str">
        <f>VLOOKUP(B224,CookieClicks!D:O,12,FALSE)</f>
        <v>https://grow.method.me/crm-quickbooks/?trc=81&amp;trk=crm integrates with quickbooks&amp;trs=US-QBInt-Ex&amp;campaignid=22265826203&amp;adgroupid=186545727779&amp;adid=777091446185&amp;gad_source=1&amp;gad_campaignid=22265826203&amp;gclid=CjwKCAiA0eTJBhBaEiwA-Pa-hUNN_h4GIVSpY_sHWzFV4tndcYkAcIZo6sEaLMZaH0_xV7IVTferNBoC5xUQAvD_BwE</v>
      </c>
      <c r="BI224" s="8" t="str">
        <f>IFERROR(__xludf.DUMMYFUNCTION("VLOOKUP(REGEXREPLACE(BH224,""[?].*"",""""),ContentBuckets!A:C,2,FALSE)"),"#N/A")</f>
        <v>#N/A</v>
      </c>
      <c r="BJ224" s="8" t="str">
        <f>IFERROR(__xludf.DUMMYFUNCTION("VLOOKUP(REGEXREPLACE(BH224,""[?].*"",""""),ContentBuckets!A:C,3,FALSE)"),"#N/A")</f>
        <v>#N/A</v>
      </c>
    </row>
    <row r="225" ht="14.25" customHeight="1">
      <c r="A225" s="1">
        <v>153396.0</v>
      </c>
      <c r="B225" s="1" t="s">
        <v>890</v>
      </c>
      <c r="C225" s="2">
        <v>46001.3784722222</v>
      </c>
      <c r="D225" s="2"/>
      <c r="E225" s="2"/>
      <c r="F225" s="1" t="b">
        <v>1</v>
      </c>
      <c r="G225" s="4" t="b">
        <v>0</v>
      </c>
      <c r="H225" s="1" t="b">
        <v>0</v>
      </c>
      <c r="I225" s="1" t="b">
        <v>0</v>
      </c>
      <c r="J225" s="1" t="s">
        <v>534</v>
      </c>
      <c r="K225" s="1" t="s">
        <v>535</v>
      </c>
      <c r="L225" s="1" t="s">
        <v>536</v>
      </c>
      <c r="M225" s="1" t="s">
        <v>537</v>
      </c>
      <c r="N225" s="1">
        <v>0.0</v>
      </c>
      <c r="O225" s="1">
        <v>53.25</v>
      </c>
      <c r="P225" s="1">
        <v>0.0</v>
      </c>
      <c r="Q225" s="1">
        <v>0.0</v>
      </c>
      <c r="R225" s="1">
        <v>28.0</v>
      </c>
      <c r="S225" s="1" t="s">
        <v>538</v>
      </c>
      <c r="T225" s="1" t="s">
        <v>539</v>
      </c>
      <c r="V225" s="4">
        <v>7307469.0</v>
      </c>
      <c r="W225" s="4"/>
      <c r="X225" s="4">
        <v>0.0</v>
      </c>
      <c r="Y225" s="1">
        <v>0.0</v>
      </c>
      <c r="Z225" s="1">
        <v>1.0</v>
      </c>
      <c r="AA225" s="1">
        <v>0.0</v>
      </c>
      <c r="AB225" s="1">
        <v>0.0</v>
      </c>
      <c r="AC225" s="1">
        <v>0.0</v>
      </c>
      <c r="AD225" s="1">
        <v>0.0</v>
      </c>
      <c r="AE225" s="1">
        <v>0.0</v>
      </c>
      <c r="AF225" s="1">
        <v>0.0</v>
      </c>
      <c r="AG225" s="1">
        <v>0.0</v>
      </c>
      <c r="AH225" s="1">
        <v>0.0</v>
      </c>
      <c r="AI225" s="1">
        <v>0.0</v>
      </c>
      <c r="AJ225" s="1">
        <v>0.0</v>
      </c>
      <c r="AK225" s="1">
        <v>0.0</v>
      </c>
      <c r="AL225" s="1">
        <v>0.0</v>
      </c>
      <c r="AM225" s="4">
        <v>0.0</v>
      </c>
      <c r="AN225" s="1">
        <v>0.0</v>
      </c>
      <c r="AO225" s="4">
        <v>0.0</v>
      </c>
      <c r="AP225" s="1">
        <f t="shared" si="1"/>
        <v>0</v>
      </c>
      <c r="AQ225" s="1" t="s">
        <v>853</v>
      </c>
      <c r="AR225" s="1" t="s">
        <v>578</v>
      </c>
      <c r="AT225" s="1" t="s">
        <v>891</v>
      </c>
      <c r="AU225" s="2">
        <v>46001.0</v>
      </c>
      <c r="AV225" s="2">
        <v>46024.0347222222</v>
      </c>
      <c r="AW225" s="1">
        <v>0.0</v>
      </c>
      <c r="AX225" s="1">
        <v>584252.16</v>
      </c>
      <c r="AY225" s="1">
        <v>3.0</v>
      </c>
      <c r="AZ225" s="1">
        <v>1.0</v>
      </c>
      <c r="BA225" s="1">
        <v>0.0</v>
      </c>
      <c r="BB225" s="1">
        <v>0.0</v>
      </c>
      <c r="BC225" s="2">
        <v>46001.0</v>
      </c>
      <c r="BD225" s="1">
        <v>49.0</v>
      </c>
      <c r="BE225" s="1" t="s">
        <v>550</v>
      </c>
      <c r="BF225" s="1">
        <v>2025.0</v>
      </c>
      <c r="BG225" s="1" t="s">
        <v>835</v>
      </c>
      <c r="BH225" s="7" t="str">
        <f>VLOOKUP(B225,CookieClicks!D:O,12,FALSE)</f>
        <v>https://signup.method.me/QBOAppstoreSignup?offering=methodcrm</v>
      </c>
      <c r="BI225" s="8" t="str">
        <f>IFERROR(__xludf.DUMMYFUNCTION("VLOOKUP(REGEXREPLACE(BH225,""[?].*"",""""),ContentBuckets!A:C,2,FALSE)"),"#N/A")</f>
        <v>#N/A</v>
      </c>
      <c r="BJ225" s="8" t="str">
        <f>IFERROR(__xludf.DUMMYFUNCTION("VLOOKUP(REGEXREPLACE(BH225,""[?].*"",""""),ContentBuckets!A:C,3,FALSE)"),"#N/A")</f>
        <v>#N/A</v>
      </c>
    </row>
    <row r="226" ht="14.25" customHeight="1">
      <c r="A226" s="1">
        <v>153399.0</v>
      </c>
      <c r="B226" s="1" t="s">
        <v>892</v>
      </c>
      <c r="C226" s="2">
        <v>46001.4222222222</v>
      </c>
      <c r="D226" s="2"/>
      <c r="E226" s="2"/>
      <c r="F226" s="1" t="b">
        <v>1</v>
      </c>
      <c r="G226" s="4" t="b">
        <v>0</v>
      </c>
      <c r="H226" s="1" t="b">
        <v>0</v>
      </c>
      <c r="I226" s="1" t="b">
        <v>0</v>
      </c>
      <c r="J226" s="1" t="s">
        <v>534</v>
      </c>
      <c r="K226" s="1" t="s">
        <v>535</v>
      </c>
      <c r="L226" s="1" t="s">
        <v>536</v>
      </c>
      <c r="M226" s="1" t="s">
        <v>537</v>
      </c>
      <c r="N226" s="1">
        <v>0.0</v>
      </c>
      <c r="O226" s="1">
        <v>44.25</v>
      </c>
      <c r="P226" s="1">
        <v>0.0</v>
      </c>
      <c r="Q226" s="1">
        <v>0.0</v>
      </c>
      <c r="R226" s="1">
        <v>28.0</v>
      </c>
      <c r="S226" s="1" t="s">
        <v>538</v>
      </c>
      <c r="T226" s="1" t="s">
        <v>539</v>
      </c>
      <c r="V226" s="4">
        <v>7308251.0</v>
      </c>
      <c r="W226" s="4" t="s">
        <v>540</v>
      </c>
      <c r="X226" s="4">
        <v>0.0</v>
      </c>
      <c r="Y226" s="1">
        <v>1.0</v>
      </c>
      <c r="Z226" s="1">
        <v>0.0</v>
      </c>
      <c r="AA226" s="1">
        <v>0.0</v>
      </c>
      <c r="AB226" s="1">
        <v>0.0</v>
      </c>
      <c r="AC226" s="1">
        <v>0.0</v>
      </c>
      <c r="AD226" s="1">
        <v>0.0</v>
      </c>
      <c r="AE226" s="1">
        <v>0.0</v>
      </c>
      <c r="AF226" s="1">
        <v>0.0</v>
      </c>
      <c r="AG226" s="1">
        <v>0.0</v>
      </c>
      <c r="AH226" s="1">
        <v>0.0</v>
      </c>
      <c r="AI226" s="1">
        <v>0.0</v>
      </c>
      <c r="AJ226" s="1">
        <v>0.0</v>
      </c>
      <c r="AK226" s="1">
        <v>0.0</v>
      </c>
      <c r="AL226" s="1">
        <v>0.0</v>
      </c>
      <c r="AM226" s="4">
        <v>0.0</v>
      </c>
      <c r="AN226" s="1">
        <v>0.0</v>
      </c>
      <c r="AO226" s="4">
        <v>0.0</v>
      </c>
      <c r="AP226" s="1">
        <f t="shared" si="1"/>
        <v>0</v>
      </c>
      <c r="AR226" s="1" t="s">
        <v>608</v>
      </c>
      <c r="AU226" s="2"/>
      <c r="AV226" s="2">
        <v>46024.0118055556</v>
      </c>
      <c r="AW226" s="1">
        <v>0.0</v>
      </c>
      <c r="AX226" s="1">
        <v>0.0</v>
      </c>
      <c r="AY226" s="1">
        <v>0.0</v>
      </c>
      <c r="AZ226" s="1">
        <v>1.0</v>
      </c>
      <c r="BA226" s="1">
        <v>0.0</v>
      </c>
      <c r="BB226" s="1">
        <v>0.0</v>
      </c>
      <c r="BC226" s="2">
        <v>46001.0</v>
      </c>
      <c r="BD226" s="1">
        <v>49.0</v>
      </c>
      <c r="BE226" s="1" t="s">
        <v>550</v>
      </c>
      <c r="BF226" s="1">
        <v>2025.0</v>
      </c>
      <c r="BG226" s="1" t="s">
        <v>786</v>
      </c>
      <c r="BH226" s="7" t="str">
        <f>VLOOKUP(B226,CookieClicks!D:O,12,FALSE)</f>
        <v>https://www.method.me/</v>
      </c>
      <c r="BI226" s="8" t="str">
        <f>IFERROR(__xludf.DUMMYFUNCTION("VLOOKUP(REGEXREPLACE(BH226,""[?].*"",""""),ContentBuckets!A:C,2,FALSE)"),"Homepage")</f>
        <v>Homepage</v>
      </c>
      <c r="BJ226" s="8" t="str">
        <f>IFERROR(__xludf.DUMMYFUNCTION("VLOOKUP(REGEXREPLACE(BH226,""[?].*"",""""),ContentBuckets!A:C,3,FALSE)"),"Other page")</f>
        <v>Other page</v>
      </c>
    </row>
    <row r="227" ht="14.25" customHeight="1">
      <c r="A227" s="1">
        <v>153401.0</v>
      </c>
      <c r="B227" s="1" t="s">
        <v>893</v>
      </c>
      <c r="C227" s="2">
        <v>46001.4847222222</v>
      </c>
      <c r="D227" s="2"/>
      <c r="E227" s="2"/>
      <c r="F227" s="1" t="b">
        <v>1</v>
      </c>
      <c r="G227" s="4" t="b">
        <v>0</v>
      </c>
      <c r="H227" s="1" t="b">
        <v>0</v>
      </c>
      <c r="I227" s="1" t="b">
        <v>0</v>
      </c>
      <c r="J227" s="1" t="s">
        <v>534</v>
      </c>
      <c r="K227" s="1" t="s">
        <v>535</v>
      </c>
      <c r="L227" s="1" t="s">
        <v>536</v>
      </c>
      <c r="M227" s="1" t="s">
        <v>537</v>
      </c>
      <c r="N227" s="1">
        <v>0.0</v>
      </c>
      <c r="O227" s="1">
        <v>72.75</v>
      </c>
      <c r="P227" s="1">
        <v>0.0</v>
      </c>
      <c r="Q227" s="1">
        <v>0.0</v>
      </c>
      <c r="R227" s="1">
        <v>0.0</v>
      </c>
      <c r="S227" s="1" t="s">
        <v>538</v>
      </c>
      <c r="T227" s="1" t="s">
        <v>539</v>
      </c>
      <c r="V227" s="4">
        <v>7309404.0</v>
      </c>
      <c r="W227" s="4" t="s">
        <v>653</v>
      </c>
      <c r="X227" s="4">
        <v>0.0</v>
      </c>
      <c r="Y227" s="1">
        <v>1.0</v>
      </c>
      <c r="Z227" s="1">
        <v>0.0</v>
      </c>
      <c r="AA227" s="1">
        <v>0.0</v>
      </c>
      <c r="AB227" s="1">
        <v>0.0</v>
      </c>
      <c r="AC227" s="1">
        <v>0.0</v>
      </c>
      <c r="AD227" s="1">
        <v>0.0</v>
      </c>
      <c r="AE227" s="1">
        <v>0.0</v>
      </c>
      <c r="AF227" s="1">
        <v>0.0</v>
      </c>
      <c r="AG227" s="1">
        <v>0.0</v>
      </c>
      <c r="AH227" s="1">
        <v>0.0</v>
      </c>
      <c r="AI227" s="1">
        <v>0.0</v>
      </c>
      <c r="AJ227" s="1">
        <v>0.0</v>
      </c>
      <c r="AK227" s="1">
        <v>0.0</v>
      </c>
      <c r="AL227" s="1">
        <v>0.0</v>
      </c>
      <c r="AM227" s="4">
        <v>0.0</v>
      </c>
      <c r="AN227" s="1">
        <v>0.0</v>
      </c>
      <c r="AO227" s="4">
        <v>0.0</v>
      </c>
      <c r="AP227" s="1">
        <f t="shared" si="1"/>
        <v>0</v>
      </c>
      <c r="AQ227" s="1" t="s">
        <v>557</v>
      </c>
      <c r="AT227" s="1" t="s">
        <v>894</v>
      </c>
      <c r="AU227" s="2">
        <v>46001.0</v>
      </c>
      <c r="AV227" s="2">
        <v>46024.0361111111</v>
      </c>
      <c r="AW227" s="1">
        <v>1.0</v>
      </c>
      <c r="AX227" s="1">
        <v>60.0</v>
      </c>
      <c r="AY227" s="1">
        <v>8.0</v>
      </c>
      <c r="AZ227" s="1">
        <v>1.0</v>
      </c>
      <c r="BA227" s="1">
        <v>0.0</v>
      </c>
      <c r="BB227" s="1">
        <v>0.0</v>
      </c>
      <c r="BC227" s="2">
        <v>46001.0</v>
      </c>
      <c r="BD227" s="1">
        <v>49.0</v>
      </c>
      <c r="BE227" s="1" t="s">
        <v>550</v>
      </c>
      <c r="BF227" s="1">
        <v>2025.0</v>
      </c>
      <c r="BG227" s="1" t="s">
        <v>558</v>
      </c>
      <c r="BH227" s="7" t="str">
        <f>VLOOKUP(B227,CookieClicks!D:O,12,FALSE)</f>
        <v>https://www.method.me/</v>
      </c>
      <c r="BI227" s="8" t="str">
        <f>IFERROR(__xludf.DUMMYFUNCTION("VLOOKUP(REGEXREPLACE(BH227,""[?].*"",""""),ContentBuckets!A:C,2,FALSE)"),"Homepage")</f>
        <v>Homepage</v>
      </c>
      <c r="BJ227" s="8" t="str">
        <f>IFERROR(__xludf.DUMMYFUNCTION("VLOOKUP(REGEXREPLACE(BH227,""[?].*"",""""),ContentBuckets!A:C,3,FALSE)"),"Other page")</f>
        <v>Other page</v>
      </c>
    </row>
    <row r="228" ht="14.25" customHeight="1">
      <c r="A228" s="1">
        <v>153402.0</v>
      </c>
      <c r="B228" s="1" t="s">
        <v>895</v>
      </c>
      <c r="C228" s="2">
        <v>46001.4923611111</v>
      </c>
      <c r="D228" s="2"/>
      <c r="E228" s="2"/>
      <c r="F228" s="1" t="b">
        <v>1</v>
      </c>
      <c r="G228" s="4" t="b">
        <v>0</v>
      </c>
      <c r="H228" s="1" t="b">
        <v>0</v>
      </c>
      <c r="I228" s="1" t="b">
        <v>0</v>
      </c>
      <c r="J228" s="1" t="s">
        <v>534</v>
      </c>
      <c r="K228" s="1" t="s">
        <v>535</v>
      </c>
      <c r="L228" s="1" t="s">
        <v>536</v>
      </c>
      <c r="M228" s="1" t="s">
        <v>537</v>
      </c>
      <c r="N228" s="1">
        <v>0.0</v>
      </c>
      <c r="O228" s="1">
        <v>44.25</v>
      </c>
      <c r="P228" s="1">
        <v>0.0</v>
      </c>
      <c r="Q228" s="1">
        <v>0.0</v>
      </c>
      <c r="R228" s="1">
        <v>28.0</v>
      </c>
      <c r="S228" s="1" t="s">
        <v>538</v>
      </c>
      <c r="T228" s="1" t="s">
        <v>539</v>
      </c>
      <c r="V228" s="4">
        <v>7309590.0</v>
      </c>
      <c r="W228" s="4"/>
      <c r="X228" s="4">
        <v>0.0</v>
      </c>
      <c r="Y228" s="1">
        <v>0.0</v>
      </c>
      <c r="Z228" s="1">
        <v>1.0</v>
      </c>
      <c r="AA228" s="1">
        <v>0.0</v>
      </c>
      <c r="AB228" s="1">
        <v>0.0</v>
      </c>
      <c r="AC228" s="1">
        <v>0.0</v>
      </c>
      <c r="AD228" s="1">
        <v>0.0</v>
      </c>
      <c r="AE228" s="1">
        <v>0.0</v>
      </c>
      <c r="AF228" s="1">
        <v>0.0</v>
      </c>
      <c r="AG228" s="1">
        <v>0.0</v>
      </c>
      <c r="AH228" s="1">
        <v>0.0</v>
      </c>
      <c r="AI228" s="1">
        <v>0.0</v>
      </c>
      <c r="AJ228" s="1">
        <v>0.0</v>
      </c>
      <c r="AK228" s="1">
        <v>0.0</v>
      </c>
      <c r="AL228" s="1">
        <v>0.0</v>
      </c>
      <c r="AM228" s="4">
        <v>0.0</v>
      </c>
      <c r="AN228" s="1">
        <v>0.0</v>
      </c>
      <c r="AO228" s="4">
        <v>0.0</v>
      </c>
      <c r="AP228" s="1">
        <f t="shared" si="1"/>
        <v>0</v>
      </c>
      <c r="AQ228" s="1" t="s">
        <v>557</v>
      </c>
      <c r="AR228" s="1" t="s">
        <v>608</v>
      </c>
      <c r="AU228" s="2">
        <v>46001.0</v>
      </c>
      <c r="AV228" s="2">
        <v>46024.0125</v>
      </c>
      <c r="AW228" s="1">
        <v>1.0</v>
      </c>
      <c r="AX228" s="1">
        <v>174420.0</v>
      </c>
      <c r="AY228" s="1">
        <v>16.0</v>
      </c>
      <c r="AZ228" s="1">
        <v>1.0</v>
      </c>
      <c r="BA228" s="1">
        <v>0.0</v>
      </c>
      <c r="BB228" s="1">
        <v>0.0</v>
      </c>
      <c r="BC228" s="2">
        <v>46001.0</v>
      </c>
      <c r="BD228" s="1">
        <v>49.0</v>
      </c>
      <c r="BE228" s="1" t="s">
        <v>550</v>
      </c>
      <c r="BF228" s="1">
        <v>2025.0</v>
      </c>
      <c r="BG228" s="1" t="s">
        <v>624</v>
      </c>
      <c r="BH228" s="7" t="str">
        <f>VLOOKUP(B228,CookieClicks!D:O,12,FALSE)</f>
        <v>https://signup.method.me/QBOAppstoreSignup?offering=methodcrm</v>
      </c>
      <c r="BI228" s="8" t="str">
        <f>IFERROR(__xludf.DUMMYFUNCTION("VLOOKUP(REGEXREPLACE(BH228,""[?].*"",""""),ContentBuckets!A:C,2,FALSE)"),"#N/A")</f>
        <v>#N/A</v>
      </c>
      <c r="BJ228" s="8" t="str">
        <f>IFERROR(__xludf.DUMMYFUNCTION("VLOOKUP(REGEXREPLACE(BH228,""[?].*"",""""),ContentBuckets!A:C,3,FALSE)"),"#N/A")</f>
        <v>#N/A</v>
      </c>
    </row>
    <row r="229" ht="14.25" customHeight="1">
      <c r="A229" s="1">
        <v>153403.0</v>
      </c>
      <c r="B229" s="1" t="s">
        <v>896</v>
      </c>
      <c r="C229" s="2">
        <v>46001.4965277778</v>
      </c>
      <c r="D229" s="2"/>
      <c r="E229" s="2"/>
      <c r="F229" s="1" t="b">
        <v>1</v>
      </c>
      <c r="G229" s="4" t="b">
        <v>0</v>
      </c>
      <c r="H229" s="1" t="b">
        <v>0</v>
      </c>
      <c r="I229" s="1" t="b">
        <v>0</v>
      </c>
      <c r="J229" s="1" t="s">
        <v>534</v>
      </c>
      <c r="K229" s="1" t="s">
        <v>535</v>
      </c>
      <c r="L229" s="1" t="s">
        <v>536</v>
      </c>
      <c r="M229" s="1" t="s">
        <v>537</v>
      </c>
      <c r="N229" s="1">
        <v>0.0</v>
      </c>
      <c r="O229" s="1">
        <v>53.25</v>
      </c>
      <c r="P229" s="1">
        <v>0.0</v>
      </c>
      <c r="Q229" s="1">
        <v>0.0</v>
      </c>
      <c r="R229" s="1">
        <v>28.0</v>
      </c>
      <c r="S229" s="1" t="s">
        <v>538</v>
      </c>
      <c r="T229" s="1" t="s">
        <v>539</v>
      </c>
      <c r="V229" s="4">
        <v>7309669.0</v>
      </c>
      <c r="W229" s="4" t="s">
        <v>540</v>
      </c>
      <c r="X229" s="4">
        <v>0.0</v>
      </c>
      <c r="Y229" s="1">
        <v>1.0</v>
      </c>
      <c r="Z229" s="1">
        <v>0.0</v>
      </c>
      <c r="AA229" s="1">
        <v>0.0</v>
      </c>
      <c r="AB229" s="1">
        <v>0.0</v>
      </c>
      <c r="AC229" s="1">
        <v>0.0</v>
      </c>
      <c r="AD229" s="1">
        <v>0.0</v>
      </c>
      <c r="AE229" s="1">
        <v>0.0</v>
      </c>
      <c r="AF229" s="1">
        <v>0.0</v>
      </c>
      <c r="AG229" s="1">
        <v>0.0</v>
      </c>
      <c r="AH229" s="1">
        <v>0.0</v>
      </c>
      <c r="AI229" s="1">
        <v>0.0</v>
      </c>
      <c r="AJ229" s="1">
        <v>0.0</v>
      </c>
      <c r="AK229" s="1">
        <v>0.0</v>
      </c>
      <c r="AL229" s="1">
        <v>0.0</v>
      </c>
      <c r="AM229" s="4">
        <v>0.0</v>
      </c>
      <c r="AN229" s="1">
        <v>0.0</v>
      </c>
      <c r="AO229" s="4">
        <v>0.0</v>
      </c>
      <c r="AP229" s="1">
        <f t="shared" si="1"/>
        <v>0</v>
      </c>
      <c r="AQ229" s="1" t="s">
        <v>604</v>
      </c>
      <c r="AR229" s="1" t="s">
        <v>564</v>
      </c>
      <c r="AU229" s="2">
        <v>46001.0</v>
      </c>
      <c r="AV229" s="2">
        <v>46024.0423611111</v>
      </c>
      <c r="AW229" s="1">
        <v>31.0</v>
      </c>
      <c r="AX229" s="1">
        <v>435450.72</v>
      </c>
      <c r="AY229" s="1">
        <v>77.0</v>
      </c>
      <c r="AZ229" s="1">
        <v>1.0</v>
      </c>
      <c r="BA229" s="1">
        <v>0.0</v>
      </c>
      <c r="BB229" s="1">
        <v>0.0</v>
      </c>
      <c r="BC229" s="2">
        <v>46001.0</v>
      </c>
      <c r="BD229" s="1">
        <v>49.0</v>
      </c>
      <c r="BE229" s="1" t="s">
        <v>550</v>
      </c>
      <c r="BF229" s="1">
        <v>2025.0</v>
      </c>
      <c r="BG229" s="1" t="s">
        <v>605</v>
      </c>
      <c r="BH229" s="7" t="str">
        <f>VLOOKUP(B229,CookieClicks!D:O,12,FALSE)</f>
        <v>https://www.method.me/</v>
      </c>
      <c r="BI229" s="8" t="str">
        <f>IFERROR(__xludf.DUMMYFUNCTION("VLOOKUP(REGEXREPLACE(BH229,""[?].*"",""""),ContentBuckets!A:C,2,FALSE)"),"Homepage")</f>
        <v>Homepage</v>
      </c>
      <c r="BJ229" s="8" t="str">
        <f>IFERROR(__xludf.DUMMYFUNCTION("VLOOKUP(REGEXREPLACE(BH229,""[?].*"",""""),ContentBuckets!A:C,3,FALSE)"),"Other page")</f>
        <v>Other page</v>
      </c>
    </row>
    <row r="230" ht="14.25" customHeight="1">
      <c r="A230" s="1">
        <v>153404.0</v>
      </c>
      <c r="B230" s="1" t="s">
        <v>897</v>
      </c>
      <c r="C230" s="2">
        <v>46001.5138888889</v>
      </c>
      <c r="D230" s="2">
        <v>46015.8111111111</v>
      </c>
      <c r="E230" s="2"/>
      <c r="F230" s="1" t="b">
        <v>0</v>
      </c>
      <c r="G230" s="4" t="b">
        <v>0</v>
      </c>
      <c r="H230" s="1" t="b">
        <v>0</v>
      </c>
      <c r="I230" s="1" t="b">
        <v>0</v>
      </c>
      <c r="J230" s="1" t="s">
        <v>534</v>
      </c>
      <c r="K230" s="1" t="s">
        <v>535</v>
      </c>
      <c r="L230" s="1" t="s">
        <v>536</v>
      </c>
      <c r="M230" s="1" t="s">
        <v>537</v>
      </c>
      <c r="N230" s="1">
        <v>0.0</v>
      </c>
      <c r="O230" s="1">
        <v>44.25</v>
      </c>
      <c r="P230" s="1">
        <v>0.0</v>
      </c>
      <c r="Q230" s="1">
        <v>0.0</v>
      </c>
      <c r="R230" s="1">
        <v>28.0</v>
      </c>
      <c r="S230" s="1" t="s">
        <v>538</v>
      </c>
      <c r="T230" s="1" t="s">
        <v>539</v>
      </c>
      <c r="V230" s="4">
        <v>7310009.0</v>
      </c>
      <c r="W230" s="4"/>
      <c r="X230" s="4">
        <v>0.0</v>
      </c>
      <c r="Y230" s="1">
        <v>0.0</v>
      </c>
      <c r="Z230" s="1">
        <v>0.0</v>
      </c>
      <c r="AA230" s="1">
        <v>0.0</v>
      </c>
      <c r="AB230" s="1">
        <v>0.0</v>
      </c>
      <c r="AC230" s="1">
        <v>0.0</v>
      </c>
      <c r="AD230" s="1">
        <v>0.0</v>
      </c>
      <c r="AE230" s="1">
        <v>0.0</v>
      </c>
      <c r="AF230" s="1">
        <v>0.0</v>
      </c>
      <c r="AG230" s="1">
        <v>0.0</v>
      </c>
      <c r="AH230" s="1">
        <v>0.0</v>
      </c>
      <c r="AI230" s="1">
        <v>0.0</v>
      </c>
      <c r="AJ230" s="1">
        <v>0.0</v>
      </c>
      <c r="AK230" s="1">
        <v>0.0</v>
      </c>
      <c r="AL230" s="1">
        <v>0.0</v>
      </c>
      <c r="AM230" s="4">
        <v>0.0</v>
      </c>
      <c r="AN230" s="1">
        <v>0.0</v>
      </c>
      <c r="AO230" s="4">
        <v>0.0</v>
      </c>
      <c r="AP230" s="1">
        <f t="shared" si="1"/>
        <v>1</v>
      </c>
      <c r="AQ230" s="1" t="s">
        <v>557</v>
      </c>
      <c r="AR230" s="1" t="s">
        <v>560</v>
      </c>
      <c r="AU230" s="2">
        <v>46001.0</v>
      </c>
      <c r="AV230" s="2">
        <v>46015.0479166667</v>
      </c>
      <c r="AW230" s="1">
        <v>5.0</v>
      </c>
      <c r="AX230" s="1">
        <v>203891.76</v>
      </c>
      <c r="AY230" s="1">
        <v>581.0</v>
      </c>
      <c r="AZ230" s="1">
        <v>1.0</v>
      </c>
      <c r="BA230" s="1">
        <v>0.0</v>
      </c>
      <c r="BB230" s="1">
        <v>0.0</v>
      </c>
      <c r="BC230" s="2">
        <v>46001.0</v>
      </c>
      <c r="BD230" s="1">
        <v>49.0</v>
      </c>
      <c r="BE230" s="1" t="s">
        <v>550</v>
      </c>
      <c r="BF230" s="1">
        <v>2025.0</v>
      </c>
      <c r="BG230" s="1" t="s">
        <v>558</v>
      </c>
      <c r="BH230" s="7" t="str">
        <f>VLOOKUP(B230,CookieClicks!D:O,12,FALSE)</f>
        <v>https://signin.method.me/?_gl=1*j5dgwj*_gcl_au*MTM4MzM4MzA2OC4xNzY1Mzg3MTQ2*_ga*MTkxNTQ4OTMzMy4xNzY1Mzg3MTQ2*_ga_L2HEZNW53E*czE3NjUzODcxNDYkbzEkZzAkdDE3NjUzODcxNDYkajYwJGwwJGgzMTQ4MzI4ODk.&amp;_ga=2.227213659.734989618.1765387146-1915489333.1765387146</v>
      </c>
      <c r="BI230" s="8" t="str">
        <f>IFERROR(__xludf.DUMMYFUNCTION("VLOOKUP(REGEXREPLACE(BH230,""[?].*"",""""),ContentBuckets!A:C,2,FALSE)"),"#N/A")</f>
        <v>#N/A</v>
      </c>
      <c r="BJ230" s="8" t="str">
        <f>IFERROR(__xludf.DUMMYFUNCTION("VLOOKUP(REGEXREPLACE(BH230,""[?].*"",""""),ContentBuckets!A:C,3,FALSE)"),"#N/A")</f>
        <v>#N/A</v>
      </c>
    </row>
    <row r="231" ht="14.25" customHeight="1">
      <c r="A231" s="1">
        <v>153405.0</v>
      </c>
      <c r="B231" s="1" t="s">
        <v>898</v>
      </c>
      <c r="C231" s="2">
        <v>46001.5145833333</v>
      </c>
      <c r="D231" s="2"/>
      <c r="E231" s="2"/>
      <c r="F231" s="1" t="b">
        <v>1</v>
      </c>
      <c r="G231" s="4" t="b">
        <v>0</v>
      </c>
      <c r="H231" s="1" t="b">
        <v>0</v>
      </c>
      <c r="I231" s="1" t="b">
        <v>0</v>
      </c>
      <c r="J231" s="1" t="s">
        <v>534</v>
      </c>
      <c r="K231" s="1" t="s">
        <v>535</v>
      </c>
      <c r="L231" s="1" t="s">
        <v>536</v>
      </c>
      <c r="M231" s="1" t="s">
        <v>537</v>
      </c>
      <c r="N231" s="1">
        <v>0.0</v>
      </c>
      <c r="O231" s="1">
        <v>44.25</v>
      </c>
      <c r="P231" s="1">
        <v>0.0</v>
      </c>
      <c r="Q231" s="1">
        <v>0.0</v>
      </c>
      <c r="R231" s="1">
        <v>0.0</v>
      </c>
      <c r="S231" s="1" t="s">
        <v>538</v>
      </c>
      <c r="T231" s="1" t="s">
        <v>539</v>
      </c>
      <c r="V231" s="4">
        <v>7310029.0</v>
      </c>
      <c r="W231" s="4" t="s">
        <v>540</v>
      </c>
      <c r="X231" s="4">
        <v>0.0</v>
      </c>
      <c r="Y231" s="1">
        <v>1.0</v>
      </c>
      <c r="Z231" s="1">
        <v>0.0</v>
      </c>
      <c r="AA231" s="1">
        <v>0.0</v>
      </c>
      <c r="AB231" s="1">
        <v>0.0</v>
      </c>
      <c r="AC231" s="1">
        <v>0.0</v>
      </c>
      <c r="AD231" s="1">
        <v>0.0</v>
      </c>
      <c r="AE231" s="1">
        <v>0.0</v>
      </c>
      <c r="AF231" s="1">
        <v>0.0</v>
      </c>
      <c r="AG231" s="1">
        <v>0.0</v>
      </c>
      <c r="AH231" s="1">
        <v>0.0</v>
      </c>
      <c r="AI231" s="1">
        <v>0.0</v>
      </c>
      <c r="AJ231" s="1">
        <v>0.0</v>
      </c>
      <c r="AK231" s="1">
        <v>0.0</v>
      </c>
      <c r="AL231" s="1">
        <v>0.0</v>
      </c>
      <c r="AM231" s="4">
        <v>0.0</v>
      </c>
      <c r="AN231" s="1">
        <v>0.0</v>
      </c>
      <c r="AO231" s="4">
        <v>0.0</v>
      </c>
      <c r="AP231" s="1">
        <f t="shared" si="1"/>
        <v>0</v>
      </c>
      <c r="AQ231" s="1" t="s">
        <v>899</v>
      </c>
      <c r="AT231" s="1" t="s">
        <v>900</v>
      </c>
      <c r="AU231" s="2">
        <v>46001.0</v>
      </c>
      <c r="AV231" s="2">
        <v>46024.0416666667</v>
      </c>
      <c r="AW231" s="1">
        <v>1.0</v>
      </c>
      <c r="AX231" s="1">
        <v>1.262284605036E10</v>
      </c>
      <c r="AY231" s="1">
        <v>132.0</v>
      </c>
      <c r="AZ231" s="1">
        <v>1.0</v>
      </c>
      <c r="BA231" s="1">
        <v>0.0</v>
      </c>
      <c r="BB231" s="1">
        <v>0.0</v>
      </c>
      <c r="BC231" s="2">
        <v>46001.0</v>
      </c>
      <c r="BD231" s="1">
        <v>49.0</v>
      </c>
      <c r="BE231" s="1" t="s">
        <v>550</v>
      </c>
      <c r="BF231" s="1">
        <v>2025.0</v>
      </c>
      <c r="BG231" s="1" t="s">
        <v>901</v>
      </c>
      <c r="BH231" s="7" t="str">
        <f>VLOOKUP(B231,CookieClicks!D:O,12,FALSE)</f>
        <v>https://www.method.me/</v>
      </c>
      <c r="BI231" s="8" t="str">
        <f>IFERROR(__xludf.DUMMYFUNCTION("VLOOKUP(REGEXREPLACE(BH231,""[?].*"",""""),ContentBuckets!A:C,2,FALSE)"),"Homepage")</f>
        <v>Homepage</v>
      </c>
      <c r="BJ231" s="8" t="str">
        <f>IFERROR(__xludf.DUMMYFUNCTION("VLOOKUP(REGEXREPLACE(BH231,""[?].*"",""""),ContentBuckets!A:C,3,FALSE)"),"Other page")</f>
        <v>Other page</v>
      </c>
    </row>
    <row r="232" ht="14.25" customHeight="1">
      <c r="A232" s="1">
        <v>153406.0</v>
      </c>
      <c r="B232" s="1" t="s">
        <v>902</v>
      </c>
      <c r="C232" s="2">
        <v>46001.5479166667</v>
      </c>
      <c r="D232" s="2"/>
      <c r="E232" s="2"/>
      <c r="F232" s="1" t="b">
        <v>1</v>
      </c>
      <c r="G232" s="4" t="b">
        <v>0</v>
      </c>
      <c r="H232" s="1" t="b">
        <v>0</v>
      </c>
      <c r="I232" s="1" t="b">
        <v>0</v>
      </c>
      <c r="J232" s="1" t="s">
        <v>534</v>
      </c>
      <c r="K232" s="1" t="s">
        <v>535</v>
      </c>
      <c r="L232" s="1" t="s">
        <v>536</v>
      </c>
      <c r="M232" s="1" t="s">
        <v>537</v>
      </c>
      <c r="N232" s="1">
        <v>0.0</v>
      </c>
      <c r="O232" s="1">
        <v>62.25</v>
      </c>
      <c r="P232" s="1">
        <v>0.0</v>
      </c>
      <c r="Q232" s="1">
        <v>0.0</v>
      </c>
      <c r="R232" s="1">
        <v>28.0</v>
      </c>
      <c r="S232" s="1" t="s">
        <v>538</v>
      </c>
      <c r="T232" s="1" t="s">
        <v>539</v>
      </c>
      <c r="V232" s="4">
        <v>7309087.0</v>
      </c>
      <c r="W232" s="4" t="s">
        <v>540</v>
      </c>
      <c r="X232" s="4">
        <v>0.0</v>
      </c>
      <c r="Y232" s="1">
        <v>1.0</v>
      </c>
      <c r="Z232" s="1">
        <v>0.0</v>
      </c>
      <c r="AA232" s="1">
        <v>0.0</v>
      </c>
      <c r="AB232" s="1">
        <v>0.0</v>
      </c>
      <c r="AC232" s="1">
        <v>0.0</v>
      </c>
      <c r="AD232" s="1">
        <v>0.0</v>
      </c>
      <c r="AE232" s="1">
        <v>0.0</v>
      </c>
      <c r="AF232" s="1">
        <v>0.0</v>
      </c>
      <c r="AG232" s="1">
        <v>0.0</v>
      </c>
      <c r="AH232" s="1">
        <v>0.0</v>
      </c>
      <c r="AI232" s="1">
        <v>0.0</v>
      </c>
      <c r="AJ232" s="1">
        <v>0.0</v>
      </c>
      <c r="AK232" s="1">
        <v>0.0</v>
      </c>
      <c r="AL232" s="1">
        <v>0.0</v>
      </c>
      <c r="AM232" s="4">
        <v>0.0</v>
      </c>
      <c r="AN232" s="1">
        <v>0.0</v>
      </c>
      <c r="AO232" s="4">
        <v>0.0</v>
      </c>
      <c r="AP232" s="1">
        <f t="shared" si="1"/>
        <v>0</v>
      </c>
      <c r="AR232" s="1" t="s">
        <v>549</v>
      </c>
      <c r="AU232" s="2"/>
      <c r="AV232" s="2">
        <v>46024.0430555556</v>
      </c>
      <c r="AW232" s="1">
        <v>0.0</v>
      </c>
      <c r="AX232" s="1">
        <v>0.0</v>
      </c>
      <c r="AY232" s="1">
        <v>0.0</v>
      </c>
      <c r="AZ232" s="1">
        <v>1.0</v>
      </c>
      <c r="BA232" s="1">
        <v>0.0</v>
      </c>
      <c r="BB232" s="1">
        <v>0.0</v>
      </c>
      <c r="BC232" s="2">
        <v>46001.0</v>
      </c>
      <c r="BD232" s="1">
        <v>49.0</v>
      </c>
      <c r="BE232" s="1" t="s">
        <v>550</v>
      </c>
      <c r="BF232" s="1">
        <v>2025.0</v>
      </c>
      <c r="BG232" s="1" t="s">
        <v>558</v>
      </c>
      <c r="BH232" s="7" t="str">
        <f>VLOOKUP(B232,CookieClicks!D:O,12,FALSE)</f>
        <v>https://www.method.me/</v>
      </c>
      <c r="BI232" s="8" t="str">
        <f>IFERROR(__xludf.DUMMYFUNCTION("VLOOKUP(REGEXREPLACE(BH232,""[?].*"",""""),ContentBuckets!A:C,2,FALSE)"),"Homepage")</f>
        <v>Homepage</v>
      </c>
      <c r="BJ232" s="8" t="str">
        <f>IFERROR(__xludf.DUMMYFUNCTION("VLOOKUP(REGEXREPLACE(BH232,""[?].*"",""""),ContentBuckets!A:C,3,FALSE)"),"Other page")</f>
        <v>Other page</v>
      </c>
    </row>
    <row r="233" ht="14.25" customHeight="1">
      <c r="A233" s="1">
        <v>153407.0</v>
      </c>
      <c r="B233" s="1" t="s">
        <v>903</v>
      </c>
      <c r="C233" s="2">
        <v>46001.5576388889</v>
      </c>
      <c r="D233" s="2"/>
      <c r="E233" s="2"/>
      <c r="F233" s="1" t="b">
        <v>1</v>
      </c>
      <c r="G233" s="4" t="b">
        <v>0</v>
      </c>
      <c r="H233" s="1" t="b">
        <v>0</v>
      </c>
      <c r="I233" s="1" t="b">
        <v>0</v>
      </c>
      <c r="J233" s="1" t="s">
        <v>534</v>
      </c>
      <c r="K233" s="1" t="s">
        <v>535</v>
      </c>
      <c r="L233" s="1" t="s">
        <v>536</v>
      </c>
      <c r="M233" s="1" t="s">
        <v>537</v>
      </c>
      <c r="N233" s="1">
        <v>0.0</v>
      </c>
      <c r="O233" s="1">
        <v>54.75</v>
      </c>
      <c r="P233" s="1">
        <v>0.0</v>
      </c>
      <c r="Q233" s="1">
        <v>0.0</v>
      </c>
      <c r="R233" s="1">
        <v>28.0</v>
      </c>
      <c r="S233" s="1" t="s">
        <v>538</v>
      </c>
      <c r="T233" s="1" t="s">
        <v>539</v>
      </c>
      <c r="V233" s="4">
        <v>6777186.0</v>
      </c>
      <c r="W233" s="4" t="s">
        <v>540</v>
      </c>
      <c r="X233" s="4">
        <v>0.0</v>
      </c>
      <c r="Y233" s="1">
        <v>0.4</v>
      </c>
      <c r="Z233" s="1">
        <v>0.0</v>
      </c>
      <c r="AA233" s="1">
        <v>0.0</v>
      </c>
      <c r="AB233" s="1">
        <v>0.0</v>
      </c>
      <c r="AC233" s="1">
        <v>0.5998</v>
      </c>
      <c r="AD233" s="1">
        <v>0.0</v>
      </c>
      <c r="AE233" s="1">
        <v>0.0</v>
      </c>
      <c r="AF233" s="1">
        <v>0.0</v>
      </c>
      <c r="AG233" s="1">
        <v>0.0</v>
      </c>
      <c r="AH233" s="1">
        <v>0.0</v>
      </c>
      <c r="AI233" s="1">
        <v>0.0</v>
      </c>
      <c r="AJ233" s="1">
        <v>0.0</v>
      </c>
      <c r="AK233" s="1">
        <v>0.0</v>
      </c>
      <c r="AL233" s="1">
        <v>0.0</v>
      </c>
      <c r="AM233" s="4">
        <v>0.0</v>
      </c>
      <c r="AN233" s="1">
        <v>0.0</v>
      </c>
      <c r="AO233" s="4">
        <v>0.0</v>
      </c>
      <c r="AP233" s="1">
        <f t="shared" si="1"/>
        <v>0.0002</v>
      </c>
      <c r="AR233" s="1" t="s">
        <v>571</v>
      </c>
      <c r="AU233" s="2"/>
      <c r="AV233" s="2">
        <v>46024.0402777778</v>
      </c>
      <c r="AW233" s="1">
        <v>0.0</v>
      </c>
      <c r="AX233" s="1">
        <v>0.0</v>
      </c>
      <c r="AY233" s="1">
        <v>0.0</v>
      </c>
      <c r="AZ233" s="1">
        <v>1.0</v>
      </c>
      <c r="BA233" s="1">
        <v>0.0</v>
      </c>
      <c r="BB233" s="1">
        <v>0.0</v>
      </c>
      <c r="BC233" s="2">
        <v>46001.0</v>
      </c>
      <c r="BD233" s="1">
        <v>49.0</v>
      </c>
      <c r="BE233" s="1" t="s">
        <v>550</v>
      </c>
      <c r="BF233" s="1">
        <v>2025.0</v>
      </c>
      <c r="BG233" s="1" t="s">
        <v>558</v>
      </c>
      <c r="BH233" s="7" t="str">
        <f>VLOOKUP(B233,CookieClicks!D:O,12,FALSE)</f>
        <v>https://www.method.me/</v>
      </c>
      <c r="BI233" s="8" t="str">
        <f>IFERROR(__xludf.DUMMYFUNCTION("VLOOKUP(REGEXREPLACE(BH233,""[?].*"",""""),ContentBuckets!A:C,2,FALSE)"),"Homepage")</f>
        <v>Homepage</v>
      </c>
      <c r="BJ233" s="8" t="str">
        <f>IFERROR(__xludf.DUMMYFUNCTION("VLOOKUP(REGEXREPLACE(BH233,""[?].*"",""""),ContentBuckets!A:C,3,FALSE)"),"Other page")</f>
        <v>Other page</v>
      </c>
    </row>
    <row r="234" ht="14.25" customHeight="1">
      <c r="A234" s="1">
        <v>153408.0</v>
      </c>
      <c r="B234" s="1" t="s">
        <v>904</v>
      </c>
      <c r="C234" s="2">
        <v>46001.575</v>
      </c>
      <c r="D234" s="2"/>
      <c r="E234" s="2"/>
      <c r="F234" s="1" t="b">
        <v>1</v>
      </c>
      <c r="G234" s="4" t="b">
        <v>0</v>
      </c>
      <c r="H234" s="1" t="b">
        <v>0</v>
      </c>
      <c r="I234" s="1" t="b">
        <v>0</v>
      </c>
      <c r="J234" s="1" t="s">
        <v>534</v>
      </c>
      <c r="K234" s="1" t="s">
        <v>905</v>
      </c>
      <c r="L234" s="1" t="s">
        <v>536</v>
      </c>
      <c r="M234" s="1" t="s">
        <v>537</v>
      </c>
      <c r="N234" s="1">
        <v>0.0</v>
      </c>
      <c r="O234" s="1">
        <v>72.75</v>
      </c>
      <c r="P234" s="1">
        <v>0.0</v>
      </c>
      <c r="Q234" s="1">
        <v>0.0</v>
      </c>
      <c r="R234" s="1">
        <v>0.0</v>
      </c>
      <c r="S234" s="1" t="s">
        <v>538</v>
      </c>
      <c r="T234" s="1" t="s">
        <v>539</v>
      </c>
      <c r="V234" s="4">
        <v>7311275.0</v>
      </c>
      <c r="W234" s="4"/>
      <c r="X234" s="4">
        <v>1.0</v>
      </c>
      <c r="Y234" s="1">
        <v>0.0</v>
      </c>
      <c r="Z234" s="1">
        <v>0.0</v>
      </c>
      <c r="AA234" s="1">
        <v>0.0</v>
      </c>
      <c r="AB234" s="1">
        <v>0.0</v>
      </c>
      <c r="AC234" s="1">
        <v>0.0</v>
      </c>
      <c r="AD234" s="1">
        <v>0.0</v>
      </c>
      <c r="AE234" s="1">
        <v>0.0</v>
      </c>
      <c r="AF234" s="1">
        <v>0.0</v>
      </c>
      <c r="AG234" s="1">
        <v>0.0</v>
      </c>
      <c r="AH234" s="1">
        <v>0.0</v>
      </c>
      <c r="AI234" s="1">
        <v>0.0</v>
      </c>
      <c r="AJ234" s="1">
        <v>0.0</v>
      </c>
      <c r="AK234" s="1">
        <v>0.0</v>
      </c>
      <c r="AL234" s="1">
        <v>0.0</v>
      </c>
      <c r="AM234" s="4">
        <v>0.0</v>
      </c>
      <c r="AN234" s="1">
        <v>0.0</v>
      </c>
      <c r="AO234" s="4">
        <v>0.0</v>
      </c>
      <c r="AP234" s="1">
        <f t="shared" si="1"/>
        <v>0</v>
      </c>
      <c r="AQ234" s="1" t="s">
        <v>557</v>
      </c>
      <c r="AT234" s="1" t="s">
        <v>906</v>
      </c>
      <c r="AU234" s="2">
        <v>46001.0</v>
      </c>
      <c r="AV234" s="2">
        <v>46024.0375</v>
      </c>
      <c r="AW234" s="1">
        <v>1.0</v>
      </c>
      <c r="AX234" s="1">
        <v>2829.6</v>
      </c>
      <c r="AY234" s="1">
        <v>7.0</v>
      </c>
      <c r="AZ234" s="1">
        <v>1.0</v>
      </c>
      <c r="BA234" s="1">
        <v>0.0</v>
      </c>
      <c r="BB234" s="1">
        <v>0.0</v>
      </c>
      <c r="BC234" s="2">
        <v>46001.0</v>
      </c>
      <c r="BD234" s="1">
        <v>49.0</v>
      </c>
      <c r="BE234" s="1" t="s">
        <v>550</v>
      </c>
      <c r="BF234" s="1">
        <v>2025.0</v>
      </c>
      <c r="BG234" s="1" t="s">
        <v>558</v>
      </c>
      <c r="BH234" s="7" t="str">
        <f>VLOOKUP(B234,CookieClicks!D:O,12,FALSE)</f>
        <v>http://signup.method.me/proposals</v>
      </c>
      <c r="BI234" s="8" t="str">
        <f>IFERROR(__xludf.DUMMYFUNCTION("VLOOKUP(REGEXREPLACE(BH234,""[?].*"",""""),ContentBuckets!A:C,2,FALSE)"),"#N/A")</f>
        <v>#N/A</v>
      </c>
      <c r="BJ234" s="8" t="str">
        <f>IFERROR(__xludf.DUMMYFUNCTION("VLOOKUP(REGEXREPLACE(BH234,""[?].*"",""""),ContentBuckets!A:C,3,FALSE)"),"#N/A")</f>
        <v>#N/A</v>
      </c>
    </row>
    <row r="235" ht="14.25" customHeight="1">
      <c r="A235" s="1">
        <v>153409.0</v>
      </c>
      <c r="B235" s="1" t="s">
        <v>907</v>
      </c>
      <c r="C235" s="2">
        <v>46001.6104166667</v>
      </c>
      <c r="D235" s="2"/>
      <c r="E235" s="2"/>
      <c r="F235" s="1" t="b">
        <v>1</v>
      </c>
      <c r="G235" s="4" t="b">
        <v>0</v>
      </c>
      <c r="H235" s="1" t="b">
        <v>0</v>
      </c>
      <c r="I235" s="1" t="b">
        <v>0</v>
      </c>
      <c r="J235" s="1" t="s">
        <v>534</v>
      </c>
      <c r="K235" s="1" t="s">
        <v>535</v>
      </c>
      <c r="L235" s="1" t="s">
        <v>536</v>
      </c>
      <c r="M235" s="1" t="s">
        <v>537</v>
      </c>
      <c r="N235" s="1">
        <v>0.0</v>
      </c>
      <c r="O235" s="1">
        <v>72.75</v>
      </c>
      <c r="P235" s="1">
        <v>0.0</v>
      </c>
      <c r="Q235" s="1">
        <v>0.0</v>
      </c>
      <c r="R235" s="1">
        <v>0.0</v>
      </c>
      <c r="S235" s="1" t="s">
        <v>538</v>
      </c>
      <c r="T235" s="1" t="s">
        <v>539</v>
      </c>
      <c r="V235" s="4">
        <v>7254761.0</v>
      </c>
      <c r="W235" s="4" t="s">
        <v>653</v>
      </c>
      <c r="X235" s="4">
        <v>0.0</v>
      </c>
      <c r="Y235" s="1">
        <v>0.5</v>
      </c>
      <c r="Z235" s="1">
        <v>0.0</v>
      </c>
      <c r="AA235" s="1">
        <v>0.5</v>
      </c>
      <c r="AB235" s="1">
        <v>0.0</v>
      </c>
      <c r="AC235" s="1">
        <v>0.0</v>
      </c>
      <c r="AD235" s="1">
        <v>0.0</v>
      </c>
      <c r="AE235" s="1">
        <v>0.0</v>
      </c>
      <c r="AF235" s="1">
        <v>0.0</v>
      </c>
      <c r="AG235" s="1">
        <v>0.0</v>
      </c>
      <c r="AH235" s="1">
        <v>0.0</v>
      </c>
      <c r="AI235" s="1">
        <v>0.0</v>
      </c>
      <c r="AJ235" s="1">
        <v>0.0</v>
      </c>
      <c r="AK235" s="1">
        <v>0.0</v>
      </c>
      <c r="AL235" s="1">
        <v>0.0</v>
      </c>
      <c r="AM235" s="4">
        <v>0.0</v>
      </c>
      <c r="AN235" s="1">
        <v>0.0</v>
      </c>
      <c r="AO235" s="4">
        <v>0.0</v>
      </c>
      <c r="AP235" s="1">
        <f t="shared" si="1"/>
        <v>0</v>
      </c>
      <c r="AQ235" s="1" t="s">
        <v>557</v>
      </c>
      <c r="AT235" s="1" t="s">
        <v>908</v>
      </c>
      <c r="AU235" s="2">
        <v>46001.0</v>
      </c>
      <c r="AV235" s="2">
        <v>46024.0104166667</v>
      </c>
      <c r="AW235" s="1">
        <v>0.0</v>
      </c>
      <c r="AX235" s="1">
        <v>36.0</v>
      </c>
      <c r="AY235" s="1">
        <v>2.0</v>
      </c>
      <c r="AZ235" s="1">
        <v>1.0</v>
      </c>
      <c r="BA235" s="1">
        <v>0.0</v>
      </c>
      <c r="BB235" s="1">
        <v>2.0</v>
      </c>
      <c r="BC235" s="2">
        <v>46001.0</v>
      </c>
      <c r="BD235" s="1">
        <v>49.0</v>
      </c>
      <c r="BE235" s="1" t="s">
        <v>550</v>
      </c>
      <c r="BF235" s="1">
        <v>2025.0</v>
      </c>
      <c r="BG235" s="1" t="s">
        <v>558</v>
      </c>
      <c r="BH235" s="7" t="str">
        <f>VLOOKUP(B235,CookieClicks!D:O,12,FALSE)</f>
        <v>https://www.method.me/crm-quickbooks/pricing/</v>
      </c>
      <c r="BI235" s="8" t="str">
        <f>IFERROR(__xludf.DUMMYFUNCTION("VLOOKUP(REGEXREPLACE(BH235,""[?].*"",""""),ContentBuckets!A:C,2,FALSE)"),"/crm-quickbooks/")</f>
        <v>/crm-quickbooks/</v>
      </c>
      <c r="BJ235" s="8" t="str">
        <f>IFERROR(__xludf.DUMMYFUNCTION("VLOOKUP(REGEXREPLACE(BH235,""[?].*"",""""),ContentBuckets!A:C,3,FALSE)"),"Other page")</f>
        <v>Other page</v>
      </c>
    </row>
    <row r="236" ht="14.25" customHeight="1">
      <c r="A236" s="1">
        <v>153410.0</v>
      </c>
      <c r="B236" s="1" t="s">
        <v>909</v>
      </c>
      <c r="C236" s="2">
        <v>46001.6118055556</v>
      </c>
      <c r="D236" s="2">
        <v>46009.5638888889</v>
      </c>
      <c r="E236" s="2"/>
      <c r="F236" s="1" t="b">
        <v>0</v>
      </c>
      <c r="G236" s="4" t="b">
        <v>0</v>
      </c>
      <c r="H236" s="1" t="b">
        <v>0</v>
      </c>
      <c r="I236" s="1" t="b">
        <v>0</v>
      </c>
      <c r="J236" s="1" t="s">
        <v>534</v>
      </c>
      <c r="K236" s="1" t="s">
        <v>535</v>
      </c>
      <c r="L236" s="1" t="s">
        <v>536</v>
      </c>
      <c r="M236" s="1" t="s">
        <v>537</v>
      </c>
      <c r="N236" s="1">
        <v>0.0</v>
      </c>
      <c r="O236" s="1">
        <v>62.25</v>
      </c>
      <c r="P236" s="1">
        <v>0.0</v>
      </c>
      <c r="Q236" s="1">
        <v>0.0</v>
      </c>
      <c r="R236" s="1">
        <v>28.0</v>
      </c>
      <c r="S236" s="1" t="s">
        <v>538</v>
      </c>
      <c r="T236" s="1" t="s">
        <v>539</v>
      </c>
      <c r="V236" s="4">
        <v>7312083.0</v>
      </c>
      <c r="W236" s="4"/>
      <c r="X236" s="4">
        <v>0.0</v>
      </c>
      <c r="Y236" s="1">
        <v>0.0</v>
      </c>
      <c r="Z236" s="1">
        <v>1.0</v>
      </c>
      <c r="AA236" s="1">
        <v>0.0</v>
      </c>
      <c r="AB236" s="1">
        <v>0.0</v>
      </c>
      <c r="AC236" s="1">
        <v>0.0</v>
      </c>
      <c r="AD236" s="1">
        <v>0.0</v>
      </c>
      <c r="AE236" s="1">
        <v>0.0</v>
      </c>
      <c r="AF236" s="1">
        <v>0.0</v>
      </c>
      <c r="AG236" s="1">
        <v>0.0</v>
      </c>
      <c r="AH236" s="1">
        <v>0.0</v>
      </c>
      <c r="AI236" s="1">
        <v>0.0</v>
      </c>
      <c r="AJ236" s="1">
        <v>0.0</v>
      </c>
      <c r="AK236" s="1">
        <v>0.0</v>
      </c>
      <c r="AL236" s="1">
        <v>0.0</v>
      </c>
      <c r="AM236" s="4">
        <v>0.0</v>
      </c>
      <c r="AN236" s="1">
        <v>0.0</v>
      </c>
      <c r="AO236" s="4">
        <v>0.0</v>
      </c>
      <c r="AP236" s="1">
        <f t="shared" si="1"/>
        <v>0</v>
      </c>
      <c r="AQ236" s="1" t="s">
        <v>557</v>
      </c>
      <c r="AR236" s="1" t="s">
        <v>549</v>
      </c>
      <c r="AT236" s="1" t="s">
        <v>910</v>
      </c>
      <c r="AU236" s="2">
        <v>46001.0</v>
      </c>
      <c r="AV236" s="2">
        <v>46009.0319444444</v>
      </c>
      <c r="AW236" s="1">
        <v>1.0</v>
      </c>
      <c r="AX236" s="1">
        <v>298932.0</v>
      </c>
      <c r="AY236" s="1">
        <v>212.0</v>
      </c>
      <c r="AZ236" s="1">
        <v>1.0</v>
      </c>
      <c r="BA236" s="1">
        <v>0.0</v>
      </c>
      <c r="BB236" s="1">
        <v>0.0</v>
      </c>
      <c r="BC236" s="2">
        <v>46001.0</v>
      </c>
      <c r="BD236" s="1">
        <v>49.0</v>
      </c>
      <c r="BE236" s="1" t="s">
        <v>550</v>
      </c>
      <c r="BF236" s="1">
        <v>2025.0</v>
      </c>
      <c r="BG236" s="1" t="s">
        <v>558</v>
      </c>
      <c r="BH236" s="7" t="str">
        <f>VLOOKUP(B236,CookieClicks!D:O,12,FALSE)</f>
        <v>https://signup.method.me/QBOAppstoreSignup?offering=methodcrm</v>
      </c>
      <c r="BI236" s="8" t="str">
        <f>IFERROR(__xludf.DUMMYFUNCTION("VLOOKUP(REGEXREPLACE(BH236,""[?].*"",""""),ContentBuckets!A:C,2,FALSE)"),"#N/A")</f>
        <v>#N/A</v>
      </c>
      <c r="BJ236" s="8" t="str">
        <f>IFERROR(__xludf.DUMMYFUNCTION("VLOOKUP(REGEXREPLACE(BH236,""[?].*"",""""),ContentBuckets!A:C,3,FALSE)"),"#N/A")</f>
        <v>#N/A</v>
      </c>
    </row>
    <row r="237" ht="14.25" customHeight="1">
      <c r="A237" s="1">
        <v>153411.0</v>
      </c>
      <c r="B237" s="1" t="s">
        <v>911</v>
      </c>
      <c r="C237" s="2">
        <v>46001.6131944444</v>
      </c>
      <c r="D237" s="2"/>
      <c r="E237" s="2"/>
      <c r="F237" s="1" t="b">
        <v>1</v>
      </c>
      <c r="G237" s="4" t="b">
        <v>0</v>
      </c>
      <c r="H237" s="1" t="b">
        <v>0</v>
      </c>
      <c r="I237" s="1" t="b">
        <v>0</v>
      </c>
      <c r="J237" s="1" t="s">
        <v>534</v>
      </c>
      <c r="K237" s="1" t="s">
        <v>535</v>
      </c>
      <c r="L237" s="1" t="s">
        <v>536</v>
      </c>
      <c r="M237" s="1" t="s">
        <v>537</v>
      </c>
      <c r="N237" s="1">
        <v>0.0</v>
      </c>
      <c r="O237" s="1">
        <v>63.75</v>
      </c>
      <c r="P237" s="1">
        <v>0.0</v>
      </c>
      <c r="Q237" s="1">
        <v>0.0</v>
      </c>
      <c r="R237" s="1">
        <v>28.0</v>
      </c>
      <c r="S237" s="1" t="s">
        <v>538</v>
      </c>
      <c r="T237" s="1" t="s">
        <v>539</v>
      </c>
      <c r="V237" s="4">
        <v>7311871.0</v>
      </c>
      <c r="W237" s="4"/>
      <c r="X237" s="4">
        <v>1.0</v>
      </c>
      <c r="Y237" s="1">
        <v>0.0</v>
      </c>
      <c r="Z237" s="1">
        <v>0.0</v>
      </c>
      <c r="AA237" s="1">
        <v>0.0</v>
      </c>
      <c r="AB237" s="1">
        <v>0.0</v>
      </c>
      <c r="AC237" s="1">
        <v>0.0</v>
      </c>
      <c r="AD237" s="1">
        <v>0.0</v>
      </c>
      <c r="AE237" s="1">
        <v>0.0</v>
      </c>
      <c r="AF237" s="1">
        <v>0.0</v>
      </c>
      <c r="AG237" s="1">
        <v>0.0</v>
      </c>
      <c r="AH237" s="1">
        <v>0.0</v>
      </c>
      <c r="AI237" s="1">
        <v>0.0</v>
      </c>
      <c r="AJ237" s="1">
        <v>0.0</v>
      </c>
      <c r="AK237" s="1">
        <v>0.0</v>
      </c>
      <c r="AL237" s="1">
        <v>0.0</v>
      </c>
      <c r="AM237" s="4">
        <v>0.0</v>
      </c>
      <c r="AN237" s="1">
        <v>0.0</v>
      </c>
      <c r="AO237" s="4">
        <v>0.0</v>
      </c>
      <c r="AP237" s="1">
        <f t="shared" si="1"/>
        <v>0</v>
      </c>
      <c r="AQ237" s="1" t="s">
        <v>557</v>
      </c>
      <c r="AR237" s="1" t="s">
        <v>564</v>
      </c>
      <c r="AU237" s="2">
        <v>46001.0</v>
      </c>
      <c r="AV237" s="2">
        <v>46024.0430555556</v>
      </c>
      <c r="AW237" s="1">
        <v>5.0</v>
      </c>
      <c r="AX237" s="1">
        <v>0.0</v>
      </c>
      <c r="AY237" s="1">
        <v>97.0</v>
      </c>
      <c r="AZ237" s="1">
        <v>2.0</v>
      </c>
      <c r="BA237" s="1">
        <v>0.0</v>
      </c>
      <c r="BB237" s="1">
        <v>0.0</v>
      </c>
      <c r="BC237" s="2">
        <v>46001.0</v>
      </c>
      <c r="BD237" s="1">
        <v>49.0</v>
      </c>
      <c r="BE237" s="1" t="s">
        <v>550</v>
      </c>
      <c r="BF237" s="1">
        <v>2025.0</v>
      </c>
      <c r="BG237" s="1" t="s">
        <v>558</v>
      </c>
      <c r="BH237" s="7" t="str">
        <f>VLOOKUP(B237,CookieClicks!D:O,12,FALSE)</f>
        <v>https://www.method.me/crm-quickbooks/pricing/</v>
      </c>
      <c r="BI237" s="8" t="str">
        <f>IFERROR(__xludf.DUMMYFUNCTION("VLOOKUP(REGEXREPLACE(BH237,""[?].*"",""""),ContentBuckets!A:C,2,FALSE)"),"/crm-quickbooks/")</f>
        <v>/crm-quickbooks/</v>
      </c>
      <c r="BJ237" s="8" t="str">
        <f>IFERROR(__xludf.DUMMYFUNCTION("VLOOKUP(REGEXREPLACE(BH237,""[?].*"",""""),ContentBuckets!A:C,3,FALSE)"),"Other page")</f>
        <v>Other page</v>
      </c>
    </row>
    <row r="238" ht="14.25" customHeight="1">
      <c r="A238" s="1">
        <v>153415.0</v>
      </c>
      <c r="B238" s="1" t="s">
        <v>912</v>
      </c>
      <c r="C238" s="2">
        <v>46001.6395833333</v>
      </c>
      <c r="D238" s="2"/>
      <c r="E238" s="2"/>
      <c r="F238" s="1" t="b">
        <v>1</v>
      </c>
      <c r="G238" s="4" t="b">
        <v>0</v>
      </c>
      <c r="H238" s="1" t="b">
        <v>0</v>
      </c>
      <c r="I238" s="1" t="b">
        <v>0</v>
      </c>
      <c r="J238" s="1" t="s">
        <v>534</v>
      </c>
      <c r="K238" s="1" t="s">
        <v>622</v>
      </c>
      <c r="L238" s="1" t="s">
        <v>623</v>
      </c>
      <c r="M238" s="1" t="s">
        <v>537</v>
      </c>
      <c r="N238" s="1">
        <v>0.0</v>
      </c>
      <c r="O238" s="1">
        <v>44.25</v>
      </c>
      <c r="P238" s="1">
        <v>0.0</v>
      </c>
      <c r="Q238" s="1">
        <v>0.0</v>
      </c>
      <c r="R238" s="1">
        <v>0.0</v>
      </c>
      <c r="S238" s="1" t="s">
        <v>538</v>
      </c>
      <c r="T238" s="1" t="s">
        <v>539</v>
      </c>
      <c r="V238" s="4">
        <v>7312685.0</v>
      </c>
      <c r="W238" s="4" t="s">
        <v>540</v>
      </c>
      <c r="X238" s="4">
        <v>0.0</v>
      </c>
      <c r="Y238" s="1">
        <v>1.0</v>
      </c>
      <c r="Z238" s="1">
        <v>0.0</v>
      </c>
      <c r="AA238" s="1">
        <v>0.0</v>
      </c>
      <c r="AB238" s="1">
        <v>0.0</v>
      </c>
      <c r="AC238" s="1">
        <v>0.0</v>
      </c>
      <c r="AD238" s="1">
        <v>0.0</v>
      </c>
      <c r="AE238" s="1">
        <v>0.0</v>
      </c>
      <c r="AF238" s="1">
        <v>0.0</v>
      </c>
      <c r="AG238" s="1">
        <v>0.0</v>
      </c>
      <c r="AH238" s="1">
        <v>0.0</v>
      </c>
      <c r="AI238" s="1">
        <v>0.0</v>
      </c>
      <c r="AJ238" s="1">
        <v>0.0</v>
      </c>
      <c r="AK238" s="1">
        <v>0.0</v>
      </c>
      <c r="AL238" s="1">
        <v>0.0</v>
      </c>
      <c r="AM238" s="4">
        <v>0.0</v>
      </c>
      <c r="AN238" s="1">
        <v>0.0</v>
      </c>
      <c r="AO238" s="4">
        <v>0.0</v>
      </c>
      <c r="AP238" s="1">
        <f t="shared" si="1"/>
        <v>0</v>
      </c>
      <c r="AU238" s="2"/>
      <c r="AV238" s="2">
        <v>46024.0138888889</v>
      </c>
      <c r="AW238" s="1">
        <v>0.0</v>
      </c>
      <c r="AX238" s="1">
        <v>0.0</v>
      </c>
      <c r="AY238" s="1">
        <v>0.0</v>
      </c>
      <c r="AZ238" s="1">
        <v>1.0</v>
      </c>
      <c r="BA238" s="1">
        <v>0.0</v>
      </c>
      <c r="BB238" s="1">
        <v>0.0</v>
      </c>
      <c r="BC238" s="2">
        <v>46001.0</v>
      </c>
      <c r="BD238" s="1">
        <v>49.0</v>
      </c>
      <c r="BE238" s="1" t="s">
        <v>550</v>
      </c>
      <c r="BF238" s="1">
        <v>2025.0</v>
      </c>
      <c r="BG238" s="1" t="s">
        <v>558</v>
      </c>
      <c r="BH238" s="7" t="str">
        <f>VLOOKUP(B238,CookieClicks!D:O,12,FALSE)</f>
        <v>https://www.method.me/</v>
      </c>
      <c r="BI238" s="8" t="str">
        <f>IFERROR(__xludf.DUMMYFUNCTION("VLOOKUP(REGEXREPLACE(BH238,""[?].*"",""""),ContentBuckets!A:C,2,FALSE)"),"Homepage")</f>
        <v>Homepage</v>
      </c>
      <c r="BJ238" s="8" t="str">
        <f>IFERROR(__xludf.DUMMYFUNCTION("VLOOKUP(REGEXREPLACE(BH238,""[?].*"",""""),ContentBuckets!A:C,3,FALSE)"),"Other page")</f>
        <v>Other page</v>
      </c>
    </row>
    <row r="239" ht="14.25" customHeight="1">
      <c r="A239" s="1">
        <v>153417.0</v>
      </c>
      <c r="B239" s="1" t="s">
        <v>913</v>
      </c>
      <c r="C239" s="2">
        <v>46001.6576388889</v>
      </c>
      <c r="D239" s="2"/>
      <c r="E239" s="2"/>
      <c r="F239" s="1" t="b">
        <v>1</v>
      </c>
      <c r="G239" s="4" t="b">
        <v>0</v>
      </c>
      <c r="H239" s="1" t="b">
        <v>0</v>
      </c>
      <c r="I239" s="1" t="b">
        <v>0</v>
      </c>
      <c r="J239" s="1" t="s">
        <v>534</v>
      </c>
      <c r="K239" s="1" t="s">
        <v>566</v>
      </c>
      <c r="L239" s="1" t="s">
        <v>567</v>
      </c>
      <c r="M239" s="1" t="s">
        <v>537</v>
      </c>
      <c r="N239" s="1">
        <v>0.0</v>
      </c>
      <c r="O239" s="1">
        <v>54.75</v>
      </c>
      <c r="P239" s="1">
        <v>0.0</v>
      </c>
      <c r="Q239" s="1">
        <v>0.0</v>
      </c>
      <c r="R239" s="1">
        <v>28.0</v>
      </c>
      <c r="S239" s="1" t="s">
        <v>538</v>
      </c>
      <c r="T239" s="1" t="s">
        <v>539</v>
      </c>
      <c r="V239" s="4">
        <v>7313079.0</v>
      </c>
      <c r="W239" s="4" t="s">
        <v>540</v>
      </c>
      <c r="X239" s="4">
        <v>0.0</v>
      </c>
      <c r="Y239" s="1">
        <v>1.0</v>
      </c>
      <c r="Z239" s="1">
        <v>0.0</v>
      </c>
      <c r="AA239" s="1">
        <v>0.0</v>
      </c>
      <c r="AB239" s="1">
        <v>0.0</v>
      </c>
      <c r="AC239" s="1">
        <v>0.0</v>
      </c>
      <c r="AD239" s="1">
        <v>0.0</v>
      </c>
      <c r="AE239" s="1">
        <v>0.0</v>
      </c>
      <c r="AF239" s="1">
        <v>0.0</v>
      </c>
      <c r="AG239" s="1">
        <v>0.0</v>
      </c>
      <c r="AH239" s="1">
        <v>0.0</v>
      </c>
      <c r="AI239" s="1">
        <v>0.0</v>
      </c>
      <c r="AJ239" s="1">
        <v>0.0</v>
      </c>
      <c r="AK239" s="1">
        <v>0.0</v>
      </c>
      <c r="AL239" s="1">
        <v>0.0</v>
      </c>
      <c r="AM239" s="4">
        <v>0.0</v>
      </c>
      <c r="AN239" s="1">
        <v>0.0</v>
      </c>
      <c r="AO239" s="4">
        <v>0.0</v>
      </c>
      <c r="AP239" s="1">
        <f t="shared" si="1"/>
        <v>0</v>
      </c>
      <c r="AR239" s="1" t="s">
        <v>560</v>
      </c>
      <c r="AU239" s="2"/>
      <c r="AV239" s="2">
        <v>46024.0368055556</v>
      </c>
      <c r="AW239" s="1">
        <v>0.0</v>
      </c>
      <c r="AX239" s="1">
        <v>0.0</v>
      </c>
      <c r="AY239" s="1">
        <v>0.0</v>
      </c>
      <c r="AZ239" s="1">
        <v>1.0</v>
      </c>
      <c r="BA239" s="1">
        <v>0.0</v>
      </c>
      <c r="BB239" s="1">
        <v>0.0</v>
      </c>
      <c r="BC239" s="2">
        <v>46001.0</v>
      </c>
      <c r="BD239" s="1">
        <v>49.0</v>
      </c>
      <c r="BE239" s="1" t="s">
        <v>550</v>
      </c>
      <c r="BF239" s="1">
        <v>2025.0</v>
      </c>
      <c r="BG239" s="1" t="s">
        <v>546</v>
      </c>
      <c r="BH239" s="7" t="str">
        <f>VLOOKUP(B239,CookieClicks!D:O,12,FALSE)</f>
        <v>https://www.method.me/</v>
      </c>
      <c r="BI239" s="8" t="str">
        <f>IFERROR(__xludf.DUMMYFUNCTION("VLOOKUP(REGEXREPLACE(BH239,""[?].*"",""""),ContentBuckets!A:C,2,FALSE)"),"Homepage")</f>
        <v>Homepage</v>
      </c>
      <c r="BJ239" s="8" t="str">
        <f>IFERROR(__xludf.DUMMYFUNCTION("VLOOKUP(REGEXREPLACE(BH239,""[?].*"",""""),ContentBuckets!A:C,3,FALSE)"),"Other page")</f>
        <v>Other page</v>
      </c>
    </row>
    <row r="240" ht="14.25" customHeight="1">
      <c r="A240" s="1">
        <v>153418.0</v>
      </c>
      <c r="B240" s="1" t="s">
        <v>914</v>
      </c>
      <c r="C240" s="2">
        <v>46001.6611111111</v>
      </c>
      <c r="D240" s="2"/>
      <c r="E240" s="2"/>
      <c r="F240" s="1" t="b">
        <v>1</v>
      </c>
      <c r="G240" s="4" t="b">
        <v>0</v>
      </c>
      <c r="H240" s="1" t="b">
        <v>0</v>
      </c>
      <c r="I240" s="1" t="b">
        <v>0</v>
      </c>
      <c r="J240" s="1" t="s">
        <v>534</v>
      </c>
      <c r="K240" s="1" t="s">
        <v>535</v>
      </c>
      <c r="L240" s="1" t="s">
        <v>536</v>
      </c>
      <c r="M240" s="1" t="s">
        <v>537</v>
      </c>
      <c r="N240" s="1">
        <v>0.0</v>
      </c>
      <c r="O240" s="1">
        <v>44.25</v>
      </c>
      <c r="P240" s="1">
        <v>0.0</v>
      </c>
      <c r="Q240" s="1">
        <v>0.0</v>
      </c>
      <c r="R240" s="1">
        <v>0.0</v>
      </c>
      <c r="S240" s="1" t="s">
        <v>538</v>
      </c>
      <c r="T240" s="1" t="s">
        <v>539</v>
      </c>
      <c r="V240" s="4">
        <v>7313064.0</v>
      </c>
      <c r="W240" s="4"/>
      <c r="X240" s="4">
        <v>0.0</v>
      </c>
      <c r="Y240" s="1">
        <v>0.0</v>
      </c>
      <c r="Z240" s="1">
        <v>0.0</v>
      </c>
      <c r="AA240" s="1">
        <v>1.0</v>
      </c>
      <c r="AB240" s="1">
        <v>0.0</v>
      </c>
      <c r="AC240" s="1">
        <v>0.0</v>
      </c>
      <c r="AD240" s="1">
        <v>0.0</v>
      </c>
      <c r="AE240" s="1">
        <v>0.0</v>
      </c>
      <c r="AF240" s="1">
        <v>0.0</v>
      </c>
      <c r="AG240" s="1">
        <v>0.0</v>
      </c>
      <c r="AH240" s="1">
        <v>0.0</v>
      </c>
      <c r="AI240" s="1">
        <v>0.0</v>
      </c>
      <c r="AJ240" s="1">
        <v>0.0</v>
      </c>
      <c r="AK240" s="1">
        <v>0.0</v>
      </c>
      <c r="AL240" s="1">
        <v>0.0</v>
      </c>
      <c r="AM240" s="4">
        <v>0.0</v>
      </c>
      <c r="AN240" s="1">
        <v>0.0</v>
      </c>
      <c r="AO240" s="4">
        <v>0.0</v>
      </c>
      <c r="AP240" s="1">
        <f t="shared" si="1"/>
        <v>0</v>
      </c>
      <c r="AQ240" s="1" t="s">
        <v>557</v>
      </c>
      <c r="AT240" s="1" t="s">
        <v>915</v>
      </c>
      <c r="AU240" s="2">
        <v>46001.0</v>
      </c>
      <c r="AV240" s="2">
        <v>46023.9791666667</v>
      </c>
      <c r="AW240" s="1">
        <v>0.0</v>
      </c>
      <c r="AX240" s="1">
        <v>235385.16</v>
      </c>
      <c r="AY240" s="1">
        <v>187.0</v>
      </c>
      <c r="AZ240" s="1">
        <v>1.0</v>
      </c>
      <c r="BA240" s="1">
        <v>0.0</v>
      </c>
      <c r="BB240" s="1">
        <v>0.0</v>
      </c>
      <c r="BC240" s="2">
        <v>46001.0</v>
      </c>
      <c r="BD240" s="1">
        <v>49.0</v>
      </c>
      <c r="BE240" s="1" t="s">
        <v>550</v>
      </c>
      <c r="BF240" s="1">
        <v>2025.0</v>
      </c>
      <c r="BG240" s="1" t="s">
        <v>558</v>
      </c>
      <c r="BH240" s="1" t="str">
        <f>VLOOKUP(B240,CookieClicks!D:O,12,FALSE)</f>
        <v>https://grow.method.me/crm-quickbooks/?trc=81&amp;trk=crm for quickbooks&amp;trs=USA-QB-G_Ex&amp;campaignid=22265826203&amp;adgroupid=176758613473&amp;adid=734012603510&amp;gad_source=1&amp;gad_campaignid=22265826203&amp;gbraid=0AAAAAD3ItnYC8oT8LWWHiiCZKGPL-K87x&amp;gclid=CjwKCAiA0eTJBhBaEiwA-Pa-hX4DG1Y2PxXFi1G6R6PGNAP8FtSfQUDqW7NbT23N8ubRnfHKscfzchoCA-UQAvD_BwE</v>
      </c>
      <c r="BI240" s="8" t="str">
        <f>IFERROR(__xludf.DUMMYFUNCTION("VLOOKUP(REGEXREPLACE(BH240,""[?].*"",""""),ContentBuckets!A:C,2,FALSE)"),"#N/A")</f>
        <v>#N/A</v>
      </c>
      <c r="BJ240" s="8" t="str">
        <f>IFERROR(__xludf.DUMMYFUNCTION("VLOOKUP(REGEXREPLACE(BH240,""[?].*"",""""),ContentBuckets!A:C,3,FALSE)"),"#N/A")</f>
        <v>#N/A</v>
      </c>
    </row>
    <row r="241" ht="14.25" customHeight="1">
      <c r="A241" s="1">
        <v>153419.0</v>
      </c>
      <c r="B241" s="1" t="s">
        <v>916</v>
      </c>
      <c r="C241" s="2">
        <v>46001.6951388889</v>
      </c>
      <c r="D241" s="2">
        <v>46010.5548611111</v>
      </c>
      <c r="E241" s="2"/>
      <c r="F241" s="1" t="b">
        <v>0</v>
      </c>
      <c r="G241" s="4" t="b">
        <v>1</v>
      </c>
      <c r="H241" s="1" t="b">
        <v>0</v>
      </c>
      <c r="I241" s="1" t="b">
        <v>0</v>
      </c>
      <c r="J241" s="1" t="s">
        <v>534</v>
      </c>
      <c r="K241" s="1" t="s">
        <v>622</v>
      </c>
      <c r="L241" s="1" t="s">
        <v>623</v>
      </c>
      <c r="M241" s="1" t="s">
        <v>537</v>
      </c>
      <c r="N241" s="1">
        <v>0.0</v>
      </c>
      <c r="O241" s="1">
        <v>266.25</v>
      </c>
      <c r="P241" s="1">
        <v>0.0</v>
      </c>
      <c r="Q241" s="1">
        <v>0.0</v>
      </c>
      <c r="R241" s="1">
        <v>28.0</v>
      </c>
      <c r="S241" s="1" t="s">
        <v>538</v>
      </c>
      <c r="T241" s="1" t="s">
        <v>539</v>
      </c>
      <c r="V241" s="4">
        <v>7292847.0</v>
      </c>
      <c r="W241" s="4" t="s">
        <v>540</v>
      </c>
      <c r="X241" s="4">
        <v>0.0</v>
      </c>
      <c r="Y241" s="1">
        <v>1.0</v>
      </c>
      <c r="Z241" s="1">
        <v>0.0</v>
      </c>
      <c r="AA241" s="1">
        <v>0.0</v>
      </c>
      <c r="AB241" s="1">
        <v>0.0</v>
      </c>
      <c r="AC241" s="1">
        <v>0.0</v>
      </c>
      <c r="AD241" s="1">
        <v>0.0</v>
      </c>
      <c r="AE241" s="1">
        <v>0.0</v>
      </c>
      <c r="AF241" s="1">
        <v>0.0</v>
      </c>
      <c r="AG241" s="1">
        <v>0.0</v>
      </c>
      <c r="AH241" s="1">
        <v>0.0</v>
      </c>
      <c r="AI241" s="1">
        <v>0.0</v>
      </c>
      <c r="AJ241" s="1">
        <v>0.0</v>
      </c>
      <c r="AK241" s="1">
        <v>0.0</v>
      </c>
      <c r="AL241" s="1">
        <v>0.0</v>
      </c>
      <c r="AM241" s="4">
        <v>0.0</v>
      </c>
      <c r="AN241" s="1">
        <v>0.0</v>
      </c>
      <c r="AO241" s="4">
        <v>0.0</v>
      </c>
      <c r="AP241" s="1">
        <f t="shared" si="1"/>
        <v>0</v>
      </c>
      <c r="AQ241" s="1" t="s">
        <v>557</v>
      </c>
      <c r="AR241" s="1" t="s">
        <v>564</v>
      </c>
      <c r="AU241" s="2">
        <v>46009.0</v>
      </c>
      <c r="AV241" s="2">
        <v>46010.0166666667</v>
      </c>
      <c r="AW241" s="1">
        <v>0.0</v>
      </c>
      <c r="AX241" s="1">
        <v>368759.76</v>
      </c>
      <c r="AY241" s="1">
        <v>1.0</v>
      </c>
      <c r="AZ241" s="1">
        <v>5.0</v>
      </c>
      <c r="BA241" s="1">
        <v>0.0</v>
      </c>
      <c r="BB241" s="1">
        <v>0.0</v>
      </c>
      <c r="BC241" s="2">
        <v>46001.0</v>
      </c>
      <c r="BD241" s="1">
        <v>49.0</v>
      </c>
      <c r="BE241" s="1" t="s">
        <v>550</v>
      </c>
      <c r="BF241" s="1">
        <v>2025.0</v>
      </c>
      <c r="BG241" s="1" t="s">
        <v>558</v>
      </c>
      <c r="BH241" s="7" t="str">
        <f>VLOOKUP(B241,CookieClicks!D:O,12,FALSE)</f>
        <v>https://www.method.me/</v>
      </c>
      <c r="BI241" s="8" t="str">
        <f>IFERROR(__xludf.DUMMYFUNCTION("VLOOKUP(REGEXREPLACE(BH241,""[?].*"",""""),ContentBuckets!A:C,2,FALSE)"),"Homepage")</f>
        <v>Homepage</v>
      </c>
      <c r="BJ241" s="8" t="str">
        <f>IFERROR(__xludf.DUMMYFUNCTION("VLOOKUP(REGEXREPLACE(BH241,""[?].*"",""""),ContentBuckets!A:C,3,FALSE)"),"Other page")</f>
        <v>Other page</v>
      </c>
    </row>
    <row r="242" ht="14.25" customHeight="1">
      <c r="A242" s="1">
        <v>153420.0</v>
      </c>
      <c r="B242" s="1" t="s">
        <v>917</v>
      </c>
      <c r="C242" s="2">
        <v>46001.70625</v>
      </c>
      <c r="D242" s="2"/>
      <c r="E242" s="2"/>
      <c r="F242" s="1" t="b">
        <v>1</v>
      </c>
      <c r="G242" s="4" t="b">
        <v>0</v>
      </c>
      <c r="H242" s="1" t="b">
        <v>0</v>
      </c>
      <c r="I242" s="1" t="b">
        <v>0</v>
      </c>
      <c r="J242" s="1" t="s">
        <v>534</v>
      </c>
      <c r="K242" s="1" t="s">
        <v>535</v>
      </c>
      <c r="L242" s="1" t="s">
        <v>536</v>
      </c>
      <c r="M242" s="1" t="s">
        <v>537</v>
      </c>
      <c r="N242" s="1">
        <v>0.0</v>
      </c>
      <c r="O242" s="1">
        <v>63.75</v>
      </c>
      <c r="P242" s="1">
        <v>0.0</v>
      </c>
      <c r="Q242" s="1">
        <v>0.0</v>
      </c>
      <c r="R242" s="1">
        <v>0.0</v>
      </c>
      <c r="S242" s="1" t="s">
        <v>538</v>
      </c>
      <c r="T242" s="1" t="s">
        <v>539</v>
      </c>
      <c r="V242" s="4">
        <v>7314056.0</v>
      </c>
      <c r="W242" s="4" t="s">
        <v>540</v>
      </c>
      <c r="X242" s="4">
        <v>0.0</v>
      </c>
      <c r="Y242" s="1">
        <v>1.0</v>
      </c>
      <c r="Z242" s="1">
        <v>0.0</v>
      </c>
      <c r="AA242" s="1">
        <v>0.0</v>
      </c>
      <c r="AB242" s="1">
        <v>0.0</v>
      </c>
      <c r="AC242" s="1">
        <v>0.0</v>
      </c>
      <c r="AD242" s="1">
        <v>0.0</v>
      </c>
      <c r="AE242" s="1">
        <v>0.0</v>
      </c>
      <c r="AF242" s="1">
        <v>0.0</v>
      </c>
      <c r="AG242" s="1">
        <v>0.0</v>
      </c>
      <c r="AH242" s="1">
        <v>0.0</v>
      </c>
      <c r="AI242" s="1">
        <v>0.0</v>
      </c>
      <c r="AJ242" s="1">
        <v>0.0</v>
      </c>
      <c r="AK242" s="1">
        <v>0.0</v>
      </c>
      <c r="AL242" s="1">
        <v>0.0</v>
      </c>
      <c r="AM242" s="4">
        <v>0.0</v>
      </c>
      <c r="AN242" s="1">
        <v>0.0</v>
      </c>
      <c r="AO242" s="4">
        <v>0.0</v>
      </c>
      <c r="AP242" s="1">
        <f t="shared" si="1"/>
        <v>0</v>
      </c>
      <c r="AQ242" s="1" t="s">
        <v>557</v>
      </c>
      <c r="AU242" s="2">
        <v>46001.0</v>
      </c>
      <c r="AV242" s="2">
        <v>46023.9840277778</v>
      </c>
      <c r="AW242" s="1">
        <v>2.0</v>
      </c>
      <c r="AX242" s="1">
        <v>2446269.96</v>
      </c>
      <c r="AY242" s="1">
        <v>1139.0</v>
      </c>
      <c r="AZ242" s="1">
        <v>1.0</v>
      </c>
      <c r="BA242" s="1">
        <v>0.0</v>
      </c>
      <c r="BB242" s="1">
        <v>0.0</v>
      </c>
      <c r="BC242" s="2">
        <v>46001.0</v>
      </c>
      <c r="BD242" s="1">
        <v>49.0</v>
      </c>
      <c r="BE242" s="1" t="s">
        <v>550</v>
      </c>
      <c r="BF242" s="1">
        <v>2025.0</v>
      </c>
      <c r="BG242" s="1" t="s">
        <v>558</v>
      </c>
      <c r="BH242" s="7" t="str">
        <f>VLOOKUP(B242,CookieClicks!D:O,12,FALSE)</f>
        <v>https://www.method.me/</v>
      </c>
      <c r="BI242" s="8" t="str">
        <f>IFERROR(__xludf.DUMMYFUNCTION("VLOOKUP(REGEXREPLACE(BH242,""[?].*"",""""),ContentBuckets!A:C,2,FALSE)"),"Homepage")</f>
        <v>Homepage</v>
      </c>
      <c r="BJ242" s="8" t="str">
        <f>IFERROR(__xludf.DUMMYFUNCTION("VLOOKUP(REGEXREPLACE(BH242,""[?].*"",""""),ContentBuckets!A:C,3,FALSE)"),"Other page")</f>
        <v>Other page</v>
      </c>
    </row>
    <row r="243" ht="14.25" customHeight="1">
      <c r="A243" s="1">
        <v>153421.0</v>
      </c>
      <c r="B243" s="1" t="s">
        <v>918</v>
      </c>
      <c r="C243" s="2">
        <v>46001.7118055556</v>
      </c>
      <c r="D243" s="2"/>
      <c r="E243" s="2">
        <v>46019.5472222222</v>
      </c>
      <c r="F243" s="1" t="b">
        <v>1</v>
      </c>
      <c r="G243" s="4" t="b">
        <v>0</v>
      </c>
      <c r="H243" s="1" t="b">
        <v>0</v>
      </c>
      <c r="I243" s="1" t="b">
        <v>0</v>
      </c>
      <c r="J243" s="1" t="s">
        <v>534</v>
      </c>
      <c r="K243" s="1" t="s">
        <v>535</v>
      </c>
      <c r="L243" s="1" t="s">
        <v>536</v>
      </c>
      <c r="M243" s="1" t="s">
        <v>537</v>
      </c>
      <c r="N243" s="1">
        <v>54.75</v>
      </c>
      <c r="O243" s="1">
        <v>54.75</v>
      </c>
      <c r="P243" s="1">
        <v>0.0</v>
      </c>
      <c r="Q243" s="1">
        <v>0.0</v>
      </c>
      <c r="R243" s="1">
        <v>28.0</v>
      </c>
      <c r="S243" s="1" t="s">
        <v>538</v>
      </c>
      <c r="T243" s="1" t="s">
        <v>539</v>
      </c>
      <c r="V243" s="4">
        <v>7311439.0</v>
      </c>
      <c r="W243" s="4"/>
      <c r="X243" s="4">
        <v>1.0</v>
      </c>
      <c r="Y243" s="1">
        <v>0.0</v>
      </c>
      <c r="Z243" s="1">
        <v>0.0</v>
      </c>
      <c r="AA243" s="1">
        <v>0.0</v>
      </c>
      <c r="AB243" s="1">
        <v>0.0</v>
      </c>
      <c r="AC243" s="1">
        <v>0.0</v>
      </c>
      <c r="AD243" s="1">
        <v>0.0</v>
      </c>
      <c r="AE243" s="1">
        <v>0.0</v>
      </c>
      <c r="AF243" s="1">
        <v>0.0</v>
      </c>
      <c r="AG243" s="1">
        <v>0.0</v>
      </c>
      <c r="AH243" s="1">
        <v>0.0</v>
      </c>
      <c r="AI243" s="1">
        <v>0.0</v>
      </c>
      <c r="AJ243" s="1">
        <v>0.0</v>
      </c>
      <c r="AK243" s="1">
        <v>0.0</v>
      </c>
      <c r="AL243" s="1">
        <v>0.0</v>
      </c>
      <c r="AM243" s="4">
        <v>0.0</v>
      </c>
      <c r="AN243" s="1">
        <v>0.0</v>
      </c>
      <c r="AO243" s="4">
        <v>0.0</v>
      </c>
      <c r="AP243" s="1">
        <f t="shared" si="1"/>
        <v>0</v>
      </c>
      <c r="AQ243" s="1" t="s">
        <v>557</v>
      </c>
      <c r="AR243" s="1" t="s">
        <v>542</v>
      </c>
      <c r="AT243" s="1" t="s">
        <v>919</v>
      </c>
      <c r="AU243" s="2">
        <v>46001.0</v>
      </c>
      <c r="AV243" s="2">
        <v>46024.0034722222</v>
      </c>
      <c r="AW243" s="1">
        <v>3.0</v>
      </c>
      <c r="AX243" s="1">
        <v>373007.4</v>
      </c>
      <c r="AY243" s="1">
        <v>103.0</v>
      </c>
      <c r="AZ243" s="1">
        <v>1.0</v>
      </c>
      <c r="BA243" s="1">
        <v>0.0</v>
      </c>
      <c r="BB243" s="1">
        <v>0.0</v>
      </c>
      <c r="BC243" s="2">
        <v>46001.0</v>
      </c>
      <c r="BD243" s="1">
        <v>49.0</v>
      </c>
      <c r="BE243" s="1" t="s">
        <v>550</v>
      </c>
      <c r="BF243" s="1">
        <v>2025.0</v>
      </c>
      <c r="BG243" s="1" t="s">
        <v>558</v>
      </c>
      <c r="BH243" s="7" t="str">
        <f>VLOOKUP(B243,CookieClicks!D:O,12,FALSE)</f>
        <v>https://www.method.me/quickbooks-crm/</v>
      </c>
      <c r="BI243" s="8" t="str">
        <f>IFERROR(__xludf.DUMMYFUNCTION("VLOOKUP(REGEXREPLACE(BH243,""[?].*"",""""),ContentBuckets!A:C,2,FALSE)"),"/crm-quickbooks/")</f>
        <v>/crm-quickbooks/</v>
      </c>
      <c r="BJ243" s="8" t="str">
        <f>IFERROR(__xludf.DUMMYFUNCTION("VLOOKUP(REGEXREPLACE(BH243,""[?].*"",""""),ContentBuckets!A:C,3,FALSE)"),"Other page")</f>
        <v>Other page</v>
      </c>
    </row>
    <row r="244" ht="14.25" customHeight="1">
      <c r="A244" s="1">
        <v>153422.0</v>
      </c>
      <c r="B244" s="1" t="s">
        <v>920</v>
      </c>
      <c r="C244" s="2">
        <v>46001.7138888889</v>
      </c>
      <c r="D244" s="2">
        <v>46001.7166666667</v>
      </c>
      <c r="E244" s="2"/>
      <c r="F244" s="1" t="b">
        <v>0</v>
      </c>
      <c r="G244" s="4" t="b">
        <v>0</v>
      </c>
      <c r="H244" s="1" t="b">
        <v>0</v>
      </c>
      <c r="I244" s="1" t="b">
        <v>0</v>
      </c>
      <c r="J244" s="1" t="s">
        <v>534</v>
      </c>
      <c r="K244" s="1" t="s">
        <v>535</v>
      </c>
      <c r="L244" s="1" t="s">
        <v>536</v>
      </c>
      <c r="M244" s="1" t="s">
        <v>537</v>
      </c>
      <c r="N244" s="1">
        <v>0.0</v>
      </c>
      <c r="O244" s="1">
        <v>0.0</v>
      </c>
      <c r="P244" s="1">
        <v>0.0</v>
      </c>
      <c r="Q244" s="1">
        <v>0.0</v>
      </c>
      <c r="R244" s="1">
        <v>28.0</v>
      </c>
      <c r="S244" s="1" t="s">
        <v>538</v>
      </c>
      <c r="T244" s="1" t="s">
        <v>539</v>
      </c>
      <c r="V244" s="4">
        <v>7314218.0</v>
      </c>
      <c r="W244" s="4"/>
      <c r="X244" s="4">
        <v>0.0</v>
      </c>
      <c r="Y244" s="1">
        <v>0.0</v>
      </c>
      <c r="Z244" s="1">
        <v>0.0</v>
      </c>
      <c r="AA244" s="1">
        <v>0.0</v>
      </c>
      <c r="AB244" s="1">
        <v>0.0</v>
      </c>
      <c r="AC244" s="1">
        <v>0.0</v>
      </c>
      <c r="AD244" s="1">
        <v>0.0</v>
      </c>
      <c r="AE244" s="1">
        <v>0.0</v>
      </c>
      <c r="AF244" s="1">
        <v>0.0</v>
      </c>
      <c r="AG244" s="1">
        <v>0.0</v>
      </c>
      <c r="AH244" s="1">
        <v>0.0</v>
      </c>
      <c r="AI244" s="1">
        <v>0.0</v>
      </c>
      <c r="AJ244" s="1">
        <v>0.0</v>
      </c>
      <c r="AK244" s="1">
        <v>0.0</v>
      </c>
      <c r="AL244" s="1">
        <v>0.0</v>
      </c>
      <c r="AM244" s="4">
        <v>0.0</v>
      </c>
      <c r="AN244" s="1">
        <v>0.0</v>
      </c>
      <c r="AO244" s="4">
        <v>0.0</v>
      </c>
      <c r="AP244" s="1">
        <f t="shared" si="1"/>
        <v>1</v>
      </c>
      <c r="AQ244" s="1" t="s">
        <v>557</v>
      </c>
      <c r="AR244" s="1" t="s">
        <v>564</v>
      </c>
      <c r="AU244" s="2"/>
      <c r="AV244" s="2"/>
      <c r="AW244" s="1">
        <v>0.0</v>
      </c>
      <c r="AX244" s="1">
        <v>0.0</v>
      </c>
      <c r="AY244" s="1">
        <v>0.0</v>
      </c>
      <c r="AZ244" s="1">
        <v>1.0</v>
      </c>
      <c r="BA244" s="1">
        <v>0.0</v>
      </c>
      <c r="BB244" s="1">
        <v>0.0</v>
      </c>
      <c r="BC244" s="2">
        <v>46001.0</v>
      </c>
      <c r="BD244" s="1">
        <v>49.0</v>
      </c>
      <c r="BE244" s="1" t="s">
        <v>550</v>
      </c>
      <c r="BF244" s="1">
        <v>2025.0</v>
      </c>
      <c r="BG244" s="1" t="s">
        <v>558</v>
      </c>
      <c r="BH244" s="7" t="str">
        <f>VLOOKUP(B244,CookieClicks!D:O,12,FALSE)</f>
        <v>https://signin.method.me/?_gl=1*f1vdpe*_gcl_au*MTIyNzcwOTg4NC4xNzY1NDA0NDg3*_ga*MzEyNDEzODg4LjE3NjU0MDQ0ODc.*_ga_L2HEZNW53E*czE3NjU0MDQ0ODYkbzEkZzAkdDE3NjU0MDQ0ODckajU5JGwwJGgxNjUyMDQ1NjA0&amp;_ga=2.237458944.163206904.1765404487-312413888.1765404487</v>
      </c>
      <c r="BI244" s="8" t="str">
        <f>IFERROR(__xludf.DUMMYFUNCTION("VLOOKUP(REGEXREPLACE(BH244,""[?].*"",""""),ContentBuckets!A:C,2,FALSE)"),"#N/A")</f>
        <v>#N/A</v>
      </c>
      <c r="BJ244" s="8" t="str">
        <f>IFERROR(__xludf.DUMMYFUNCTION("VLOOKUP(REGEXREPLACE(BH244,""[?].*"",""""),ContentBuckets!A:C,3,FALSE)"),"#N/A")</f>
        <v>#N/A</v>
      </c>
    </row>
    <row r="245" ht="14.25" customHeight="1">
      <c r="A245" s="1">
        <v>153423.0</v>
      </c>
      <c r="B245" s="1" t="s">
        <v>921</v>
      </c>
      <c r="C245" s="2">
        <v>46001.7236111111</v>
      </c>
      <c r="D245" s="2"/>
      <c r="E245" s="2"/>
      <c r="F245" s="1" t="b">
        <v>1</v>
      </c>
      <c r="G245" s="4" t="b">
        <v>0</v>
      </c>
      <c r="H245" s="1" t="b">
        <v>0</v>
      </c>
      <c r="I245" s="1" t="b">
        <v>0</v>
      </c>
      <c r="J245" s="1" t="s">
        <v>534</v>
      </c>
      <c r="K245" s="1" t="s">
        <v>566</v>
      </c>
      <c r="L245" s="1" t="s">
        <v>567</v>
      </c>
      <c r="M245" s="1" t="s">
        <v>537</v>
      </c>
      <c r="N245" s="1">
        <v>0.0</v>
      </c>
      <c r="O245" s="1">
        <v>44.25</v>
      </c>
      <c r="P245" s="1">
        <v>0.0</v>
      </c>
      <c r="Q245" s="1">
        <v>0.0</v>
      </c>
      <c r="R245" s="1">
        <v>28.0</v>
      </c>
      <c r="S245" s="1" t="s">
        <v>538</v>
      </c>
      <c r="T245" s="1" t="s">
        <v>539</v>
      </c>
      <c r="V245" s="4">
        <v>7314376.0</v>
      </c>
      <c r="W245" s="4"/>
      <c r="X245" s="4">
        <v>0.0</v>
      </c>
      <c r="Y245" s="1">
        <v>0.0</v>
      </c>
      <c r="Z245" s="1">
        <v>0.0</v>
      </c>
      <c r="AA245" s="1">
        <v>0.0</v>
      </c>
      <c r="AB245" s="1">
        <v>0.0</v>
      </c>
      <c r="AC245" s="1">
        <v>0.0</v>
      </c>
      <c r="AD245" s="1">
        <v>0.0</v>
      </c>
      <c r="AE245" s="1">
        <v>0.0</v>
      </c>
      <c r="AF245" s="1">
        <v>0.0</v>
      </c>
      <c r="AG245" s="1">
        <v>0.0</v>
      </c>
      <c r="AH245" s="1">
        <v>0.0</v>
      </c>
      <c r="AI245" s="1">
        <v>0.0</v>
      </c>
      <c r="AJ245" s="1">
        <v>0.0</v>
      </c>
      <c r="AK245" s="1">
        <v>0.0</v>
      </c>
      <c r="AL245" s="1">
        <v>0.0</v>
      </c>
      <c r="AM245" s="4">
        <v>0.0</v>
      </c>
      <c r="AN245" s="1">
        <v>0.0</v>
      </c>
      <c r="AO245" s="4">
        <v>0.0</v>
      </c>
      <c r="AP245" s="1">
        <f t="shared" si="1"/>
        <v>1</v>
      </c>
      <c r="AR245" s="1" t="s">
        <v>560</v>
      </c>
      <c r="AU245" s="2"/>
      <c r="AV245" s="2">
        <v>46024.0402777778</v>
      </c>
      <c r="AW245" s="1">
        <v>0.0</v>
      </c>
      <c r="AX245" s="1">
        <v>0.0</v>
      </c>
      <c r="AY245" s="1">
        <v>0.0</v>
      </c>
      <c r="AZ245" s="1">
        <v>1.0</v>
      </c>
      <c r="BA245" s="1">
        <v>0.0</v>
      </c>
      <c r="BB245" s="1">
        <v>0.0</v>
      </c>
      <c r="BC245" s="2">
        <v>46001.0</v>
      </c>
      <c r="BD245" s="1">
        <v>49.0</v>
      </c>
      <c r="BE245" s="1" t="s">
        <v>550</v>
      </c>
      <c r="BF245" s="1">
        <v>2025.0</v>
      </c>
      <c r="BG245" s="1" t="s">
        <v>922</v>
      </c>
      <c r="BH245" s="7" t="str">
        <f>VLOOKUP(B245,CookieClicks!D:O,12,FALSE)</f>
        <v>https://signin.method.me/?_gl=1*fjpukq*_gcl_au*MTYzMzM0NTAxNy4xNzY1NDA1MTM5*_ga*MTg4OTc5NzQwMC4xNzY1NDA1MTM5*_ga_L2HEZNW53E*czE3NjU0MDUxMzgkbzEkZzAkdDE3NjU0MDUxMzkkajU5JGwwJGg1MTQwNzgzNDA.&amp;_ga=2.178638308.1182192690.1765405139-1889797400.1765405139</v>
      </c>
      <c r="BI245" s="8" t="str">
        <f>IFERROR(__xludf.DUMMYFUNCTION("VLOOKUP(REGEXREPLACE(BH245,""[?].*"",""""),ContentBuckets!A:C,2,FALSE)"),"#N/A")</f>
        <v>#N/A</v>
      </c>
      <c r="BJ245" s="8" t="str">
        <f>IFERROR(__xludf.DUMMYFUNCTION("VLOOKUP(REGEXREPLACE(BH245,""[?].*"",""""),ContentBuckets!A:C,3,FALSE)"),"#N/A")</f>
        <v>#N/A</v>
      </c>
    </row>
    <row r="246" ht="14.25" customHeight="1">
      <c r="A246" s="1">
        <v>153424.0</v>
      </c>
      <c r="B246" s="1" t="s">
        <v>923</v>
      </c>
      <c r="C246" s="2">
        <v>46001.7284722222</v>
      </c>
      <c r="D246" s="2"/>
      <c r="E246" s="2"/>
      <c r="F246" s="1" t="b">
        <v>1</v>
      </c>
      <c r="G246" s="4" t="b">
        <v>0</v>
      </c>
      <c r="H246" s="1" t="b">
        <v>0</v>
      </c>
      <c r="I246" s="1" t="b">
        <v>0</v>
      </c>
      <c r="J246" s="1" t="s">
        <v>534</v>
      </c>
      <c r="K246" s="1" t="s">
        <v>535</v>
      </c>
      <c r="L246" s="1" t="s">
        <v>536</v>
      </c>
      <c r="M246" s="1" t="s">
        <v>537</v>
      </c>
      <c r="N246" s="1">
        <v>0.0</v>
      </c>
      <c r="O246" s="1">
        <v>53.25</v>
      </c>
      <c r="P246" s="1">
        <v>0.0</v>
      </c>
      <c r="Q246" s="1">
        <v>0.0</v>
      </c>
      <c r="R246" s="1">
        <v>28.0</v>
      </c>
      <c r="S246" s="1" t="s">
        <v>538</v>
      </c>
      <c r="T246" s="1" t="s">
        <v>539</v>
      </c>
      <c r="V246" s="4">
        <v>7313880.0</v>
      </c>
      <c r="W246" s="4"/>
      <c r="X246" s="4">
        <v>1.0</v>
      </c>
      <c r="Y246" s="1">
        <v>0.0</v>
      </c>
      <c r="Z246" s="1">
        <v>0.0</v>
      </c>
      <c r="AA246" s="1">
        <v>0.0</v>
      </c>
      <c r="AB246" s="1">
        <v>0.0</v>
      </c>
      <c r="AC246" s="1">
        <v>0.0</v>
      </c>
      <c r="AD246" s="1">
        <v>0.0</v>
      </c>
      <c r="AE246" s="1">
        <v>0.0</v>
      </c>
      <c r="AF246" s="1">
        <v>0.0</v>
      </c>
      <c r="AG246" s="1">
        <v>0.0</v>
      </c>
      <c r="AH246" s="1">
        <v>0.0</v>
      </c>
      <c r="AI246" s="1">
        <v>0.0</v>
      </c>
      <c r="AJ246" s="1">
        <v>0.0</v>
      </c>
      <c r="AK246" s="1">
        <v>0.0</v>
      </c>
      <c r="AL246" s="1">
        <v>0.0</v>
      </c>
      <c r="AM246" s="4">
        <v>0.0</v>
      </c>
      <c r="AN246" s="1">
        <v>0.0</v>
      </c>
      <c r="AO246" s="4">
        <v>0.0</v>
      </c>
      <c r="AP246" s="1">
        <f t="shared" si="1"/>
        <v>0</v>
      </c>
      <c r="AQ246" s="1" t="s">
        <v>604</v>
      </c>
      <c r="AR246" s="1" t="s">
        <v>542</v>
      </c>
      <c r="AU246" s="2">
        <v>46001.0</v>
      </c>
      <c r="AV246" s="2">
        <v>46023.9861111111</v>
      </c>
      <c r="AW246" s="1">
        <v>0.0</v>
      </c>
      <c r="AX246" s="1">
        <v>4278374.76</v>
      </c>
      <c r="AY246" s="1">
        <v>2068.0</v>
      </c>
      <c r="AZ246" s="1">
        <v>1.0</v>
      </c>
      <c r="BA246" s="1">
        <v>0.0</v>
      </c>
      <c r="BB246" s="1">
        <v>0.0</v>
      </c>
      <c r="BC246" s="2">
        <v>46001.0</v>
      </c>
      <c r="BD246" s="1">
        <v>49.0</v>
      </c>
      <c r="BE246" s="1" t="s">
        <v>550</v>
      </c>
      <c r="BF246" s="1">
        <v>2025.0</v>
      </c>
      <c r="BG246" s="1" t="s">
        <v>605</v>
      </c>
      <c r="BH246" s="7" t="str">
        <f>VLOOKUP(B246,CookieClicks!D:O,12,FALSE)</f>
        <v>https://www.method.me/</v>
      </c>
      <c r="BI246" s="8" t="str">
        <f>IFERROR(__xludf.DUMMYFUNCTION("VLOOKUP(REGEXREPLACE(BH246,""[?].*"",""""),ContentBuckets!A:C,2,FALSE)"),"Homepage")</f>
        <v>Homepage</v>
      </c>
      <c r="BJ246" s="8" t="str">
        <f>IFERROR(__xludf.DUMMYFUNCTION("VLOOKUP(REGEXREPLACE(BH246,""[?].*"",""""),ContentBuckets!A:C,3,FALSE)"),"Other page")</f>
        <v>Other page</v>
      </c>
    </row>
    <row r="247" ht="14.25" customHeight="1">
      <c r="A247" s="1">
        <v>153425.0</v>
      </c>
      <c r="B247" s="1" t="s">
        <v>924</v>
      </c>
      <c r="C247" s="2">
        <v>46001.75625</v>
      </c>
      <c r="D247" s="2"/>
      <c r="E247" s="2"/>
      <c r="F247" s="1" t="b">
        <v>1</v>
      </c>
      <c r="G247" s="4" t="b">
        <v>0</v>
      </c>
      <c r="H247" s="1" t="b">
        <v>0</v>
      </c>
      <c r="I247" s="1" t="b">
        <v>0</v>
      </c>
      <c r="J247" s="1" t="s">
        <v>534</v>
      </c>
      <c r="K247" s="1" t="s">
        <v>535</v>
      </c>
      <c r="L247" s="1" t="s">
        <v>536</v>
      </c>
      <c r="M247" s="1" t="s">
        <v>537</v>
      </c>
      <c r="N247" s="1">
        <v>0.0</v>
      </c>
      <c r="O247" s="1">
        <v>63.75</v>
      </c>
      <c r="P247" s="1">
        <v>0.0</v>
      </c>
      <c r="Q247" s="1">
        <v>0.0</v>
      </c>
      <c r="R247" s="1">
        <v>28.0</v>
      </c>
      <c r="S247" s="1" t="s">
        <v>538</v>
      </c>
      <c r="T247" s="1" t="s">
        <v>539</v>
      </c>
      <c r="V247" s="4">
        <v>7315035.0</v>
      </c>
      <c r="W247" s="4" t="s">
        <v>540</v>
      </c>
      <c r="X247" s="4">
        <v>0.0</v>
      </c>
      <c r="Y247" s="1">
        <v>1.0</v>
      </c>
      <c r="Z247" s="1">
        <v>0.0</v>
      </c>
      <c r="AA247" s="1">
        <v>0.0</v>
      </c>
      <c r="AB247" s="1">
        <v>0.0</v>
      </c>
      <c r="AC247" s="1">
        <v>0.0</v>
      </c>
      <c r="AD247" s="1">
        <v>0.0</v>
      </c>
      <c r="AE247" s="1">
        <v>0.0</v>
      </c>
      <c r="AF247" s="1">
        <v>0.0</v>
      </c>
      <c r="AG247" s="1">
        <v>0.0</v>
      </c>
      <c r="AH247" s="1">
        <v>0.0</v>
      </c>
      <c r="AI247" s="1">
        <v>0.0</v>
      </c>
      <c r="AJ247" s="1">
        <v>0.0</v>
      </c>
      <c r="AK247" s="1">
        <v>0.0</v>
      </c>
      <c r="AL247" s="1">
        <v>0.0</v>
      </c>
      <c r="AM247" s="4">
        <v>0.0</v>
      </c>
      <c r="AN247" s="1">
        <v>0.0</v>
      </c>
      <c r="AO247" s="4">
        <v>0.0</v>
      </c>
      <c r="AP247" s="1">
        <f t="shared" si="1"/>
        <v>0</v>
      </c>
      <c r="AQ247" s="1" t="s">
        <v>557</v>
      </c>
      <c r="AR247" s="1" t="s">
        <v>564</v>
      </c>
      <c r="AT247" s="1" t="s">
        <v>925</v>
      </c>
      <c r="AU247" s="2">
        <v>46001.0</v>
      </c>
      <c r="AV247" s="2">
        <v>46024.0243055556</v>
      </c>
      <c r="AW247" s="1">
        <v>3.0</v>
      </c>
      <c r="AX247" s="1">
        <v>616958.28</v>
      </c>
      <c r="AY247" s="1">
        <v>415.0</v>
      </c>
      <c r="AZ247" s="1">
        <v>1.0</v>
      </c>
      <c r="BA247" s="1">
        <v>0.0</v>
      </c>
      <c r="BB247" s="1">
        <v>0.0</v>
      </c>
      <c r="BC247" s="2">
        <v>46001.0</v>
      </c>
      <c r="BD247" s="1">
        <v>49.0</v>
      </c>
      <c r="BE247" s="1" t="s">
        <v>550</v>
      </c>
      <c r="BF247" s="1">
        <v>2025.0</v>
      </c>
      <c r="BG247" s="1" t="s">
        <v>558</v>
      </c>
      <c r="BH247" s="7" t="str">
        <f>VLOOKUP(B247,CookieClicks!D:O,12,FALSE)</f>
        <v>https://www.method.me/industries/field-service-management-software/</v>
      </c>
      <c r="BI247" s="8" t="str">
        <f>IFERROR(__xludf.DUMMYFUNCTION("VLOOKUP(REGEXREPLACE(BH247,""[?].*"",""""),ContentBuckets!A:C,2,FALSE)"),"Industries page")</f>
        <v>Industries page</v>
      </c>
      <c r="BJ247" s="8" t="str">
        <f>IFERROR(__xludf.DUMMYFUNCTION("VLOOKUP(REGEXREPLACE(BH247,""[?].*"",""""),ContentBuckets!A:C,3,FALSE)"),"Other page")</f>
        <v>Other page</v>
      </c>
    </row>
    <row r="248" ht="14.25" customHeight="1">
      <c r="A248" s="1">
        <v>153426.0</v>
      </c>
      <c r="B248" s="1" t="s">
        <v>926</v>
      </c>
      <c r="C248" s="2">
        <v>46001.7631944444</v>
      </c>
      <c r="D248" s="2">
        <v>46022.5506944444</v>
      </c>
      <c r="E248" s="2"/>
      <c r="F248" s="1" t="b">
        <v>0</v>
      </c>
      <c r="G248" s="4" t="b">
        <v>0</v>
      </c>
      <c r="H248" s="1" t="b">
        <v>0</v>
      </c>
      <c r="I248" s="1" t="b">
        <v>0</v>
      </c>
      <c r="J248" s="1" t="s">
        <v>534</v>
      </c>
      <c r="K248" s="1" t="s">
        <v>535</v>
      </c>
      <c r="L248" s="1" t="s">
        <v>536</v>
      </c>
      <c r="M248" s="1" t="s">
        <v>537</v>
      </c>
      <c r="N248" s="1">
        <v>0.0</v>
      </c>
      <c r="O248" s="1">
        <v>44.25</v>
      </c>
      <c r="P248" s="1">
        <v>0.0</v>
      </c>
      <c r="Q248" s="1">
        <v>0.0</v>
      </c>
      <c r="R248" s="1">
        <v>28.0</v>
      </c>
      <c r="S248" s="1" t="s">
        <v>538</v>
      </c>
      <c r="T248" s="1" t="s">
        <v>539</v>
      </c>
      <c r="V248" s="4">
        <v>7314310.0</v>
      </c>
      <c r="W248" s="4" t="s">
        <v>927</v>
      </c>
      <c r="X248" s="4">
        <v>0.0</v>
      </c>
      <c r="Y248" s="1">
        <v>1.0</v>
      </c>
      <c r="Z248" s="1">
        <v>0.0</v>
      </c>
      <c r="AA248" s="1">
        <v>0.0</v>
      </c>
      <c r="AB248" s="1">
        <v>0.0</v>
      </c>
      <c r="AC248" s="1">
        <v>0.0</v>
      </c>
      <c r="AD248" s="1">
        <v>0.0</v>
      </c>
      <c r="AE248" s="1">
        <v>0.0</v>
      </c>
      <c r="AF248" s="1">
        <v>0.0</v>
      </c>
      <c r="AG248" s="1">
        <v>0.0</v>
      </c>
      <c r="AH248" s="1">
        <v>0.0</v>
      </c>
      <c r="AI248" s="1">
        <v>0.0</v>
      </c>
      <c r="AJ248" s="1">
        <v>0.0</v>
      </c>
      <c r="AK248" s="1">
        <v>0.0</v>
      </c>
      <c r="AL248" s="1">
        <v>0.0</v>
      </c>
      <c r="AM248" s="4">
        <v>0.0</v>
      </c>
      <c r="AN248" s="1">
        <v>0.0</v>
      </c>
      <c r="AO248" s="4">
        <v>0.0</v>
      </c>
      <c r="AP248" s="1">
        <f t="shared" si="1"/>
        <v>0</v>
      </c>
      <c r="AQ248" s="1" t="s">
        <v>557</v>
      </c>
      <c r="AR248" s="1" t="s">
        <v>608</v>
      </c>
      <c r="AU248" s="2">
        <v>46001.0</v>
      </c>
      <c r="AV248" s="2">
        <v>46022.0180555556</v>
      </c>
      <c r="AW248" s="1">
        <v>0.0</v>
      </c>
      <c r="AX248" s="1">
        <v>0.0</v>
      </c>
      <c r="AY248" s="1">
        <v>3.0</v>
      </c>
      <c r="AZ248" s="1">
        <v>1.0</v>
      </c>
      <c r="BA248" s="1">
        <v>0.0</v>
      </c>
      <c r="BB248" s="1">
        <v>0.0</v>
      </c>
      <c r="BC248" s="2">
        <v>46001.0</v>
      </c>
      <c r="BD248" s="1">
        <v>49.0</v>
      </c>
      <c r="BE248" s="1" t="s">
        <v>550</v>
      </c>
      <c r="BF248" s="1">
        <v>2025.0</v>
      </c>
      <c r="BG248" s="1" t="s">
        <v>558</v>
      </c>
      <c r="BH248" s="7" t="str">
        <f>VLOOKUP(B248,CookieClicks!D:O,12,FALSE)</f>
        <v>https://www.method.me/</v>
      </c>
      <c r="BI248" s="8" t="str">
        <f>IFERROR(__xludf.DUMMYFUNCTION("VLOOKUP(REGEXREPLACE(BH248,""[?].*"",""""),ContentBuckets!A:C,2,FALSE)"),"Homepage")</f>
        <v>Homepage</v>
      </c>
      <c r="BJ248" s="8" t="str">
        <f>IFERROR(__xludf.DUMMYFUNCTION("VLOOKUP(REGEXREPLACE(BH248,""[?].*"",""""),ContentBuckets!A:C,3,FALSE)"),"Other page")</f>
        <v>Other page</v>
      </c>
    </row>
    <row r="249" ht="14.25" customHeight="1">
      <c r="A249" s="1">
        <v>153427.0</v>
      </c>
      <c r="B249" s="1" t="s">
        <v>928</v>
      </c>
      <c r="C249" s="2">
        <v>46001.8208333333</v>
      </c>
      <c r="D249" s="2">
        <v>46003.5</v>
      </c>
      <c r="E249" s="2"/>
      <c r="F249" s="1" t="b">
        <v>0</v>
      </c>
      <c r="G249" s="4" t="b">
        <v>0</v>
      </c>
      <c r="H249" s="1" t="b">
        <v>0</v>
      </c>
      <c r="I249" s="1" t="b">
        <v>0</v>
      </c>
      <c r="J249" s="1" t="s">
        <v>534</v>
      </c>
      <c r="K249" s="1" t="s">
        <v>553</v>
      </c>
      <c r="L249" s="1" t="s">
        <v>554</v>
      </c>
      <c r="M249" s="1" t="s">
        <v>537</v>
      </c>
      <c r="N249" s="1">
        <v>0.0</v>
      </c>
      <c r="O249" s="1">
        <v>44.25</v>
      </c>
      <c r="P249" s="1">
        <v>0.0</v>
      </c>
      <c r="Q249" s="1">
        <v>0.0</v>
      </c>
      <c r="R249" s="1">
        <v>28.0</v>
      </c>
      <c r="S249" s="1" t="s">
        <v>538</v>
      </c>
      <c r="T249" s="1" t="s">
        <v>539</v>
      </c>
      <c r="V249" s="4">
        <v>7279273.0</v>
      </c>
      <c r="W249" s="4" t="s">
        <v>540</v>
      </c>
      <c r="X249" s="4">
        <v>0.0</v>
      </c>
      <c r="Y249" s="1">
        <v>1.0</v>
      </c>
      <c r="Z249" s="1">
        <v>0.0</v>
      </c>
      <c r="AA249" s="1">
        <v>0.0</v>
      </c>
      <c r="AB249" s="1">
        <v>0.0</v>
      </c>
      <c r="AC249" s="1">
        <v>0.0</v>
      </c>
      <c r="AD249" s="1">
        <v>0.0</v>
      </c>
      <c r="AE249" s="1">
        <v>0.0</v>
      </c>
      <c r="AF249" s="1">
        <v>0.0</v>
      </c>
      <c r="AG249" s="1">
        <v>0.0</v>
      </c>
      <c r="AH249" s="1">
        <v>0.0</v>
      </c>
      <c r="AI249" s="1">
        <v>0.0</v>
      </c>
      <c r="AJ249" s="1">
        <v>0.0</v>
      </c>
      <c r="AK249" s="1">
        <v>0.0</v>
      </c>
      <c r="AL249" s="1">
        <v>0.0</v>
      </c>
      <c r="AM249" s="4">
        <v>0.0</v>
      </c>
      <c r="AN249" s="1">
        <v>0.0</v>
      </c>
      <c r="AO249" s="4">
        <v>0.0</v>
      </c>
      <c r="AP249" s="1">
        <f t="shared" si="1"/>
        <v>0</v>
      </c>
      <c r="AR249" s="1" t="s">
        <v>542</v>
      </c>
      <c r="AU249" s="2"/>
      <c r="AV249" s="2">
        <v>46003.0444444444</v>
      </c>
      <c r="AW249" s="1">
        <v>0.0</v>
      </c>
      <c r="AX249" s="1">
        <v>0.0</v>
      </c>
      <c r="AY249" s="1">
        <v>0.0</v>
      </c>
      <c r="AZ249" s="1">
        <v>1.0</v>
      </c>
      <c r="BA249" s="1">
        <v>0.0</v>
      </c>
      <c r="BB249" s="1">
        <v>0.0</v>
      </c>
      <c r="BC249" s="2">
        <v>46001.0</v>
      </c>
      <c r="BD249" s="1">
        <v>49.0</v>
      </c>
      <c r="BE249" s="1" t="s">
        <v>550</v>
      </c>
      <c r="BF249" s="1">
        <v>2025.0</v>
      </c>
      <c r="BG249" s="1" t="s">
        <v>558</v>
      </c>
      <c r="BH249" s="7" t="str">
        <f>VLOOKUP(B249,CookieClicks!D:O,12,FALSE)</f>
        <v>https://www.method.me/crm-quickbooks/pricing/</v>
      </c>
      <c r="BI249" s="8" t="str">
        <f>IFERROR(__xludf.DUMMYFUNCTION("VLOOKUP(REGEXREPLACE(BH249,""[?].*"",""""),ContentBuckets!A:C,2,FALSE)"),"/crm-quickbooks/")</f>
        <v>/crm-quickbooks/</v>
      </c>
      <c r="BJ249" s="8" t="str">
        <f>IFERROR(__xludf.DUMMYFUNCTION("VLOOKUP(REGEXREPLACE(BH249,""[?].*"",""""),ContentBuckets!A:C,3,FALSE)"),"Other page")</f>
        <v>Other page</v>
      </c>
    </row>
    <row r="250" ht="14.25" customHeight="1">
      <c r="A250" s="1">
        <v>153428.0</v>
      </c>
      <c r="B250" s="1" t="s">
        <v>929</v>
      </c>
      <c r="C250" s="2">
        <v>46001.8631944444</v>
      </c>
      <c r="D250" s="2"/>
      <c r="E250" s="2"/>
      <c r="F250" s="1" t="b">
        <v>1</v>
      </c>
      <c r="G250" s="4" t="b">
        <v>0</v>
      </c>
      <c r="H250" s="1" t="b">
        <v>0</v>
      </c>
      <c r="I250" s="1" t="b">
        <v>0</v>
      </c>
      <c r="J250" s="1" t="s">
        <v>534</v>
      </c>
      <c r="K250" s="1" t="s">
        <v>622</v>
      </c>
      <c r="L250" s="1" t="s">
        <v>623</v>
      </c>
      <c r="M250" s="1" t="s">
        <v>537</v>
      </c>
      <c r="N250" s="1">
        <v>0.0</v>
      </c>
      <c r="O250" s="1">
        <v>106.5</v>
      </c>
      <c r="P250" s="1">
        <v>0.0</v>
      </c>
      <c r="Q250" s="1">
        <v>0.0</v>
      </c>
      <c r="R250" s="1">
        <v>28.0</v>
      </c>
      <c r="S250" s="1" t="s">
        <v>538</v>
      </c>
      <c r="T250" s="1" t="s">
        <v>539</v>
      </c>
      <c r="V250" s="4">
        <v>7317257.0</v>
      </c>
      <c r="W250" s="4" t="s">
        <v>540</v>
      </c>
      <c r="X250" s="4">
        <v>0.0</v>
      </c>
      <c r="Y250" s="1">
        <v>1.0</v>
      </c>
      <c r="Z250" s="1">
        <v>0.0</v>
      </c>
      <c r="AA250" s="1">
        <v>0.0</v>
      </c>
      <c r="AB250" s="1">
        <v>0.0</v>
      </c>
      <c r="AC250" s="1">
        <v>0.0</v>
      </c>
      <c r="AD250" s="1">
        <v>0.0</v>
      </c>
      <c r="AE250" s="1">
        <v>0.0</v>
      </c>
      <c r="AF250" s="1">
        <v>0.0</v>
      </c>
      <c r="AG250" s="1">
        <v>0.0</v>
      </c>
      <c r="AH250" s="1">
        <v>0.0</v>
      </c>
      <c r="AI250" s="1">
        <v>0.0</v>
      </c>
      <c r="AJ250" s="1">
        <v>0.0</v>
      </c>
      <c r="AK250" s="1">
        <v>0.0</v>
      </c>
      <c r="AL250" s="1">
        <v>0.0</v>
      </c>
      <c r="AM250" s="4">
        <v>0.0</v>
      </c>
      <c r="AN250" s="1">
        <v>0.0</v>
      </c>
      <c r="AO250" s="4">
        <v>0.0</v>
      </c>
      <c r="AP250" s="1">
        <f t="shared" si="1"/>
        <v>0</v>
      </c>
      <c r="AQ250" s="1" t="s">
        <v>930</v>
      </c>
      <c r="AR250" s="1" t="s">
        <v>571</v>
      </c>
      <c r="AU250" s="2">
        <v>46015.0</v>
      </c>
      <c r="AV250" s="2">
        <v>46024.0173611111</v>
      </c>
      <c r="AW250" s="1">
        <v>0.0</v>
      </c>
      <c r="AX250" s="1">
        <v>63304.8</v>
      </c>
      <c r="AY250" s="1">
        <v>34.0</v>
      </c>
      <c r="AZ250" s="1">
        <v>2.0</v>
      </c>
      <c r="BA250" s="1">
        <v>0.0</v>
      </c>
      <c r="BB250" s="1">
        <v>0.0</v>
      </c>
      <c r="BC250" s="2">
        <v>46001.0</v>
      </c>
      <c r="BD250" s="1">
        <v>49.0</v>
      </c>
      <c r="BE250" s="1" t="s">
        <v>550</v>
      </c>
      <c r="BF250" s="1">
        <v>2025.0</v>
      </c>
      <c r="BG250" s="1" t="s">
        <v>931</v>
      </c>
      <c r="BH250" s="7" t="str">
        <f>VLOOKUP(B250,CookieClicks!D:O,12,FALSE)</f>
        <v>https://www.method.me/contact-us/?trc=180&amp;trk=contact-us&amp;trs=gmb-profile&amp;utm_source=seo&amp;utm_medium=google&amp;utm_campaign=my-business-profile</v>
      </c>
      <c r="BI250" s="8" t="str">
        <f>IFERROR(__xludf.DUMMYFUNCTION("VLOOKUP(REGEXREPLACE(BH250,""[?].*"",""""),ContentBuckets!A:C,2,FALSE)"),"Other page")</f>
        <v>Other page</v>
      </c>
      <c r="BJ250" s="8" t="str">
        <f>IFERROR(__xludf.DUMMYFUNCTION("VLOOKUP(REGEXREPLACE(BH250,""[?].*"",""""),ContentBuckets!A:C,3,FALSE)"),"Other page")</f>
        <v>Other page</v>
      </c>
    </row>
    <row r="251" ht="14.25" customHeight="1">
      <c r="A251" s="1">
        <v>153429.0</v>
      </c>
      <c r="B251" s="1" t="s">
        <v>932</v>
      </c>
      <c r="C251" s="2">
        <v>46001.8777777778</v>
      </c>
      <c r="D251" s="2"/>
      <c r="E251" s="2"/>
      <c r="F251" s="1" t="b">
        <v>1</v>
      </c>
      <c r="G251" s="4" t="b">
        <v>0</v>
      </c>
      <c r="H251" s="1" t="b">
        <v>0</v>
      </c>
      <c r="I251" s="1" t="b">
        <v>0</v>
      </c>
      <c r="J251" s="1" t="s">
        <v>534</v>
      </c>
      <c r="K251" s="1" t="s">
        <v>535</v>
      </c>
      <c r="L251" s="1" t="s">
        <v>536</v>
      </c>
      <c r="M251" s="1" t="s">
        <v>537</v>
      </c>
      <c r="N251" s="1">
        <v>0.0</v>
      </c>
      <c r="O251" s="1">
        <v>44.25</v>
      </c>
      <c r="P251" s="1">
        <v>0.0</v>
      </c>
      <c r="Q251" s="1">
        <v>0.0</v>
      </c>
      <c r="R251" s="1">
        <v>28.0</v>
      </c>
      <c r="S251" s="1" t="s">
        <v>538</v>
      </c>
      <c r="T251" s="1" t="s">
        <v>539</v>
      </c>
      <c r="V251" s="4">
        <v>7317606.0</v>
      </c>
      <c r="W251" s="4" t="s">
        <v>540</v>
      </c>
      <c r="X251" s="4">
        <v>0.0</v>
      </c>
      <c r="Y251" s="1">
        <v>1.0</v>
      </c>
      <c r="Z251" s="1">
        <v>0.0</v>
      </c>
      <c r="AA251" s="1">
        <v>0.0</v>
      </c>
      <c r="AB251" s="1">
        <v>0.0</v>
      </c>
      <c r="AC251" s="1">
        <v>0.0</v>
      </c>
      <c r="AD251" s="1">
        <v>0.0</v>
      </c>
      <c r="AE251" s="1">
        <v>0.0</v>
      </c>
      <c r="AF251" s="1">
        <v>0.0</v>
      </c>
      <c r="AG251" s="1">
        <v>0.0</v>
      </c>
      <c r="AH251" s="1">
        <v>0.0</v>
      </c>
      <c r="AI251" s="1">
        <v>0.0</v>
      </c>
      <c r="AJ251" s="1">
        <v>0.0</v>
      </c>
      <c r="AK251" s="1">
        <v>0.0</v>
      </c>
      <c r="AL251" s="1">
        <v>0.0</v>
      </c>
      <c r="AM251" s="4">
        <v>0.0</v>
      </c>
      <c r="AN251" s="1">
        <v>0.0</v>
      </c>
      <c r="AO251" s="4">
        <v>0.0</v>
      </c>
      <c r="AP251" s="1">
        <f t="shared" si="1"/>
        <v>0</v>
      </c>
      <c r="AR251" s="1" t="s">
        <v>542</v>
      </c>
      <c r="AU251" s="2"/>
      <c r="AV251" s="2">
        <v>46023.9951388889</v>
      </c>
      <c r="AW251" s="1">
        <v>0.0</v>
      </c>
      <c r="AX251" s="1">
        <v>0.0</v>
      </c>
      <c r="AY251" s="1">
        <v>0.0</v>
      </c>
      <c r="AZ251" s="1">
        <v>1.0</v>
      </c>
      <c r="BA251" s="1">
        <v>0.0</v>
      </c>
      <c r="BB251" s="1">
        <v>0.0</v>
      </c>
      <c r="BC251" s="2">
        <v>46001.0</v>
      </c>
      <c r="BD251" s="1">
        <v>49.0</v>
      </c>
      <c r="BE251" s="1" t="s">
        <v>550</v>
      </c>
      <c r="BF251" s="1">
        <v>2025.0</v>
      </c>
      <c r="BG251" s="1" t="s">
        <v>558</v>
      </c>
      <c r="BH251" s="7" t="str">
        <f>VLOOKUP(B251,CookieClicks!D:O,12,FALSE)</f>
        <v>https://www.method.me/resources/how-to-create-an-invoice-in-quickbooks/</v>
      </c>
      <c r="BI251" s="8" t="str">
        <f>IFERROR(__xludf.DUMMYFUNCTION("VLOOKUP(REGEXREPLACE(BH251,""[?].*"",""""),ContentBuckets!A:C,2,FALSE)"),"QuickBooks - How-to")</f>
        <v>QuickBooks - How-to</v>
      </c>
      <c r="BJ251" s="8" t="str">
        <f>IFERROR(__xludf.DUMMYFUNCTION("VLOOKUP(REGEXREPLACE(BH251,""[?].*"",""""),ContentBuckets!A:C,3,FALSE)"),"Guide")</f>
        <v>Guide</v>
      </c>
    </row>
    <row r="252" ht="14.25" customHeight="1">
      <c r="A252" s="1">
        <v>153430.0</v>
      </c>
      <c r="B252" s="1" t="s">
        <v>933</v>
      </c>
      <c r="C252" s="2">
        <v>46001.8784722222</v>
      </c>
      <c r="D252" s="2">
        <v>46007.38125</v>
      </c>
      <c r="E252" s="2"/>
      <c r="F252" s="1" t="b">
        <v>0</v>
      </c>
      <c r="G252" s="4" t="b">
        <v>0</v>
      </c>
      <c r="H252" s="1" t="b">
        <v>0</v>
      </c>
      <c r="I252" s="1" t="b">
        <v>0</v>
      </c>
      <c r="J252" s="1" t="s">
        <v>534</v>
      </c>
      <c r="K252" s="1" t="s">
        <v>535</v>
      </c>
      <c r="L252" s="1" t="s">
        <v>536</v>
      </c>
      <c r="M252" s="1" t="s">
        <v>537</v>
      </c>
      <c r="N252" s="1">
        <v>0.0</v>
      </c>
      <c r="O252" s="1">
        <v>44.25</v>
      </c>
      <c r="P252" s="1">
        <v>0.0</v>
      </c>
      <c r="Q252" s="1">
        <v>0.0</v>
      </c>
      <c r="R252" s="1">
        <v>28.0</v>
      </c>
      <c r="S252" s="1" t="s">
        <v>538</v>
      </c>
      <c r="T252" s="1" t="s">
        <v>539</v>
      </c>
      <c r="V252" s="4">
        <v>0.0</v>
      </c>
      <c r="W252" s="4"/>
      <c r="X252" s="4">
        <v>0.0</v>
      </c>
      <c r="Y252" s="1">
        <v>0.0</v>
      </c>
      <c r="Z252" s="1">
        <v>0.0</v>
      </c>
      <c r="AA252" s="1">
        <v>0.0</v>
      </c>
      <c r="AB252" s="1">
        <v>0.0</v>
      </c>
      <c r="AC252" s="1">
        <v>0.0</v>
      </c>
      <c r="AD252" s="1">
        <v>0.0</v>
      </c>
      <c r="AE252" s="1">
        <v>0.0</v>
      </c>
      <c r="AF252" s="1">
        <v>0.0</v>
      </c>
      <c r="AG252" s="1">
        <v>0.0</v>
      </c>
      <c r="AH252" s="1">
        <v>0.0</v>
      </c>
      <c r="AI252" s="1">
        <v>0.0</v>
      </c>
      <c r="AJ252" s="1">
        <v>0.0</v>
      </c>
      <c r="AK252" s="1">
        <v>0.0</v>
      </c>
      <c r="AL252" s="1">
        <v>0.0</v>
      </c>
      <c r="AM252" s="4">
        <v>0.0</v>
      </c>
      <c r="AN252" s="1">
        <v>0.0</v>
      </c>
      <c r="AO252" s="4">
        <v>0.0</v>
      </c>
      <c r="AP252" s="1">
        <f t="shared" si="1"/>
        <v>1</v>
      </c>
      <c r="AQ252" s="1" t="s">
        <v>541</v>
      </c>
      <c r="AR252" s="1" t="s">
        <v>591</v>
      </c>
      <c r="AT252" s="1" t="s">
        <v>934</v>
      </c>
      <c r="AU252" s="2">
        <v>46001.0</v>
      </c>
      <c r="AV252" s="2">
        <v>46007.0180555556</v>
      </c>
      <c r="AW252" s="1">
        <v>0.0</v>
      </c>
      <c r="AX252" s="1">
        <v>1200.0</v>
      </c>
      <c r="AY252" s="1">
        <v>1.0</v>
      </c>
      <c r="AZ252" s="1">
        <v>1.0</v>
      </c>
      <c r="BA252" s="1">
        <v>0.0</v>
      </c>
      <c r="BB252" s="1">
        <v>2.0</v>
      </c>
      <c r="BC252" s="2">
        <v>46001.0</v>
      </c>
      <c r="BD252" s="1">
        <v>49.0</v>
      </c>
      <c r="BE252" s="1" t="s">
        <v>550</v>
      </c>
      <c r="BF252" s="1">
        <v>2025.0</v>
      </c>
      <c r="BH252" s="1" t="str">
        <f>VLOOKUP(B252,CookieClicks!D:O,12,FALSE)</f>
        <v>#N/A</v>
      </c>
      <c r="BI252" s="8" t="str">
        <f>IFERROR(__xludf.DUMMYFUNCTION("VLOOKUP(REGEXREPLACE(BH252,""[?].*"",""""),ContentBuckets!A:C,2,FALSE)"),"#N/A")</f>
        <v>#N/A</v>
      </c>
      <c r="BJ252" s="8" t="str">
        <f>IFERROR(__xludf.DUMMYFUNCTION("VLOOKUP(REGEXREPLACE(BH252,""[?].*"",""""),ContentBuckets!A:C,3,FALSE)"),"#N/A")</f>
        <v>#N/A</v>
      </c>
    </row>
    <row r="253" ht="14.25" customHeight="1">
      <c r="A253" s="1">
        <v>153431.0</v>
      </c>
      <c r="B253" s="1" t="s">
        <v>935</v>
      </c>
      <c r="C253" s="2">
        <v>46001.9048611111</v>
      </c>
      <c r="D253" s="2"/>
      <c r="E253" s="2"/>
      <c r="F253" s="1" t="b">
        <v>1</v>
      </c>
      <c r="G253" s="4" t="b">
        <v>0</v>
      </c>
      <c r="H253" s="1" t="b">
        <v>0</v>
      </c>
      <c r="I253" s="1" t="b">
        <v>0</v>
      </c>
      <c r="J253" s="1" t="s">
        <v>534</v>
      </c>
      <c r="K253" s="1" t="s">
        <v>622</v>
      </c>
      <c r="L253" s="1" t="s">
        <v>623</v>
      </c>
      <c r="M253" s="1" t="s">
        <v>537</v>
      </c>
      <c r="N253" s="1">
        <v>0.0</v>
      </c>
      <c r="O253" s="1">
        <v>87.0</v>
      </c>
      <c r="P253" s="1">
        <v>0.0</v>
      </c>
      <c r="Q253" s="1">
        <v>0.0</v>
      </c>
      <c r="R253" s="1">
        <v>28.0</v>
      </c>
      <c r="S253" s="1" t="s">
        <v>538</v>
      </c>
      <c r="T253" s="1" t="s">
        <v>539</v>
      </c>
      <c r="V253" s="4">
        <v>7317426.0</v>
      </c>
      <c r="W253" s="4" t="s">
        <v>540</v>
      </c>
      <c r="X253" s="4">
        <v>0.0</v>
      </c>
      <c r="Y253" s="1">
        <v>1.0</v>
      </c>
      <c r="Z253" s="1">
        <v>0.0</v>
      </c>
      <c r="AA253" s="1">
        <v>0.0</v>
      </c>
      <c r="AB253" s="1">
        <v>0.0</v>
      </c>
      <c r="AC253" s="1">
        <v>0.0</v>
      </c>
      <c r="AD253" s="1">
        <v>0.0</v>
      </c>
      <c r="AE253" s="1">
        <v>0.0</v>
      </c>
      <c r="AF253" s="1">
        <v>0.0</v>
      </c>
      <c r="AG253" s="1">
        <v>0.0</v>
      </c>
      <c r="AH253" s="1">
        <v>0.0</v>
      </c>
      <c r="AI253" s="1">
        <v>0.0</v>
      </c>
      <c r="AJ253" s="1">
        <v>0.0</v>
      </c>
      <c r="AK253" s="1">
        <v>0.0</v>
      </c>
      <c r="AL253" s="1">
        <v>0.0</v>
      </c>
      <c r="AM253" s="4">
        <v>0.0</v>
      </c>
      <c r="AN253" s="1">
        <v>0.0</v>
      </c>
      <c r="AO253" s="4">
        <v>0.0</v>
      </c>
      <c r="AP253" s="1">
        <f t="shared" si="1"/>
        <v>0</v>
      </c>
      <c r="AQ253" s="1" t="s">
        <v>930</v>
      </c>
      <c r="AR253" s="1" t="s">
        <v>571</v>
      </c>
      <c r="AU253" s="2">
        <v>46002.0</v>
      </c>
      <c r="AV253" s="2">
        <v>46024.0020833333</v>
      </c>
      <c r="AW253" s="1">
        <v>0.0</v>
      </c>
      <c r="AX253" s="1">
        <v>65427.0</v>
      </c>
      <c r="AY253" s="1">
        <v>14.0</v>
      </c>
      <c r="AZ253" s="1">
        <v>2.0</v>
      </c>
      <c r="BA253" s="1">
        <v>0.0</v>
      </c>
      <c r="BB253" s="1">
        <v>1.0</v>
      </c>
      <c r="BC253" s="2">
        <v>46001.0</v>
      </c>
      <c r="BD253" s="1">
        <v>49.0</v>
      </c>
      <c r="BE253" s="1" t="s">
        <v>550</v>
      </c>
      <c r="BF253" s="1">
        <v>2025.0</v>
      </c>
      <c r="BG253" s="1" t="s">
        <v>931</v>
      </c>
      <c r="BH253" s="7" t="str">
        <f>VLOOKUP(B253,CookieClicks!D:O,12,FALSE)</f>
        <v>https://www.method.me/</v>
      </c>
      <c r="BI253" s="8" t="str">
        <f>IFERROR(__xludf.DUMMYFUNCTION("VLOOKUP(REGEXREPLACE(BH253,""[?].*"",""""),ContentBuckets!A:C,2,FALSE)"),"Homepage")</f>
        <v>Homepage</v>
      </c>
      <c r="BJ253" s="8" t="str">
        <f>IFERROR(__xludf.DUMMYFUNCTION("VLOOKUP(REGEXREPLACE(BH253,""[?].*"",""""),ContentBuckets!A:C,3,FALSE)"),"Other page")</f>
        <v>Other page</v>
      </c>
    </row>
    <row r="254" ht="14.25" customHeight="1">
      <c r="A254" s="1">
        <v>153432.0</v>
      </c>
      <c r="B254" s="1" t="s">
        <v>936</v>
      </c>
      <c r="C254" s="2">
        <v>46001.9555555556</v>
      </c>
      <c r="D254" s="2"/>
      <c r="E254" s="2"/>
      <c r="F254" s="1" t="b">
        <v>1</v>
      </c>
      <c r="G254" s="4" t="b">
        <v>0</v>
      </c>
      <c r="H254" s="1" t="b">
        <v>0</v>
      </c>
      <c r="I254" s="1" t="b">
        <v>0</v>
      </c>
      <c r="J254" s="1" t="s">
        <v>534</v>
      </c>
      <c r="K254" s="1" t="s">
        <v>535</v>
      </c>
      <c r="L254" s="1" t="s">
        <v>536</v>
      </c>
      <c r="M254" s="1" t="s">
        <v>537</v>
      </c>
      <c r="N254" s="1">
        <v>0.0</v>
      </c>
      <c r="O254" s="1">
        <v>70.5</v>
      </c>
      <c r="P254" s="1">
        <v>0.0</v>
      </c>
      <c r="Q254" s="1">
        <v>0.0</v>
      </c>
      <c r="R254" s="1">
        <v>28.0</v>
      </c>
      <c r="S254" s="1" t="s">
        <v>538</v>
      </c>
      <c r="T254" s="1" t="s">
        <v>539</v>
      </c>
      <c r="V254" s="4">
        <v>7318996.0</v>
      </c>
      <c r="W254" s="4"/>
      <c r="X254" s="4">
        <v>1.0</v>
      </c>
      <c r="Y254" s="1">
        <v>0.0</v>
      </c>
      <c r="Z254" s="1">
        <v>0.0</v>
      </c>
      <c r="AA254" s="1">
        <v>0.0</v>
      </c>
      <c r="AB254" s="1">
        <v>0.0</v>
      </c>
      <c r="AC254" s="1">
        <v>0.0</v>
      </c>
      <c r="AD254" s="1">
        <v>0.0</v>
      </c>
      <c r="AE254" s="1">
        <v>0.0</v>
      </c>
      <c r="AF254" s="1">
        <v>0.0</v>
      </c>
      <c r="AG254" s="1">
        <v>0.0</v>
      </c>
      <c r="AH254" s="1">
        <v>0.0</v>
      </c>
      <c r="AI254" s="1">
        <v>0.0</v>
      </c>
      <c r="AJ254" s="1">
        <v>0.0</v>
      </c>
      <c r="AK254" s="1">
        <v>0.0</v>
      </c>
      <c r="AL254" s="1">
        <v>0.0</v>
      </c>
      <c r="AM254" s="4">
        <v>0.0</v>
      </c>
      <c r="AN254" s="1">
        <v>0.0</v>
      </c>
      <c r="AO254" s="4">
        <v>0.0</v>
      </c>
      <c r="AP254" s="1">
        <f t="shared" si="1"/>
        <v>0</v>
      </c>
      <c r="AQ254" s="1" t="s">
        <v>541</v>
      </c>
      <c r="AR254" s="1" t="s">
        <v>564</v>
      </c>
      <c r="AU254" s="2">
        <v>46001.0</v>
      </c>
      <c r="AV254" s="2">
        <v>46023.9951388889</v>
      </c>
      <c r="AW254" s="1">
        <v>0.0</v>
      </c>
      <c r="AX254" s="1">
        <v>51660.0</v>
      </c>
      <c r="AY254" s="1">
        <v>13.0</v>
      </c>
      <c r="AZ254" s="1">
        <v>2.0</v>
      </c>
      <c r="BA254" s="1">
        <v>0.0</v>
      </c>
      <c r="BB254" s="1">
        <v>0.0</v>
      </c>
      <c r="BC254" s="2">
        <v>46001.0</v>
      </c>
      <c r="BD254" s="1">
        <v>49.0</v>
      </c>
      <c r="BE254" s="1" t="s">
        <v>550</v>
      </c>
      <c r="BF254" s="1">
        <v>2025.0</v>
      </c>
      <c r="BG254" s="1" t="s">
        <v>546</v>
      </c>
      <c r="BH254" s="7" t="str">
        <f>VLOOKUP(B254,CookieClicks!D:O,12,FALSE)</f>
        <v>http://signup.method.me/methodcrm/</v>
      </c>
      <c r="BI254" s="8" t="str">
        <f>IFERROR(__xludf.DUMMYFUNCTION("VLOOKUP(REGEXREPLACE(BH254,""[?].*"",""""),ContentBuckets!A:C,2,FALSE)"),"#N/A")</f>
        <v>#N/A</v>
      </c>
      <c r="BJ254" s="8" t="str">
        <f>IFERROR(__xludf.DUMMYFUNCTION("VLOOKUP(REGEXREPLACE(BH254,""[?].*"",""""),ContentBuckets!A:C,3,FALSE)"),"#N/A")</f>
        <v>#N/A</v>
      </c>
    </row>
    <row r="255" ht="14.25" customHeight="1">
      <c r="A255" s="1">
        <v>153433.0</v>
      </c>
      <c r="B255" s="1" t="s">
        <v>937</v>
      </c>
      <c r="C255" s="2">
        <v>46002.1013888889</v>
      </c>
      <c r="D255" s="2"/>
      <c r="E255" s="2"/>
      <c r="F255" s="1" t="b">
        <v>1</v>
      </c>
      <c r="G255" s="4" t="b">
        <v>0</v>
      </c>
      <c r="H255" s="1" t="b">
        <v>0</v>
      </c>
      <c r="I255" s="1" t="b">
        <v>0</v>
      </c>
      <c r="J255" s="1" t="s">
        <v>534</v>
      </c>
      <c r="K255" s="1" t="s">
        <v>622</v>
      </c>
      <c r="L255" s="1" t="s">
        <v>623</v>
      </c>
      <c r="M255" s="1" t="s">
        <v>537</v>
      </c>
      <c r="N255" s="1">
        <v>0.0</v>
      </c>
      <c r="O255" s="1">
        <v>62.25</v>
      </c>
      <c r="P255" s="1">
        <v>0.0</v>
      </c>
      <c r="Q255" s="1">
        <v>0.0</v>
      </c>
      <c r="R255" s="1">
        <v>28.0</v>
      </c>
      <c r="S255" s="1" t="s">
        <v>538</v>
      </c>
      <c r="T255" s="1" t="s">
        <v>539</v>
      </c>
      <c r="V255" s="4">
        <v>7321521.0</v>
      </c>
      <c r="W255" s="4"/>
      <c r="X255" s="4">
        <v>0.0</v>
      </c>
      <c r="Y255" s="1">
        <v>0.0</v>
      </c>
      <c r="Z255" s="1">
        <v>0.0</v>
      </c>
      <c r="AA255" s="1">
        <v>1.0</v>
      </c>
      <c r="AB255" s="1">
        <v>0.0</v>
      </c>
      <c r="AC255" s="1">
        <v>0.0</v>
      </c>
      <c r="AD255" s="1">
        <v>0.0</v>
      </c>
      <c r="AE255" s="1">
        <v>0.0</v>
      </c>
      <c r="AF255" s="1">
        <v>0.0</v>
      </c>
      <c r="AG255" s="1">
        <v>0.0</v>
      </c>
      <c r="AH255" s="1">
        <v>0.0</v>
      </c>
      <c r="AI255" s="1">
        <v>0.0</v>
      </c>
      <c r="AJ255" s="1">
        <v>0.0</v>
      </c>
      <c r="AK255" s="1">
        <v>0.0</v>
      </c>
      <c r="AL255" s="1">
        <v>0.0</v>
      </c>
      <c r="AM255" s="4">
        <v>0.0</v>
      </c>
      <c r="AN255" s="1">
        <v>0.0</v>
      </c>
      <c r="AO255" s="4">
        <v>0.0</v>
      </c>
      <c r="AP255" s="1">
        <f t="shared" si="1"/>
        <v>0</v>
      </c>
      <c r="AR255" s="1" t="s">
        <v>857</v>
      </c>
      <c r="AU255" s="2"/>
      <c r="AV255" s="2">
        <v>46024.0069444444</v>
      </c>
      <c r="AW255" s="1">
        <v>0.0</v>
      </c>
      <c r="AX255" s="1">
        <v>0.0</v>
      </c>
      <c r="AY255" s="1">
        <v>0.0</v>
      </c>
      <c r="AZ255" s="1">
        <v>1.0</v>
      </c>
      <c r="BA255" s="1">
        <v>0.0</v>
      </c>
      <c r="BB255" s="1">
        <v>0.0</v>
      </c>
      <c r="BC255" s="2">
        <v>46002.0</v>
      </c>
      <c r="BD255" s="1">
        <v>49.0</v>
      </c>
      <c r="BE255" s="1" t="s">
        <v>550</v>
      </c>
      <c r="BF255" s="1">
        <v>2025.0</v>
      </c>
      <c r="BG255" s="1" t="s">
        <v>558</v>
      </c>
      <c r="BH255" s="7" t="str">
        <f>VLOOKUP(B255,CookieClicks!D:O,12,FALSE)</f>
        <v>https://www.method.me/features/xero/estimates/?trc=81&amp;trk=&amp;trs=USA-DSA-QB&amp;campaignid=13038312612&amp;adgroupid=128764620688&amp;adid=776781070272&amp;gad_source=1&amp;gad_campaignid=13038312612&amp;gbraid=0AAAAAD3ItnYw1GLY5ikz-2em7Ug-tAiSm&amp;gclid=CjwKCAiA0eTJBhBaEiwA-Pa-hZ6HKNY_YqB9ceOWzfFvXWOH9VvuDC0owEQsCRk6In0l91LiD9wTwxoCGjwQAvD_BwE</v>
      </c>
      <c r="BI255" s="8" t="str">
        <f>IFERROR(__xludf.DUMMYFUNCTION("VLOOKUP(REGEXREPLACE(BH255,""[?].*"",""""),ContentBuckets!A:C,2,FALSE)"),"Features page")</f>
        <v>Features page</v>
      </c>
      <c r="BJ255" s="8" t="str">
        <f>IFERROR(__xludf.DUMMYFUNCTION("VLOOKUP(REGEXREPLACE(BH255,""[?].*"",""""),ContentBuckets!A:C,3,FALSE)"),"Other page")</f>
        <v>Other page</v>
      </c>
    </row>
    <row r="256" ht="14.25" customHeight="1">
      <c r="A256" s="1">
        <v>153434.0</v>
      </c>
      <c r="B256" s="1" t="s">
        <v>938</v>
      </c>
      <c r="C256" s="2">
        <v>46002.2375</v>
      </c>
      <c r="D256" s="2"/>
      <c r="E256" s="2"/>
      <c r="F256" s="1" t="b">
        <v>1</v>
      </c>
      <c r="G256" s="4" t="b">
        <v>0</v>
      </c>
      <c r="H256" s="1" t="b">
        <v>0</v>
      </c>
      <c r="I256" s="1" t="b">
        <v>0</v>
      </c>
      <c r="J256" s="1" t="s">
        <v>534</v>
      </c>
      <c r="K256" s="1" t="s">
        <v>622</v>
      </c>
      <c r="L256" s="1" t="s">
        <v>623</v>
      </c>
      <c r="M256" s="1" t="s">
        <v>537</v>
      </c>
      <c r="N256" s="1">
        <v>0.0</v>
      </c>
      <c r="O256" s="1">
        <v>311.25</v>
      </c>
      <c r="P256" s="1">
        <v>0.0</v>
      </c>
      <c r="Q256" s="1">
        <v>0.0</v>
      </c>
      <c r="R256" s="1">
        <v>28.0</v>
      </c>
      <c r="S256" s="1" t="s">
        <v>538</v>
      </c>
      <c r="T256" s="1" t="s">
        <v>539</v>
      </c>
      <c r="V256" s="4">
        <v>7137487.0</v>
      </c>
      <c r="W256" s="4"/>
      <c r="X256" s="4">
        <v>0.0</v>
      </c>
      <c r="Y256" s="1">
        <v>0.0</v>
      </c>
      <c r="Z256" s="1">
        <v>0.0</v>
      </c>
      <c r="AA256" s="1">
        <v>0.0</v>
      </c>
      <c r="AB256" s="1">
        <v>0.0</v>
      </c>
      <c r="AC256" s="1">
        <v>0.0</v>
      </c>
      <c r="AD256" s="1">
        <v>0.0</v>
      </c>
      <c r="AE256" s="1">
        <v>0.0</v>
      </c>
      <c r="AF256" s="1">
        <v>0.0</v>
      </c>
      <c r="AG256" s="1">
        <v>0.0</v>
      </c>
      <c r="AH256" s="1">
        <v>0.0</v>
      </c>
      <c r="AI256" s="1">
        <v>0.0</v>
      </c>
      <c r="AJ256" s="1">
        <v>0.0</v>
      </c>
      <c r="AK256" s="1">
        <v>0.0</v>
      </c>
      <c r="AL256" s="1">
        <v>0.0</v>
      </c>
      <c r="AM256" s="4">
        <v>0.0</v>
      </c>
      <c r="AN256" s="1">
        <v>0.0</v>
      </c>
      <c r="AO256" s="4">
        <v>0.0</v>
      </c>
      <c r="AP256" s="1">
        <f t="shared" si="1"/>
        <v>1</v>
      </c>
      <c r="AQ256" s="1" t="s">
        <v>692</v>
      </c>
      <c r="AR256" s="1" t="s">
        <v>591</v>
      </c>
      <c r="AU256" s="2">
        <v>46016.0</v>
      </c>
      <c r="AV256" s="2">
        <v>46023.9986111111</v>
      </c>
      <c r="AW256" s="1">
        <v>0.0</v>
      </c>
      <c r="AX256" s="1">
        <v>0.0</v>
      </c>
      <c r="AY256" s="1">
        <v>1.0</v>
      </c>
      <c r="AZ256" s="1">
        <v>5.0</v>
      </c>
      <c r="BA256" s="1">
        <v>0.0</v>
      </c>
      <c r="BB256" s="1">
        <v>2.0</v>
      </c>
      <c r="BC256" s="2">
        <v>46002.0</v>
      </c>
      <c r="BD256" s="1">
        <v>49.0</v>
      </c>
      <c r="BE256" s="1" t="s">
        <v>550</v>
      </c>
      <c r="BF256" s="1">
        <v>2025.0</v>
      </c>
      <c r="BG256" s="1" t="s">
        <v>624</v>
      </c>
      <c r="BH256" s="7" t="str">
        <f>VLOOKUP(B256,CookieClicks!D:O,12,FALSE)</f>
        <v>https://signin.method.me/?returnUrl=https%3A%2F%2Fgo-powertrain.method.me%2Fapps%2FDefault.aspx%23%2Faccountsettings%2Ftables</v>
      </c>
      <c r="BI256" s="8" t="str">
        <f>IFERROR(__xludf.DUMMYFUNCTION("VLOOKUP(REGEXREPLACE(BH256,""[?].*"",""""),ContentBuckets!A:C,2,FALSE)"),"#N/A")</f>
        <v>#N/A</v>
      </c>
      <c r="BJ256" s="8" t="str">
        <f>IFERROR(__xludf.DUMMYFUNCTION("VLOOKUP(REGEXREPLACE(BH256,""[?].*"",""""),ContentBuckets!A:C,3,FALSE)"),"#N/A")</f>
        <v>#N/A</v>
      </c>
    </row>
    <row r="257" ht="14.25" customHeight="1">
      <c r="A257" s="1">
        <v>153435.0</v>
      </c>
      <c r="B257" s="1" t="s">
        <v>939</v>
      </c>
      <c r="C257" s="2">
        <v>46002.3527777778</v>
      </c>
      <c r="D257" s="2"/>
      <c r="E257" s="2">
        <v>46002.3527777778</v>
      </c>
      <c r="F257" s="1" t="b">
        <v>1</v>
      </c>
      <c r="G257" s="4" t="b">
        <v>0</v>
      </c>
      <c r="H257" s="1" t="b">
        <v>0</v>
      </c>
      <c r="I257" s="1" t="b">
        <v>0</v>
      </c>
      <c r="J257" s="1" t="s">
        <v>534</v>
      </c>
      <c r="K257" s="1" t="s">
        <v>566</v>
      </c>
      <c r="L257" s="1" t="s">
        <v>567</v>
      </c>
      <c r="M257" s="1" t="s">
        <v>537</v>
      </c>
      <c r="N257" s="1">
        <v>40.0</v>
      </c>
      <c r="O257" s="1">
        <v>40.0</v>
      </c>
      <c r="P257" s="1">
        <v>0.0</v>
      </c>
      <c r="Q257" s="1">
        <v>0.0</v>
      </c>
      <c r="R257" s="1">
        <v>0.0</v>
      </c>
      <c r="S257" s="1" t="s">
        <v>538</v>
      </c>
      <c r="T257" s="1" t="s">
        <v>539</v>
      </c>
      <c r="V257" s="4">
        <v>0.0</v>
      </c>
      <c r="W257" s="4"/>
      <c r="X257" s="4">
        <v>0.0</v>
      </c>
      <c r="Y257" s="1">
        <v>0.0</v>
      </c>
      <c r="Z257" s="1">
        <v>0.0</v>
      </c>
      <c r="AA257" s="1">
        <v>0.0</v>
      </c>
      <c r="AB257" s="1">
        <v>0.0</v>
      </c>
      <c r="AC257" s="1">
        <v>0.0</v>
      </c>
      <c r="AD257" s="1">
        <v>0.0</v>
      </c>
      <c r="AE257" s="1">
        <v>0.0</v>
      </c>
      <c r="AF257" s="1">
        <v>0.0</v>
      </c>
      <c r="AG257" s="1">
        <v>0.0</v>
      </c>
      <c r="AH257" s="1">
        <v>0.0</v>
      </c>
      <c r="AI257" s="1">
        <v>0.0</v>
      </c>
      <c r="AJ257" s="1">
        <v>0.0</v>
      </c>
      <c r="AK257" s="1">
        <v>0.0</v>
      </c>
      <c r="AL257" s="1">
        <v>0.0</v>
      </c>
      <c r="AM257" s="4">
        <v>0.0</v>
      </c>
      <c r="AN257" s="1">
        <v>0.0</v>
      </c>
      <c r="AO257" s="4">
        <v>0.0</v>
      </c>
      <c r="AP257" s="1">
        <f t="shared" si="1"/>
        <v>1</v>
      </c>
      <c r="AQ257" s="1" t="s">
        <v>557</v>
      </c>
      <c r="AU257" s="2">
        <v>46002.0</v>
      </c>
      <c r="AV257" s="2">
        <v>46024.0381944444</v>
      </c>
      <c r="AW257" s="1">
        <v>15.0</v>
      </c>
      <c r="AX257" s="1">
        <v>892206.0</v>
      </c>
      <c r="AY257" s="1">
        <v>3208.0</v>
      </c>
      <c r="AZ257" s="1">
        <v>0.0</v>
      </c>
      <c r="BA257" s="1">
        <v>0.0</v>
      </c>
      <c r="BB257" s="1">
        <v>0.0</v>
      </c>
      <c r="BC257" s="2">
        <v>46002.0</v>
      </c>
      <c r="BD257" s="1">
        <v>49.0</v>
      </c>
      <c r="BE257" s="1" t="s">
        <v>550</v>
      </c>
      <c r="BF257" s="1">
        <v>2025.0</v>
      </c>
      <c r="BG257" s="1" t="s">
        <v>558</v>
      </c>
      <c r="BH257" s="1" t="str">
        <f>VLOOKUP(B257,CookieClicks!D:O,12,FALSE)</f>
        <v>#N/A</v>
      </c>
      <c r="BI257" s="8" t="str">
        <f>IFERROR(__xludf.DUMMYFUNCTION("VLOOKUP(REGEXREPLACE(BH257,""[?].*"",""""),ContentBuckets!A:C,2,FALSE)"),"#N/A")</f>
        <v>#N/A</v>
      </c>
      <c r="BJ257" s="8" t="str">
        <f>IFERROR(__xludf.DUMMYFUNCTION("VLOOKUP(REGEXREPLACE(BH257,""[?].*"",""""),ContentBuckets!A:C,3,FALSE)"),"#N/A")</f>
        <v>#N/A</v>
      </c>
    </row>
    <row r="258" ht="14.25" customHeight="1">
      <c r="A258" s="1">
        <v>153436.0</v>
      </c>
      <c r="B258" s="1" t="s">
        <v>940</v>
      </c>
      <c r="C258" s="2">
        <v>46002.4</v>
      </c>
      <c r="D258" s="2"/>
      <c r="E258" s="2"/>
      <c r="F258" s="1" t="b">
        <v>1</v>
      </c>
      <c r="G258" s="4" t="b">
        <v>0</v>
      </c>
      <c r="H258" s="1" t="b">
        <v>0</v>
      </c>
      <c r="I258" s="1" t="b">
        <v>0</v>
      </c>
      <c r="J258" s="1" t="s">
        <v>534</v>
      </c>
      <c r="K258" s="1" t="s">
        <v>535</v>
      </c>
      <c r="L258" s="1" t="s">
        <v>536</v>
      </c>
      <c r="M258" s="1" t="s">
        <v>537</v>
      </c>
      <c r="N258" s="1">
        <v>0.0</v>
      </c>
      <c r="O258" s="1">
        <v>63.75</v>
      </c>
      <c r="P258" s="1">
        <v>0.0</v>
      </c>
      <c r="Q258" s="1">
        <v>0.0</v>
      </c>
      <c r="R258" s="1">
        <v>0.0</v>
      </c>
      <c r="S258" s="1" t="s">
        <v>538</v>
      </c>
      <c r="T258" s="1" t="s">
        <v>539</v>
      </c>
      <c r="V258" s="4">
        <v>7325165.0</v>
      </c>
      <c r="W258" s="4" t="s">
        <v>540</v>
      </c>
      <c r="X258" s="4">
        <v>0.0</v>
      </c>
      <c r="Y258" s="1">
        <v>1.0</v>
      </c>
      <c r="Z258" s="1">
        <v>0.0</v>
      </c>
      <c r="AA258" s="1">
        <v>0.0</v>
      </c>
      <c r="AB258" s="1">
        <v>0.0</v>
      </c>
      <c r="AC258" s="1">
        <v>0.0</v>
      </c>
      <c r="AD258" s="1">
        <v>0.0</v>
      </c>
      <c r="AE258" s="1">
        <v>0.0</v>
      </c>
      <c r="AF258" s="1">
        <v>0.0</v>
      </c>
      <c r="AG258" s="1">
        <v>0.0</v>
      </c>
      <c r="AH258" s="1">
        <v>0.0</v>
      </c>
      <c r="AI258" s="1">
        <v>0.0</v>
      </c>
      <c r="AJ258" s="1">
        <v>0.0</v>
      </c>
      <c r="AK258" s="1">
        <v>0.0</v>
      </c>
      <c r="AL258" s="1">
        <v>0.0</v>
      </c>
      <c r="AM258" s="4">
        <v>0.0</v>
      </c>
      <c r="AN258" s="1">
        <v>0.0</v>
      </c>
      <c r="AO258" s="4">
        <v>0.0</v>
      </c>
      <c r="AP258" s="1">
        <f t="shared" si="1"/>
        <v>0</v>
      </c>
      <c r="AQ258" s="1" t="s">
        <v>941</v>
      </c>
      <c r="AT258" s="1" t="s">
        <v>942</v>
      </c>
      <c r="AU258" s="2">
        <v>46002.0</v>
      </c>
      <c r="AV258" s="2">
        <v>46024.025</v>
      </c>
      <c r="AW258" s="1">
        <v>0.0</v>
      </c>
      <c r="AX258" s="1">
        <v>7084716.24</v>
      </c>
      <c r="AY258" s="1">
        <v>2.0</v>
      </c>
      <c r="AZ258" s="1">
        <v>1.0</v>
      </c>
      <c r="BA258" s="1">
        <v>0.0</v>
      </c>
      <c r="BB258" s="1">
        <v>0.0</v>
      </c>
      <c r="BC258" s="2">
        <v>46002.0</v>
      </c>
      <c r="BD258" s="1">
        <v>49.0</v>
      </c>
      <c r="BE258" s="1" t="s">
        <v>550</v>
      </c>
      <c r="BF258" s="1">
        <v>2025.0</v>
      </c>
      <c r="BG258" s="1" t="s">
        <v>943</v>
      </c>
      <c r="BH258" s="7" t="str">
        <f>VLOOKUP(B258,CookieClicks!D:O,12,FALSE)</f>
        <v>https://www.method.me/</v>
      </c>
      <c r="BI258" s="8" t="str">
        <f>IFERROR(__xludf.DUMMYFUNCTION("VLOOKUP(REGEXREPLACE(BH258,""[?].*"",""""),ContentBuckets!A:C,2,FALSE)"),"Homepage")</f>
        <v>Homepage</v>
      </c>
      <c r="BJ258" s="8" t="str">
        <f>IFERROR(__xludf.DUMMYFUNCTION("VLOOKUP(REGEXREPLACE(BH258,""[?].*"",""""),ContentBuckets!A:C,3,FALSE)"),"Other page")</f>
        <v>Other page</v>
      </c>
    </row>
    <row r="259" ht="14.25" customHeight="1">
      <c r="A259" s="1">
        <v>153437.0</v>
      </c>
      <c r="B259" s="1" t="s">
        <v>944</v>
      </c>
      <c r="C259" s="2">
        <v>46002.4069444444</v>
      </c>
      <c r="D259" s="2">
        <v>46009.3243055556</v>
      </c>
      <c r="E259" s="2"/>
      <c r="F259" s="1" t="b">
        <v>0</v>
      </c>
      <c r="G259" s="4" t="b">
        <v>1</v>
      </c>
      <c r="H259" s="1" t="b">
        <v>0</v>
      </c>
      <c r="I259" s="1" t="b">
        <v>0</v>
      </c>
      <c r="J259" s="1" t="s">
        <v>534</v>
      </c>
      <c r="K259" s="1" t="s">
        <v>535</v>
      </c>
      <c r="L259" s="1" t="s">
        <v>536</v>
      </c>
      <c r="M259" s="1" t="s">
        <v>537</v>
      </c>
      <c r="N259" s="1">
        <v>0.0</v>
      </c>
      <c r="O259" s="1">
        <v>44.25</v>
      </c>
      <c r="P259" s="1">
        <v>0.0</v>
      </c>
      <c r="Q259" s="1">
        <v>0.0</v>
      </c>
      <c r="R259" s="1">
        <v>0.0</v>
      </c>
      <c r="S259" s="1" t="s">
        <v>538</v>
      </c>
      <c r="T259" s="1" t="s">
        <v>539</v>
      </c>
      <c r="V259" s="4">
        <v>7325235.0</v>
      </c>
      <c r="W259" s="4"/>
      <c r="X259" s="4">
        <v>1.0</v>
      </c>
      <c r="Y259" s="1">
        <v>0.0</v>
      </c>
      <c r="Z259" s="1">
        <v>0.0</v>
      </c>
      <c r="AA259" s="1">
        <v>0.0</v>
      </c>
      <c r="AB259" s="1">
        <v>0.0</v>
      </c>
      <c r="AC259" s="1">
        <v>0.0</v>
      </c>
      <c r="AD259" s="1">
        <v>0.0</v>
      </c>
      <c r="AE259" s="1">
        <v>0.0</v>
      </c>
      <c r="AF259" s="1">
        <v>0.0</v>
      </c>
      <c r="AG259" s="1">
        <v>0.0</v>
      </c>
      <c r="AH259" s="1">
        <v>0.0</v>
      </c>
      <c r="AI259" s="1">
        <v>0.0</v>
      </c>
      <c r="AJ259" s="1">
        <v>0.0</v>
      </c>
      <c r="AK259" s="1">
        <v>0.0</v>
      </c>
      <c r="AL259" s="1">
        <v>0.0</v>
      </c>
      <c r="AM259" s="4">
        <v>0.0</v>
      </c>
      <c r="AN259" s="1">
        <v>0.0</v>
      </c>
      <c r="AO259" s="4">
        <v>0.0</v>
      </c>
      <c r="AP259" s="1">
        <f t="shared" si="1"/>
        <v>0</v>
      </c>
      <c r="AU259" s="2">
        <v>46002.0</v>
      </c>
      <c r="AV259" s="2">
        <v>46009.05</v>
      </c>
      <c r="AW259" s="1">
        <v>0.0</v>
      </c>
      <c r="AX259" s="1">
        <v>0.0</v>
      </c>
      <c r="AY259" s="1">
        <v>0.0</v>
      </c>
      <c r="AZ259" s="1">
        <v>1.0</v>
      </c>
      <c r="BA259" s="1">
        <v>0.0</v>
      </c>
      <c r="BB259" s="1">
        <v>0.0</v>
      </c>
      <c r="BC259" s="2">
        <v>46002.0</v>
      </c>
      <c r="BD259" s="1">
        <v>49.0</v>
      </c>
      <c r="BE259" s="1" t="s">
        <v>550</v>
      </c>
      <c r="BF259" s="1">
        <v>2025.0</v>
      </c>
      <c r="BG259" s="1" t="s">
        <v>558</v>
      </c>
      <c r="BH259" s="7" t="str">
        <f>VLOOKUP(B259,CookieClicks!D:O,12,FALSE)</f>
        <v>http://signup.method.me/methodcrm</v>
      </c>
      <c r="BI259" s="8" t="str">
        <f>IFERROR(__xludf.DUMMYFUNCTION("VLOOKUP(REGEXREPLACE(BH259,""[?].*"",""""),ContentBuckets!A:C,2,FALSE)"),"#N/A")</f>
        <v>#N/A</v>
      </c>
      <c r="BJ259" s="8" t="str">
        <f>IFERROR(__xludf.DUMMYFUNCTION("VLOOKUP(REGEXREPLACE(BH259,""[?].*"",""""),ContentBuckets!A:C,3,FALSE)"),"#N/A")</f>
        <v>#N/A</v>
      </c>
    </row>
    <row r="260" ht="14.25" customHeight="1">
      <c r="A260" s="1">
        <v>153438.0</v>
      </c>
      <c r="B260" s="1" t="s">
        <v>945</v>
      </c>
      <c r="C260" s="2">
        <v>46002.4194444444</v>
      </c>
      <c r="D260" s="2">
        <v>46003.4048611111</v>
      </c>
      <c r="E260" s="2"/>
      <c r="F260" s="1" t="b">
        <v>0</v>
      </c>
      <c r="G260" s="4" t="b">
        <v>1</v>
      </c>
      <c r="H260" s="1" t="b">
        <v>0</v>
      </c>
      <c r="I260" s="1" t="b">
        <v>0</v>
      </c>
      <c r="J260" s="1" t="s">
        <v>534</v>
      </c>
      <c r="K260" s="1" t="s">
        <v>553</v>
      </c>
      <c r="L260" s="1" t="s">
        <v>599</v>
      </c>
      <c r="M260" s="1" t="s">
        <v>537</v>
      </c>
      <c r="N260" s="1">
        <v>0.0</v>
      </c>
      <c r="O260" s="1">
        <v>44.25</v>
      </c>
      <c r="P260" s="1">
        <v>0.0</v>
      </c>
      <c r="Q260" s="1">
        <v>0.0</v>
      </c>
      <c r="R260" s="1">
        <v>0.0</v>
      </c>
      <c r="S260" s="1" t="s">
        <v>538</v>
      </c>
      <c r="T260" s="1" t="s">
        <v>539</v>
      </c>
      <c r="V260" s="4">
        <v>7325409.0</v>
      </c>
      <c r="W260" s="4"/>
      <c r="X260" s="4">
        <v>1.0</v>
      </c>
      <c r="Y260" s="1">
        <v>0.0</v>
      </c>
      <c r="Z260" s="1">
        <v>0.0</v>
      </c>
      <c r="AA260" s="1">
        <v>0.0</v>
      </c>
      <c r="AB260" s="1">
        <v>0.0</v>
      </c>
      <c r="AC260" s="1">
        <v>0.0</v>
      </c>
      <c r="AD260" s="1">
        <v>0.0</v>
      </c>
      <c r="AE260" s="1">
        <v>0.0</v>
      </c>
      <c r="AF260" s="1">
        <v>0.0</v>
      </c>
      <c r="AG260" s="1">
        <v>0.0</v>
      </c>
      <c r="AH260" s="1">
        <v>0.0</v>
      </c>
      <c r="AI260" s="1">
        <v>0.0</v>
      </c>
      <c r="AJ260" s="1">
        <v>0.0</v>
      </c>
      <c r="AK260" s="1">
        <v>0.0</v>
      </c>
      <c r="AL260" s="1">
        <v>0.0</v>
      </c>
      <c r="AM260" s="4">
        <v>0.0</v>
      </c>
      <c r="AN260" s="1">
        <v>0.0</v>
      </c>
      <c r="AO260" s="4">
        <v>0.0</v>
      </c>
      <c r="AP260" s="1">
        <f t="shared" si="1"/>
        <v>0</v>
      </c>
      <c r="AU260" s="2"/>
      <c r="AV260" s="2">
        <v>46003.0173611111</v>
      </c>
      <c r="AW260" s="1">
        <v>0.0</v>
      </c>
      <c r="AX260" s="1">
        <v>0.0</v>
      </c>
      <c r="AY260" s="1">
        <v>0.0</v>
      </c>
      <c r="AZ260" s="1">
        <v>1.0</v>
      </c>
      <c r="BA260" s="1">
        <v>0.0</v>
      </c>
      <c r="BB260" s="1">
        <v>0.0</v>
      </c>
      <c r="BC260" s="2">
        <v>46002.0</v>
      </c>
      <c r="BD260" s="1">
        <v>49.0</v>
      </c>
      <c r="BE260" s="1" t="s">
        <v>550</v>
      </c>
      <c r="BF260" s="1">
        <v>2025.0</v>
      </c>
      <c r="BG260" s="1" t="s">
        <v>546</v>
      </c>
      <c r="BH260" s="7" t="str">
        <f>VLOOKUP(B260,CookieClicks!D:O,12,FALSE)</f>
        <v>https://www.method.me/</v>
      </c>
      <c r="BI260" s="8" t="str">
        <f>IFERROR(__xludf.DUMMYFUNCTION("VLOOKUP(REGEXREPLACE(BH260,""[?].*"",""""),ContentBuckets!A:C,2,FALSE)"),"Homepage")</f>
        <v>Homepage</v>
      </c>
      <c r="BJ260" s="8" t="str">
        <f>IFERROR(__xludf.DUMMYFUNCTION("VLOOKUP(REGEXREPLACE(BH260,""[?].*"",""""),ContentBuckets!A:C,3,FALSE)"),"Other page")</f>
        <v>Other page</v>
      </c>
    </row>
    <row r="261" ht="14.25" customHeight="1">
      <c r="A261" s="1">
        <v>153440.0</v>
      </c>
      <c r="B261" s="1" t="s">
        <v>946</v>
      </c>
      <c r="C261" s="2">
        <v>46002.4458333333</v>
      </c>
      <c r="D261" s="2"/>
      <c r="E261" s="2"/>
      <c r="F261" s="1" t="b">
        <v>1</v>
      </c>
      <c r="G261" s="4" t="b">
        <v>0</v>
      </c>
      <c r="H261" s="1" t="b">
        <v>0</v>
      </c>
      <c r="I261" s="1" t="b">
        <v>0</v>
      </c>
      <c r="J261" s="1" t="s">
        <v>534</v>
      </c>
      <c r="K261" s="1" t="s">
        <v>566</v>
      </c>
      <c r="L261" s="1" t="s">
        <v>567</v>
      </c>
      <c r="M261" s="1" t="s">
        <v>537</v>
      </c>
      <c r="N261" s="1">
        <v>0.0</v>
      </c>
      <c r="O261" s="1">
        <v>44.25</v>
      </c>
      <c r="P261" s="1">
        <v>0.0</v>
      </c>
      <c r="Q261" s="1">
        <v>0.0</v>
      </c>
      <c r="R261" s="1">
        <v>28.0</v>
      </c>
      <c r="S261" s="1" t="s">
        <v>538</v>
      </c>
      <c r="T261" s="1" t="s">
        <v>539</v>
      </c>
      <c r="V261" s="4">
        <v>7072555.0</v>
      </c>
      <c r="W261" s="4" t="s">
        <v>653</v>
      </c>
      <c r="X261" s="4">
        <v>0.0</v>
      </c>
      <c r="Y261" s="1">
        <v>0.5</v>
      </c>
      <c r="Z261" s="1">
        <v>0.0</v>
      </c>
      <c r="AA261" s="1">
        <v>0.5</v>
      </c>
      <c r="AB261" s="1">
        <v>0.0</v>
      </c>
      <c r="AC261" s="1">
        <v>0.0</v>
      </c>
      <c r="AD261" s="1">
        <v>0.0</v>
      </c>
      <c r="AE261" s="1">
        <v>0.0</v>
      </c>
      <c r="AF261" s="1">
        <v>0.0</v>
      </c>
      <c r="AG261" s="1">
        <v>0.0</v>
      </c>
      <c r="AH261" s="1">
        <v>0.0</v>
      </c>
      <c r="AI261" s="1">
        <v>0.0</v>
      </c>
      <c r="AJ261" s="1">
        <v>0.0</v>
      </c>
      <c r="AK261" s="1">
        <v>0.0</v>
      </c>
      <c r="AL261" s="1">
        <v>0.0</v>
      </c>
      <c r="AM261" s="4">
        <v>0.0</v>
      </c>
      <c r="AN261" s="1">
        <v>0.0</v>
      </c>
      <c r="AO261" s="4">
        <v>0.0</v>
      </c>
      <c r="AP261" s="1">
        <f t="shared" si="1"/>
        <v>0</v>
      </c>
      <c r="AR261" s="1" t="s">
        <v>560</v>
      </c>
      <c r="AU261" s="2"/>
      <c r="AV261" s="2">
        <v>46024.0277777778</v>
      </c>
      <c r="AW261" s="1">
        <v>0.0</v>
      </c>
      <c r="AX261" s="1">
        <v>0.0</v>
      </c>
      <c r="AY261" s="1">
        <v>0.0</v>
      </c>
      <c r="AZ261" s="1">
        <v>1.0</v>
      </c>
      <c r="BA261" s="1">
        <v>0.0</v>
      </c>
      <c r="BB261" s="1">
        <v>0.0</v>
      </c>
      <c r="BC261" s="2">
        <v>46002.0</v>
      </c>
      <c r="BD261" s="1">
        <v>49.0</v>
      </c>
      <c r="BE261" s="1" t="s">
        <v>550</v>
      </c>
      <c r="BF261" s="1">
        <v>2025.0</v>
      </c>
      <c r="BG261" s="1" t="s">
        <v>558</v>
      </c>
      <c r="BH261" s="7" t="str">
        <f>VLOOKUP(B261,CookieClicks!D:O,12,FALSE)</f>
        <v>https://www.method.me/</v>
      </c>
      <c r="BI261" s="8" t="str">
        <f>IFERROR(__xludf.DUMMYFUNCTION("VLOOKUP(REGEXREPLACE(BH261,""[?].*"",""""),ContentBuckets!A:C,2,FALSE)"),"Homepage")</f>
        <v>Homepage</v>
      </c>
      <c r="BJ261" s="8" t="str">
        <f>IFERROR(__xludf.DUMMYFUNCTION("VLOOKUP(REGEXREPLACE(BH261,""[?].*"",""""),ContentBuckets!A:C,3,FALSE)"),"Other page")</f>
        <v>Other page</v>
      </c>
    </row>
    <row r="262" ht="14.25" customHeight="1">
      <c r="A262" s="1">
        <v>153441.0</v>
      </c>
      <c r="B262" s="1" t="s">
        <v>947</v>
      </c>
      <c r="C262" s="2">
        <v>46002.4472222222</v>
      </c>
      <c r="D262" s="2"/>
      <c r="E262" s="2"/>
      <c r="F262" s="1" t="b">
        <v>1</v>
      </c>
      <c r="G262" s="4" t="b">
        <v>0</v>
      </c>
      <c r="H262" s="1" t="b">
        <v>0</v>
      </c>
      <c r="I262" s="1" t="b">
        <v>0</v>
      </c>
      <c r="J262" s="1" t="s">
        <v>534</v>
      </c>
      <c r="K262" s="1" t="s">
        <v>622</v>
      </c>
      <c r="L262" s="1" t="s">
        <v>623</v>
      </c>
      <c r="M262" s="1" t="s">
        <v>537</v>
      </c>
      <c r="N262" s="1">
        <v>0.0</v>
      </c>
      <c r="O262" s="1">
        <v>53.25</v>
      </c>
      <c r="P262" s="1">
        <v>0.0</v>
      </c>
      <c r="Q262" s="1">
        <v>0.0</v>
      </c>
      <c r="R262" s="1">
        <v>28.0</v>
      </c>
      <c r="S262" s="1" t="s">
        <v>538</v>
      </c>
      <c r="T262" s="1" t="s">
        <v>539</v>
      </c>
      <c r="V262" s="4">
        <v>7167566.0</v>
      </c>
      <c r="W262" s="4" t="s">
        <v>540</v>
      </c>
      <c r="X262" s="4">
        <v>0.0</v>
      </c>
      <c r="Y262" s="1">
        <v>1.0</v>
      </c>
      <c r="Z262" s="1">
        <v>0.0</v>
      </c>
      <c r="AA262" s="1">
        <v>0.0</v>
      </c>
      <c r="AB262" s="1">
        <v>0.0</v>
      </c>
      <c r="AC262" s="1">
        <v>0.0</v>
      </c>
      <c r="AD262" s="1">
        <v>0.0</v>
      </c>
      <c r="AE262" s="1">
        <v>0.0</v>
      </c>
      <c r="AF262" s="1">
        <v>0.0</v>
      </c>
      <c r="AG262" s="1">
        <v>0.0</v>
      </c>
      <c r="AH262" s="1">
        <v>0.0</v>
      </c>
      <c r="AI262" s="1">
        <v>0.0</v>
      </c>
      <c r="AJ262" s="1">
        <v>0.0</v>
      </c>
      <c r="AK262" s="1">
        <v>0.0</v>
      </c>
      <c r="AL262" s="1">
        <v>0.0</v>
      </c>
      <c r="AM262" s="4">
        <v>0.0</v>
      </c>
      <c r="AN262" s="1">
        <v>0.0</v>
      </c>
      <c r="AO262" s="4">
        <v>0.0</v>
      </c>
      <c r="AP262" s="1">
        <f t="shared" si="1"/>
        <v>0</v>
      </c>
      <c r="AQ262" s="1" t="s">
        <v>557</v>
      </c>
      <c r="AR262" s="1" t="s">
        <v>564</v>
      </c>
      <c r="AU262" s="2">
        <v>46003.0</v>
      </c>
      <c r="AV262" s="2">
        <v>46024.0298611111</v>
      </c>
      <c r="AW262" s="1">
        <v>0.0</v>
      </c>
      <c r="AX262" s="1">
        <v>55675.56</v>
      </c>
      <c r="AY262" s="1">
        <v>3.0</v>
      </c>
      <c r="AZ262" s="1">
        <v>1.0</v>
      </c>
      <c r="BA262" s="1">
        <v>0.0</v>
      </c>
      <c r="BB262" s="1">
        <v>0.0</v>
      </c>
      <c r="BC262" s="2">
        <v>46002.0</v>
      </c>
      <c r="BD262" s="1">
        <v>49.0</v>
      </c>
      <c r="BE262" s="1" t="s">
        <v>550</v>
      </c>
      <c r="BF262" s="1">
        <v>2025.0</v>
      </c>
      <c r="BG262" s="1" t="s">
        <v>558</v>
      </c>
      <c r="BH262" s="7" t="str">
        <f>VLOOKUP(B262,CookieClicks!D:O,12,FALSE)</f>
        <v>https://www.method.me/blog/xero-crm-integrations/</v>
      </c>
      <c r="BI262" s="8" t="str">
        <f>IFERROR(__xludf.DUMMYFUNCTION("VLOOKUP(REGEXREPLACE(BH262,""[?].*"",""""),ContentBuckets!A:C,2,FALSE)"),"Xero")</f>
        <v>Xero</v>
      </c>
      <c r="BJ262" s="8" t="str">
        <f>IFERROR(__xludf.DUMMYFUNCTION("VLOOKUP(REGEXREPLACE(BH262,""[?].*"",""""),ContentBuckets!A:C,3,FALSE)"),"Blog")</f>
        <v>Blog</v>
      </c>
    </row>
    <row r="263" ht="14.25" customHeight="1">
      <c r="A263" s="1">
        <v>153443.0</v>
      </c>
      <c r="B263" s="1" t="s">
        <v>948</v>
      </c>
      <c r="C263" s="2">
        <v>46002.4527777778</v>
      </c>
      <c r="D263" s="2"/>
      <c r="E263" s="2"/>
      <c r="F263" s="1" t="b">
        <v>1</v>
      </c>
      <c r="G263" s="4" t="b">
        <v>0</v>
      </c>
      <c r="H263" s="1" t="b">
        <v>0</v>
      </c>
      <c r="I263" s="1" t="b">
        <v>0</v>
      </c>
      <c r="J263" s="1" t="s">
        <v>534</v>
      </c>
      <c r="K263" s="1" t="s">
        <v>535</v>
      </c>
      <c r="L263" s="1" t="s">
        <v>536</v>
      </c>
      <c r="M263" s="1" t="s">
        <v>537</v>
      </c>
      <c r="N263" s="1">
        <v>0.0</v>
      </c>
      <c r="O263" s="1">
        <v>106.5</v>
      </c>
      <c r="P263" s="1">
        <v>0.0</v>
      </c>
      <c r="Q263" s="1">
        <v>0.0</v>
      </c>
      <c r="R263" s="1">
        <v>28.0</v>
      </c>
      <c r="S263" s="1" t="s">
        <v>538</v>
      </c>
      <c r="T263" s="1" t="s">
        <v>539</v>
      </c>
      <c r="V263" s="4">
        <v>7325823.0</v>
      </c>
      <c r="W263" s="4" t="s">
        <v>653</v>
      </c>
      <c r="X263" s="4">
        <v>0.0</v>
      </c>
      <c r="Y263" s="1">
        <v>1.0</v>
      </c>
      <c r="Z263" s="1">
        <v>0.0</v>
      </c>
      <c r="AA263" s="1">
        <v>0.0</v>
      </c>
      <c r="AB263" s="1">
        <v>0.0</v>
      </c>
      <c r="AC263" s="1">
        <v>0.0</v>
      </c>
      <c r="AD263" s="1">
        <v>0.0</v>
      </c>
      <c r="AE263" s="1">
        <v>0.0</v>
      </c>
      <c r="AF263" s="1">
        <v>0.0</v>
      </c>
      <c r="AG263" s="1">
        <v>0.0</v>
      </c>
      <c r="AH263" s="1">
        <v>0.0</v>
      </c>
      <c r="AI263" s="1">
        <v>0.0</v>
      </c>
      <c r="AJ263" s="1">
        <v>0.0</v>
      </c>
      <c r="AK263" s="1">
        <v>0.0</v>
      </c>
      <c r="AL263" s="1">
        <v>0.0</v>
      </c>
      <c r="AM263" s="4">
        <v>0.0</v>
      </c>
      <c r="AN263" s="1">
        <v>0.0</v>
      </c>
      <c r="AO263" s="4">
        <v>0.0</v>
      </c>
      <c r="AP263" s="1">
        <f t="shared" si="1"/>
        <v>0</v>
      </c>
      <c r="AQ263" s="1" t="s">
        <v>557</v>
      </c>
      <c r="AR263" s="1" t="s">
        <v>564</v>
      </c>
      <c r="AT263" s="1" t="s">
        <v>949</v>
      </c>
      <c r="AU263" s="2">
        <v>46002.0</v>
      </c>
      <c r="AV263" s="2">
        <v>46024.0381944444</v>
      </c>
      <c r="AW263" s="1">
        <v>5.0</v>
      </c>
      <c r="AX263" s="1">
        <v>246868.92</v>
      </c>
      <c r="AY263" s="1">
        <v>529.0</v>
      </c>
      <c r="AZ263" s="1">
        <v>1.0</v>
      </c>
      <c r="BA263" s="1">
        <v>0.0</v>
      </c>
      <c r="BB263" s="1">
        <v>6.0</v>
      </c>
      <c r="BC263" s="2">
        <v>46002.0</v>
      </c>
      <c r="BD263" s="1">
        <v>49.0</v>
      </c>
      <c r="BE263" s="1" t="s">
        <v>550</v>
      </c>
      <c r="BF263" s="1">
        <v>2025.0</v>
      </c>
      <c r="BG263" s="1" t="s">
        <v>558</v>
      </c>
      <c r="BH263" s="7" t="str">
        <f>VLOOKUP(B263,CookieClicks!D:O,12,FALSE)</f>
        <v>https://www.method.me/</v>
      </c>
      <c r="BI263" s="8" t="str">
        <f>IFERROR(__xludf.DUMMYFUNCTION("VLOOKUP(REGEXREPLACE(BH263,""[?].*"",""""),ContentBuckets!A:C,2,FALSE)"),"Homepage")</f>
        <v>Homepage</v>
      </c>
      <c r="BJ263" s="8" t="str">
        <f>IFERROR(__xludf.DUMMYFUNCTION("VLOOKUP(REGEXREPLACE(BH263,""[?].*"",""""),ContentBuckets!A:C,3,FALSE)"),"Other page")</f>
        <v>Other page</v>
      </c>
    </row>
    <row r="264" ht="14.25" customHeight="1">
      <c r="A264" s="1">
        <v>153444.0</v>
      </c>
      <c r="B264" s="1" t="s">
        <v>950</v>
      </c>
      <c r="C264" s="2">
        <v>46002.4694444444</v>
      </c>
      <c r="D264" s="2">
        <v>46003.3909722222</v>
      </c>
      <c r="E264" s="2"/>
      <c r="F264" s="1" t="b">
        <v>0</v>
      </c>
      <c r="G264" s="4" t="b">
        <v>1</v>
      </c>
      <c r="H264" s="1" t="b">
        <v>0</v>
      </c>
      <c r="I264" s="1" t="b">
        <v>0</v>
      </c>
      <c r="J264" s="1" t="s">
        <v>534</v>
      </c>
      <c r="K264" s="1" t="s">
        <v>535</v>
      </c>
      <c r="L264" s="1" t="s">
        <v>536</v>
      </c>
      <c r="M264" s="1" t="s">
        <v>537</v>
      </c>
      <c r="N264" s="1">
        <v>0.0</v>
      </c>
      <c r="O264" s="1">
        <v>44.25</v>
      </c>
      <c r="P264" s="1">
        <v>0.0</v>
      </c>
      <c r="Q264" s="1">
        <v>0.0</v>
      </c>
      <c r="R264" s="1">
        <v>0.0</v>
      </c>
      <c r="S264" s="1" t="s">
        <v>538</v>
      </c>
      <c r="T264" s="1" t="s">
        <v>539</v>
      </c>
      <c r="V264" s="4">
        <v>6734922.0</v>
      </c>
      <c r="W264" s="4"/>
      <c r="X264" s="4">
        <v>1.0</v>
      </c>
      <c r="Y264" s="1">
        <v>0.0</v>
      </c>
      <c r="Z264" s="1">
        <v>0.0</v>
      </c>
      <c r="AA264" s="1">
        <v>0.0</v>
      </c>
      <c r="AB264" s="1">
        <v>0.0</v>
      </c>
      <c r="AC264" s="1">
        <v>0.0</v>
      </c>
      <c r="AD264" s="1">
        <v>0.0</v>
      </c>
      <c r="AE264" s="1">
        <v>0.0</v>
      </c>
      <c r="AF264" s="1">
        <v>0.0</v>
      </c>
      <c r="AG264" s="1">
        <v>0.0</v>
      </c>
      <c r="AH264" s="1">
        <v>0.0</v>
      </c>
      <c r="AI264" s="1">
        <v>0.0</v>
      </c>
      <c r="AJ264" s="1">
        <v>0.0</v>
      </c>
      <c r="AK264" s="1">
        <v>0.0</v>
      </c>
      <c r="AL264" s="1">
        <v>0.0</v>
      </c>
      <c r="AM264" s="4">
        <v>0.0</v>
      </c>
      <c r="AN264" s="1">
        <v>0.0</v>
      </c>
      <c r="AO264" s="4">
        <v>0.0</v>
      </c>
      <c r="AP264" s="1">
        <f t="shared" si="1"/>
        <v>0</v>
      </c>
      <c r="AU264" s="2">
        <v>46002.0</v>
      </c>
      <c r="AV264" s="2">
        <v>46002.9965277778</v>
      </c>
      <c r="AW264" s="1">
        <v>0.0</v>
      </c>
      <c r="AX264" s="1">
        <v>0.0</v>
      </c>
      <c r="AY264" s="1">
        <v>0.0</v>
      </c>
      <c r="AZ264" s="1">
        <v>1.0</v>
      </c>
      <c r="BA264" s="1">
        <v>0.0</v>
      </c>
      <c r="BB264" s="1">
        <v>0.0</v>
      </c>
      <c r="BC264" s="2">
        <v>46002.0</v>
      </c>
      <c r="BD264" s="1">
        <v>49.0</v>
      </c>
      <c r="BE264" s="1" t="s">
        <v>550</v>
      </c>
      <c r="BF264" s="1">
        <v>2025.0</v>
      </c>
      <c r="BG264" s="1" t="s">
        <v>546</v>
      </c>
      <c r="BH264" s="7" t="str">
        <f>VLOOKUP(B264,CookieClicks!D:O,12,FALSE)</f>
        <v>https://signin.method.me/Password/Reset?rpcode=X16BNTzLU7qN8YQP3SnJ3QgX1!X16BNvhUPPflEp0qEXign1TV_pQX16BNTz&amp;invite=1&amp;accountName=alocetsystem</v>
      </c>
      <c r="BI264" s="8" t="str">
        <f>IFERROR(__xludf.DUMMYFUNCTION("VLOOKUP(REGEXREPLACE(BH264,""[?].*"",""""),ContentBuckets!A:C,2,FALSE)"),"#N/A")</f>
        <v>#N/A</v>
      </c>
      <c r="BJ264" s="8" t="str">
        <f>IFERROR(__xludf.DUMMYFUNCTION("VLOOKUP(REGEXREPLACE(BH264,""[?].*"",""""),ContentBuckets!A:C,3,FALSE)"),"#N/A")</f>
        <v>#N/A</v>
      </c>
    </row>
    <row r="265" ht="14.25" customHeight="1">
      <c r="A265" s="1">
        <v>153445.0</v>
      </c>
      <c r="B265" s="1" t="s">
        <v>951</v>
      </c>
      <c r="C265" s="2">
        <v>46002.4805555556</v>
      </c>
      <c r="D265" s="2"/>
      <c r="E265" s="2"/>
      <c r="F265" s="1" t="b">
        <v>1</v>
      </c>
      <c r="G265" s="4" t="b">
        <v>0</v>
      </c>
      <c r="H265" s="1" t="b">
        <v>0</v>
      </c>
      <c r="I265" s="1" t="b">
        <v>0</v>
      </c>
      <c r="J265" s="1" t="s">
        <v>534</v>
      </c>
      <c r="K265" s="1" t="s">
        <v>535</v>
      </c>
      <c r="L265" s="1" t="s">
        <v>536</v>
      </c>
      <c r="M265" s="1" t="s">
        <v>537</v>
      </c>
      <c r="N265" s="1">
        <v>0.0</v>
      </c>
      <c r="O265" s="1">
        <v>53.25</v>
      </c>
      <c r="P265" s="1">
        <v>0.0</v>
      </c>
      <c r="Q265" s="1">
        <v>0.0</v>
      </c>
      <c r="R265" s="1">
        <v>28.0</v>
      </c>
      <c r="S265" s="1" t="s">
        <v>538</v>
      </c>
      <c r="T265" s="1" t="s">
        <v>539</v>
      </c>
      <c r="V265" s="4">
        <v>7326137.0</v>
      </c>
      <c r="W265" s="4"/>
      <c r="X265" s="4">
        <v>1.0</v>
      </c>
      <c r="Y265" s="1">
        <v>0.0</v>
      </c>
      <c r="Z265" s="1">
        <v>0.0</v>
      </c>
      <c r="AA265" s="1">
        <v>0.0</v>
      </c>
      <c r="AB265" s="1">
        <v>0.0</v>
      </c>
      <c r="AC265" s="1">
        <v>0.0</v>
      </c>
      <c r="AD265" s="1">
        <v>0.0</v>
      </c>
      <c r="AE265" s="1">
        <v>0.0</v>
      </c>
      <c r="AF265" s="1">
        <v>0.0</v>
      </c>
      <c r="AG265" s="1">
        <v>0.0</v>
      </c>
      <c r="AH265" s="1">
        <v>0.0</v>
      </c>
      <c r="AI265" s="1">
        <v>0.0</v>
      </c>
      <c r="AJ265" s="1">
        <v>0.0</v>
      </c>
      <c r="AK265" s="1">
        <v>0.0</v>
      </c>
      <c r="AL265" s="1">
        <v>0.0</v>
      </c>
      <c r="AM265" s="4">
        <v>0.0</v>
      </c>
      <c r="AN265" s="1">
        <v>0.0</v>
      </c>
      <c r="AO265" s="4">
        <v>0.0</v>
      </c>
      <c r="AP265" s="1">
        <f t="shared" si="1"/>
        <v>0</v>
      </c>
      <c r="AR265" s="1" t="s">
        <v>571</v>
      </c>
      <c r="AU265" s="2"/>
      <c r="AV265" s="2">
        <v>46024.0145833333</v>
      </c>
      <c r="AW265" s="1">
        <v>0.0</v>
      </c>
      <c r="AX265" s="1">
        <v>0.0</v>
      </c>
      <c r="AY265" s="1">
        <v>0.0</v>
      </c>
      <c r="AZ265" s="1">
        <v>1.0</v>
      </c>
      <c r="BA265" s="1">
        <v>0.0</v>
      </c>
      <c r="BB265" s="1">
        <v>0.0</v>
      </c>
      <c r="BC265" s="2">
        <v>46002.0</v>
      </c>
      <c r="BD265" s="1">
        <v>49.0</v>
      </c>
      <c r="BE265" s="1" t="s">
        <v>550</v>
      </c>
      <c r="BF265" s="1">
        <v>2025.0</v>
      </c>
      <c r="BG265" s="1" t="s">
        <v>655</v>
      </c>
      <c r="BH265" s="7" t="str">
        <f>VLOOKUP(B265,CookieClicks!D:O,12,FALSE)</f>
        <v>http://signup.method.me/methodcrm?_gl=1*127xhwj*_gcl_au*MTk3NTE1ODI2Mi4xNzY1NDcwMTE4*_ga*MTU2NzM2NzI2OC4xNzY1NDcwMTE5*_ga_L2HEZNW53E*czE3NjU0NzAxMTkkbzEkZzAkdDE3NjU0NzAxMjAkajU5JGwwJGg0MTA1NDAyNTE.&amp;_ga=2.57394730.180150792.1765470119-1567367268.1765470119</v>
      </c>
      <c r="BI265" s="8" t="str">
        <f>IFERROR(__xludf.DUMMYFUNCTION("VLOOKUP(REGEXREPLACE(BH265,""[?].*"",""""),ContentBuckets!A:C,2,FALSE)"),"#N/A")</f>
        <v>#N/A</v>
      </c>
      <c r="BJ265" s="8" t="str">
        <f>IFERROR(__xludf.DUMMYFUNCTION("VLOOKUP(REGEXREPLACE(BH265,""[?].*"",""""),ContentBuckets!A:C,3,FALSE)"),"#N/A")</f>
        <v>#N/A</v>
      </c>
    </row>
    <row r="266" ht="14.25" customHeight="1">
      <c r="A266" s="1">
        <v>153446.0</v>
      </c>
      <c r="B266" s="1" t="s">
        <v>952</v>
      </c>
      <c r="C266" s="2">
        <v>46002.4875</v>
      </c>
      <c r="D266" s="2"/>
      <c r="E266" s="2"/>
      <c r="F266" s="1" t="b">
        <v>1</v>
      </c>
      <c r="G266" s="4" t="b">
        <v>0</v>
      </c>
      <c r="H266" s="1" t="b">
        <v>0</v>
      </c>
      <c r="I266" s="1" t="b">
        <v>0</v>
      </c>
      <c r="J266" s="1" t="s">
        <v>534</v>
      </c>
      <c r="K266" s="1" t="s">
        <v>535</v>
      </c>
      <c r="L266" s="1" t="s">
        <v>536</v>
      </c>
      <c r="M266" s="1" t="s">
        <v>537</v>
      </c>
      <c r="N266" s="1">
        <v>0.0</v>
      </c>
      <c r="O266" s="1">
        <v>44.25</v>
      </c>
      <c r="P266" s="1">
        <v>0.0</v>
      </c>
      <c r="Q266" s="1">
        <v>0.0</v>
      </c>
      <c r="R266" s="1">
        <v>0.0</v>
      </c>
      <c r="S266" s="1" t="s">
        <v>538</v>
      </c>
      <c r="T266" s="1" t="s">
        <v>539</v>
      </c>
      <c r="V266" s="4">
        <v>7326276.0</v>
      </c>
      <c r="W266" s="4"/>
      <c r="X266" s="4">
        <v>0.0</v>
      </c>
      <c r="Y266" s="1">
        <v>0.0</v>
      </c>
      <c r="Z266" s="1">
        <v>1.0</v>
      </c>
      <c r="AA266" s="1">
        <v>0.0</v>
      </c>
      <c r="AB266" s="1">
        <v>0.0</v>
      </c>
      <c r="AC266" s="1">
        <v>0.0</v>
      </c>
      <c r="AD266" s="1">
        <v>0.0</v>
      </c>
      <c r="AE266" s="1">
        <v>0.0</v>
      </c>
      <c r="AF266" s="1">
        <v>0.0</v>
      </c>
      <c r="AG266" s="1">
        <v>0.0</v>
      </c>
      <c r="AH266" s="1">
        <v>0.0</v>
      </c>
      <c r="AI266" s="1">
        <v>0.0</v>
      </c>
      <c r="AJ266" s="1">
        <v>0.0</v>
      </c>
      <c r="AK266" s="1">
        <v>0.0</v>
      </c>
      <c r="AL266" s="1">
        <v>0.0</v>
      </c>
      <c r="AM266" s="4">
        <v>0.0</v>
      </c>
      <c r="AN266" s="1">
        <v>0.0</v>
      </c>
      <c r="AO266" s="4">
        <v>0.0</v>
      </c>
      <c r="AP266" s="1">
        <f t="shared" si="1"/>
        <v>0</v>
      </c>
      <c r="AQ266" s="1" t="s">
        <v>557</v>
      </c>
      <c r="AU266" s="2">
        <v>46002.0</v>
      </c>
      <c r="AV266" s="2">
        <v>46024.0201388889</v>
      </c>
      <c r="AW266" s="1">
        <v>1.0</v>
      </c>
      <c r="AX266" s="1">
        <v>229020.0</v>
      </c>
      <c r="AY266" s="1">
        <v>14.0</v>
      </c>
      <c r="AZ266" s="1">
        <v>1.0</v>
      </c>
      <c r="BA266" s="1">
        <v>0.0</v>
      </c>
      <c r="BB266" s="1">
        <v>0.0</v>
      </c>
      <c r="BC266" s="2">
        <v>46002.0</v>
      </c>
      <c r="BD266" s="1">
        <v>49.0</v>
      </c>
      <c r="BE266" s="1" t="s">
        <v>550</v>
      </c>
      <c r="BF266" s="1">
        <v>2025.0</v>
      </c>
      <c r="BG266" s="1" t="s">
        <v>624</v>
      </c>
      <c r="BH266" s="7" t="str">
        <f>VLOOKUP(B266,CookieClicks!D:O,12,FALSE)</f>
        <v>https://signup.method.me/QBOAppstoreSignup?offering=methodcrm</v>
      </c>
      <c r="BI266" s="8" t="str">
        <f>IFERROR(__xludf.DUMMYFUNCTION("VLOOKUP(REGEXREPLACE(BH266,""[?].*"",""""),ContentBuckets!A:C,2,FALSE)"),"#N/A")</f>
        <v>#N/A</v>
      </c>
      <c r="BJ266" s="8" t="str">
        <f>IFERROR(__xludf.DUMMYFUNCTION("VLOOKUP(REGEXREPLACE(BH266,""[?].*"",""""),ContentBuckets!A:C,3,FALSE)"),"#N/A")</f>
        <v>#N/A</v>
      </c>
    </row>
    <row r="267" ht="14.25" customHeight="1">
      <c r="A267" s="1">
        <v>153447.0</v>
      </c>
      <c r="B267" s="1" t="s">
        <v>953</v>
      </c>
      <c r="C267" s="2">
        <v>46002.4909722222</v>
      </c>
      <c r="D267" s="2">
        <v>46003.3902777778</v>
      </c>
      <c r="E267" s="2"/>
      <c r="F267" s="1" t="b">
        <v>0</v>
      </c>
      <c r="G267" s="4" t="b">
        <v>1</v>
      </c>
      <c r="H267" s="1" t="b">
        <v>0</v>
      </c>
      <c r="I267" s="1" t="b">
        <v>0</v>
      </c>
      <c r="J267" s="1" t="s">
        <v>534</v>
      </c>
      <c r="K267" s="1" t="s">
        <v>566</v>
      </c>
      <c r="L267" s="1" t="s">
        <v>567</v>
      </c>
      <c r="M267" s="1" t="s">
        <v>537</v>
      </c>
      <c r="N267" s="1">
        <v>0.0</v>
      </c>
      <c r="O267" s="1">
        <v>44.25</v>
      </c>
      <c r="P267" s="1">
        <v>0.0</v>
      </c>
      <c r="Q267" s="1">
        <v>0.0</v>
      </c>
      <c r="R267" s="1">
        <v>28.0</v>
      </c>
      <c r="S267" s="1" t="s">
        <v>538</v>
      </c>
      <c r="T267" s="1" t="s">
        <v>539</v>
      </c>
      <c r="V267" s="4">
        <v>7326300.0</v>
      </c>
      <c r="W267" s="4"/>
      <c r="X267" s="4">
        <v>0.0</v>
      </c>
      <c r="Y267" s="1">
        <v>0.0</v>
      </c>
      <c r="Z267" s="1">
        <v>0.0</v>
      </c>
      <c r="AA267" s="1">
        <v>0.0</v>
      </c>
      <c r="AB267" s="1">
        <v>0.0</v>
      </c>
      <c r="AC267" s="1">
        <v>0.0</v>
      </c>
      <c r="AD267" s="1">
        <v>0.0</v>
      </c>
      <c r="AE267" s="1">
        <v>0.0</v>
      </c>
      <c r="AF267" s="1">
        <v>0.0</v>
      </c>
      <c r="AG267" s="1">
        <v>0.0</v>
      </c>
      <c r="AH267" s="1">
        <v>0.0</v>
      </c>
      <c r="AI267" s="1">
        <v>0.0</v>
      </c>
      <c r="AJ267" s="1">
        <v>0.0</v>
      </c>
      <c r="AK267" s="1">
        <v>0.0</v>
      </c>
      <c r="AL267" s="1">
        <v>0.0</v>
      </c>
      <c r="AM267" s="4">
        <v>0.0</v>
      </c>
      <c r="AN267" s="1">
        <v>0.0</v>
      </c>
      <c r="AO267" s="4">
        <v>0.0</v>
      </c>
      <c r="AP267" s="1">
        <f t="shared" si="1"/>
        <v>1</v>
      </c>
      <c r="AR267" s="1" t="s">
        <v>560</v>
      </c>
      <c r="AU267" s="2"/>
      <c r="AV267" s="2">
        <v>46003.0284722222</v>
      </c>
      <c r="AW267" s="1">
        <v>0.0</v>
      </c>
      <c r="AX267" s="1">
        <v>0.0</v>
      </c>
      <c r="AY267" s="1">
        <v>0.0</v>
      </c>
      <c r="AZ267" s="1">
        <v>1.0</v>
      </c>
      <c r="BA267" s="1">
        <v>0.0</v>
      </c>
      <c r="BB267" s="1">
        <v>0.0</v>
      </c>
      <c r="BC267" s="2">
        <v>46002.0</v>
      </c>
      <c r="BD267" s="1">
        <v>49.0</v>
      </c>
      <c r="BE267" s="1" t="s">
        <v>550</v>
      </c>
      <c r="BF267" s="1">
        <v>2025.0</v>
      </c>
      <c r="BG267" s="1" t="s">
        <v>558</v>
      </c>
      <c r="BH267" s="7" t="str">
        <f>VLOOKUP(B267,CookieClicks!D:O,12,FALSE)</f>
        <v>http://signup.method.me/methodcrm?_gl=1*1788g1d*_gcl_au*MTc3OTQ3ODUwNC4xNzY1NDcxNDg5*_ga*MTM1NTkxMjYyLjE3NjU0NzE0ODk.*_ga_L2HEZNW53E*czE3NjU0NzE0ODkkbzEkZzAkdDE3NjU0NzE0ODkkajYwJGwwJGgxMjMwMTExNzU1&amp;_ga=2.178388836.153331075.1765471489-135591262.1765471489</v>
      </c>
      <c r="BI267" s="8" t="str">
        <f>IFERROR(__xludf.DUMMYFUNCTION("VLOOKUP(REGEXREPLACE(BH267,""[?].*"",""""),ContentBuckets!A:C,2,FALSE)"),"#N/A")</f>
        <v>#N/A</v>
      </c>
      <c r="BJ267" s="8" t="str">
        <f>IFERROR(__xludf.DUMMYFUNCTION("VLOOKUP(REGEXREPLACE(BH267,""[?].*"",""""),ContentBuckets!A:C,3,FALSE)"),"#N/A")</f>
        <v>#N/A</v>
      </c>
    </row>
    <row r="268" ht="14.25" customHeight="1">
      <c r="A268" s="1">
        <v>153448.0</v>
      </c>
      <c r="B268" s="1" t="s">
        <v>954</v>
      </c>
      <c r="C268" s="2">
        <v>46002.4979166667</v>
      </c>
      <c r="D268" s="2"/>
      <c r="E268" s="2"/>
      <c r="F268" s="1" t="b">
        <v>1</v>
      </c>
      <c r="G268" s="4" t="b">
        <v>0</v>
      </c>
      <c r="H268" s="1" t="b">
        <v>0</v>
      </c>
      <c r="I268" s="1" t="b">
        <v>0</v>
      </c>
      <c r="J268" s="1" t="s">
        <v>534</v>
      </c>
      <c r="K268" s="1" t="s">
        <v>553</v>
      </c>
      <c r="L268" s="1" t="s">
        <v>599</v>
      </c>
      <c r="M268" s="1" t="s">
        <v>537</v>
      </c>
      <c r="N268" s="1">
        <v>0.0</v>
      </c>
      <c r="O268" s="1">
        <v>44.25</v>
      </c>
      <c r="P268" s="1">
        <v>0.0</v>
      </c>
      <c r="Q268" s="1">
        <v>0.0</v>
      </c>
      <c r="R268" s="1">
        <v>0.0</v>
      </c>
      <c r="S268" s="1" t="s">
        <v>538</v>
      </c>
      <c r="T268" s="1" t="s">
        <v>539</v>
      </c>
      <c r="V268" s="4">
        <v>7326407.0</v>
      </c>
      <c r="W268" s="4"/>
      <c r="X268" s="4">
        <v>0.0</v>
      </c>
      <c r="Y268" s="1">
        <v>0.0</v>
      </c>
      <c r="Z268" s="1">
        <v>0.0</v>
      </c>
      <c r="AA268" s="1">
        <v>1.0</v>
      </c>
      <c r="AB268" s="1">
        <v>0.0</v>
      </c>
      <c r="AC268" s="1">
        <v>0.0</v>
      </c>
      <c r="AD268" s="1">
        <v>0.0</v>
      </c>
      <c r="AE268" s="1">
        <v>0.0</v>
      </c>
      <c r="AF268" s="1">
        <v>0.0</v>
      </c>
      <c r="AG268" s="1">
        <v>0.0</v>
      </c>
      <c r="AH268" s="1">
        <v>0.0</v>
      </c>
      <c r="AI268" s="1">
        <v>0.0</v>
      </c>
      <c r="AJ268" s="1">
        <v>0.0</v>
      </c>
      <c r="AK268" s="1">
        <v>0.0</v>
      </c>
      <c r="AL268" s="1">
        <v>0.0</v>
      </c>
      <c r="AM268" s="4">
        <v>0.0</v>
      </c>
      <c r="AN268" s="1">
        <v>0.0</v>
      </c>
      <c r="AO268" s="4">
        <v>0.0</v>
      </c>
      <c r="AP268" s="1">
        <f t="shared" si="1"/>
        <v>0</v>
      </c>
      <c r="AU268" s="2"/>
      <c r="AV268" s="2">
        <v>46024.0173611111</v>
      </c>
      <c r="AW268" s="1">
        <v>0.0</v>
      </c>
      <c r="AX268" s="1">
        <v>0.0</v>
      </c>
      <c r="AY268" s="1">
        <v>0.0</v>
      </c>
      <c r="AZ268" s="1">
        <v>1.0</v>
      </c>
      <c r="BA268" s="1">
        <v>0.0</v>
      </c>
      <c r="BB268" s="1">
        <v>0.0</v>
      </c>
      <c r="BC268" s="2">
        <v>46002.0</v>
      </c>
      <c r="BD268" s="1">
        <v>49.0</v>
      </c>
      <c r="BE268" s="1" t="s">
        <v>550</v>
      </c>
      <c r="BF268" s="1">
        <v>2025.0</v>
      </c>
      <c r="BG268" s="1" t="s">
        <v>558</v>
      </c>
      <c r="BH268" s="1" t="str">
        <f>VLOOKUP(B268,CookieClicks!D:O,12,FALSE)</f>
        <v>https://grow.method.me/crm-quickbooks/?trc=81&amp;trk=crm with quickbooks&amp;trs=USA-QB-G&amp;campaignid=1543381580&amp;adgroupid=61437797000&amp;adid=704678754673&amp;gad_source=1&amp;gad_campaignid=1543381580&amp;gbraid=0AAAAAD3Itna4HjCrL3nFp814JpSQ1a-64&amp;gclid=EAIaIQobChMI4Z2VtIC2kQMVHm5_AB2unw3IEAAYASAAEgIkN_D_BwE</v>
      </c>
      <c r="BI268" s="8" t="str">
        <f>IFERROR(__xludf.DUMMYFUNCTION("VLOOKUP(REGEXREPLACE(BH268,""[?].*"",""""),ContentBuckets!A:C,2,FALSE)"),"#N/A")</f>
        <v>#N/A</v>
      </c>
      <c r="BJ268" s="8" t="str">
        <f>IFERROR(__xludf.DUMMYFUNCTION("VLOOKUP(REGEXREPLACE(BH268,""[?].*"",""""),ContentBuckets!A:C,3,FALSE)"),"#N/A")</f>
        <v>#N/A</v>
      </c>
    </row>
    <row r="269" ht="14.25" customHeight="1">
      <c r="A269" s="1">
        <v>153450.0</v>
      </c>
      <c r="B269" s="1" t="s">
        <v>955</v>
      </c>
      <c r="C269" s="2">
        <v>46002.5243055556</v>
      </c>
      <c r="D269" s="2"/>
      <c r="E269" s="2"/>
      <c r="F269" s="1" t="b">
        <v>1</v>
      </c>
      <c r="G269" s="4" t="b">
        <v>0</v>
      </c>
      <c r="H269" s="1" t="b">
        <v>0</v>
      </c>
      <c r="I269" s="1" t="b">
        <v>0</v>
      </c>
      <c r="J269" s="1" t="s">
        <v>534</v>
      </c>
      <c r="K269" s="1" t="s">
        <v>535</v>
      </c>
      <c r="L269" s="1" t="s">
        <v>536</v>
      </c>
      <c r="M269" s="1" t="s">
        <v>537</v>
      </c>
      <c r="N269" s="1">
        <v>0.0</v>
      </c>
      <c r="O269" s="1">
        <v>53.25</v>
      </c>
      <c r="P269" s="1">
        <v>0.0</v>
      </c>
      <c r="Q269" s="1">
        <v>0.0</v>
      </c>
      <c r="R269" s="1">
        <v>28.0</v>
      </c>
      <c r="S269" s="1" t="s">
        <v>538</v>
      </c>
      <c r="T269" s="1" t="s">
        <v>539</v>
      </c>
      <c r="V269" s="4">
        <v>7326650.0</v>
      </c>
      <c r="W269" s="4"/>
      <c r="X269" s="4">
        <v>0.0</v>
      </c>
      <c r="Y269" s="1">
        <v>0.0</v>
      </c>
      <c r="Z269" s="1">
        <v>1.0</v>
      </c>
      <c r="AA269" s="1">
        <v>0.0</v>
      </c>
      <c r="AB269" s="1">
        <v>0.0</v>
      </c>
      <c r="AC269" s="1">
        <v>0.0</v>
      </c>
      <c r="AD269" s="1">
        <v>0.0</v>
      </c>
      <c r="AE269" s="1">
        <v>0.0</v>
      </c>
      <c r="AF269" s="1">
        <v>0.0</v>
      </c>
      <c r="AG269" s="1">
        <v>0.0</v>
      </c>
      <c r="AH269" s="1">
        <v>0.0</v>
      </c>
      <c r="AI269" s="1">
        <v>0.0</v>
      </c>
      <c r="AJ269" s="1">
        <v>0.0</v>
      </c>
      <c r="AK269" s="1">
        <v>0.0</v>
      </c>
      <c r="AL269" s="1">
        <v>0.0</v>
      </c>
      <c r="AM269" s="4">
        <v>0.0</v>
      </c>
      <c r="AN269" s="1">
        <v>0.0</v>
      </c>
      <c r="AO269" s="4">
        <v>0.0</v>
      </c>
      <c r="AP269" s="1">
        <f t="shared" si="1"/>
        <v>0</v>
      </c>
      <c r="AQ269" s="1" t="s">
        <v>557</v>
      </c>
      <c r="AR269" s="1" t="s">
        <v>578</v>
      </c>
      <c r="AT269" s="1" t="s">
        <v>956</v>
      </c>
      <c r="AU269" s="2">
        <v>46002.0</v>
      </c>
      <c r="AV269" s="2">
        <v>46023.9840277778</v>
      </c>
      <c r="AW269" s="1">
        <v>1.0</v>
      </c>
      <c r="AX269" s="1">
        <v>236640.0</v>
      </c>
      <c r="AY269" s="1">
        <v>89.0</v>
      </c>
      <c r="AZ269" s="1">
        <v>1.0</v>
      </c>
      <c r="BA269" s="1">
        <v>0.0</v>
      </c>
      <c r="BB269" s="1">
        <v>3.0</v>
      </c>
      <c r="BC269" s="2">
        <v>46002.0</v>
      </c>
      <c r="BD269" s="1">
        <v>49.0</v>
      </c>
      <c r="BE269" s="1" t="s">
        <v>550</v>
      </c>
      <c r="BF269" s="1">
        <v>2025.0</v>
      </c>
      <c r="BG269" s="1" t="s">
        <v>558</v>
      </c>
      <c r="BH269" s="7" t="str">
        <f>VLOOKUP(B269,CookieClicks!D:O,12,FALSE)</f>
        <v>https://signup.method.me/QBOAppstoreSignup?offering=methodcrm</v>
      </c>
      <c r="BI269" s="8" t="str">
        <f>IFERROR(__xludf.DUMMYFUNCTION("VLOOKUP(REGEXREPLACE(BH269,""[?].*"",""""),ContentBuckets!A:C,2,FALSE)"),"#N/A")</f>
        <v>#N/A</v>
      </c>
      <c r="BJ269" s="8" t="str">
        <f>IFERROR(__xludf.DUMMYFUNCTION("VLOOKUP(REGEXREPLACE(BH269,""[?].*"",""""),ContentBuckets!A:C,3,FALSE)"),"#N/A")</f>
        <v>#N/A</v>
      </c>
    </row>
    <row r="270" ht="14.25" customHeight="1">
      <c r="A270" s="1">
        <v>153452.0</v>
      </c>
      <c r="B270" s="1" t="s">
        <v>957</v>
      </c>
      <c r="C270" s="2">
        <v>46002.5423611111</v>
      </c>
      <c r="D270" s="2"/>
      <c r="E270" s="2"/>
      <c r="F270" s="1" t="b">
        <v>1</v>
      </c>
      <c r="G270" s="4" t="b">
        <v>0</v>
      </c>
      <c r="H270" s="1" t="b">
        <v>0</v>
      </c>
      <c r="I270" s="1" t="b">
        <v>0</v>
      </c>
      <c r="J270" s="1" t="s">
        <v>534</v>
      </c>
      <c r="K270" s="1" t="s">
        <v>535</v>
      </c>
      <c r="L270" s="1" t="s">
        <v>536</v>
      </c>
      <c r="M270" s="1" t="s">
        <v>537</v>
      </c>
      <c r="N270" s="1">
        <v>0.0</v>
      </c>
      <c r="O270" s="1">
        <v>63.75</v>
      </c>
      <c r="P270" s="1">
        <v>0.0</v>
      </c>
      <c r="Q270" s="1">
        <v>0.0</v>
      </c>
      <c r="R270" s="1">
        <v>28.0</v>
      </c>
      <c r="S270" s="1" t="s">
        <v>538</v>
      </c>
      <c r="T270" s="1" t="s">
        <v>539</v>
      </c>
      <c r="V270" s="4">
        <v>7324933.0</v>
      </c>
      <c r="W270" s="4"/>
      <c r="X270" s="4">
        <v>1.0</v>
      </c>
      <c r="Y270" s="1">
        <v>0.0</v>
      </c>
      <c r="Z270" s="1">
        <v>0.0</v>
      </c>
      <c r="AA270" s="1">
        <v>0.0</v>
      </c>
      <c r="AB270" s="1">
        <v>0.0</v>
      </c>
      <c r="AC270" s="1">
        <v>0.0</v>
      </c>
      <c r="AD270" s="1">
        <v>0.0</v>
      </c>
      <c r="AE270" s="1">
        <v>0.0</v>
      </c>
      <c r="AF270" s="1">
        <v>0.0</v>
      </c>
      <c r="AG270" s="1">
        <v>0.0</v>
      </c>
      <c r="AH270" s="1">
        <v>0.0</v>
      </c>
      <c r="AI270" s="1">
        <v>0.0</v>
      </c>
      <c r="AJ270" s="1">
        <v>0.0</v>
      </c>
      <c r="AK270" s="1">
        <v>0.0</v>
      </c>
      <c r="AL270" s="1">
        <v>0.0</v>
      </c>
      <c r="AM270" s="4">
        <v>0.0</v>
      </c>
      <c r="AN270" s="1">
        <v>0.0</v>
      </c>
      <c r="AO270" s="4">
        <v>0.0</v>
      </c>
      <c r="AP270" s="1">
        <f t="shared" si="1"/>
        <v>0</v>
      </c>
      <c r="AQ270" s="1" t="s">
        <v>557</v>
      </c>
      <c r="AR270" s="1" t="s">
        <v>571</v>
      </c>
      <c r="AT270" s="1" t="s">
        <v>958</v>
      </c>
      <c r="AU270" s="2">
        <v>46002.0</v>
      </c>
      <c r="AV270" s="2">
        <v>46024.00625</v>
      </c>
      <c r="AW270" s="1">
        <v>0.0</v>
      </c>
      <c r="AX270" s="1">
        <v>847236.0</v>
      </c>
      <c r="AY270" s="1">
        <v>22.0</v>
      </c>
      <c r="AZ270" s="1">
        <v>1.0</v>
      </c>
      <c r="BA270" s="1">
        <v>0.0</v>
      </c>
      <c r="BB270" s="1">
        <v>0.0</v>
      </c>
      <c r="BC270" s="2">
        <v>46002.0</v>
      </c>
      <c r="BD270" s="1">
        <v>49.0</v>
      </c>
      <c r="BE270" s="1" t="s">
        <v>550</v>
      </c>
      <c r="BF270" s="1">
        <v>2025.0</v>
      </c>
      <c r="BG270" s="1" t="s">
        <v>558</v>
      </c>
      <c r="BH270" s="7" t="str">
        <f>VLOOKUP(B270,CookieClicks!D:O,12,FALSE)</f>
        <v>http://signup.method.me/methodcrm?_gl=1*er5d4y*_gcl_au*MTU2OTUwNTkzNC4xNzU4MDUwMjA5LjE0OTE2NTI0NjcuMTc2NDI1Mjg3My4xNzY0MjUyOTk0*_ga*MTU4MjgwMTAyNC4xNzU4MDI4MTI1*_ga_L2HEZNW53E*czE3NjQyNTE4ODIkbzEwOCRnMSR0MTc2NDI2MzQ1NyRqNjAkbDAkaDIyODU5NzQ5Mg..&amp;_ga=2.96290332.1448085966.1763996340-1582801024.1758028125</v>
      </c>
      <c r="BI270" s="8" t="str">
        <f>IFERROR(__xludf.DUMMYFUNCTION("VLOOKUP(REGEXREPLACE(BH270,""[?].*"",""""),ContentBuckets!A:C,2,FALSE)"),"#N/A")</f>
        <v>#N/A</v>
      </c>
      <c r="BJ270" s="8" t="str">
        <f>IFERROR(__xludf.DUMMYFUNCTION("VLOOKUP(REGEXREPLACE(BH270,""[?].*"",""""),ContentBuckets!A:C,3,FALSE)"),"#N/A")</f>
        <v>#N/A</v>
      </c>
    </row>
    <row r="271" ht="14.25" customHeight="1">
      <c r="A271" s="1">
        <v>153453.0</v>
      </c>
      <c r="B271" s="1" t="s">
        <v>959</v>
      </c>
      <c r="C271" s="2">
        <v>46002.5541666667</v>
      </c>
      <c r="D271" s="2"/>
      <c r="E271" s="2"/>
      <c r="F271" s="1" t="b">
        <v>1</v>
      </c>
      <c r="G271" s="4" t="b">
        <v>0</v>
      </c>
      <c r="H271" s="1" t="b">
        <v>0</v>
      </c>
      <c r="I271" s="1" t="b">
        <v>0</v>
      </c>
      <c r="J271" s="1" t="s">
        <v>534</v>
      </c>
      <c r="K271" s="1" t="s">
        <v>553</v>
      </c>
      <c r="L271" s="1" t="s">
        <v>554</v>
      </c>
      <c r="M271" s="1" t="s">
        <v>537</v>
      </c>
      <c r="N271" s="1">
        <v>0.0</v>
      </c>
      <c r="O271" s="1">
        <v>44.25</v>
      </c>
      <c r="P271" s="1">
        <v>0.0</v>
      </c>
      <c r="Q271" s="1">
        <v>0.0</v>
      </c>
      <c r="R271" s="1">
        <v>0.0</v>
      </c>
      <c r="S271" s="1" t="s">
        <v>538</v>
      </c>
      <c r="T271" s="1" t="s">
        <v>539</v>
      </c>
      <c r="V271" s="4">
        <v>7327090.0</v>
      </c>
      <c r="W271" s="4" t="s">
        <v>540</v>
      </c>
      <c r="X271" s="4">
        <v>0.0</v>
      </c>
      <c r="Y271" s="1">
        <v>1.0</v>
      </c>
      <c r="Z271" s="1">
        <v>0.0</v>
      </c>
      <c r="AA271" s="1">
        <v>0.0</v>
      </c>
      <c r="AB271" s="1">
        <v>0.0</v>
      </c>
      <c r="AC271" s="1">
        <v>0.0</v>
      </c>
      <c r="AD271" s="1">
        <v>0.0</v>
      </c>
      <c r="AE271" s="1">
        <v>0.0</v>
      </c>
      <c r="AF271" s="1">
        <v>0.0</v>
      </c>
      <c r="AG271" s="1">
        <v>0.0</v>
      </c>
      <c r="AH271" s="1">
        <v>0.0</v>
      </c>
      <c r="AI271" s="1">
        <v>0.0</v>
      </c>
      <c r="AJ271" s="1">
        <v>0.0</v>
      </c>
      <c r="AK271" s="1">
        <v>0.0</v>
      </c>
      <c r="AL271" s="1">
        <v>0.0</v>
      </c>
      <c r="AM271" s="4">
        <v>0.0</v>
      </c>
      <c r="AN271" s="1">
        <v>0.0</v>
      </c>
      <c r="AO271" s="4">
        <v>0.0</v>
      </c>
      <c r="AP271" s="1">
        <f t="shared" si="1"/>
        <v>0</v>
      </c>
      <c r="AU271" s="2"/>
      <c r="AV271" s="2">
        <v>46023.9881944444</v>
      </c>
      <c r="AW271" s="1">
        <v>0.0</v>
      </c>
      <c r="AX271" s="1">
        <v>0.0</v>
      </c>
      <c r="AY271" s="1">
        <v>0.0</v>
      </c>
      <c r="AZ271" s="1">
        <v>1.0</v>
      </c>
      <c r="BA271" s="1">
        <v>0.0</v>
      </c>
      <c r="BB271" s="1">
        <v>0.0</v>
      </c>
      <c r="BC271" s="2">
        <v>46002.0</v>
      </c>
      <c r="BD271" s="1">
        <v>49.0</v>
      </c>
      <c r="BE271" s="1" t="s">
        <v>550</v>
      </c>
      <c r="BF271" s="1">
        <v>2025.0</v>
      </c>
      <c r="BG271" s="1" t="s">
        <v>558</v>
      </c>
      <c r="BH271" s="7" t="str">
        <f>VLOOKUP(B271,CookieClicks!D:O,12,FALSE)</f>
        <v>https://www.method.me/blog/start-a-cleaning-business-with-no-money/</v>
      </c>
      <c r="BI271" s="8" t="str">
        <f>IFERROR(__xludf.DUMMYFUNCTION("VLOOKUP(REGEXREPLACE(BH271,""[?].*"",""""),ContentBuckets!A:C,2,FALSE)"),"General how-to")</f>
        <v>General how-to</v>
      </c>
      <c r="BJ271" s="8" t="str">
        <f>IFERROR(__xludf.DUMMYFUNCTION("VLOOKUP(REGEXREPLACE(BH271,""[?].*"",""""),ContentBuckets!A:C,3,FALSE)"),"Blog")</f>
        <v>Blog</v>
      </c>
    </row>
    <row r="272" ht="14.25" customHeight="1">
      <c r="A272" s="1">
        <v>153454.0</v>
      </c>
      <c r="B272" s="1" t="s">
        <v>960</v>
      </c>
      <c r="C272" s="2">
        <v>46002.5638888889</v>
      </c>
      <c r="D272" s="2"/>
      <c r="E272" s="2"/>
      <c r="F272" s="1" t="b">
        <v>1</v>
      </c>
      <c r="G272" s="4" t="b">
        <v>1</v>
      </c>
      <c r="H272" s="1" t="b">
        <v>0</v>
      </c>
      <c r="I272" s="1" t="b">
        <v>0</v>
      </c>
      <c r="J272" s="1" t="s">
        <v>534</v>
      </c>
      <c r="K272" s="1" t="s">
        <v>553</v>
      </c>
      <c r="L272" s="1" t="s">
        <v>554</v>
      </c>
      <c r="M272" s="1" t="s">
        <v>537</v>
      </c>
      <c r="N272" s="1">
        <v>0.0</v>
      </c>
      <c r="O272" s="1">
        <v>72.75</v>
      </c>
      <c r="P272" s="1">
        <v>0.0</v>
      </c>
      <c r="Q272" s="1">
        <v>0.0</v>
      </c>
      <c r="R272" s="1">
        <v>0.0</v>
      </c>
      <c r="S272" s="1" t="s">
        <v>538</v>
      </c>
      <c r="T272" s="1" t="s">
        <v>539</v>
      </c>
      <c r="V272" s="4">
        <v>6979405.0</v>
      </c>
      <c r="W272" s="4"/>
      <c r="X272" s="4">
        <v>1.0</v>
      </c>
      <c r="Y272" s="1">
        <v>0.0</v>
      </c>
      <c r="Z272" s="1">
        <v>0.0</v>
      </c>
      <c r="AA272" s="1">
        <v>0.0</v>
      </c>
      <c r="AB272" s="1">
        <v>0.0</v>
      </c>
      <c r="AC272" s="1">
        <v>0.0</v>
      </c>
      <c r="AD272" s="1">
        <v>0.0</v>
      </c>
      <c r="AE272" s="1">
        <v>0.0</v>
      </c>
      <c r="AF272" s="1">
        <v>0.0</v>
      </c>
      <c r="AG272" s="1">
        <v>0.0</v>
      </c>
      <c r="AH272" s="1">
        <v>0.0</v>
      </c>
      <c r="AI272" s="1">
        <v>0.0</v>
      </c>
      <c r="AJ272" s="1">
        <v>0.0</v>
      </c>
      <c r="AK272" s="1">
        <v>0.0</v>
      </c>
      <c r="AL272" s="1">
        <v>0.0</v>
      </c>
      <c r="AM272" s="4">
        <v>0.0</v>
      </c>
      <c r="AN272" s="1">
        <v>0.0</v>
      </c>
      <c r="AO272" s="4">
        <v>0.0</v>
      </c>
      <c r="AP272" s="1">
        <f t="shared" si="1"/>
        <v>0</v>
      </c>
      <c r="AU272" s="2"/>
      <c r="AV272" s="2">
        <v>46024.0423611111</v>
      </c>
      <c r="AW272" s="1">
        <v>0.0</v>
      </c>
      <c r="AX272" s="1">
        <v>0.0</v>
      </c>
      <c r="AY272" s="1">
        <v>0.0</v>
      </c>
      <c r="AZ272" s="1">
        <v>1.0</v>
      </c>
      <c r="BA272" s="1">
        <v>0.0</v>
      </c>
      <c r="BB272" s="1">
        <v>0.0</v>
      </c>
      <c r="BC272" s="2">
        <v>46002.0</v>
      </c>
      <c r="BD272" s="1">
        <v>49.0</v>
      </c>
      <c r="BE272" s="1" t="s">
        <v>550</v>
      </c>
      <c r="BF272" s="1">
        <v>2025.0</v>
      </c>
      <c r="BG272" s="1" t="s">
        <v>546</v>
      </c>
      <c r="BH272" s="7" t="str">
        <f>VLOOKUP(B272,CookieClicks!D:O,12,FALSE)</f>
        <v>https://www.method.me/</v>
      </c>
      <c r="BI272" s="8" t="str">
        <f>IFERROR(__xludf.DUMMYFUNCTION("VLOOKUP(REGEXREPLACE(BH272,""[?].*"",""""),ContentBuckets!A:C,2,FALSE)"),"Homepage")</f>
        <v>Homepage</v>
      </c>
      <c r="BJ272" s="8" t="str">
        <f>IFERROR(__xludf.DUMMYFUNCTION("VLOOKUP(REGEXREPLACE(BH272,""[?].*"",""""),ContentBuckets!A:C,3,FALSE)"),"Other page")</f>
        <v>Other page</v>
      </c>
    </row>
    <row r="273" ht="14.25" customHeight="1">
      <c r="A273" s="1">
        <v>153456.0</v>
      </c>
      <c r="B273" s="1" t="s">
        <v>961</v>
      </c>
      <c r="C273" s="2">
        <v>46002.6076388889</v>
      </c>
      <c r="D273" s="2">
        <v>46010.4902777778</v>
      </c>
      <c r="E273" s="2">
        <v>46003.9583333333</v>
      </c>
      <c r="F273" s="1" t="b">
        <v>0</v>
      </c>
      <c r="G273" s="4" t="b">
        <v>0</v>
      </c>
      <c r="H273" s="1" t="b">
        <v>0</v>
      </c>
      <c r="I273" s="1" t="b">
        <v>0</v>
      </c>
      <c r="J273" s="1" t="s">
        <v>534</v>
      </c>
      <c r="K273" s="1" t="s">
        <v>535</v>
      </c>
      <c r="L273" s="1" t="s">
        <v>536</v>
      </c>
      <c r="M273" s="1" t="s">
        <v>537</v>
      </c>
      <c r="N273" s="1">
        <v>0.0</v>
      </c>
      <c r="O273" s="1">
        <v>53.25</v>
      </c>
      <c r="P273" s="1">
        <v>0.0</v>
      </c>
      <c r="Q273" s="1">
        <v>0.0</v>
      </c>
      <c r="R273" s="1">
        <v>28.0</v>
      </c>
      <c r="S273" s="1" t="s">
        <v>538</v>
      </c>
      <c r="T273" s="1" t="s">
        <v>539</v>
      </c>
      <c r="V273" s="4">
        <v>7327812.0</v>
      </c>
      <c r="W273" s="4" t="s">
        <v>540</v>
      </c>
      <c r="X273" s="4">
        <v>0.0</v>
      </c>
      <c r="Y273" s="1">
        <v>1.0</v>
      </c>
      <c r="Z273" s="1">
        <v>0.0</v>
      </c>
      <c r="AA273" s="1">
        <v>0.0</v>
      </c>
      <c r="AB273" s="1">
        <v>0.0</v>
      </c>
      <c r="AC273" s="1">
        <v>0.0</v>
      </c>
      <c r="AD273" s="1">
        <v>0.0</v>
      </c>
      <c r="AE273" s="1">
        <v>0.0</v>
      </c>
      <c r="AF273" s="1">
        <v>0.0</v>
      </c>
      <c r="AG273" s="1">
        <v>0.0</v>
      </c>
      <c r="AH273" s="1">
        <v>0.0</v>
      </c>
      <c r="AI273" s="1">
        <v>0.0</v>
      </c>
      <c r="AJ273" s="1">
        <v>0.0</v>
      </c>
      <c r="AK273" s="1">
        <v>0.0</v>
      </c>
      <c r="AL273" s="1">
        <v>0.0</v>
      </c>
      <c r="AM273" s="4">
        <v>0.0</v>
      </c>
      <c r="AN273" s="1">
        <v>0.0</v>
      </c>
      <c r="AO273" s="4">
        <v>0.0</v>
      </c>
      <c r="AP273" s="1">
        <f t="shared" si="1"/>
        <v>0</v>
      </c>
      <c r="AQ273" s="1" t="s">
        <v>557</v>
      </c>
      <c r="AR273" s="1" t="s">
        <v>578</v>
      </c>
      <c r="AU273" s="2">
        <v>46002.0</v>
      </c>
      <c r="AV273" s="2">
        <v>46009.98125</v>
      </c>
      <c r="AW273" s="1">
        <v>9.0</v>
      </c>
      <c r="AX273" s="1">
        <v>1219778.28</v>
      </c>
      <c r="AY273" s="1">
        <v>134.0</v>
      </c>
      <c r="AZ273" s="1">
        <v>1.0</v>
      </c>
      <c r="BA273" s="1">
        <v>0.0</v>
      </c>
      <c r="BB273" s="1">
        <v>1.0</v>
      </c>
      <c r="BC273" s="2">
        <v>46002.0</v>
      </c>
      <c r="BD273" s="1">
        <v>49.0</v>
      </c>
      <c r="BE273" s="1" t="s">
        <v>550</v>
      </c>
      <c r="BF273" s="1">
        <v>2025.0</v>
      </c>
      <c r="BG273" s="1" t="s">
        <v>558</v>
      </c>
      <c r="BH273" s="7" t="str">
        <f>VLOOKUP(B273,CookieClicks!D:O,12,FALSE)</f>
        <v>https://www.method.me/</v>
      </c>
      <c r="BI273" s="8" t="str">
        <f>IFERROR(__xludf.DUMMYFUNCTION("VLOOKUP(REGEXREPLACE(BH273,""[?].*"",""""),ContentBuckets!A:C,2,FALSE)"),"Homepage")</f>
        <v>Homepage</v>
      </c>
      <c r="BJ273" s="8" t="str">
        <f>IFERROR(__xludf.DUMMYFUNCTION("VLOOKUP(REGEXREPLACE(BH273,""[?].*"",""""),ContentBuckets!A:C,3,FALSE)"),"Other page")</f>
        <v>Other page</v>
      </c>
    </row>
    <row r="274" ht="14.25" customHeight="1">
      <c r="A274" s="1">
        <v>153458.0</v>
      </c>
      <c r="B274" s="1" t="s">
        <v>962</v>
      </c>
      <c r="C274" s="2">
        <v>46002.6513888889</v>
      </c>
      <c r="D274" s="2"/>
      <c r="E274" s="2"/>
      <c r="F274" s="1" t="b">
        <v>1</v>
      </c>
      <c r="G274" s="4" t="b">
        <v>0</v>
      </c>
      <c r="H274" s="1" t="b">
        <v>0</v>
      </c>
      <c r="I274" s="1" t="b">
        <v>0</v>
      </c>
      <c r="J274" s="1" t="s">
        <v>534</v>
      </c>
      <c r="K274" s="1" t="s">
        <v>535</v>
      </c>
      <c r="L274" s="1" t="s">
        <v>536</v>
      </c>
      <c r="M274" s="1" t="s">
        <v>537</v>
      </c>
      <c r="N274" s="1">
        <v>0.0</v>
      </c>
      <c r="O274" s="1">
        <v>44.25</v>
      </c>
      <c r="P274" s="1">
        <v>0.0</v>
      </c>
      <c r="Q274" s="1">
        <v>0.0</v>
      </c>
      <c r="R274" s="1">
        <v>0.0</v>
      </c>
      <c r="S274" s="1" t="s">
        <v>538</v>
      </c>
      <c r="T274" s="1" t="s">
        <v>539</v>
      </c>
      <c r="V274" s="4">
        <v>7328360.0</v>
      </c>
      <c r="W274" s="4" t="s">
        <v>963</v>
      </c>
      <c r="X274" s="4">
        <v>0.0</v>
      </c>
      <c r="Y274" s="1">
        <v>1.0</v>
      </c>
      <c r="Z274" s="1">
        <v>0.0</v>
      </c>
      <c r="AA274" s="1">
        <v>0.0</v>
      </c>
      <c r="AB274" s="1">
        <v>0.0</v>
      </c>
      <c r="AC274" s="1">
        <v>0.0</v>
      </c>
      <c r="AD274" s="1">
        <v>0.0</v>
      </c>
      <c r="AE274" s="1">
        <v>0.0</v>
      </c>
      <c r="AF274" s="1">
        <v>0.0</v>
      </c>
      <c r="AG274" s="1">
        <v>0.0</v>
      </c>
      <c r="AH274" s="1">
        <v>0.0</v>
      </c>
      <c r="AI274" s="1">
        <v>0.0</v>
      </c>
      <c r="AJ274" s="1">
        <v>0.0</v>
      </c>
      <c r="AK274" s="1">
        <v>0.0</v>
      </c>
      <c r="AL274" s="1">
        <v>0.0</v>
      </c>
      <c r="AM274" s="4">
        <v>0.0</v>
      </c>
      <c r="AN274" s="1">
        <v>0.0</v>
      </c>
      <c r="AO274" s="4">
        <v>0.0</v>
      </c>
      <c r="AP274" s="1">
        <f t="shared" si="1"/>
        <v>0</v>
      </c>
      <c r="AU274" s="2"/>
      <c r="AV274" s="2">
        <v>46024.0298611111</v>
      </c>
      <c r="AW274" s="1">
        <v>0.0</v>
      </c>
      <c r="AX274" s="1">
        <v>0.0</v>
      </c>
      <c r="AY274" s="1">
        <v>0.0</v>
      </c>
      <c r="AZ274" s="1">
        <v>1.0</v>
      </c>
      <c r="BA274" s="1">
        <v>0.0</v>
      </c>
      <c r="BB274" s="1">
        <v>0.0</v>
      </c>
      <c r="BC274" s="2">
        <v>46002.0</v>
      </c>
      <c r="BD274" s="1">
        <v>49.0</v>
      </c>
      <c r="BE274" s="1" t="s">
        <v>550</v>
      </c>
      <c r="BF274" s="1">
        <v>2025.0</v>
      </c>
      <c r="BG274" s="1" t="s">
        <v>558</v>
      </c>
      <c r="BH274" s="7" t="str">
        <f>VLOOKUP(B274,CookieClicks!D:O,12,FALSE)</f>
        <v>https://www.method.me/blog/how-to-add-signature-in-quickbooks-online/?trc=90&amp;trk=description-cta&amp;trs=qbo-esig&amp;utm_source=yt&amp;utm_medium=description-cta&amp;utm_campaign=qbo-esig</v>
      </c>
      <c r="BI274" s="8" t="str">
        <f>IFERROR(__xludf.DUMMYFUNCTION("VLOOKUP(REGEXREPLACE(BH274,""[?].*"",""""),ContentBuckets!A:C,2,FALSE)"),"QuickBooks - How-to")</f>
        <v>QuickBooks - How-to</v>
      </c>
      <c r="BJ274" s="8" t="str">
        <f>IFERROR(__xludf.DUMMYFUNCTION("VLOOKUP(REGEXREPLACE(BH274,""[?].*"",""""),ContentBuckets!A:C,3,FALSE)"),"Blog")</f>
        <v>Blog</v>
      </c>
    </row>
    <row r="275" ht="14.25" customHeight="1">
      <c r="A275" s="1">
        <v>153459.0</v>
      </c>
      <c r="B275" s="1" t="s">
        <v>964</v>
      </c>
      <c r="C275" s="2">
        <v>46002.6791666667</v>
      </c>
      <c r="D275" s="2"/>
      <c r="E275" s="2"/>
      <c r="F275" s="1" t="b">
        <v>1</v>
      </c>
      <c r="G275" s="4" t="b">
        <v>0</v>
      </c>
      <c r="H275" s="1" t="b">
        <v>0</v>
      </c>
      <c r="I275" s="1" t="b">
        <v>0</v>
      </c>
      <c r="J275" s="1" t="s">
        <v>534</v>
      </c>
      <c r="K275" s="1" t="s">
        <v>535</v>
      </c>
      <c r="L275" s="1" t="s">
        <v>536</v>
      </c>
      <c r="M275" s="1" t="s">
        <v>537</v>
      </c>
      <c r="N275" s="1">
        <v>0.0</v>
      </c>
      <c r="O275" s="1">
        <v>44.25</v>
      </c>
      <c r="P275" s="1">
        <v>0.0</v>
      </c>
      <c r="Q275" s="1">
        <v>0.0</v>
      </c>
      <c r="R275" s="1">
        <v>28.0</v>
      </c>
      <c r="S275" s="1" t="s">
        <v>538</v>
      </c>
      <c r="T275" s="1" t="s">
        <v>539</v>
      </c>
      <c r="V275" s="4">
        <v>7328686.0</v>
      </c>
      <c r="W275" s="4"/>
      <c r="X275" s="4">
        <v>1.0</v>
      </c>
      <c r="Y275" s="1">
        <v>0.0</v>
      </c>
      <c r="Z275" s="1">
        <v>0.0</v>
      </c>
      <c r="AA275" s="1">
        <v>0.0</v>
      </c>
      <c r="AB275" s="1">
        <v>0.0</v>
      </c>
      <c r="AC275" s="1">
        <v>0.0</v>
      </c>
      <c r="AD275" s="1">
        <v>0.0</v>
      </c>
      <c r="AE275" s="1">
        <v>0.0</v>
      </c>
      <c r="AF275" s="1">
        <v>0.0</v>
      </c>
      <c r="AG275" s="1">
        <v>0.0</v>
      </c>
      <c r="AH275" s="1">
        <v>0.0</v>
      </c>
      <c r="AI275" s="1">
        <v>0.0</v>
      </c>
      <c r="AJ275" s="1">
        <v>0.0</v>
      </c>
      <c r="AK275" s="1">
        <v>0.0</v>
      </c>
      <c r="AL275" s="1">
        <v>0.0</v>
      </c>
      <c r="AM275" s="4">
        <v>0.0</v>
      </c>
      <c r="AN275" s="1">
        <v>0.0</v>
      </c>
      <c r="AO275" s="4">
        <v>0.0</v>
      </c>
      <c r="AP275" s="1">
        <f t="shared" si="1"/>
        <v>0</v>
      </c>
      <c r="AQ275" s="1" t="s">
        <v>557</v>
      </c>
      <c r="AR275" s="1" t="s">
        <v>560</v>
      </c>
      <c r="AU275" s="2">
        <v>46002.0</v>
      </c>
      <c r="AV275" s="2">
        <v>46023.9826388889</v>
      </c>
      <c r="AW275" s="1">
        <v>0.0</v>
      </c>
      <c r="AX275" s="1">
        <v>349320.0</v>
      </c>
      <c r="AY275" s="1">
        <v>401.0</v>
      </c>
      <c r="AZ275" s="1">
        <v>1.0</v>
      </c>
      <c r="BA275" s="1">
        <v>0.0</v>
      </c>
      <c r="BB275" s="1">
        <v>0.0</v>
      </c>
      <c r="BC275" s="2">
        <v>46002.0</v>
      </c>
      <c r="BD275" s="1">
        <v>49.0</v>
      </c>
      <c r="BE275" s="1" t="s">
        <v>550</v>
      </c>
      <c r="BF275" s="1">
        <v>2025.0</v>
      </c>
      <c r="BG275" s="1" t="s">
        <v>558</v>
      </c>
      <c r="BH275" s="7" t="str">
        <f>VLOOKUP(B275,CookieClicks!D:O,12,FALSE)</f>
        <v>https://www.method.me/</v>
      </c>
      <c r="BI275" s="8" t="str">
        <f>IFERROR(__xludf.DUMMYFUNCTION("VLOOKUP(REGEXREPLACE(BH275,""[?].*"",""""),ContentBuckets!A:C,2,FALSE)"),"Homepage")</f>
        <v>Homepage</v>
      </c>
      <c r="BJ275" s="8" t="str">
        <f>IFERROR(__xludf.DUMMYFUNCTION("VLOOKUP(REGEXREPLACE(BH275,""[?].*"",""""),ContentBuckets!A:C,3,FALSE)"),"Other page")</f>
        <v>Other page</v>
      </c>
    </row>
    <row r="276" ht="14.25" customHeight="1">
      <c r="A276" s="1">
        <v>153462.0</v>
      </c>
      <c r="B276" s="1" t="s">
        <v>965</v>
      </c>
      <c r="C276" s="2">
        <v>46002.7652777778</v>
      </c>
      <c r="D276" s="2"/>
      <c r="E276" s="2"/>
      <c r="F276" s="1" t="b">
        <v>1</v>
      </c>
      <c r="G276" s="4" t="b">
        <v>0</v>
      </c>
      <c r="H276" s="1" t="b">
        <v>0</v>
      </c>
      <c r="I276" s="1" t="b">
        <v>0</v>
      </c>
      <c r="J276" s="1" t="s">
        <v>534</v>
      </c>
      <c r="K276" s="1" t="s">
        <v>553</v>
      </c>
      <c r="L276" s="1" t="s">
        <v>554</v>
      </c>
      <c r="M276" s="1" t="s">
        <v>537</v>
      </c>
      <c r="N276" s="1">
        <v>0.0</v>
      </c>
      <c r="O276" s="1">
        <v>44.25</v>
      </c>
      <c r="P276" s="1">
        <v>0.0</v>
      </c>
      <c r="Q276" s="1">
        <v>0.0</v>
      </c>
      <c r="R276" s="1">
        <v>0.0</v>
      </c>
      <c r="S276" s="1" t="s">
        <v>538</v>
      </c>
      <c r="T276" s="1" t="s">
        <v>539</v>
      </c>
      <c r="V276" s="4">
        <v>7326178.0</v>
      </c>
      <c r="W276" s="4"/>
      <c r="X276" s="4">
        <v>1.0</v>
      </c>
      <c r="Y276" s="1">
        <v>0.0</v>
      </c>
      <c r="Z276" s="1">
        <v>0.0</v>
      </c>
      <c r="AA276" s="1">
        <v>0.0</v>
      </c>
      <c r="AB276" s="1">
        <v>0.0</v>
      </c>
      <c r="AC276" s="1">
        <v>0.0</v>
      </c>
      <c r="AD276" s="1">
        <v>0.0</v>
      </c>
      <c r="AE276" s="1">
        <v>0.0</v>
      </c>
      <c r="AF276" s="1">
        <v>0.0</v>
      </c>
      <c r="AG276" s="1">
        <v>0.0</v>
      </c>
      <c r="AH276" s="1">
        <v>0.0</v>
      </c>
      <c r="AI276" s="1">
        <v>0.0</v>
      </c>
      <c r="AJ276" s="1">
        <v>0.0</v>
      </c>
      <c r="AK276" s="1">
        <v>0.0</v>
      </c>
      <c r="AL276" s="1">
        <v>0.0</v>
      </c>
      <c r="AM276" s="4">
        <v>0.0</v>
      </c>
      <c r="AN276" s="1">
        <v>0.0</v>
      </c>
      <c r="AO276" s="4">
        <v>0.0</v>
      </c>
      <c r="AP276" s="1">
        <f t="shared" si="1"/>
        <v>0</v>
      </c>
      <c r="AU276" s="2"/>
      <c r="AV276" s="2">
        <v>46023.9826388889</v>
      </c>
      <c r="AW276" s="1">
        <v>0.0</v>
      </c>
      <c r="AX276" s="1">
        <v>0.0</v>
      </c>
      <c r="AY276" s="1">
        <v>0.0</v>
      </c>
      <c r="AZ276" s="1">
        <v>1.0</v>
      </c>
      <c r="BA276" s="1">
        <v>0.0</v>
      </c>
      <c r="BB276" s="1">
        <v>0.0</v>
      </c>
      <c r="BC276" s="2">
        <v>46002.0</v>
      </c>
      <c r="BD276" s="1">
        <v>49.0</v>
      </c>
      <c r="BE276" s="1" t="s">
        <v>550</v>
      </c>
      <c r="BF276" s="1">
        <v>2025.0</v>
      </c>
      <c r="BG276" s="1" t="s">
        <v>558</v>
      </c>
      <c r="BH276" s="7" t="str">
        <f>VLOOKUP(B276,CookieClicks!D:O,12,FALSE)</f>
        <v>https://www.method.me/blog/quickbooks-desktop-discontinued/</v>
      </c>
      <c r="BI276" s="8" t="str">
        <f>IFERROR(__xludf.DUMMYFUNCTION("VLOOKUP(REGEXREPLACE(BH276,""[?].*"",""""),ContentBuckets!A:C,2,FALSE)"),"QuickBooks - General")</f>
        <v>QuickBooks - General</v>
      </c>
      <c r="BJ276" s="8" t="str">
        <f>IFERROR(__xludf.DUMMYFUNCTION("VLOOKUP(REGEXREPLACE(BH276,""[?].*"",""""),ContentBuckets!A:C,3,FALSE)"),"Blog")</f>
        <v>Blog</v>
      </c>
    </row>
    <row r="277" ht="14.25" customHeight="1">
      <c r="A277" s="1">
        <v>153463.0</v>
      </c>
      <c r="B277" s="1" t="s">
        <v>966</v>
      </c>
      <c r="C277" s="2">
        <v>46002.7944444444</v>
      </c>
      <c r="D277" s="2">
        <v>46017.4986111111</v>
      </c>
      <c r="E277" s="2"/>
      <c r="F277" s="1" t="b">
        <v>0</v>
      </c>
      <c r="G277" s="4" t="b">
        <v>0</v>
      </c>
      <c r="H277" s="1" t="b">
        <v>0</v>
      </c>
      <c r="I277" s="1" t="b">
        <v>0</v>
      </c>
      <c r="J277" s="1" t="s">
        <v>534</v>
      </c>
      <c r="K277" s="1" t="s">
        <v>535</v>
      </c>
      <c r="L277" s="1" t="s">
        <v>536</v>
      </c>
      <c r="M277" s="1" t="s">
        <v>537</v>
      </c>
      <c r="N277" s="1">
        <v>0.0</v>
      </c>
      <c r="O277" s="1">
        <v>44.25</v>
      </c>
      <c r="P277" s="1">
        <v>0.0</v>
      </c>
      <c r="Q277" s="1">
        <v>0.0</v>
      </c>
      <c r="R277" s="1">
        <v>0.0</v>
      </c>
      <c r="S277" s="1" t="s">
        <v>538</v>
      </c>
      <c r="T277" s="1" t="s">
        <v>539</v>
      </c>
      <c r="V277" s="4">
        <v>7329807.0</v>
      </c>
      <c r="W277" s="4"/>
      <c r="X277" s="4">
        <v>0.0</v>
      </c>
      <c r="Y277" s="1">
        <v>0.0</v>
      </c>
      <c r="Z277" s="1">
        <v>0.0</v>
      </c>
      <c r="AA277" s="1">
        <v>1.0</v>
      </c>
      <c r="AB277" s="1">
        <v>0.0</v>
      </c>
      <c r="AC277" s="1">
        <v>0.0</v>
      </c>
      <c r="AD277" s="1">
        <v>0.0</v>
      </c>
      <c r="AE277" s="1">
        <v>0.0</v>
      </c>
      <c r="AF277" s="1">
        <v>0.0</v>
      </c>
      <c r="AG277" s="1">
        <v>0.0</v>
      </c>
      <c r="AH277" s="1">
        <v>0.0</v>
      </c>
      <c r="AI277" s="1">
        <v>0.0</v>
      </c>
      <c r="AJ277" s="1">
        <v>0.0</v>
      </c>
      <c r="AK277" s="1">
        <v>0.0</v>
      </c>
      <c r="AL277" s="1">
        <v>0.0</v>
      </c>
      <c r="AM277" s="4">
        <v>0.0</v>
      </c>
      <c r="AN277" s="1">
        <v>0.0</v>
      </c>
      <c r="AO277" s="4">
        <v>0.0</v>
      </c>
      <c r="AP277" s="1">
        <f t="shared" si="1"/>
        <v>0</v>
      </c>
      <c r="AQ277" s="1" t="s">
        <v>557</v>
      </c>
      <c r="AT277" s="1" t="s">
        <v>967</v>
      </c>
      <c r="AU277" s="2">
        <v>46002.0</v>
      </c>
      <c r="AV277" s="2">
        <v>46017.0284722222</v>
      </c>
      <c r="AW277" s="1">
        <v>7.0</v>
      </c>
      <c r="AX277" s="1">
        <v>0.0</v>
      </c>
      <c r="AY277" s="1">
        <v>45.0</v>
      </c>
      <c r="AZ277" s="1">
        <v>1.0</v>
      </c>
      <c r="BA277" s="1">
        <v>0.0</v>
      </c>
      <c r="BB277" s="1">
        <v>0.0</v>
      </c>
      <c r="BC277" s="2">
        <v>46002.0</v>
      </c>
      <c r="BD277" s="1">
        <v>49.0</v>
      </c>
      <c r="BE277" s="1" t="s">
        <v>550</v>
      </c>
      <c r="BF277" s="1">
        <v>2025.0</v>
      </c>
      <c r="BG277" s="1" t="s">
        <v>558</v>
      </c>
      <c r="BH277" s="1" t="str">
        <f>VLOOKUP(B277,CookieClicks!D:O,12,FALSE)</f>
        <v>https://grow.method.me/method-proposals/?trc=81&amp;trk=how to add signature in quickbooks online&amp;trs=US-New-Proposal&amp;campaignid=19733246298&amp;adgroupid=156304156777&amp;adid=689695736138&amp;gad_source=1&amp;gad_campaignid=19733246298&amp;gbraid=0AAAAAD3ItnZ2Z_oX2x_IIp0igbvt3GjSJ&amp;gclid=Cj0KCQiA9OnJBhD-ARIsAPV51xMXCcFFgQyIxwv7kDSG0icbPr5_vNiFkJJN0LhaBq2sGAVHKPKSh1EaAk9jEALw_wcB</v>
      </c>
      <c r="BI277" s="8" t="str">
        <f>IFERROR(__xludf.DUMMYFUNCTION("VLOOKUP(REGEXREPLACE(BH277,""[?].*"",""""),ContentBuckets!A:C,2,FALSE)"),"#N/A")</f>
        <v>#N/A</v>
      </c>
      <c r="BJ277" s="8" t="str">
        <f>IFERROR(__xludf.DUMMYFUNCTION("VLOOKUP(REGEXREPLACE(BH277,""[?].*"",""""),ContentBuckets!A:C,3,FALSE)"),"#N/A")</f>
        <v>#N/A</v>
      </c>
    </row>
    <row r="278" ht="14.25" customHeight="1">
      <c r="A278" s="1">
        <v>153464.0</v>
      </c>
      <c r="B278" s="1" t="s">
        <v>968</v>
      </c>
      <c r="C278" s="2">
        <v>46002.8340277778</v>
      </c>
      <c r="D278" s="2"/>
      <c r="E278" s="2"/>
      <c r="F278" s="1" t="b">
        <v>1</v>
      </c>
      <c r="G278" s="4" t="b">
        <v>0</v>
      </c>
      <c r="H278" s="1" t="b">
        <v>0</v>
      </c>
      <c r="I278" s="1" t="b">
        <v>0</v>
      </c>
      <c r="J278" s="1" t="s">
        <v>534</v>
      </c>
      <c r="K278" s="1" t="s">
        <v>553</v>
      </c>
      <c r="L278" s="1" t="s">
        <v>554</v>
      </c>
      <c r="M278" s="1" t="s">
        <v>537</v>
      </c>
      <c r="N278" s="1">
        <v>0.0</v>
      </c>
      <c r="O278" s="1">
        <v>44.25</v>
      </c>
      <c r="P278" s="1">
        <v>0.0</v>
      </c>
      <c r="Q278" s="1">
        <v>0.0</v>
      </c>
      <c r="R278" s="1">
        <v>0.0</v>
      </c>
      <c r="S278" s="1" t="s">
        <v>538</v>
      </c>
      <c r="T278" s="1" t="s">
        <v>539</v>
      </c>
      <c r="V278" s="4">
        <v>7330086.0</v>
      </c>
      <c r="W278" s="4" t="s">
        <v>540</v>
      </c>
      <c r="X278" s="4">
        <v>0.0</v>
      </c>
      <c r="Y278" s="1">
        <v>1.0</v>
      </c>
      <c r="Z278" s="1">
        <v>0.0</v>
      </c>
      <c r="AA278" s="1">
        <v>0.0</v>
      </c>
      <c r="AB278" s="1">
        <v>0.0</v>
      </c>
      <c r="AC278" s="1">
        <v>0.0</v>
      </c>
      <c r="AD278" s="1">
        <v>0.0</v>
      </c>
      <c r="AE278" s="1">
        <v>0.0</v>
      </c>
      <c r="AF278" s="1">
        <v>0.0</v>
      </c>
      <c r="AG278" s="1">
        <v>0.0</v>
      </c>
      <c r="AH278" s="1">
        <v>0.0</v>
      </c>
      <c r="AI278" s="1">
        <v>0.0</v>
      </c>
      <c r="AJ278" s="1">
        <v>0.0</v>
      </c>
      <c r="AK278" s="1">
        <v>0.0</v>
      </c>
      <c r="AL278" s="1">
        <v>0.0</v>
      </c>
      <c r="AM278" s="4">
        <v>0.0</v>
      </c>
      <c r="AN278" s="1">
        <v>0.0</v>
      </c>
      <c r="AO278" s="4">
        <v>0.0</v>
      </c>
      <c r="AP278" s="1">
        <f t="shared" si="1"/>
        <v>0</v>
      </c>
      <c r="AU278" s="2"/>
      <c r="AV278" s="2">
        <v>46024.0305555556</v>
      </c>
      <c r="AW278" s="1">
        <v>0.0</v>
      </c>
      <c r="AX278" s="1">
        <v>0.0</v>
      </c>
      <c r="AY278" s="1">
        <v>0.0</v>
      </c>
      <c r="AZ278" s="1">
        <v>1.0</v>
      </c>
      <c r="BA278" s="1">
        <v>0.0</v>
      </c>
      <c r="BB278" s="1">
        <v>0.0</v>
      </c>
      <c r="BC278" s="2">
        <v>46002.0</v>
      </c>
      <c r="BD278" s="1">
        <v>49.0</v>
      </c>
      <c r="BE278" s="1" t="s">
        <v>550</v>
      </c>
      <c r="BF278" s="1">
        <v>2025.0</v>
      </c>
      <c r="BG278" s="1" t="s">
        <v>558</v>
      </c>
      <c r="BH278" s="7" t="str">
        <f>VLOOKUP(B278,CookieClicks!D:O,12,FALSE)</f>
        <v>https://www.method.me/blog/start-a-cleaning-business-with-no-money/</v>
      </c>
      <c r="BI278" s="8" t="str">
        <f>IFERROR(__xludf.DUMMYFUNCTION("VLOOKUP(REGEXREPLACE(BH278,""[?].*"",""""),ContentBuckets!A:C,2,FALSE)"),"General how-to")</f>
        <v>General how-to</v>
      </c>
      <c r="BJ278" s="8" t="str">
        <f>IFERROR(__xludf.DUMMYFUNCTION("VLOOKUP(REGEXREPLACE(BH278,""[?].*"",""""),ContentBuckets!A:C,3,FALSE)"),"Blog")</f>
        <v>Blog</v>
      </c>
    </row>
    <row r="279" ht="14.25" customHeight="1">
      <c r="A279" s="1">
        <v>153465.0</v>
      </c>
      <c r="B279" s="1" t="s">
        <v>969</v>
      </c>
      <c r="C279" s="2">
        <v>46002.8909722222</v>
      </c>
      <c r="D279" s="2">
        <v>46015.4048611111</v>
      </c>
      <c r="E279" s="2"/>
      <c r="F279" s="1" t="b">
        <v>0</v>
      </c>
      <c r="G279" s="4" t="b">
        <v>1</v>
      </c>
      <c r="H279" s="1" t="b">
        <v>0</v>
      </c>
      <c r="I279" s="1" t="b">
        <v>0</v>
      </c>
      <c r="J279" s="1" t="s">
        <v>534</v>
      </c>
      <c r="K279" s="1" t="s">
        <v>566</v>
      </c>
      <c r="L279" s="1" t="s">
        <v>567</v>
      </c>
      <c r="M279" s="1" t="s">
        <v>537</v>
      </c>
      <c r="N279" s="1">
        <v>0.0</v>
      </c>
      <c r="O279" s="1">
        <v>72.75</v>
      </c>
      <c r="P279" s="1">
        <v>0.0</v>
      </c>
      <c r="Q279" s="1">
        <v>0.0</v>
      </c>
      <c r="R279" s="1">
        <v>0.0</v>
      </c>
      <c r="S279" s="1" t="s">
        <v>538</v>
      </c>
      <c r="T279" s="1" t="s">
        <v>539</v>
      </c>
      <c r="V279" s="4">
        <v>7094062.0</v>
      </c>
      <c r="W279" s="4" t="s">
        <v>540</v>
      </c>
      <c r="X279" s="4">
        <v>0.0</v>
      </c>
      <c r="Y279" s="1">
        <v>1.0</v>
      </c>
      <c r="Z279" s="1">
        <v>0.0</v>
      </c>
      <c r="AA279" s="1">
        <v>0.0</v>
      </c>
      <c r="AB279" s="1">
        <v>0.0</v>
      </c>
      <c r="AC279" s="1">
        <v>0.0</v>
      </c>
      <c r="AD279" s="1">
        <v>0.0</v>
      </c>
      <c r="AE279" s="1">
        <v>0.0</v>
      </c>
      <c r="AF279" s="1">
        <v>0.0</v>
      </c>
      <c r="AG279" s="1">
        <v>0.0</v>
      </c>
      <c r="AH279" s="1">
        <v>0.0</v>
      </c>
      <c r="AI279" s="1">
        <v>0.0</v>
      </c>
      <c r="AJ279" s="1">
        <v>0.0</v>
      </c>
      <c r="AK279" s="1">
        <v>0.0</v>
      </c>
      <c r="AL279" s="1">
        <v>0.0</v>
      </c>
      <c r="AM279" s="4">
        <v>0.0</v>
      </c>
      <c r="AN279" s="1">
        <v>0.0</v>
      </c>
      <c r="AO279" s="4">
        <v>0.0</v>
      </c>
      <c r="AP279" s="1">
        <f t="shared" si="1"/>
        <v>0</v>
      </c>
      <c r="AQ279" s="1" t="s">
        <v>557</v>
      </c>
      <c r="AT279" s="1" t="s">
        <v>763</v>
      </c>
      <c r="AU279" s="2">
        <v>46002.0</v>
      </c>
      <c r="AV279" s="2">
        <v>46015.0055555556</v>
      </c>
      <c r="AW279" s="1">
        <v>0.0</v>
      </c>
      <c r="AX279" s="1">
        <v>1.1395194E7</v>
      </c>
      <c r="AY279" s="1">
        <v>4.0</v>
      </c>
      <c r="AZ279" s="1">
        <v>1.0</v>
      </c>
      <c r="BA279" s="1">
        <v>0.0</v>
      </c>
      <c r="BB279" s="1">
        <v>1.0</v>
      </c>
      <c r="BC279" s="2">
        <v>46002.0</v>
      </c>
      <c r="BD279" s="1">
        <v>49.0</v>
      </c>
      <c r="BE279" s="1" t="s">
        <v>550</v>
      </c>
      <c r="BF279" s="1">
        <v>2025.0</v>
      </c>
      <c r="BG279" s="1" t="s">
        <v>558</v>
      </c>
      <c r="BH279" s="7" t="str">
        <f>VLOOKUP(B279,CookieClicks!D:O,12,FALSE)</f>
        <v>https://www.method.me/</v>
      </c>
      <c r="BI279" s="8" t="str">
        <f>IFERROR(__xludf.DUMMYFUNCTION("VLOOKUP(REGEXREPLACE(BH279,""[?].*"",""""),ContentBuckets!A:C,2,FALSE)"),"Homepage")</f>
        <v>Homepage</v>
      </c>
      <c r="BJ279" s="8" t="str">
        <f>IFERROR(__xludf.DUMMYFUNCTION("VLOOKUP(REGEXREPLACE(BH279,""[?].*"",""""),ContentBuckets!A:C,3,FALSE)"),"Other page")</f>
        <v>Other page</v>
      </c>
    </row>
    <row r="280" ht="14.25" customHeight="1">
      <c r="A280" s="1">
        <v>153466.0</v>
      </c>
      <c r="B280" s="1" t="s">
        <v>970</v>
      </c>
      <c r="C280" s="2">
        <v>46002.9784722222</v>
      </c>
      <c r="D280" s="2">
        <v>46015.4097222222</v>
      </c>
      <c r="E280" s="2"/>
      <c r="F280" s="1" t="b">
        <v>0</v>
      </c>
      <c r="G280" s="4" t="b">
        <v>1</v>
      </c>
      <c r="H280" s="1" t="b">
        <v>0</v>
      </c>
      <c r="I280" s="1" t="b">
        <v>0</v>
      </c>
      <c r="J280" s="1" t="s">
        <v>534</v>
      </c>
      <c r="K280" s="1" t="s">
        <v>535</v>
      </c>
      <c r="L280" s="1" t="s">
        <v>536</v>
      </c>
      <c r="M280" s="1" t="s">
        <v>537</v>
      </c>
      <c r="N280" s="1">
        <v>0.0</v>
      </c>
      <c r="O280" s="1">
        <v>72.75</v>
      </c>
      <c r="P280" s="1">
        <v>0.0</v>
      </c>
      <c r="Q280" s="1">
        <v>0.0</v>
      </c>
      <c r="R280" s="1">
        <v>0.0</v>
      </c>
      <c r="S280" s="1" t="s">
        <v>538</v>
      </c>
      <c r="T280" s="1" t="s">
        <v>539</v>
      </c>
      <c r="V280" s="4">
        <v>7065897.0</v>
      </c>
      <c r="W280" s="4"/>
      <c r="X280" s="4">
        <v>1.0</v>
      </c>
      <c r="Y280" s="1">
        <v>0.0</v>
      </c>
      <c r="Z280" s="1">
        <v>0.0</v>
      </c>
      <c r="AA280" s="1">
        <v>0.0</v>
      </c>
      <c r="AB280" s="1">
        <v>0.0</v>
      </c>
      <c r="AC280" s="1">
        <v>0.0</v>
      </c>
      <c r="AD280" s="1">
        <v>0.0</v>
      </c>
      <c r="AE280" s="1">
        <v>0.0</v>
      </c>
      <c r="AF280" s="1">
        <v>0.0</v>
      </c>
      <c r="AG280" s="1">
        <v>0.0</v>
      </c>
      <c r="AH280" s="1">
        <v>0.0</v>
      </c>
      <c r="AI280" s="1">
        <v>0.0</v>
      </c>
      <c r="AJ280" s="1">
        <v>0.0</v>
      </c>
      <c r="AK280" s="1">
        <v>0.0</v>
      </c>
      <c r="AL280" s="1">
        <v>0.0</v>
      </c>
      <c r="AM280" s="4">
        <v>0.0</v>
      </c>
      <c r="AN280" s="1">
        <v>0.0</v>
      </c>
      <c r="AO280" s="4">
        <v>0.0</v>
      </c>
      <c r="AP280" s="1">
        <f t="shared" si="1"/>
        <v>0</v>
      </c>
      <c r="AU280" s="2"/>
      <c r="AV280" s="2">
        <v>46015.025</v>
      </c>
      <c r="AW280" s="1">
        <v>0.0</v>
      </c>
      <c r="AX280" s="1">
        <v>0.0</v>
      </c>
      <c r="AY280" s="1">
        <v>0.0</v>
      </c>
      <c r="AZ280" s="1">
        <v>1.0</v>
      </c>
      <c r="BA280" s="1">
        <v>0.0</v>
      </c>
      <c r="BB280" s="1">
        <v>0.0</v>
      </c>
      <c r="BC280" s="2">
        <v>46002.0</v>
      </c>
      <c r="BD280" s="1">
        <v>49.0</v>
      </c>
      <c r="BE280" s="1" t="s">
        <v>550</v>
      </c>
      <c r="BF280" s="1">
        <v>2025.0</v>
      </c>
      <c r="BG280" s="1" t="s">
        <v>673</v>
      </c>
      <c r="BH280" s="7" t="str">
        <f>VLOOKUP(B280,CookieClicks!D:O,12,FALSE)</f>
        <v>https://www.method.me/</v>
      </c>
      <c r="BI280" s="8" t="str">
        <f>IFERROR(__xludf.DUMMYFUNCTION("VLOOKUP(REGEXREPLACE(BH280,""[?].*"",""""),ContentBuckets!A:C,2,FALSE)"),"Homepage")</f>
        <v>Homepage</v>
      </c>
      <c r="BJ280" s="8" t="str">
        <f>IFERROR(__xludf.DUMMYFUNCTION("VLOOKUP(REGEXREPLACE(BH280,""[?].*"",""""),ContentBuckets!A:C,3,FALSE)"),"Other page")</f>
        <v>Other page</v>
      </c>
    </row>
    <row r="281" ht="14.25" customHeight="1">
      <c r="A281" s="1">
        <v>153467.0</v>
      </c>
      <c r="B281" s="1" t="s">
        <v>971</v>
      </c>
      <c r="C281" s="2">
        <v>46002.9847222222</v>
      </c>
      <c r="D281" s="2"/>
      <c r="E281" s="2"/>
      <c r="F281" s="1" t="b">
        <v>1</v>
      </c>
      <c r="G281" s="4" t="b">
        <v>0</v>
      </c>
      <c r="H281" s="1" t="b">
        <v>0</v>
      </c>
      <c r="I281" s="1" t="b">
        <v>0</v>
      </c>
      <c r="J281" s="1" t="s">
        <v>534</v>
      </c>
      <c r="K281" s="1" t="s">
        <v>535</v>
      </c>
      <c r="L281" s="1" t="s">
        <v>536</v>
      </c>
      <c r="M281" s="1" t="s">
        <v>537</v>
      </c>
      <c r="N281" s="1">
        <v>0.0</v>
      </c>
      <c r="O281" s="1">
        <v>63.75</v>
      </c>
      <c r="P281" s="1">
        <v>0.0</v>
      </c>
      <c r="Q281" s="1">
        <v>0.0</v>
      </c>
      <c r="R281" s="1">
        <v>28.0</v>
      </c>
      <c r="S281" s="1" t="s">
        <v>538</v>
      </c>
      <c r="T281" s="1" t="s">
        <v>539</v>
      </c>
      <c r="V281" s="4">
        <v>7331108.0</v>
      </c>
      <c r="W281" s="4"/>
      <c r="X281" s="4">
        <v>0.0</v>
      </c>
      <c r="Y281" s="1">
        <v>0.0</v>
      </c>
      <c r="Z281" s="1">
        <v>0.0</v>
      </c>
      <c r="AA281" s="1">
        <v>0.0</v>
      </c>
      <c r="AB281" s="1">
        <v>0.0</v>
      </c>
      <c r="AC281" s="1">
        <v>0.0</v>
      </c>
      <c r="AD281" s="1">
        <v>0.0</v>
      </c>
      <c r="AE281" s="1">
        <v>0.0</v>
      </c>
      <c r="AF281" s="1">
        <v>0.0</v>
      </c>
      <c r="AG281" s="1">
        <v>0.0</v>
      </c>
      <c r="AH281" s="1">
        <v>0.0</v>
      </c>
      <c r="AI281" s="1">
        <v>0.0</v>
      </c>
      <c r="AJ281" s="1">
        <v>0.0</v>
      </c>
      <c r="AK281" s="1">
        <v>0.0</v>
      </c>
      <c r="AL281" s="1">
        <v>0.0</v>
      </c>
      <c r="AM281" s="4">
        <v>0.0</v>
      </c>
      <c r="AN281" s="1">
        <v>0.0</v>
      </c>
      <c r="AO281" s="4">
        <v>0.0</v>
      </c>
      <c r="AP281" s="1">
        <f t="shared" si="1"/>
        <v>1</v>
      </c>
      <c r="AQ281" s="1" t="s">
        <v>557</v>
      </c>
      <c r="AR281" s="1" t="s">
        <v>564</v>
      </c>
      <c r="AU281" s="2">
        <v>46003.0</v>
      </c>
      <c r="AV281" s="2">
        <v>46024.0159722222</v>
      </c>
      <c r="AW281" s="1">
        <v>14.0</v>
      </c>
      <c r="AX281" s="1">
        <v>1.832427204E7</v>
      </c>
      <c r="AY281" s="1">
        <v>13383.0</v>
      </c>
      <c r="AZ281" s="1">
        <v>1.0</v>
      </c>
      <c r="BA281" s="1">
        <v>0.0</v>
      </c>
      <c r="BB281" s="1">
        <v>0.0</v>
      </c>
      <c r="BC281" s="2">
        <v>46002.0</v>
      </c>
      <c r="BD281" s="1">
        <v>49.0</v>
      </c>
      <c r="BE281" s="1" t="s">
        <v>550</v>
      </c>
      <c r="BF281" s="1">
        <v>2025.0</v>
      </c>
      <c r="BG281" s="1" t="s">
        <v>558</v>
      </c>
      <c r="BH281" s="7" t="str">
        <f>VLOOKUP(B281,CookieClicks!D:O,12,FALSE)</f>
        <v>http://signup.method.me/methodcrm/?_gl=1*kzfd5o*_gcl_au*MTY3MzQyMzg5Ni4xNzY1NTE0Mjk4*_ga*MTA4NTY5ODY2NC4xNzY1NTE0Mjk4*_ga_L2HEZNW53E*czE3NjU1MTQyOTgkbzEkZzAkdDE3NjU1MTQyOTgkajYwJGwwJGgxMTU1MTYxMDIz&amp;_ga=2.86973393.819242378.1765514298-1085698664.1765514298</v>
      </c>
      <c r="BI281" s="8" t="str">
        <f>IFERROR(__xludf.DUMMYFUNCTION("VLOOKUP(REGEXREPLACE(BH281,""[?].*"",""""),ContentBuckets!A:C,2,FALSE)"),"#N/A")</f>
        <v>#N/A</v>
      </c>
      <c r="BJ281" s="8" t="str">
        <f>IFERROR(__xludf.DUMMYFUNCTION("VLOOKUP(REGEXREPLACE(BH281,""[?].*"",""""),ContentBuckets!A:C,3,FALSE)"),"#N/A")</f>
        <v>#N/A</v>
      </c>
    </row>
    <row r="282" ht="14.25" customHeight="1">
      <c r="A282" s="1">
        <v>153468.0</v>
      </c>
      <c r="B282" s="1" t="s">
        <v>972</v>
      </c>
      <c r="C282" s="2">
        <v>46003.0</v>
      </c>
      <c r="D282" s="2">
        <v>46003.3888888889</v>
      </c>
      <c r="E282" s="2">
        <v>46003.0020833333</v>
      </c>
      <c r="F282" s="1" t="b">
        <v>0</v>
      </c>
      <c r="G282" s="4" t="b">
        <v>1</v>
      </c>
      <c r="H282" s="1" t="b">
        <v>0</v>
      </c>
      <c r="I282" s="1" t="b">
        <v>0</v>
      </c>
      <c r="J282" s="1" t="s">
        <v>534</v>
      </c>
      <c r="K282" s="1" t="s">
        <v>535</v>
      </c>
      <c r="L282" s="1" t="s">
        <v>536</v>
      </c>
      <c r="M282" s="1" t="s">
        <v>537</v>
      </c>
      <c r="N282" s="1">
        <v>0.0</v>
      </c>
      <c r="O282" s="1">
        <v>0.0</v>
      </c>
      <c r="P282" s="1">
        <v>0.0</v>
      </c>
      <c r="Q282" s="1">
        <v>0.0</v>
      </c>
      <c r="R282" s="1">
        <v>28.0</v>
      </c>
      <c r="S282" s="1" t="s">
        <v>538</v>
      </c>
      <c r="T282" s="1" t="s">
        <v>539</v>
      </c>
      <c r="V282" s="4">
        <v>7331190.0</v>
      </c>
      <c r="W282" s="4"/>
      <c r="X282" s="4">
        <v>1.0</v>
      </c>
      <c r="Y282" s="1">
        <v>0.0</v>
      </c>
      <c r="Z282" s="1">
        <v>0.0</v>
      </c>
      <c r="AA282" s="1">
        <v>0.0</v>
      </c>
      <c r="AB282" s="1">
        <v>0.0</v>
      </c>
      <c r="AC282" s="1">
        <v>0.0</v>
      </c>
      <c r="AD282" s="1">
        <v>0.0</v>
      </c>
      <c r="AE282" s="1">
        <v>0.0</v>
      </c>
      <c r="AF282" s="1">
        <v>0.0</v>
      </c>
      <c r="AG282" s="1">
        <v>0.0</v>
      </c>
      <c r="AH282" s="1">
        <v>0.0</v>
      </c>
      <c r="AI282" s="1">
        <v>0.0</v>
      </c>
      <c r="AJ282" s="1">
        <v>0.0</v>
      </c>
      <c r="AK282" s="1">
        <v>0.0</v>
      </c>
      <c r="AL282" s="1">
        <v>0.0</v>
      </c>
      <c r="AM282" s="4">
        <v>0.0</v>
      </c>
      <c r="AN282" s="1">
        <v>0.0</v>
      </c>
      <c r="AO282" s="4">
        <v>0.0</v>
      </c>
      <c r="AP282" s="1">
        <f t="shared" si="1"/>
        <v>0</v>
      </c>
      <c r="AQ282" s="1" t="s">
        <v>973</v>
      </c>
      <c r="AR282" s="1" t="s">
        <v>608</v>
      </c>
      <c r="AU282" s="2"/>
      <c r="AV282" s="2"/>
      <c r="AW282" s="1">
        <v>0.0</v>
      </c>
      <c r="AX282" s="1">
        <v>0.0</v>
      </c>
      <c r="AY282" s="1">
        <v>0.0</v>
      </c>
      <c r="AZ282" s="1">
        <v>1.0</v>
      </c>
      <c r="BA282" s="1">
        <v>0.0</v>
      </c>
      <c r="BB282" s="1">
        <v>0.0</v>
      </c>
      <c r="BC282" s="2">
        <v>46003.0</v>
      </c>
      <c r="BD282" s="1">
        <v>49.0</v>
      </c>
      <c r="BE282" s="1" t="s">
        <v>550</v>
      </c>
      <c r="BF282" s="1">
        <v>2025.0</v>
      </c>
      <c r="BG282" s="1" t="s">
        <v>974</v>
      </c>
      <c r="BH282" s="7" t="str">
        <f>VLOOKUP(B282,CookieClicks!D:O,12,FALSE)</f>
        <v>https://www.method.me/</v>
      </c>
      <c r="BI282" s="8" t="str">
        <f>IFERROR(__xludf.DUMMYFUNCTION("VLOOKUP(REGEXREPLACE(BH282,""[?].*"",""""),ContentBuckets!A:C,2,FALSE)"),"Homepage")</f>
        <v>Homepage</v>
      </c>
      <c r="BJ282" s="8" t="str">
        <f>IFERROR(__xludf.DUMMYFUNCTION("VLOOKUP(REGEXREPLACE(BH282,""[?].*"",""""),ContentBuckets!A:C,3,FALSE)"),"Other page")</f>
        <v>Other page</v>
      </c>
    </row>
    <row r="283" ht="14.25" customHeight="1">
      <c r="A283" s="1">
        <v>153469.0</v>
      </c>
      <c r="B283" s="1" t="s">
        <v>975</v>
      </c>
      <c r="C283" s="2">
        <v>46003.0361111111</v>
      </c>
      <c r="D283" s="2"/>
      <c r="E283" s="2"/>
      <c r="F283" s="1" t="b">
        <v>1</v>
      </c>
      <c r="G283" s="4" t="b">
        <v>0</v>
      </c>
      <c r="H283" s="1" t="b">
        <v>0</v>
      </c>
      <c r="I283" s="1" t="b">
        <v>0</v>
      </c>
      <c r="J283" s="1" t="s">
        <v>534</v>
      </c>
      <c r="K283" s="1" t="s">
        <v>566</v>
      </c>
      <c r="L283" s="1" t="s">
        <v>567</v>
      </c>
      <c r="M283" s="1" t="s">
        <v>537</v>
      </c>
      <c r="N283" s="1">
        <v>0.0</v>
      </c>
      <c r="O283" s="1">
        <v>63.75</v>
      </c>
      <c r="P283" s="1">
        <v>0.0</v>
      </c>
      <c r="Q283" s="1">
        <v>0.0</v>
      </c>
      <c r="R283" s="1">
        <v>0.0</v>
      </c>
      <c r="S283" s="1" t="s">
        <v>538</v>
      </c>
      <c r="T283" s="1" t="s">
        <v>539</v>
      </c>
      <c r="V283" s="4">
        <v>7331401.0</v>
      </c>
      <c r="W283" s="4" t="s">
        <v>540</v>
      </c>
      <c r="X283" s="4">
        <v>0.0</v>
      </c>
      <c r="Y283" s="1">
        <v>1.0</v>
      </c>
      <c r="Z283" s="1">
        <v>0.0</v>
      </c>
      <c r="AA283" s="1">
        <v>0.0</v>
      </c>
      <c r="AB283" s="1">
        <v>0.0</v>
      </c>
      <c r="AC283" s="1">
        <v>0.0</v>
      </c>
      <c r="AD283" s="1">
        <v>0.0</v>
      </c>
      <c r="AE283" s="1">
        <v>0.0</v>
      </c>
      <c r="AF283" s="1">
        <v>0.0</v>
      </c>
      <c r="AG283" s="1">
        <v>0.0</v>
      </c>
      <c r="AH283" s="1">
        <v>0.0</v>
      </c>
      <c r="AI283" s="1">
        <v>0.0</v>
      </c>
      <c r="AJ283" s="1">
        <v>0.0</v>
      </c>
      <c r="AK283" s="1">
        <v>0.0</v>
      </c>
      <c r="AL283" s="1">
        <v>0.0</v>
      </c>
      <c r="AM283" s="4">
        <v>0.0</v>
      </c>
      <c r="AN283" s="1">
        <v>0.0</v>
      </c>
      <c r="AO283" s="4">
        <v>0.0</v>
      </c>
      <c r="AP283" s="1">
        <f t="shared" si="1"/>
        <v>0</v>
      </c>
      <c r="AU283" s="2"/>
      <c r="AV283" s="2">
        <v>46024.0118055556</v>
      </c>
      <c r="AW283" s="1">
        <v>0.0</v>
      </c>
      <c r="AX283" s="1">
        <v>0.0</v>
      </c>
      <c r="AY283" s="1">
        <v>0.0</v>
      </c>
      <c r="AZ283" s="1">
        <v>1.0</v>
      </c>
      <c r="BA283" s="1">
        <v>0.0</v>
      </c>
      <c r="BB283" s="1">
        <v>0.0</v>
      </c>
      <c r="BC283" s="2">
        <v>46003.0</v>
      </c>
      <c r="BD283" s="1">
        <v>49.0</v>
      </c>
      <c r="BE283" s="1" t="s">
        <v>550</v>
      </c>
      <c r="BF283" s="1">
        <v>2025.0</v>
      </c>
      <c r="BG283" s="1" t="s">
        <v>786</v>
      </c>
      <c r="BH283" s="7" t="str">
        <f>VLOOKUP(B283,CookieClicks!D:O,12,FALSE)</f>
        <v>https://www.method.me/features/gmail/</v>
      </c>
      <c r="BI283" s="8" t="str">
        <f>IFERROR(__xludf.DUMMYFUNCTION("VLOOKUP(REGEXREPLACE(BH283,""[?].*"",""""),ContentBuckets!A:C,2,FALSE)"),"Features page")</f>
        <v>Features page</v>
      </c>
      <c r="BJ283" s="8" t="str">
        <f>IFERROR(__xludf.DUMMYFUNCTION("VLOOKUP(REGEXREPLACE(BH283,""[?].*"",""""),ContentBuckets!A:C,3,FALSE)"),"Other page")</f>
        <v>Other page</v>
      </c>
    </row>
    <row r="284" ht="14.25" customHeight="1">
      <c r="A284" s="1">
        <v>153470.0</v>
      </c>
      <c r="B284" s="1" t="s">
        <v>976</v>
      </c>
      <c r="C284" s="2">
        <v>46003.0993055556</v>
      </c>
      <c r="D284" s="2"/>
      <c r="E284" s="2"/>
      <c r="F284" s="1" t="b">
        <v>1</v>
      </c>
      <c r="G284" s="4" t="b">
        <v>0</v>
      </c>
      <c r="H284" s="1" t="b">
        <v>0</v>
      </c>
      <c r="I284" s="1" t="b">
        <v>0</v>
      </c>
      <c r="J284" s="1" t="s">
        <v>534</v>
      </c>
      <c r="K284" s="1" t="s">
        <v>535</v>
      </c>
      <c r="L284" s="1" t="s">
        <v>536</v>
      </c>
      <c r="M284" s="1" t="s">
        <v>537</v>
      </c>
      <c r="N284" s="1">
        <v>0.0</v>
      </c>
      <c r="O284" s="1">
        <v>141.75</v>
      </c>
      <c r="P284" s="1">
        <v>0.0</v>
      </c>
      <c r="Q284" s="1">
        <v>0.0</v>
      </c>
      <c r="R284" s="1">
        <v>0.0</v>
      </c>
      <c r="S284" s="1" t="s">
        <v>538</v>
      </c>
      <c r="T284" s="1" t="s">
        <v>539</v>
      </c>
      <c r="V284" s="4">
        <v>7331728.0</v>
      </c>
      <c r="W284" s="4" t="s">
        <v>540</v>
      </c>
      <c r="X284" s="4">
        <v>0.0</v>
      </c>
      <c r="Y284" s="1">
        <v>1.0</v>
      </c>
      <c r="Z284" s="1">
        <v>0.0</v>
      </c>
      <c r="AA284" s="1">
        <v>0.0</v>
      </c>
      <c r="AB284" s="1">
        <v>0.0</v>
      </c>
      <c r="AC284" s="1">
        <v>0.0</v>
      </c>
      <c r="AD284" s="1">
        <v>0.0</v>
      </c>
      <c r="AE284" s="1">
        <v>0.0</v>
      </c>
      <c r="AF284" s="1">
        <v>0.0</v>
      </c>
      <c r="AG284" s="1">
        <v>0.0</v>
      </c>
      <c r="AH284" s="1">
        <v>0.0</v>
      </c>
      <c r="AI284" s="1">
        <v>0.0</v>
      </c>
      <c r="AJ284" s="1">
        <v>0.0</v>
      </c>
      <c r="AK284" s="1">
        <v>0.0</v>
      </c>
      <c r="AL284" s="1">
        <v>0.0</v>
      </c>
      <c r="AM284" s="4">
        <v>0.0</v>
      </c>
      <c r="AN284" s="1">
        <v>0.0</v>
      </c>
      <c r="AO284" s="4">
        <v>0.0</v>
      </c>
      <c r="AP284" s="1">
        <f t="shared" si="1"/>
        <v>0</v>
      </c>
      <c r="AQ284" s="1" t="s">
        <v>977</v>
      </c>
      <c r="AU284" s="2">
        <v>46003.0</v>
      </c>
      <c r="AV284" s="2">
        <v>46024.0090277778</v>
      </c>
      <c r="AW284" s="1">
        <v>9.0</v>
      </c>
      <c r="AX284" s="1">
        <v>0.0</v>
      </c>
      <c r="AY284" s="1">
        <v>50.0</v>
      </c>
      <c r="AZ284" s="1">
        <v>3.0</v>
      </c>
      <c r="BA284" s="1">
        <v>0.0</v>
      </c>
      <c r="BB284" s="1">
        <v>1.0</v>
      </c>
      <c r="BC284" s="2">
        <v>46003.0</v>
      </c>
      <c r="BD284" s="1">
        <v>49.0</v>
      </c>
      <c r="BE284" s="1" t="s">
        <v>550</v>
      </c>
      <c r="BF284" s="1">
        <v>2025.0</v>
      </c>
      <c r="BG284" s="1" t="s">
        <v>655</v>
      </c>
      <c r="BH284" s="7" t="str">
        <f>VLOOKUP(B284,CookieClicks!D:O,12,FALSE)</f>
        <v>https://www.method.me/</v>
      </c>
      <c r="BI284" s="8" t="str">
        <f>IFERROR(__xludf.DUMMYFUNCTION("VLOOKUP(REGEXREPLACE(BH284,""[?].*"",""""),ContentBuckets!A:C,2,FALSE)"),"Homepage")</f>
        <v>Homepage</v>
      </c>
      <c r="BJ284" s="8" t="str">
        <f>IFERROR(__xludf.DUMMYFUNCTION("VLOOKUP(REGEXREPLACE(BH284,""[?].*"",""""),ContentBuckets!A:C,3,FALSE)"),"Other page")</f>
        <v>Other page</v>
      </c>
    </row>
    <row r="285" ht="14.25" customHeight="1">
      <c r="A285" s="1">
        <v>153471.0</v>
      </c>
      <c r="B285" s="1" t="s">
        <v>978</v>
      </c>
      <c r="C285" s="2">
        <v>46003.1305555556</v>
      </c>
      <c r="D285" s="2">
        <v>46003.3819444444</v>
      </c>
      <c r="E285" s="2"/>
      <c r="F285" s="1" t="b">
        <v>0</v>
      </c>
      <c r="G285" s="4" t="b">
        <v>1</v>
      </c>
      <c r="H285" s="1" t="b">
        <v>0</v>
      </c>
      <c r="I285" s="1" t="b">
        <v>0</v>
      </c>
      <c r="J285" s="1" t="s">
        <v>534</v>
      </c>
      <c r="K285" s="1" t="s">
        <v>535</v>
      </c>
      <c r="L285" s="1" t="s">
        <v>536</v>
      </c>
      <c r="M285" s="1" t="s">
        <v>537</v>
      </c>
      <c r="N285" s="1">
        <v>0.0</v>
      </c>
      <c r="O285" s="1">
        <v>0.0</v>
      </c>
      <c r="P285" s="1">
        <v>0.0</v>
      </c>
      <c r="Q285" s="1">
        <v>0.0</v>
      </c>
      <c r="R285" s="1">
        <v>28.0</v>
      </c>
      <c r="S285" s="1" t="s">
        <v>538</v>
      </c>
      <c r="T285" s="1" t="s">
        <v>539</v>
      </c>
      <c r="V285" s="4">
        <v>7331912.0</v>
      </c>
      <c r="W285" s="4" t="s">
        <v>540</v>
      </c>
      <c r="X285" s="4">
        <v>0.0</v>
      </c>
      <c r="Y285" s="1">
        <v>1.0</v>
      </c>
      <c r="Z285" s="1">
        <v>0.0</v>
      </c>
      <c r="AA285" s="1">
        <v>0.0</v>
      </c>
      <c r="AB285" s="1">
        <v>0.0</v>
      </c>
      <c r="AC285" s="1">
        <v>0.0</v>
      </c>
      <c r="AD285" s="1">
        <v>0.0</v>
      </c>
      <c r="AE285" s="1">
        <v>0.0</v>
      </c>
      <c r="AF285" s="1">
        <v>0.0</v>
      </c>
      <c r="AG285" s="1">
        <v>0.0</v>
      </c>
      <c r="AH285" s="1">
        <v>0.0</v>
      </c>
      <c r="AI285" s="1">
        <v>0.0</v>
      </c>
      <c r="AJ285" s="1">
        <v>0.0</v>
      </c>
      <c r="AK285" s="1">
        <v>0.0</v>
      </c>
      <c r="AL285" s="1">
        <v>0.0</v>
      </c>
      <c r="AM285" s="4">
        <v>0.0</v>
      </c>
      <c r="AN285" s="1">
        <v>0.0</v>
      </c>
      <c r="AO285" s="4">
        <v>0.0</v>
      </c>
      <c r="AP285" s="1">
        <f t="shared" si="1"/>
        <v>0</v>
      </c>
      <c r="AR285" s="1" t="s">
        <v>564</v>
      </c>
      <c r="AU285" s="2"/>
      <c r="AV285" s="2"/>
      <c r="AW285" s="1">
        <v>0.0</v>
      </c>
      <c r="AX285" s="1">
        <v>0.0</v>
      </c>
      <c r="AY285" s="1">
        <v>0.0</v>
      </c>
      <c r="AZ285" s="1">
        <v>1.0</v>
      </c>
      <c r="BA285" s="1">
        <v>0.0</v>
      </c>
      <c r="BB285" s="1">
        <v>0.0</v>
      </c>
      <c r="BC285" s="2">
        <v>46003.0</v>
      </c>
      <c r="BD285" s="1">
        <v>49.0</v>
      </c>
      <c r="BE285" s="1" t="s">
        <v>550</v>
      </c>
      <c r="BF285" s="1">
        <v>2025.0</v>
      </c>
      <c r="BG285" s="1" t="s">
        <v>558</v>
      </c>
      <c r="BH285" s="7" t="str">
        <f>VLOOKUP(B285,CookieClicks!D:O,12,FALSE)</f>
        <v>https://www.method.me/</v>
      </c>
      <c r="BI285" s="8" t="str">
        <f>IFERROR(__xludf.DUMMYFUNCTION("VLOOKUP(REGEXREPLACE(BH285,""[?].*"",""""),ContentBuckets!A:C,2,FALSE)"),"Homepage")</f>
        <v>Homepage</v>
      </c>
      <c r="BJ285" s="8" t="str">
        <f>IFERROR(__xludf.DUMMYFUNCTION("VLOOKUP(REGEXREPLACE(BH285,""[?].*"",""""),ContentBuckets!A:C,3,FALSE)"),"Other page")</f>
        <v>Other page</v>
      </c>
    </row>
    <row r="286" ht="14.25" customHeight="1">
      <c r="A286" s="1">
        <v>153472.0</v>
      </c>
      <c r="B286" s="1" t="s">
        <v>979</v>
      </c>
      <c r="C286" s="2">
        <v>46003.1326388889</v>
      </c>
      <c r="D286" s="2"/>
      <c r="E286" s="2">
        <v>46003.1569444444</v>
      </c>
      <c r="F286" s="1" t="b">
        <v>1</v>
      </c>
      <c r="G286" s="4" t="b">
        <v>0</v>
      </c>
      <c r="H286" s="1" t="b">
        <v>0</v>
      </c>
      <c r="I286" s="1" t="b">
        <v>0</v>
      </c>
      <c r="J286" s="1" t="s">
        <v>534</v>
      </c>
      <c r="K286" s="1" t="s">
        <v>535</v>
      </c>
      <c r="L286" s="1" t="s">
        <v>536</v>
      </c>
      <c r="M286" s="1" t="s">
        <v>537</v>
      </c>
      <c r="N286" s="1">
        <v>53.25</v>
      </c>
      <c r="O286" s="1">
        <v>53.25</v>
      </c>
      <c r="P286" s="1">
        <v>0.0</v>
      </c>
      <c r="Q286" s="1">
        <v>0.0</v>
      </c>
      <c r="R286" s="1">
        <v>0.0</v>
      </c>
      <c r="S286" s="1" t="s">
        <v>538</v>
      </c>
      <c r="T286" s="1" t="s">
        <v>539</v>
      </c>
      <c r="V286" s="4">
        <v>7331931.0</v>
      </c>
      <c r="W286" s="4"/>
      <c r="X286" s="4">
        <v>0.0</v>
      </c>
      <c r="Y286" s="1">
        <v>0.0</v>
      </c>
      <c r="Z286" s="1">
        <v>1.0</v>
      </c>
      <c r="AA286" s="1">
        <v>0.0</v>
      </c>
      <c r="AB286" s="1">
        <v>0.0</v>
      </c>
      <c r="AC286" s="1">
        <v>0.0</v>
      </c>
      <c r="AD286" s="1">
        <v>0.0</v>
      </c>
      <c r="AE286" s="1">
        <v>0.0</v>
      </c>
      <c r="AF286" s="1">
        <v>0.0</v>
      </c>
      <c r="AG286" s="1">
        <v>0.0</v>
      </c>
      <c r="AH286" s="1">
        <v>0.0</v>
      </c>
      <c r="AI286" s="1">
        <v>0.0</v>
      </c>
      <c r="AJ286" s="1">
        <v>0.0</v>
      </c>
      <c r="AK286" s="1">
        <v>0.0</v>
      </c>
      <c r="AL286" s="1">
        <v>0.0</v>
      </c>
      <c r="AM286" s="4">
        <v>0.0</v>
      </c>
      <c r="AN286" s="1">
        <v>0.0</v>
      </c>
      <c r="AO286" s="4">
        <v>0.0</v>
      </c>
      <c r="AP286" s="1">
        <f t="shared" si="1"/>
        <v>0</v>
      </c>
      <c r="AQ286" s="1" t="s">
        <v>557</v>
      </c>
      <c r="AU286" s="2">
        <v>46003.0</v>
      </c>
      <c r="AV286" s="2">
        <v>46024.0118055556</v>
      </c>
      <c r="AW286" s="1">
        <v>16.0</v>
      </c>
      <c r="AX286" s="1">
        <v>863618.4</v>
      </c>
      <c r="AY286" s="1">
        <v>1118.0</v>
      </c>
      <c r="AZ286" s="1">
        <v>1.0</v>
      </c>
      <c r="BA286" s="1">
        <v>0.0</v>
      </c>
      <c r="BB286" s="1">
        <v>0.0</v>
      </c>
      <c r="BC286" s="2">
        <v>46003.0</v>
      </c>
      <c r="BD286" s="1">
        <v>49.0</v>
      </c>
      <c r="BE286" s="1" t="s">
        <v>550</v>
      </c>
      <c r="BF286" s="1">
        <v>2025.0</v>
      </c>
      <c r="BG286" s="1" t="s">
        <v>558</v>
      </c>
      <c r="BH286" s="7" t="str">
        <f>VLOOKUP(B286,CookieClicks!D:O,12,FALSE)</f>
        <v>https://signup.method.me/QBOAppstoreSignup?offering=methodcrm</v>
      </c>
      <c r="BI286" s="8" t="str">
        <f>IFERROR(__xludf.DUMMYFUNCTION("VLOOKUP(REGEXREPLACE(BH286,""[?].*"",""""),ContentBuckets!A:C,2,FALSE)"),"#N/A")</f>
        <v>#N/A</v>
      </c>
      <c r="BJ286" s="8" t="str">
        <f>IFERROR(__xludf.DUMMYFUNCTION("VLOOKUP(REGEXREPLACE(BH286,""[?].*"",""""),ContentBuckets!A:C,3,FALSE)"),"#N/A")</f>
        <v>#N/A</v>
      </c>
    </row>
    <row r="287" ht="14.25" customHeight="1">
      <c r="A287" s="1">
        <v>153473.0</v>
      </c>
      <c r="B287" s="1" t="s">
        <v>980</v>
      </c>
      <c r="C287" s="2">
        <v>46003.1923611111</v>
      </c>
      <c r="D287" s="2">
        <v>46003.6763888889</v>
      </c>
      <c r="E287" s="2"/>
      <c r="F287" s="1" t="b">
        <v>0</v>
      </c>
      <c r="G287" s="4" t="b">
        <v>0</v>
      </c>
      <c r="H287" s="1" t="b">
        <v>0</v>
      </c>
      <c r="I287" s="1" t="b">
        <v>0</v>
      </c>
      <c r="J287" s="1" t="s">
        <v>534</v>
      </c>
      <c r="K287" s="1" t="s">
        <v>981</v>
      </c>
      <c r="L287" s="1" t="s">
        <v>623</v>
      </c>
      <c r="M287" s="1" t="s">
        <v>537</v>
      </c>
      <c r="N287" s="1">
        <v>0.0</v>
      </c>
      <c r="O287" s="1">
        <v>0.0</v>
      </c>
      <c r="P287" s="1">
        <v>0.0</v>
      </c>
      <c r="Q287" s="1">
        <v>0.0</v>
      </c>
      <c r="R287" s="1">
        <v>0.0</v>
      </c>
      <c r="S287" s="1" t="s">
        <v>538</v>
      </c>
      <c r="T287" s="1" t="s">
        <v>539</v>
      </c>
      <c r="V287" s="4">
        <v>7332219.0</v>
      </c>
      <c r="W287" s="4"/>
      <c r="X287" s="4">
        <v>0.0</v>
      </c>
      <c r="Y287" s="1">
        <v>0.0</v>
      </c>
      <c r="Z287" s="1">
        <v>0.0</v>
      </c>
      <c r="AA287" s="1">
        <v>1.0</v>
      </c>
      <c r="AB287" s="1">
        <v>0.0</v>
      </c>
      <c r="AC287" s="1">
        <v>0.0</v>
      </c>
      <c r="AD287" s="1">
        <v>0.0</v>
      </c>
      <c r="AE287" s="1">
        <v>0.0</v>
      </c>
      <c r="AF287" s="1">
        <v>0.0</v>
      </c>
      <c r="AG287" s="1">
        <v>0.0</v>
      </c>
      <c r="AH287" s="1">
        <v>0.0</v>
      </c>
      <c r="AI287" s="1">
        <v>0.0</v>
      </c>
      <c r="AJ287" s="1">
        <v>0.0</v>
      </c>
      <c r="AK287" s="1">
        <v>0.0</v>
      </c>
      <c r="AL287" s="1">
        <v>0.0</v>
      </c>
      <c r="AM287" s="4">
        <v>0.0</v>
      </c>
      <c r="AN287" s="1">
        <v>0.0</v>
      </c>
      <c r="AO287" s="4">
        <v>0.0</v>
      </c>
      <c r="AP287" s="1">
        <f t="shared" si="1"/>
        <v>0</v>
      </c>
      <c r="AQ287" s="1" t="s">
        <v>557</v>
      </c>
      <c r="AU287" s="2"/>
      <c r="AV287" s="2"/>
      <c r="AW287" s="1">
        <v>0.0</v>
      </c>
      <c r="AX287" s="1">
        <v>0.0</v>
      </c>
      <c r="AY287" s="1">
        <v>0.0</v>
      </c>
      <c r="AZ287" s="1">
        <v>1.0</v>
      </c>
      <c r="BA287" s="1">
        <v>0.0</v>
      </c>
      <c r="BB287" s="1">
        <v>0.0</v>
      </c>
      <c r="BC287" s="2">
        <v>46003.0</v>
      </c>
      <c r="BD287" s="1">
        <v>49.0</v>
      </c>
      <c r="BE287" s="1" t="s">
        <v>550</v>
      </c>
      <c r="BF287" s="1">
        <v>2025.0</v>
      </c>
      <c r="BG287" s="1" t="s">
        <v>558</v>
      </c>
      <c r="BH287" s="7" t="str">
        <f>VLOOKUP(B287,CookieClicks!D:O,12,FALSE)</f>
        <v>https://www.method.me/crm-quickbooks/job-scheduling-software/?trc=81&amp;trk=&amp;trs=USA-DSA&amp;campaignid=13038312612&amp;adgroupid=127756898611&amp;adid=771467139249&amp;gad_source=1&amp;gad_campaignid=13038312612&amp;gbraid=0AAAAAD3ItnaIcAaRI2ScMRJVcCO_gFWMd&amp;gclid=EAIaIQobChMIp9S1r9-3kQMVPC5ECB1QuCszEAAYAiAAEgJSNPD_BwE</v>
      </c>
      <c r="BI287" s="8" t="str">
        <f>IFERROR(__xludf.DUMMYFUNCTION("VLOOKUP(REGEXREPLACE(BH287,""[?].*"",""""),ContentBuckets!A:C,2,FALSE)"),"/crm-quickbooks/")</f>
        <v>/crm-quickbooks/</v>
      </c>
      <c r="BJ287" s="8" t="str">
        <f>IFERROR(__xludf.DUMMYFUNCTION("VLOOKUP(REGEXREPLACE(BH287,""[?].*"",""""),ContentBuckets!A:C,3,FALSE)"),"Other page")</f>
        <v>Other page</v>
      </c>
    </row>
    <row r="288" ht="14.25" customHeight="1">
      <c r="A288" s="1">
        <v>153475.0</v>
      </c>
      <c r="B288" s="1" t="s">
        <v>982</v>
      </c>
      <c r="C288" s="2">
        <v>46003.3784722222</v>
      </c>
      <c r="D288" s="2"/>
      <c r="E288" s="2"/>
      <c r="F288" s="1" t="b">
        <v>1</v>
      </c>
      <c r="G288" s="4" t="b">
        <v>0</v>
      </c>
      <c r="H288" s="1" t="b">
        <v>0</v>
      </c>
      <c r="I288" s="1" t="b">
        <v>0</v>
      </c>
      <c r="J288" s="1" t="s">
        <v>534</v>
      </c>
      <c r="K288" s="1" t="s">
        <v>535</v>
      </c>
      <c r="L288" s="1" t="s">
        <v>536</v>
      </c>
      <c r="M288" s="1" t="s">
        <v>537</v>
      </c>
      <c r="N288" s="1">
        <v>0.0</v>
      </c>
      <c r="O288" s="1">
        <v>53.25</v>
      </c>
      <c r="P288" s="1">
        <v>0.0</v>
      </c>
      <c r="Q288" s="1">
        <v>0.0</v>
      </c>
      <c r="R288" s="1">
        <v>0.0</v>
      </c>
      <c r="S288" s="1" t="s">
        <v>538</v>
      </c>
      <c r="T288" s="1" t="s">
        <v>539</v>
      </c>
      <c r="V288" s="4">
        <v>7307440.0</v>
      </c>
      <c r="W288" s="4"/>
      <c r="X288" s="4">
        <v>0.0</v>
      </c>
      <c r="Y288" s="1">
        <v>0.0</v>
      </c>
      <c r="Z288" s="1">
        <v>0.0</v>
      </c>
      <c r="AA288" s="1">
        <v>1.0</v>
      </c>
      <c r="AB288" s="1">
        <v>0.0</v>
      </c>
      <c r="AC288" s="1">
        <v>0.0</v>
      </c>
      <c r="AD288" s="1">
        <v>0.0</v>
      </c>
      <c r="AE288" s="1">
        <v>0.0</v>
      </c>
      <c r="AF288" s="1">
        <v>0.0</v>
      </c>
      <c r="AG288" s="1">
        <v>0.0</v>
      </c>
      <c r="AH288" s="1">
        <v>0.0</v>
      </c>
      <c r="AI288" s="1">
        <v>0.0</v>
      </c>
      <c r="AJ288" s="1">
        <v>0.0</v>
      </c>
      <c r="AK288" s="1">
        <v>0.0</v>
      </c>
      <c r="AL288" s="1">
        <v>0.0</v>
      </c>
      <c r="AM288" s="4">
        <v>0.0</v>
      </c>
      <c r="AN288" s="1">
        <v>0.0</v>
      </c>
      <c r="AO288" s="4">
        <v>0.0</v>
      </c>
      <c r="AP288" s="1">
        <f t="shared" si="1"/>
        <v>0</v>
      </c>
      <c r="AQ288" s="1" t="s">
        <v>557</v>
      </c>
      <c r="AU288" s="2">
        <v>46003.0</v>
      </c>
      <c r="AV288" s="2">
        <v>46024.0256944444</v>
      </c>
      <c r="AW288" s="1">
        <v>0.0</v>
      </c>
      <c r="AX288" s="1">
        <v>72489.6</v>
      </c>
      <c r="AY288" s="1">
        <v>150.0</v>
      </c>
      <c r="AZ288" s="1">
        <v>1.0</v>
      </c>
      <c r="BA288" s="1">
        <v>0.0</v>
      </c>
      <c r="BB288" s="1">
        <v>4.0</v>
      </c>
      <c r="BC288" s="2">
        <v>46003.0</v>
      </c>
      <c r="BD288" s="1">
        <v>49.0</v>
      </c>
      <c r="BE288" s="1" t="s">
        <v>550</v>
      </c>
      <c r="BF288" s="1">
        <v>2025.0</v>
      </c>
      <c r="BG288" s="1" t="s">
        <v>558</v>
      </c>
      <c r="BH288" s="1" t="str">
        <f>VLOOKUP(B288,CookieClicks!D:O,12,FALSE)</f>
        <v>https://grow.method.me/crm-quickbooks/?trc=86&amp;trk=crm that works with quickbooks&amp;trs=US-Bing-QB&amp;msclkid=6a866ac532ad15ccd6f303fc49994f77&amp;utm_source=bing&amp;utm_medium=cpc&amp;utm_campaign=US - Bing QB Broad&amp;utm_term=crm that works with quickbooks&amp;utm_content=Ad Group 1</v>
      </c>
      <c r="BI288" s="8" t="str">
        <f>IFERROR(__xludf.DUMMYFUNCTION("VLOOKUP(REGEXREPLACE(BH288,""[?].*"",""""),ContentBuckets!A:C,2,FALSE)"),"#N/A")</f>
        <v>#N/A</v>
      </c>
      <c r="BJ288" s="8" t="str">
        <f>IFERROR(__xludf.DUMMYFUNCTION("VLOOKUP(REGEXREPLACE(BH288,""[?].*"",""""),ContentBuckets!A:C,3,FALSE)"),"#N/A")</f>
        <v>#N/A</v>
      </c>
    </row>
    <row r="289" ht="14.25" customHeight="1">
      <c r="A289" s="1">
        <v>153478.0</v>
      </c>
      <c r="B289" s="1" t="s">
        <v>983</v>
      </c>
      <c r="C289" s="2">
        <v>46003.43125</v>
      </c>
      <c r="D289" s="2"/>
      <c r="E289" s="2"/>
      <c r="F289" s="1" t="b">
        <v>1</v>
      </c>
      <c r="G289" s="4" t="b">
        <v>0</v>
      </c>
      <c r="H289" s="1" t="b">
        <v>0</v>
      </c>
      <c r="I289" s="1" t="b">
        <v>0</v>
      </c>
      <c r="J289" s="1" t="s">
        <v>534</v>
      </c>
      <c r="K289" s="1" t="s">
        <v>535</v>
      </c>
      <c r="L289" s="1" t="s">
        <v>536</v>
      </c>
      <c r="M289" s="1" t="s">
        <v>537</v>
      </c>
      <c r="N289" s="1">
        <v>0.0</v>
      </c>
      <c r="O289" s="1">
        <v>62.25</v>
      </c>
      <c r="P289" s="1">
        <v>0.0</v>
      </c>
      <c r="Q289" s="1">
        <v>0.0</v>
      </c>
      <c r="R289" s="1">
        <v>28.0</v>
      </c>
      <c r="S289" s="1" t="s">
        <v>538</v>
      </c>
      <c r="T289" s="1" t="s">
        <v>539</v>
      </c>
      <c r="V289" s="4">
        <v>7333647.0</v>
      </c>
      <c r="W289" s="4"/>
      <c r="X289" s="4">
        <v>0.0</v>
      </c>
      <c r="Y289" s="1">
        <v>0.0</v>
      </c>
      <c r="Z289" s="1">
        <v>1.0</v>
      </c>
      <c r="AA289" s="1">
        <v>0.0</v>
      </c>
      <c r="AB289" s="1">
        <v>0.0</v>
      </c>
      <c r="AC289" s="1">
        <v>0.0</v>
      </c>
      <c r="AD289" s="1">
        <v>0.0</v>
      </c>
      <c r="AE289" s="1">
        <v>0.0</v>
      </c>
      <c r="AF289" s="1">
        <v>0.0</v>
      </c>
      <c r="AG289" s="1">
        <v>0.0</v>
      </c>
      <c r="AH289" s="1">
        <v>0.0</v>
      </c>
      <c r="AI289" s="1">
        <v>0.0</v>
      </c>
      <c r="AJ289" s="1">
        <v>0.0</v>
      </c>
      <c r="AK289" s="1">
        <v>0.0</v>
      </c>
      <c r="AL289" s="1">
        <v>0.0</v>
      </c>
      <c r="AM289" s="4">
        <v>0.0</v>
      </c>
      <c r="AN289" s="1">
        <v>0.0</v>
      </c>
      <c r="AO289" s="4">
        <v>0.0</v>
      </c>
      <c r="AP289" s="1">
        <f t="shared" si="1"/>
        <v>0</v>
      </c>
      <c r="AQ289" s="1" t="s">
        <v>984</v>
      </c>
      <c r="AR289" s="1" t="s">
        <v>591</v>
      </c>
      <c r="AU289" s="2">
        <v>46003.0</v>
      </c>
      <c r="AV289" s="2">
        <v>46024.0076388889</v>
      </c>
      <c r="AW289" s="1">
        <v>0.0</v>
      </c>
      <c r="AX289" s="1">
        <v>4680.0</v>
      </c>
      <c r="AY289" s="1">
        <v>20.0</v>
      </c>
      <c r="AZ289" s="1">
        <v>1.0</v>
      </c>
      <c r="BA289" s="1">
        <v>0.0</v>
      </c>
      <c r="BB289" s="1">
        <v>0.0</v>
      </c>
      <c r="BC289" s="2">
        <v>46003.0</v>
      </c>
      <c r="BD289" s="1">
        <v>49.0</v>
      </c>
      <c r="BE289" s="1" t="s">
        <v>550</v>
      </c>
      <c r="BF289" s="1">
        <v>2025.0</v>
      </c>
      <c r="BG289" s="1" t="s">
        <v>985</v>
      </c>
      <c r="BH289" s="7" t="str">
        <f>VLOOKUP(B289,CookieClicks!D:O,12,FALSE)</f>
        <v>https://signup.method.me/QBOAppstoreSignup?offering=methodcrm</v>
      </c>
      <c r="BI289" s="8" t="str">
        <f>IFERROR(__xludf.DUMMYFUNCTION("VLOOKUP(REGEXREPLACE(BH289,""[?].*"",""""),ContentBuckets!A:C,2,FALSE)"),"#N/A")</f>
        <v>#N/A</v>
      </c>
      <c r="BJ289" s="8" t="str">
        <f>IFERROR(__xludf.DUMMYFUNCTION("VLOOKUP(REGEXREPLACE(BH289,""[?].*"",""""),ContentBuckets!A:C,3,FALSE)"),"#N/A")</f>
        <v>#N/A</v>
      </c>
    </row>
    <row r="290" ht="14.25" customHeight="1">
      <c r="A290" s="1">
        <v>153479.0</v>
      </c>
      <c r="B290" s="1" t="s">
        <v>986</v>
      </c>
      <c r="C290" s="2">
        <v>46003.4395833333</v>
      </c>
      <c r="D290" s="2"/>
      <c r="E290" s="2"/>
      <c r="F290" s="1" t="b">
        <v>1</v>
      </c>
      <c r="G290" s="4" t="b">
        <v>0</v>
      </c>
      <c r="H290" s="1" t="b">
        <v>0</v>
      </c>
      <c r="I290" s="1" t="b">
        <v>0</v>
      </c>
      <c r="J290" s="1" t="s">
        <v>534</v>
      </c>
      <c r="K290" s="1" t="s">
        <v>535</v>
      </c>
      <c r="L290" s="1" t="s">
        <v>536</v>
      </c>
      <c r="M290" s="1" t="s">
        <v>537</v>
      </c>
      <c r="N290" s="1">
        <v>0.0</v>
      </c>
      <c r="O290" s="1">
        <v>53.25</v>
      </c>
      <c r="P290" s="1">
        <v>0.0</v>
      </c>
      <c r="Q290" s="1">
        <v>0.0</v>
      </c>
      <c r="R290" s="1">
        <v>28.0</v>
      </c>
      <c r="S290" s="1" t="s">
        <v>538</v>
      </c>
      <c r="T290" s="1" t="s">
        <v>539</v>
      </c>
      <c r="V290" s="4">
        <v>7333633.0</v>
      </c>
      <c r="W290" s="4"/>
      <c r="X290" s="4">
        <v>0.0</v>
      </c>
      <c r="Y290" s="1">
        <v>0.0</v>
      </c>
      <c r="Z290" s="1">
        <v>0.0</v>
      </c>
      <c r="AA290" s="1">
        <v>1.0</v>
      </c>
      <c r="AB290" s="1">
        <v>0.0</v>
      </c>
      <c r="AC290" s="1">
        <v>0.0</v>
      </c>
      <c r="AD290" s="1">
        <v>0.0</v>
      </c>
      <c r="AE290" s="1">
        <v>0.0</v>
      </c>
      <c r="AF290" s="1">
        <v>0.0</v>
      </c>
      <c r="AG290" s="1">
        <v>0.0</v>
      </c>
      <c r="AH290" s="1">
        <v>0.0</v>
      </c>
      <c r="AI290" s="1">
        <v>0.0</v>
      </c>
      <c r="AJ290" s="1">
        <v>0.0</v>
      </c>
      <c r="AK290" s="1">
        <v>0.0</v>
      </c>
      <c r="AL290" s="1">
        <v>0.0</v>
      </c>
      <c r="AM290" s="4">
        <v>0.0</v>
      </c>
      <c r="AN290" s="1">
        <v>0.0</v>
      </c>
      <c r="AO290" s="4">
        <v>0.0</v>
      </c>
      <c r="AP290" s="1">
        <f t="shared" si="1"/>
        <v>0</v>
      </c>
      <c r="AQ290" s="1" t="s">
        <v>557</v>
      </c>
      <c r="AR290" s="1" t="s">
        <v>857</v>
      </c>
      <c r="AU290" s="2">
        <v>46003.0</v>
      </c>
      <c r="AV290" s="2">
        <v>46024.0326388889</v>
      </c>
      <c r="AW290" s="1">
        <v>0.0</v>
      </c>
      <c r="AX290" s="1">
        <v>1200.0</v>
      </c>
      <c r="AY290" s="1">
        <v>1.0</v>
      </c>
      <c r="AZ290" s="1">
        <v>1.0</v>
      </c>
      <c r="BA290" s="1">
        <v>0.0</v>
      </c>
      <c r="BB290" s="1">
        <v>1.0</v>
      </c>
      <c r="BC290" s="2">
        <v>46003.0</v>
      </c>
      <c r="BD290" s="1">
        <v>49.0</v>
      </c>
      <c r="BE290" s="1" t="s">
        <v>550</v>
      </c>
      <c r="BF290" s="1">
        <v>2025.0</v>
      </c>
      <c r="BG290" s="1" t="s">
        <v>558</v>
      </c>
      <c r="BH290" s="1" t="str">
        <f>VLOOKUP(B290,CookieClicks!D:O,12,FALSE)</f>
        <v>https://grow.method.me/crm-quickbooks/?trc=86&amp;trk=custom invoices for quickbooks&amp;trs=USA-G-QB-Bing&amp;msclkid=6bee187685e81295fbe8714ab7c5b9d5&amp;utm_source=bing&amp;utm_medium=cpc&amp;utm_campaign=US - Generic 2020&amp;utm_term=custom invoices for quickbooks&amp;utm_content=Generic</v>
      </c>
      <c r="BI290" s="8" t="str">
        <f>IFERROR(__xludf.DUMMYFUNCTION("VLOOKUP(REGEXREPLACE(BH290,""[?].*"",""""),ContentBuckets!A:C,2,FALSE)"),"#N/A")</f>
        <v>#N/A</v>
      </c>
      <c r="BJ290" s="8" t="str">
        <f>IFERROR(__xludf.DUMMYFUNCTION("VLOOKUP(REGEXREPLACE(BH290,""[?].*"",""""),ContentBuckets!A:C,3,FALSE)"),"#N/A")</f>
        <v>#N/A</v>
      </c>
    </row>
    <row r="291" ht="14.25" customHeight="1">
      <c r="A291" s="1">
        <v>153480.0</v>
      </c>
      <c r="B291" s="1" t="s">
        <v>987</v>
      </c>
      <c r="C291" s="2">
        <v>46003.4555555556</v>
      </c>
      <c r="D291" s="2">
        <v>46003.4673611111</v>
      </c>
      <c r="E291" s="2"/>
      <c r="F291" s="1" t="b">
        <v>0</v>
      </c>
      <c r="G291" s="4" t="b">
        <v>1</v>
      </c>
      <c r="H291" s="1" t="b">
        <v>0</v>
      </c>
      <c r="I291" s="1" t="b">
        <v>0</v>
      </c>
      <c r="J291" s="1" t="s">
        <v>534</v>
      </c>
      <c r="K291" s="1" t="s">
        <v>535</v>
      </c>
      <c r="L291" s="1" t="s">
        <v>536</v>
      </c>
      <c r="M291" s="1" t="s">
        <v>537</v>
      </c>
      <c r="N291" s="1">
        <v>0.0</v>
      </c>
      <c r="O291" s="1">
        <v>0.0</v>
      </c>
      <c r="P291" s="1">
        <v>0.0</v>
      </c>
      <c r="Q291" s="1">
        <v>0.0</v>
      </c>
      <c r="R291" s="1">
        <v>0.0</v>
      </c>
      <c r="S291" s="1" t="s">
        <v>538</v>
      </c>
      <c r="T291" s="1" t="s">
        <v>539</v>
      </c>
      <c r="V291" s="4">
        <v>7331190.0</v>
      </c>
      <c r="W291" s="4"/>
      <c r="X291" s="4">
        <v>1.0</v>
      </c>
      <c r="Y291" s="1">
        <v>0.0</v>
      </c>
      <c r="Z291" s="1">
        <v>0.0</v>
      </c>
      <c r="AA291" s="1">
        <v>0.0</v>
      </c>
      <c r="AB291" s="1">
        <v>0.0</v>
      </c>
      <c r="AC291" s="1">
        <v>0.0</v>
      </c>
      <c r="AD291" s="1">
        <v>0.0</v>
      </c>
      <c r="AE291" s="1">
        <v>0.0</v>
      </c>
      <c r="AF291" s="1">
        <v>0.0</v>
      </c>
      <c r="AG291" s="1">
        <v>0.0</v>
      </c>
      <c r="AH291" s="1">
        <v>0.0</v>
      </c>
      <c r="AI291" s="1">
        <v>0.0</v>
      </c>
      <c r="AJ291" s="1">
        <v>0.0</v>
      </c>
      <c r="AK291" s="1">
        <v>0.0</v>
      </c>
      <c r="AL291" s="1">
        <v>0.0</v>
      </c>
      <c r="AM291" s="4">
        <v>0.0</v>
      </c>
      <c r="AN291" s="1">
        <v>0.0</v>
      </c>
      <c r="AO291" s="4">
        <v>0.0</v>
      </c>
      <c r="AP291" s="1">
        <f t="shared" si="1"/>
        <v>0</v>
      </c>
      <c r="AQ291" s="1" t="s">
        <v>973</v>
      </c>
      <c r="AU291" s="2"/>
      <c r="AV291" s="2"/>
      <c r="AW291" s="1">
        <v>0.0</v>
      </c>
      <c r="AX291" s="1">
        <v>0.0</v>
      </c>
      <c r="AY291" s="1">
        <v>0.0</v>
      </c>
      <c r="AZ291" s="1">
        <v>1.0</v>
      </c>
      <c r="BA291" s="1">
        <v>0.0</v>
      </c>
      <c r="BB291" s="1">
        <v>0.0</v>
      </c>
      <c r="BC291" s="2">
        <v>46003.0</v>
      </c>
      <c r="BD291" s="1">
        <v>49.0</v>
      </c>
      <c r="BE291" s="1" t="s">
        <v>550</v>
      </c>
      <c r="BF291" s="1">
        <v>2025.0</v>
      </c>
      <c r="BG291" s="1" t="s">
        <v>974</v>
      </c>
      <c r="BH291" s="7" t="str">
        <f>VLOOKUP(B291,CookieClicks!D:O,12,FALSE)</f>
        <v>https://www.method.me/</v>
      </c>
      <c r="BI291" s="8" t="str">
        <f>IFERROR(__xludf.DUMMYFUNCTION("VLOOKUP(REGEXREPLACE(BH291,""[?].*"",""""),ContentBuckets!A:C,2,FALSE)"),"Homepage")</f>
        <v>Homepage</v>
      </c>
      <c r="BJ291" s="8" t="str">
        <f>IFERROR(__xludf.DUMMYFUNCTION("VLOOKUP(REGEXREPLACE(BH291,""[?].*"",""""),ContentBuckets!A:C,3,FALSE)"),"Other page")</f>
        <v>Other page</v>
      </c>
    </row>
    <row r="292" ht="14.25" customHeight="1">
      <c r="A292" s="1">
        <v>153481.0</v>
      </c>
      <c r="B292" s="1" t="s">
        <v>988</v>
      </c>
      <c r="C292" s="2">
        <v>46003.45625</v>
      </c>
      <c r="D292" s="2"/>
      <c r="E292" s="2"/>
      <c r="F292" s="1" t="b">
        <v>1</v>
      </c>
      <c r="G292" s="4" t="b">
        <v>0</v>
      </c>
      <c r="H292" s="1" t="b">
        <v>0</v>
      </c>
      <c r="I292" s="1" t="b">
        <v>0</v>
      </c>
      <c r="J292" s="1" t="s">
        <v>534</v>
      </c>
      <c r="K292" s="1" t="s">
        <v>535</v>
      </c>
      <c r="L292" s="1" t="s">
        <v>536</v>
      </c>
      <c r="M292" s="1" t="s">
        <v>537</v>
      </c>
      <c r="N292" s="1">
        <v>0.0</v>
      </c>
      <c r="O292" s="1">
        <v>72.75</v>
      </c>
      <c r="P292" s="1">
        <v>0.0</v>
      </c>
      <c r="Q292" s="1">
        <v>0.0</v>
      </c>
      <c r="R292" s="1">
        <v>28.0</v>
      </c>
      <c r="S292" s="1" t="s">
        <v>538</v>
      </c>
      <c r="T292" s="1" t="s">
        <v>539</v>
      </c>
      <c r="V292" s="4">
        <v>7333841.0</v>
      </c>
      <c r="W292" s="4"/>
      <c r="X292" s="4">
        <v>0.0</v>
      </c>
      <c r="Y292" s="1">
        <v>0.0</v>
      </c>
      <c r="Z292" s="1">
        <v>1.0</v>
      </c>
      <c r="AA292" s="1">
        <v>0.0</v>
      </c>
      <c r="AB292" s="1">
        <v>0.0</v>
      </c>
      <c r="AC292" s="1">
        <v>0.0</v>
      </c>
      <c r="AD292" s="1">
        <v>0.0</v>
      </c>
      <c r="AE292" s="1">
        <v>0.0</v>
      </c>
      <c r="AF292" s="1">
        <v>0.0</v>
      </c>
      <c r="AG292" s="1">
        <v>0.0</v>
      </c>
      <c r="AH292" s="1">
        <v>0.0</v>
      </c>
      <c r="AI292" s="1">
        <v>0.0</v>
      </c>
      <c r="AJ292" s="1">
        <v>0.0</v>
      </c>
      <c r="AK292" s="1">
        <v>0.0</v>
      </c>
      <c r="AL292" s="1">
        <v>0.0</v>
      </c>
      <c r="AM292" s="4">
        <v>0.0</v>
      </c>
      <c r="AN292" s="1">
        <v>0.0</v>
      </c>
      <c r="AO292" s="4">
        <v>0.0</v>
      </c>
      <c r="AP292" s="1">
        <f t="shared" si="1"/>
        <v>0</v>
      </c>
      <c r="AQ292" s="1" t="s">
        <v>557</v>
      </c>
      <c r="AR292" s="1" t="s">
        <v>542</v>
      </c>
      <c r="AT292" s="1" t="s">
        <v>919</v>
      </c>
      <c r="AU292" s="2">
        <v>46003.0</v>
      </c>
      <c r="AV292" s="2">
        <v>46023.9909722222</v>
      </c>
      <c r="AW292" s="1">
        <v>0.0</v>
      </c>
      <c r="AX292" s="1">
        <v>0.0</v>
      </c>
      <c r="AY292" s="1">
        <v>64.0</v>
      </c>
      <c r="AZ292" s="1">
        <v>1.0</v>
      </c>
      <c r="BA292" s="1">
        <v>0.0</v>
      </c>
      <c r="BB292" s="1">
        <v>0.0</v>
      </c>
      <c r="BC292" s="2">
        <v>46003.0</v>
      </c>
      <c r="BD292" s="1">
        <v>49.0</v>
      </c>
      <c r="BE292" s="1" t="s">
        <v>550</v>
      </c>
      <c r="BF292" s="1">
        <v>2025.0</v>
      </c>
      <c r="BG292" s="1" t="s">
        <v>558</v>
      </c>
      <c r="BH292" s="7" t="str">
        <f>VLOOKUP(B292,CookieClicks!D:O,12,FALSE)</f>
        <v>https://signup.method.me/QBOAppstoreSignup?offering=methodcrm</v>
      </c>
      <c r="BI292" s="8" t="str">
        <f>IFERROR(__xludf.DUMMYFUNCTION("VLOOKUP(REGEXREPLACE(BH292,""[?].*"",""""),ContentBuckets!A:C,2,FALSE)"),"#N/A")</f>
        <v>#N/A</v>
      </c>
      <c r="BJ292" s="8" t="str">
        <f>IFERROR(__xludf.DUMMYFUNCTION("VLOOKUP(REGEXREPLACE(BH292,""[?].*"",""""),ContentBuckets!A:C,3,FALSE)"),"#N/A")</f>
        <v>#N/A</v>
      </c>
    </row>
    <row r="293" ht="14.25" customHeight="1">
      <c r="A293" s="1">
        <v>153482.0</v>
      </c>
      <c r="B293" s="1" t="s">
        <v>989</v>
      </c>
      <c r="C293" s="2">
        <v>46003.4631944444</v>
      </c>
      <c r="D293" s="2"/>
      <c r="E293" s="2"/>
      <c r="F293" s="1" t="b">
        <v>1</v>
      </c>
      <c r="G293" s="4" t="b">
        <v>1</v>
      </c>
      <c r="H293" s="1" t="b">
        <v>0</v>
      </c>
      <c r="I293" s="1" t="b">
        <v>0</v>
      </c>
      <c r="J293" s="1" t="s">
        <v>534</v>
      </c>
      <c r="K293" s="1" t="s">
        <v>535</v>
      </c>
      <c r="L293" s="1" t="s">
        <v>536</v>
      </c>
      <c r="M293" s="1" t="s">
        <v>537</v>
      </c>
      <c r="N293" s="1">
        <v>0.0</v>
      </c>
      <c r="O293" s="1">
        <v>40.0</v>
      </c>
      <c r="P293" s="1">
        <v>0.0</v>
      </c>
      <c r="Q293" s="1">
        <v>0.0</v>
      </c>
      <c r="R293" s="1">
        <v>0.0</v>
      </c>
      <c r="S293" s="1" t="s">
        <v>538</v>
      </c>
      <c r="T293" s="1" t="s">
        <v>539</v>
      </c>
      <c r="V293" s="4">
        <v>0.0</v>
      </c>
      <c r="W293" s="4"/>
      <c r="X293" s="4">
        <v>0.0</v>
      </c>
      <c r="Y293" s="1">
        <v>0.0</v>
      </c>
      <c r="Z293" s="1">
        <v>0.0</v>
      </c>
      <c r="AA293" s="1">
        <v>0.0</v>
      </c>
      <c r="AB293" s="1">
        <v>0.0</v>
      </c>
      <c r="AC293" s="1">
        <v>0.0</v>
      </c>
      <c r="AD293" s="1">
        <v>0.0</v>
      </c>
      <c r="AE293" s="1">
        <v>0.0</v>
      </c>
      <c r="AF293" s="1">
        <v>0.0</v>
      </c>
      <c r="AG293" s="1">
        <v>0.0</v>
      </c>
      <c r="AH293" s="1">
        <v>0.0</v>
      </c>
      <c r="AI293" s="1">
        <v>0.0</v>
      </c>
      <c r="AJ293" s="1">
        <v>0.0</v>
      </c>
      <c r="AK293" s="1">
        <v>0.0</v>
      </c>
      <c r="AL293" s="1">
        <v>0.0</v>
      </c>
      <c r="AM293" s="4">
        <v>0.0</v>
      </c>
      <c r="AN293" s="1">
        <v>0.0</v>
      </c>
      <c r="AO293" s="4">
        <v>0.0</v>
      </c>
      <c r="AP293" s="1">
        <f t="shared" si="1"/>
        <v>1</v>
      </c>
      <c r="AU293" s="2"/>
      <c r="AV293" s="2">
        <v>46023.9881944444</v>
      </c>
      <c r="AW293" s="1">
        <v>0.0</v>
      </c>
      <c r="AX293" s="1">
        <v>0.0</v>
      </c>
      <c r="AY293" s="1">
        <v>0.0</v>
      </c>
      <c r="AZ293" s="1">
        <v>1.0</v>
      </c>
      <c r="BA293" s="1">
        <v>0.0</v>
      </c>
      <c r="BB293" s="1">
        <v>0.0</v>
      </c>
      <c r="BC293" s="2">
        <v>46003.0</v>
      </c>
      <c r="BD293" s="1">
        <v>49.0</v>
      </c>
      <c r="BE293" s="1" t="s">
        <v>550</v>
      </c>
      <c r="BF293" s="1">
        <v>2025.0</v>
      </c>
      <c r="BG293" s="1" t="s">
        <v>546</v>
      </c>
      <c r="BH293" s="1" t="str">
        <f>VLOOKUP(B293,CookieClicks!D:O,12,FALSE)</f>
        <v>#N/A</v>
      </c>
      <c r="BI293" s="8" t="str">
        <f>IFERROR(__xludf.DUMMYFUNCTION("VLOOKUP(REGEXREPLACE(BH293,""[?].*"",""""),ContentBuckets!A:C,2,FALSE)"),"#N/A")</f>
        <v>#N/A</v>
      </c>
      <c r="BJ293" s="8" t="str">
        <f>IFERROR(__xludf.DUMMYFUNCTION("VLOOKUP(REGEXREPLACE(BH293,""[?].*"",""""),ContentBuckets!A:C,3,FALSE)"),"#N/A")</f>
        <v>#N/A</v>
      </c>
    </row>
    <row r="294" ht="14.25" customHeight="1">
      <c r="A294" s="1">
        <v>153483.0</v>
      </c>
      <c r="B294" s="1" t="s">
        <v>990</v>
      </c>
      <c r="C294" s="2">
        <v>46003.4680555556</v>
      </c>
      <c r="D294" s="2">
        <v>46003.4722222222</v>
      </c>
      <c r="E294" s="2"/>
      <c r="F294" s="1" t="b">
        <v>0</v>
      </c>
      <c r="G294" s="4" t="b">
        <v>1</v>
      </c>
      <c r="H294" s="1" t="b">
        <v>0</v>
      </c>
      <c r="I294" s="1" t="b">
        <v>0</v>
      </c>
      <c r="J294" s="1" t="s">
        <v>534</v>
      </c>
      <c r="K294" s="1" t="s">
        <v>535</v>
      </c>
      <c r="L294" s="1" t="s">
        <v>536</v>
      </c>
      <c r="M294" s="1" t="s">
        <v>537</v>
      </c>
      <c r="N294" s="1">
        <v>0.0</v>
      </c>
      <c r="O294" s="1">
        <v>0.0</v>
      </c>
      <c r="P294" s="1">
        <v>0.0</v>
      </c>
      <c r="Q294" s="1">
        <v>0.0</v>
      </c>
      <c r="R294" s="1">
        <v>0.0</v>
      </c>
      <c r="S294" s="1" t="s">
        <v>538</v>
      </c>
      <c r="T294" s="1" t="s">
        <v>539</v>
      </c>
      <c r="V294" s="4">
        <v>7333901.0</v>
      </c>
      <c r="W294" s="4"/>
      <c r="X294" s="4">
        <v>1.0</v>
      </c>
      <c r="Y294" s="1">
        <v>0.0</v>
      </c>
      <c r="Z294" s="1">
        <v>0.0</v>
      </c>
      <c r="AA294" s="1">
        <v>0.0</v>
      </c>
      <c r="AB294" s="1">
        <v>0.0</v>
      </c>
      <c r="AC294" s="1">
        <v>0.0</v>
      </c>
      <c r="AD294" s="1">
        <v>0.0</v>
      </c>
      <c r="AE294" s="1">
        <v>0.0</v>
      </c>
      <c r="AF294" s="1">
        <v>0.0</v>
      </c>
      <c r="AG294" s="1">
        <v>0.0</v>
      </c>
      <c r="AH294" s="1">
        <v>0.0</v>
      </c>
      <c r="AI294" s="1">
        <v>0.0</v>
      </c>
      <c r="AJ294" s="1">
        <v>0.0</v>
      </c>
      <c r="AK294" s="1">
        <v>0.0</v>
      </c>
      <c r="AL294" s="1">
        <v>0.0</v>
      </c>
      <c r="AM294" s="4">
        <v>0.0</v>
      </c>
      <c r="AN294" s="1">
        <v>0.0</v>
      </c>
      <c r="AO294" s="4">
        <v>0.0</v>
      </c>
      <c r="AP294" s="1">
        <f t="shared" si="1"/>
        <v>0</v>
      </c>
      <c r="AQ294" s="1" t="s">
        <v>973</v>
      </c>
      <c r="AU294" s="2"/>
      <c r="AV294" s="2"/>
      <c r="AW294" s="1">
        <v>0.0</v>
      </c>
      <c r="AX294" s="1">
        <v>0.0</v>
      </c>
      <c r="AY294" s="1">
        <v>0.0</v>
      </c>
      <c r="AZ294" s="1">
        <v>1.0</v>
      </c>
      <c r="BA294" s="1">
        <v>0.0</v>
      </c>
      <c r="BB294" s="1">
        <v>0.0</v>
      </c>
      <c r="BC294" s="2">
        <v>46003.0</v>
      </c>
      <c r="BD294" s="1">
        <v>49.0</v>
      </c>
      <c r="BE294" s="1" t="s">
        <v>550</v>
      </c>
      <c r="BF294" s="1">
        <v>2025.0</v>
      </c>
      <c r="BG294" s="1" t="s">
        <v>673</v>
      </c>
      <c r="BH294" s="7" t="str">
        <f>VLOOKUP(B294,CookieClicks!D:O,12,FALSE)</f>
        <v>https://www.method.me/</v>
      </c>
      <c r="BI294" s="8" t="str">
        <f>IFERROR(__xludf.DUMMYFUNCTION("VLOOKUP(REGEXREPLACE(BH294,""[?].*"",""""),ContentBuckets!A:C,2,FALSE)"),"Homepage")</f>
        <v>Homepage</v>
      </c>
      <c r="BJ294" s="8" t="str">
        <f>IFERROR(__xludf.DUMMYFUNCTION("VLOOKUP(REGEXREPLACE(BH294,""[?].*"",""""),ContentBuckets!A:C,3,FALSE)"),"Other page")</f>
        <v>Other page</v>
      </c>
    </row>
    <row r="295" ht="14.25" customHeight="1">
      <c r="A295" s="1">
        <v>153484.0</v>
      </c>
      <c r="B295" s="1" t="s">
        <v>991</v>
      </c>
      <c r="C295" s="2">
        <v>46003.4715277778</v>
      </c>
      <c r="D295" s="2"/>
      <c r="E295" s="2"/>
      <c r="F295" s="1" t="b">
        <v>1</v>
      </c>
      <c r="G295" s="4" t="b">
        <v>0</v>
      </c>
      <c r="H295" s="1" t="b">
        <v>0</v>
      </c>
      <c r="I295" s="1" t="b">
        <v>0</v>
      </c>
      <c r="J295" s="1" t="s">
        <v>534</v>
      </c>
      <c r="K295" s="1" t="s">
        <v>566</v>
      </c>
      <c r="L295" s="1" t="s">
        <v>567</v>
      </c>
      <c r="M295" s="1" t="s">
        <v>537</v>
      </c>
      <c r="N295" s="1">
        <v>0.0</v>
      </c>
      <c r="O295" s="1">
        <v>44.25</v>
      </c>
      <c r="P295" s="1">
        <v>0.0</v>
      </c>
      <c r="Q295" s="1">
        <v>0.0</v>
      </c>
      <c r="R295" s="1">
        <v>28.0</v>
      </c>
      <c r="S295" s="1" t="s">
        <v>538</v>
      </c>
      <c r="T295" s="1" t="s">
        <v>539</v>
      </c>
      <c r="V295" s="4">
        <v>7333957.0</v>
      </c>
      <c r="W295" s="4"/>
      <c r="X295" s="4">
        <v>0.0</v>
      </c>
      <c r="Y295" s="1">
        <v>0.0</v>
      </c>
      <c r="Z295" s="1">
        <v>0.0</v>
      </c>
      <c r="AA295" s="1">
        <v>1.0</v>
      </c>
      <c r="AB295" s="1">
        <v>0.0</v>
      </c>
      <c r="AC295" s="1">
        <v>0.0</v>
      </c>
      <c r="AD295" s="1">
        <v>0.0</v>
      </c>
      <c r="AE295" s="1">
        <v>0.0</v>
      </c>
      <c r="AF295" s="1">
        <v>0.0</v>
      </c>
      <c r="AG295" s="1">
        <v>0.0</v>
      </c>
      <c r="AH295" s="1">
        <v>0.0</v>
      </c>
      <c r="AI295" s="1">
        <v>0.0</v>
      </c>
      <c r="AJ295" s="1">
        <v>0.0</v>
      </c>
      <c r="AK295" s="1">
        <v>0.0</v>
      </c>
      <c r="AL295" s="1">
        <v>0.0</v>
      </c>
      <c r="AM295" s="4">
        <v>0.0</v>
      </c>
      <c r="AN295" s="1">
        <v>0.0</v>
      </c>
      <c r="AO295" s="4">
        <v>0.0</v>
      </c>
      <c r="AP295" s="1">
        <f t="shared" si="1"/>
        <v>0</v>
      </c>
      <c r="AR295" s="1" t="s">
        <v>542</v>
      </c>
      <c r="AU295" s="2"/>
      <c r="AV295" s="2">
        <v>46023.9875</v>
      </c>
      <c r="AW295" s="1">
        <v>0.0</v>
      </c>
      <c r="AX295" s="1">
        <v>0.0</v>
      </c>
      <c r="AY295" s="1">
        <v>0.0</v>
      </c>
      <c r="AZ295" s="1">
        <v>1.0</v>
      </c>
      <c r="BA295" s="1">
        <v>0.0</v>
      </c>
      <c r="BB295" s="1">
        <v>0.0</v>
      </c>
      <c r="BC295" s="2">
        <v>46003.0</v>
      </c>
      <c r="BD295" s="1">
        <v>49.0</v>
      </c>
      <c r="BE295" s="1" t="s">
        <v>550</v>
      </c>
      <c r="BF295" s="1">
        <v>2025.0</v>
      </c>
      <c r="BG295" s="1" t="s">
        <v>558</v>
      </c>
      <c r="BH295" s="1" t="str">
        <f>VLOOKUP(B295,CookieClicks!D:O,12,FALSE)</f>
        <v>https://grow.method.me/crm-quickbooks/?trc=86&amp;trk=quickbooks online invoice management&amp;trs=USA-G-QB-Bing&amp;msclkid=197e650fcd5f107ba3600c338d7aaf18&amp;utm_source=bing&amp;utm_medium=cpc&amp;utm_campaign=US - Generic 2020&amp;utm_term=quickbooks online invoice management&amp;utm_content=Generic</v>
      </c>
      <c r="BI295" s="8" t="str">
        <f>IFERROR(__xludf.DUMMYFUNCTION("VLOOKUP(REGEXREPLACE(BH295,""[?].*"",""""),ContentBuckets!A:C,2,FALSE)"),"#N/A")</f>
        <v>#N/A</v>
      </c>
      <c r="BJ295" s="8" t="str">
        <f>IFERROR(__xludf.DUMMYFUNCTION("VLOOKUP(REGEXREPLACE(BH295,""[?].*"",""""),ContentBuckets!A:C,3,FALSE)"),"#N/A")</f>
        <v>#N/A</v>
      </c>
    </row>
    <row r="296" ht="14.25" customHeight="1">
      <c r="A296" s="1">
        <v>153485.0</v>
      </c>
      <c r="B296" s="1" t="s">
        <v>992</v>
      </c>
      <c r="C296" s="2">
        <v>46003.475</v>
      </c>
      <c r="D296" s="2">
        <v>46003.5326388889</v>
      </c>
      <c r="E296" s="2"/>
      <c r="F296" s="1" t="b">
        <v>0</v>
      </c>
      <c r="G296" s="4" t="b">
        <v>1</v>
      </c>
      <c r="H296" s="1" t="b">
        <v>0</v>
      </c>
      <c r="I296" s="1" t="b">
        <v>0</v>
      </c>
      <c r="J296" s="1" t="s">
        <v>534</v>
      </c>
      <c r="K296" s="1" t="s">
        <v>535</v>
      </c>
      <c r="L296" s="1" t="s">
        <v>536</v>
      </c>
      <c r="M296" s="1" t="s">
        <v>537</v>
      </c>
      <c r="N296" s="1">
        <v>0.0</v>
      </c>
      <c r="O296" s="1">
        <v>0.0</v>
      </c>
      <c r="P296" s="1">
        <v>0.0</v>
      </c>
      <c r="Q296" s="1">
        <v>0.0</v>
      </c>
      <c r="R296" s="1">
        <v>28.0</v>
      </c>
      <c r="S296" s="1" t="s">
        <v>538</v>
      </c>
      <c r="T296" s="1" t="s">
        <v>539</v>
      </c>
      <c r="V296" s="4">
        <v>7333901.0</v>
      </c>
      <c r="W296" s="4"/>
      <c r="X296" s="4">
        <v>1.0</v>
      </c>
      <c r="Y296" s="1">
        <v>0.0</v>
      </c>
      <c r="Z296" s="1">
        <v>0.0</v>
      </c>
      <c r="AA296" s="1">
        <v>0.0</v>
      </c>
      <c r="AB296" s="1">
        <v>0.0</v>
      </c>
      <c r="AC296" s="1">
        <v>0.0</v>
      </c>
      <c r="AD296" s="1">
        <v>0.0</v>
      </c>
      <c r="AE296" s="1">
        <v>0.0</v>
      </c>
      <c r="AF296" s="1">
        <v>0.0</v>
      </c>
      <c r="AG296" s="1">
        <v>0.0</v>
      </c>
      <c r="AH296" s="1">
        <v>0.0</v>
      </c>
      <c r="AI296" s="1">
        <v>0.0</v>
      </c>
      <c r="AJ296" s="1">
        <v>0.0</v>
      </c>
      <c r="AK296" s="1">
        <v>0.0</v>
      </c>
      <c r="AL296" s="1">
        <v>0.0</v>
      </c>
      <c r="AM296" s="4">
        <v>0.0</v>
      </c>
      <c r="AN296" s="1">
        <v>0.0</v>
      </c>
      <c r="AO296" s="4">
        <v>0.0</v>
      </c>
      <c r="AP296" s="1">
        <f t="shared" si="1"/>
        <v>0</v>
      </c>
      <c r="AQ296" s="1" t="s">
        <v>973</v>
      </c>
      <c r="AR296" s="1" t="s">
        <v>608</v>
      </c>
      <c r="AU296" s="2"/>
      <c r="AV296" s="2"/>
      <c r="AW296" s="1">
        <v>0.0</v>
      </c>
      <c r="AX296" s="1">
        <v>0.0</v>
      </c>
      <c r="AY296" s="1">
        <v>0.0</v>
      </c>
      <c r="AZ296" s="1">
        <v>1.0</v>
      </c>
      <c r="BA296" s="1">
        <v>0.0</v>
      </c>
      <c r="BB296" s="1">
        <v>0.0</v>
      </c>
      <c r="BC296" s="2">
        <v>46003.0</v>
      </c>
      <c r="BD296" s="1">
        <v>49.0</v>
      </c>
      <c r="BE296" s="1" t="s">
        <v>550</v>
      </c>
      <c r="BF296" s="1">
        <v>2025.0</v>
      </c>
      <c r="BG296" s="1" t="s">
        <v>629</v>
      </c>
      <c r="BH296" s="7" t="str">
        <f>VLOOKUP(B296,CookieClicks!D:O,12,FALSE)</f>
        <v>https://www.method.me/</v>
      </c>
      <c r="BI296" s="8" t="str">
        <f>IFERROR(__xludf.DUMMYFUNCTION("VLOOKUP(REGEXREPLACE(BH296,""[?].*"",""""),ContentBuckets!A:C,2,FALSE)"),"Homepage")</f>
        <v>Homepage</v>
      </c>
      <c r="BJ296" s="8" t="str">
        <f>IFERROR(__xludf.DUMMYFUNCTION("VLOOKUP(REGEXREPLACE(BH296,""[?].*"",""""),ContentBuckets!A:C,3,FALSE)"),"Other page")</f>
        <v>Other page</v>
      </c>
    </row>
    <row r="297" ht="14.25" customHeight="1">
      <c r="A297" s="1">
        <v>153486.0</v>
      </c>
      <c r="B297" s="1" t="s">
        <v>993</v>
      </c>
      <c r="C297" s="2">
        <v>46003.4868055556</v>
      </c>
      <c r="D297" s="2"/>
      <c r="E297" s="2"/>
      <c r="F297" s="1" t="b">
        <v>1</v>
      </c>
      <c r="G297" s="4" t="b">
        <v>0</v>
      </c>
      <c r="H297" s="1" t="b">
        <v>0</v>
      </c>
      <c r="I297" s="1" t="b">
        <v>0</v>
      </c>
      <c r="J297" s="1" t="s">
        <v>534</v>
      </c>
      <c r="K297" s="1" t="s">
        <v>535</v>
      </c>
      <c r="L297" s="1" t="s">
        <v>536</v>
      </c>
      <c r="M297" s="1" t="s">
        <v>537</v>
      </c>
      <c r="N297" s="1">
        <v>0.0</v>
      </c>
      <c r="O297" s="1">
        <v>53.25</v>
      </c>
      <c r="P297" s="1">
        <v>0.0</v>
      </c>
      <c r="Q297" s="1">
        <v>0.0</v>
      </c>
      <c r="R297" s="1">
        <v>28.0</v>
      </c>
      <c r="S297" s="1" t="s">
        <v>538</v>
      </c>
      <c r="T297" s="1" t="s">
        <v>539</v>
      </c>
      <c r="V297" s="4">
        <v>7334081.0</v>
      </c>
      <c r="W297" s="4"/>
      <c r="X297" s="4">
        <v>0.0</v>
      </c>
      <c r="Y297" s="1">
        <v>0.0</v>
      </c>
      <c r="Z297" s="1">
        <v>1.0</v>
      </c>
      <c r="AA297" s="1">
        <v>0.0</v>
      </c>
      <c r="AB297" s="1">
        <v>0.0</v>
      </c>
      <c r="AC297" s="1">
        <v>0.0</v>
      </c>
      <c r="AD297" s="1">
        <v>0.0</v>
      </c>
      <c r="AE297" s="1">
        <v>0.0</v>
      </c>
      <c r="AF297" s="1">
        <v>0.0</v>
      </c>
      <c r="AG297" s="1">
        <v>0.0</v>
      </c>
      <c r="AH297" s="1">
        <v>0.0</v>
      </c>
      <c r="AI297" s="1">
        <v>0.0</v>
      </c>
      <c r="AJ297" s="1">
        <v>0.0</v>
      </c>
      <c r="AK297" s="1">
        <v>0.0</v>
      </c>
      <c r="AL297" s="1">
        <v>0.0</v>
      </c>
      <c r="AM297" s="4">
        <v>0.0</v>
      </c>
      <c r="AN297" s="1">
        <v>0.0</v>
      </c>
      <c r="AO297" s="4">
        <v>0.0</v>
      </c>
      <c r="AP297" s="1">
        <f t="shared" si="1"/>
        <v>0</v>
      </c>
      <c r="AQ297" s="1" t="s">
        <v>557</v>
      </c>
      <c r="AR297" s="1" t="s">
        <v>560</v>
      </c>
      <c r="AU297" s="2">
        <v>46003.0</v>
      </c>
      <c r="AV297" s="2">
        <v>46024.0430555556</v>
      </c>
      <c r="AW297" s="1">
        <v>12.0</v>
      </c>
      <c r="AX297" s="1">
        <v>110760.0</v>
      </c>
      <c r="AY297" s="1">
        <v>331.0</v>
      </c>
      <c r="AZ297" s="1">
        <v>1.0</v>
      </c>
      <c r="BA297" s="1">
        <v>0.0</v>
      </c>
      <c r="BB297" s="1">
        <v>0.0</v>
      </c>
      <c r="BC297" s="2">
        <v>46003.0</v>
      </c>
      <c r="BD297" s="1">
        <v>49.0</v>
      </c>
      <c r="BE297" s="1" t="s">
        <v>550</v>
      </c>
      <c r="BF297" s="1">
        <v>2025.0</v>
      </c>
      <c r="BG297" s="1" t="s">
        <v>558</v>
      </c>
      <c r="BH297" s="7" t="str">
        <f>VLOOKUP(B297,CookieClicks!D:O,12,FALSE)</f>
        <v>https://signup.method.me/QBOAppstoreSignup?offering=methodcrm</v>
      </c>
      <c r="BI297" s="8" t="str">
        <f>IFERROR(__xludf.DUMMYFUNCTION("VLOOKUP(REGEXREPLACE(BH297,""[?].*"",""""),ContentBuckets!A:C,2,FALSE)"),"#N/A")</f>
        <v>#N/A</v>
      </c>
      <c r="BJ297" s="8" t="str">
        <f>IFERROR(__xludf.DUMMYFUNCTION("VLOOKUP(REGEXREPLACE(BH297,""[?].*"",""""),ContentBuckets!A:C,3,FALSE)"),"#N/A")</f>
        <v>#N/A</v>
      </c>
    </row>
    <row r="298" ht="14.25" customHeight="1">
      <c r="A298" s="1">
        <v>153487.0</v>
      </c>
      <c r="B298" s="1" t="s">
        <v>994</v>
      </c>
      <c r="C298" s="2">
        <v>46003.5006944444</v>
      </c>
      <c r="D298" s="2"/>
      <c r="E298" s="2">
        <v>46020.6763888889</v>
      </c>
      <c r="F298" s="1" t="b">
        <v>1</v>
      </c>
      <c r="G298" s="4" t="b">
        <v>0</v>
      </c>
      <c r="H298" s="1" t="b">
        <v>0</v>
      </c>
      <c r="I298" s="1" t="b">
        <v>0</v>
      </c>
      <c r="J298" s="1" t="s">
        <v>534</v>
      </c>
      <c r="K298" s="1" t="s">
        <v>566</v>
      </c>
      <c r="L298" s="1" t="s">
        <v>567</v>
      </c>
      <c r="M298" s="1" t="s">
        <v>537</v>
      </c>
      <c r="N298" s="1">
        <v>132.75</v>
      </c>
      <c r="O298" s="1">
        <v>132.75</v>
      </c>
      <c r="P298" s="1">
        <v>0.0</v>
      </c>
      <c r="Q298" s="1">
        <v>0.0</v>
      </c>
      <c r="R298" s="1">
        <v>28.0</v>
      </c>
      <c r="S298" s="1" t="s">
        <v>538</v>
      </c>
      <c r="T298" s="1" t="s">
        <v>539</v>
      </c>
      <c r="V298" s="4">
        <v>7334193.0</v>
      </c>
      <c r="W298" s="4"/>
      <c r="X298" s="4">
        <v>1.0</v>
      </c>
      <c r="Y298" s="1">
        <v>0.0</v>
      </c>
      <c r="Z298" s="1">
        <v>0.0</v>
      </c>
      <c r="AA298" s="1">
        <v>0.0</v>
      </c>
      <c r="AB298" s="1">
        <v>0.0</v>
      </c>
      <c r="AC298" s="1">
        <v>0.0</v>
      </c>
      <c r="AD298" s="1">
        <v>0.0</v>
      </c>
      <c r="AE298" s="1">
        <v>0.0</v>
      </c>
      <c r="AF298" s="1">
        <v>0.0</v>
      </c>
      <c r="AG298" s="1">
        <v>0.0</v>
      </c>
      <c r="AH298" s="1">
        <v>0.0</v>
      </c>
      <c r="AI298" s="1">
        <v>0.0</v>
      </c>
      <c r="AJ298" s="1">
        <v>0.0</v>
      </c>
      <c r="AK298" s="1">
        <v>0.0</v>
      </c>
      <c r="AL298" s="1">
        <v>0.0</v>
      </c>
      <c r="AM298" s="4">
        <v>0.0</v>
      </c>
      <c r="AN298" s="1">
        <v>0.0</v>
      </c>
      <c r="AO298" s="4">
        <v>0.0</v>
      </c>
      <c r="AP298" s="1">
        <f t="shared" si="1"/>
        <v>0</v>
      </c>
      <c r="AQ298" s="1" t="s">
        <v>557</v>
      </c>
      <c r="AR298" s="1" t="s">
        <v>542</v>
      </c>
      <c r="AT298" s="1" t="s">
        <v>995</v>
      </c>
      <c r="AU298" s="2">
        <v>46003.0</v>
      </c>
      <c r="AV298" s="2">
        <v>46024.0298611111</v>
      </c>
      <c r="AW298" s="1">
        <v>3.0</v>
      </c>
      <c r="AX298" s="1">
        <v>1765882.8</v>
      </c>
      <c r="AY298" s="1">
        <v>12794.0</v>
      </c>
      <c r="AZ298" s="1">
        <v>3.0</v>
      </c>
      <c r="BA298" s="1">
        <v>0.0</v>
      </c>
      <c r="BB298" s="1">
        <v>0.0</v>
      </c>
      <c r="BC298" s="2">
        <v>46003.0</v>
      </c>
      <c r="BD298" s="1">
        <v>49.0</v>
      </c>
      <c r="BE298" s="1" t="s">
        <v>550</v>
      </c>
      <c r="BF298" s="1">
        <v>2025.0</v>
      </c>
      <c r="BG298" s="1" t="s">
        <v>558</v>
      </c>
      <c r="BH298" s="7" t="str">
        <f>VLOOKUP(B298,CookieClicks!D:O,12,FALSE)</f>
        <v>https://www.method.me/</v>
      </c>
      <c r="BI298" s="8" t="str">
        <f>IFERROR(__xludf.DUMMYFUNCTION("VLOOKUP(REGEXREPLACE(BH298,""[?].*"",""""),ContentBuckets!A:C,2,FALSE)"),"Homepage")</f>
        <v>Homepage</v>
      </c>
      <c r="BJ298" s="8" t="str">
        <f>IFERROR(__xludf.DUMMYFUNCTION("VLOOKUP(REGEXREPLACE(BH298,""[?].*"",""""),ContentBuckets!A:C,3,FALSE)"),"Other page")</f>
        <v>Other page</v>
      </c>
    </row>
    <row r="299" ht="14.25" customHeight="1">
      <c r="A299" s="1">
        <v>153488.0</v>
      </c>
      <c r="B299" s="1" t="s">
        <v>996</v>
      </c>
      <c r="C299" s="2">
        <v>46003.5583333333</v>
      </c>
      <c r="D299" s="2"/>
      <c r="E299" s="2">
        <v>46008.5069444444</v>
      </c>
      <c r="F299" s="1" t="b">
        <v>1</v>
      </c>
      <c r="G299" s="4" t="b">
        <v>0</v>
      </c>
      <c r="H299" s="1" t="b">
        <v>0</v>
      </c>
      <c r="I299" s="1" t="b">
        <v>0</v>
      </c>
      <c r="J299" s="1" t="s">
        <v>534</v>
      </c>
      <c r="K299" s="1" t="s">
        <v>535</v>
      </c>
      <c r="L299" s="1" t="s">
        <v>536</v>
      </c>
      <c r="M299" s="1" t="s">
        <v>537</v>
      </c>
      <c r="N299" s="1">
        <v>327.75</v>
      </c>
      <c r="O299" s="1">
        <v>384.0</v>
      </c>
      <c r="P299" s="1">
        <v>0.0</v>
      </c>
      <c r="Q299" s="1">
        <v>0.0</v>
      </c>
      <c r="R299" s="1">
        <v>28.0</v>
      </c>
      <c r="S299" s="1" t="s">
        <v>538</v>
      </c>
      <c r="T299" s="1" t="s">
        <v>539</v>
      </c>
      <c r="V299" s="4">
        <v>7334665.0</v>
      </c>
      <c r="W299" s="4"/>
      <c r="X299" s="4">
        <v>1.0</v>
      </c>
      <c r="Y299" s="1">
        <v>0.0</v>
      </c>
      <c r="Z299" s="1">
        <v>0.0</v>
      </c>
      <c r="AA299" s="1">
        <v>0.0</v>
      </c>
      <c r="AB299" s="1">
        <v>0.0</v>
      </c>
      <c r="AC299" s="1">
        <v>0.0</v>
      </c>
      <c r="AD299" s="1">
        <v>0.0</v>
      </c>
      <c r="AE299" s="1">
        <v>0.0</v>
      </c>
      <c r="AF299" s="1">
        <v>0.0</v>
      </c>
      <c r="AG299" s="1">
        <v>0.0</v>
      </c>
      <c r="AH299" s="1">
        <v>0.0</v>
      </c>
      <c r="AI299" s="1">
        <v>0.0</v>
      </c>
      <c r="AJ299" s="1">
        <v>0.0</v>
      </c>
      <c r="AK299" s="1">
        <v>0.0</v>
      </c>
      <c r="AL299" s="1">
        <v>0.0</v>
      </c>
      <c r="AM299" s="4">
        <v>0.0</v>
      </c>
      <c r="AN299" s="1">
        <v>0.0</v>
      </c>
      <c r="AO299" s="4">
        <v>0.0</v>
      </c>
      <c r="AP299" s="1">
        <f t="shared" si="1"/>
        <v>0</v>
      </c>
      <c r="AQ299" s="1" t="s">
        <v>557</v>
      </c>
      <c r="AR299" s="1" t="s">
        <v>542</v>
      </c>
      <c r="AU299" s="2">
        <v>46003.0</v>
      </c>
      <c r="AV299" s="2">
        <v>46024.0152777778</v>
      </c>
      <c r="AW299" s="1">
        <v>0.0</v>
      </c>
      <c r="AX299" s="1">
        <v>7046988.84</v>
      </c>
      <c r="AY299" s="1">
        <v>1502.0</v>
      </c>
      <c r="AZ299" s="1">
        <v>7.0</v>
      </c>
      <c r="BA299" s="1">
        <v>0.0</v>
      </c>
      <c r="BB299" s="1">
        <v>13.0</v>
      </c>
      <c r="BC299" s="2">
        <v>46003.0</v>
      </c>
      <c r="BD299" s="1">
        <v>49.0</v>
      </c>
      <c r="BE299" s="1" t="s">
        <v>550</v>
      </c>
      <c r="BF299" s="1">
        <v>2025.0</v>
      </c>
      <c r="BG299" s="1" t="s">
        <v>558</v>
      </c>
      <c r="BH299" s="7" t="str">
        <f>VLOOKUP(B299,CookieClicks!D:O,12,FALSE)</f>
        <v>https://www.method.me/</v>
      </c>
      <c r="BI299" s="8" t="str">
        <f>IFERROR(__xludf.DUMMYFUNCTION("VLOOKUP(REGEXREPLACE(BH299,""[?].*"",""""),ContentBuckets!A:C,2,FALSE)"),"Homepage")</f>
        <v>Homepage</v>
      </c>
      <c r="BJ299" s="8" t="str">
        <f>IFERROR(__xludf.DUMMYFUNCTION("VLOOKUP(REGEXREPLACE(BH299,""[?].*"",""""),ContentBuckets!A:C,3,FALSE)"),"Other page")</f>
        <v>Other page</v>
      </c>
    </row>
    <row r="300" ht="14.25" customHeight="1">
      <c r="A300" s="1">
        <v>153489.0</v>
      </c>
      <c r="B300" s="1" t="s">
        <v>997</v>
      </c>
      <c r="C300" s="2">
        <v>46003.5638888889</v>
      </c>
      <c r="D300" s="2"/>
      <c r="E300" s="2"/>
      <c r="F300" s="1" t="b">
        <v>1</v>
      </c>
      <c r="G300" s="4" t="b">
        <v>0</v>
      </c>
      <c r="H300" s="1" t="b">
        <v>0</v>
      </c>
      <c r="I300" s="1" t="b">
        <v>0</v>
      </c>
      <c r="J300" s="1" t="s">
        <v>534</v>
      </c>
      <c r="K300" s="1" t="s">
        <v>535</v>
      </c>
      <c r="L300" s="1" t="s">
        <v>536</v>
      </c>
      <c r="M300" s="1" t="s">
        <v>537</v>
      </c>
      <c r="N300" s="1">
        <v>0.0</v>
      </c>
      <c r="O300" s="1">
        <v>54.75</v>
      </c>
      <c r="P300" s="1">
        <v>0.0</v>
      </c>
      <c r="Q300" s="1">
        <v>0.0</v>
      </c>
      <c r="R300" s="1">
        <v>28.0</v>
      </c>
      <c r="S300" s="1" t="s">
        <v>538</v>
      </c>
      <c r="T300" s="1" t="s">
        <v>539</v>
      </c>
      <c r="V300" s="4">
        <v>7094502.0</v>
      </c>
      <c r="W300" s="4"/>
      <c r="X300" s="4">
        <v>0.0</v>
      </c>
      <c r="Y300" s="1">
        <v>0.0</v>
      </c>
      <c r="Z300" s="1">
        <v>0.0</v>
      </c>
      <c r="AA300" s="1">
        <v>0.0</v>
      </c>
      <c r="AB300" s="1">
        <v>0.0</v>
      </c>
      <c r="AC300" s="1">
        <v>0.0</v>
      </c>
      <c r="AD300" s="1">
        <v>0.0</v>
      </c>
      <c r="AE300" s="1">
        <v>0.0</v>
      </c>
      <c r="AF300" s="1">
        <v>0.0</v>
      </c>
      <c r="AG300" s="1">
        <v>0.0</v>
      </c>
      <c r="AH300" s="1">
        <v>0.0</v>
      </c>
      <c r="AI300" s="1">
        <v>0.0</v>
      </c>
      <c r="AJ300" s="1">
        <v>0.0</v>
      </c>
      <c r="AK300" s="1">
        <v>0.0</v>
      </c>
      <c r="AL300" s="1">
        <v>0.0</v>
      </c>
      <c r="AM300" s="4">
        <v>0.0</v>
      </c>
      <c r="AN300" s="1">
        <v>0.0</v>
      </c>
      <c r="AO300" s="4">
        <v>0.0</v>
      </c>
      <c r="AP300" s="1">
        <f t="shared" si="1"/>
        <v>1</v>
      </c>
      <c r="AQ300" s="1" t="s">
        <v>557</v>
      </c>
      <c r="AR300" s="1" t="s">
        <v>560</v>
      </c>
      <c r="AT300" s="1" t="s">
        <v>998</v>
      </c>
      <c r="AU300" s="2">
        <v>46003.0</v>
      </c>
      <c r="AV300" s="2">
        <v>46024.0020833333</v>
      </c>
      <c r="AW300" s="1">
        <v>0.0</v>
      </c>
      <c r="AX300" s="1">
        <v>1239.84</v>
      </c>
      <c r="AY300" s="1">
        <v>4.0</v>
      </c>
      <c r="AZ300" s="1">
        <v>1.0</v>
      </c>
      <c r="BA300" s="1">
        <v>0.0</v>
      </c>
      <c r="BB300" s="1">
        <v>1.0</v>
      </c>
      <c r="BC300" s="2">
        <v>46003.0</v>
      </c>
      <c r="BD300" s="1">
        <v>49.0</v>
      </c>
      <c r="BE300" s="1" t="s">
        <v>550</v>
      </c>
      <c r="BF300" s="1">
        <v>2025.0</v>
      </c>
      <c r="BG300" s="1" t="s">
        <v>558</v>
      </c>
      <c r="BH300" s="7" t="str">
        <f>VLOOKUP(B300,CookieClicks!D:O,12,FALSE)</f>
        <v>https://signin.method.me/?_gl=1*badh72*_gcl_au*MTA0NzE3NjEzOS4xNzYyMjkzNjQw*_ga*MTI5NzkzMDU5Mi4xNzYyMjkzNjQw*_ga_L2HEZNW53E*czE3NjIyOTM2MzkkbzEkZzAkdDE3NjIyOTM2NDAkajU5JGwwJGgyNzUwMDUzMzc.&amp;_ga=2.244139781.1226969095.1762293640-1297930592.1762293640</v>
      </c>
      <c r="BI300" s="8" t="str">
        <f>IFERROR(__xludf.DUMMYFUNCTION("VLOOKUP(REGEXREPLACE(BH300,""[?].*"",""""),ContentBuckets!A:C,2,FALSE)"),"#N/A")</f>
        <v>#N/A</v>
      </c>
      <c r="BJ300" s="8" t="str">
        <f>IFERROR(__xludf.DUMMYFUNCTION("VLOOKUP(REGEXREPLACE(BH300,""[?].*"",""""),ContentBuckets!A:C,3,FALSE)"),"#N/A")</f>
        <v>#N/A</v>
      </c>
    </row>
    <row r="301" ht="14.25" customHeight="1">
      <c r="A301" s="1">
        <v>153490.0</v>
      </c>
      <c r="B301" s="1" t="s">
        <v>999</v>
      </c>
      <c r="C301" s="2">
        <v>46003.5680555556</v>
      </c>
      <c r="D301" s="2"/>
      <c r="E301" s="2"/>
      <c r="F301" s="1" t="b">
        <v>1</v>
      </c>
      <c r="G301" s="4" t="b">
        <v>0</v>
      </c>
      <c r="H301" s="1" t="b">
        <v>0</v>
      </c>
      <c r="I301" s="1" t="b">
        <v>0</v>
      </c>
      <c r="J301" s="1" t="s">
        <v>534</v>
      </c>
      <c r="K301" s="1" t="s">
        <v>535</v>
      </c>
      <c r="L301" s="1" t="s">
        <v>536</v>
      </c>
      <c r="M301" s="1" t="s">
        <v>537</v>
      </c>
      <c r="N301" s="1">
        <v>0.0</v>
      </c>
      <c r="O301" s="1">
        <v>63.75</v>
      </c>
      <c r="P301" s="1">
        <v>0.0</v>
      </c>
      <c r="Q301" s="1">
        <v>0.0</v>
      </c>
      <c r="R301" s="1">
        <v>28.0</v>
      </c>
      <c r="S301" s="1" t="s">
        <v>538</v>
      </c>
      <c r="T301" s="1" t="s">
        <v>539</v>
      </c>
      <c r="V301" s="4">
        <v>7334629.0</v>
      </c>
      <c r="W301" s="4"/>
      <c r="X301" s="4">
        <v>0.0</v>
      </c>
      <c r="Y301" s="1">
        <v>0.0</v>
      </c>
      <c r="Z301" s="1">
        <v>0.0</v>
      </c>
      <c r="AA301" s="1">
        <v>1.0</v>
      </c>
      <c r="AB301" s="1">
        <v>0.0</v>
      </c>
      <c r="AC301" s="1">
        <v>0.0</v>
      </c>
      <c r="AD301" s="1">
        <v>0.0</v>
      </c>
      <c r="AE301" s="1">
        <v>0.0</v>
      </c>
      <c r="AF301" s="1">
        <v>0.0</v>
      </c>
      <c r="AG301" s="1">
        <v>0.0</v>
      </c>
      <c r="AH301" s="1">
        <v>0.0</v>
      </c>
      <c r="AI301" s="1">
        <v>0.0</v>
      </c>
      <c r="AJ301" s="1">
        <v>0.0</v>
      </c>
      <c r="AK301" s="1">
        <v>0.0</v>
      </c>
      <c r="AL301" s="1">
        <v>0.0</v>
      </c>
      <c r="AM301" s="4">
        <v>0.0</v>
      </c>
      <c r="AN301" s="1">
        <v>0.0</v>
      </c>
      <c r="AO301" s="4">
        <v>0.0</v>
      </c>
      <c r="AP301" s="1">
        <f t="shared" si="1"/>
        <v>0</v>
      </c>
      <c r="AQ301" s="1" t="s">
        <v>557</v>
      </c>
      <c r="AR301" s="1" t="s">
        <v>560</v>
      </c>
      <c r="AU301" s="2">
        <v>46003.0</v>
      </c>
      <c r="AV301" s="2">
        <v>46024.0361111111</v>
      </c>
      <c r="AW301" s="1">
        <v>10.0</v>
      </c>
      <c r="AX301" s="1">
        <v>507245.64</v>
      </c>
      <c r="AY301" s="1">
        <v>1298.0</v>
      </c>
      <c r="AZ301" s="1">
        <v>1.0</v>
      </c>
      <c r="BA301" s="1">
        <v>0.0</v>
      </c>
      <c r="BB301" s="1">
        <v>2.0</v>
      </c>
      <c r="BC301" s="2">
        <v>46003.0</v>
      </c>
      <c r="BD301" s="1">
        <v>49.0</v>
      </c>
      <c r="BE301" s="1" t="s">
        <v>550</v>
      </c>
      <c r="BF301" s="1">
        <v>2025.0</v>
      </c>
      <c r="BG301" s="1" t="s">
        <v>558</v>
      </c>
      <c r="BH301" s="1" t="str">
        <f>VLOOKUP(B301,CookieClicks!D:O,12,FALSE)</f>
        <v>https://grow.method.me/crm-quickbooks/?trc=81&amp;trk=crm with quickbooks&amp;trs=USA-QB-G&amp;campaignid=1543381580&amp;adgroupid=61437797000&amp;adid=704678754673&amp;gad_source=1&amp;gad_campaignid=1543381580&amp;gbraid=0AAAAAD3ItnayciSsm9mOKlYQqr6bMw9fw&amp;gclid=CjwKCAiAl-_JBhBjEiwAn3rN7YpbIS-oxkGvbUwwTPOcPcEnanhbVQ-_7x6xqE2v8G36QwTHs9iJZxoCX0kQAvD_BwE</v>
      </c>
      <c r="BI301" s="8" t="str">
        <f>IFERROR(__xludf.DUMMYFUNCTION("VLOOKUP(REGEXREPLACE(BH301,""[?].*"",""""),ContentBuckets!A:C,2,FALSE)"),"#N/A")</f>
        <v>#N/A</v>
      </c>
      <c r="BJ301" s="8" t="str">
        <f>IFERROR(__xludf.DUMMYFUNCTION("VLOOKUP(REGEXREPLACE(BH301,""[?].*"",""""),ContentBuckets!A:C,3,FALSE)"),"#N/A")</f>
        <v>#N/A</v>
      </c>
    </row>
    <row r="302" ht="14.25" customHeight="1">
      <c r="A302" s="1">
        <v>153491.0</v>
      </c>
      <c r="B302" s="1" t="s">
        <v>1000</v>
      </c>
      <c r="C302" s="2">
        <v>46003.5888888889</v>
      </c>
      <c r="D302" s="2"/>
      <c r="E302" s="2"/>
      <c r="F302" s="1" t="b">
        <v>1</v>
      </c>
      <c r="G302" s="4" t="b">
        <v>0</v>
      </c>
      <c r="H302" s="1" t="b">
        <v>0</v>
      </c>
      <c r="I302" s="1" t="b">
        <v>0</v>
      </c>
      <c r="J302" s="1" t="s">
        <v>534</v>
      </c>
      <c r="K302" s="1" t="s">
        <v>535</v>
      </c>
      <c r="L302" s="1" t="s">
        <v>536</v>
      </c>
      <c r="M302" s="1" t="s">
        <v>537</v>
      </c>
      <c r="N302" s="1">
        <v>0.0</v>
      </c>
      <c r="O302" s="1">
        <v>63.75</v>
      </c>
      <c r="P302" s="1">
        <v>0.0</v>
      </c>
      <c r="Q302" s="1">
        <v>0.0</v>
      </c>
      <c r="R302" s="1">
        <v>28.0</v>
      </c>
      <c r="S302" s="1" t="s">
        <v>538</v>
      </c>
      <c r="T302" s="1" t="s">
        <v>539</v>
      </c>
      <c r="V302" s="4">
        <v>7334946.0</v>
      </c>
      <c r="W302" s="4"/>
      <c r="X302" s="4">
        <v>0.0</v>
      </c>
      <c r="Y302" s="1">
        <v>0.0</v>
      </c>
      <c r="Z302" s="1">
        <v>1.0</v>
      </c>
      <c r="AA302" s="1">
        <v>0.0</v>
      </c>
      <c r="AB302" s="1">
        <v>0.0</v>
      </c>
      <c r="AC302" s="1">
        <v>0.0</v>
      </c>
      <c r="AD302" s="1">
        <v>0.0</v>
      </c>
      <c r="AE302" s="1">
        <v>0.0</v>
      </c>
      <c r="AF302" s="1">
        <v>0.0</v>
      </c>
      <c r="AG302" s="1">
        <v>0.0</v>
      </c>
      <c r="AH302" s="1">
        <v>0.0</v>
      </c>
      <c r="AI302" s="1">
        <v>0.0</v>
      </c>
      <c r="AJ302" s="1">
        <v>0.0</v>
      </c>
      <c r="AK302" s="1">
        <v>0.0</v>
      </c>
      <c r="AL302" s="1">
        <v>0.0</v>
      </c>
      <c r="AM302" s="4">
        <v>0.0</v>
      </c>
      <c r="AN302" s="1">
        <v>0.0</v>
      </c>
      <c r="AO302" s="4">
        <v>0.0</v>
      </c>
      <c r="AP302" s="1">
        <f t="shared" si="1"/>
        <v>0</v>
      </c>
      <c r="AQ302" s="1" t="s">
        <v>557</v>
      </c>
      <c r="AR302" s="1" t="s">
        <v>560</v>
      </c>
      <c r="AU302" s="2">
        <v>46003.0</v>
      </c>
      <c r="AV302" s="2">
        <v>46023.9819444444</v>
      </c>
      <c r="AW302" s="1">
        <v>2.0</v>
      </c>
      <c r="AX302" s="1">
        <v>440460.0</v>
      </c>
      <c r="AY302" s="1">
        <v>18.0</v>
      </c>
      <c r="AZ302" s="1">
        <v>1.0</v>
      </c>
      <c r="BA302" s="1">
        <v>0.0</v>
      </c>
      <c r="BB302" s="1">
        <v>0.0</v>
      </c>
      <c r="BC302" s="2">
        <v>46003.0</v>
      </c>
      <c r="BD302" s="1">
        <v>49.0</v>
      </c>
      <c r="BE302" s="1" t="s">
        <v>550</v>
      </c>
      <c r="BF302" s="1">
        <v>2025.0</v>
      </c>
      <c r="BG302" s="1" t="s">
        <v>558</v>
      </c>
      <c r="BH302" s="7" t="str">
        <f>VLOOKUP(B302,CookieClicks!D:O,12,FALSE)</f>
        <v>https://signup.method.me/QBOAppstoreSignup?offering=methodcrm</v>
      </c>
      <c r="BI302" s="8" t="str">
        <f>IFERROR(__xludf.DUMMYFUNCTION("VLOOKUP(REGEXREPLACE(BH302,""[?].*"",""""),ContentBuckets!A:C,2,FALSE)"),"#N/A")</f>
        <v>#N/A</v>
      </c>
      <c r="BJ302" s="8" t="str">
        <f>IFERROR(__xludf.DUMMYFUNCTION("VLOOKUP(REGEXREPLACE(BH302,""[?].*"",""""),ContentBuckets!A:C,3,FALSE)"),"#N/A")</f>
        <v>#N/A</v>
      </c>
    </row>
    <row r="303" ht="14.25" customHeight="1">
      <c r="A303" s="1">
        <v>153492.0</v>
      </c>
      <c r="B303" s="1" t="s">
        <v>1001</v>
      </c>
      <c r="C303" s="2">
        <v>46003.5972222222</v>
      </c>
      <c r="D303" s="2"/>
      <c r="E303" s="2"/>
      <c r="F303" s="1" t="b">
        <v>1</v>
      </c>
      <c r="G303" s="4" t="b">
        <v>0</v>
      </c>
      <c r="H303" s="1" t="b">
        <v>0</v>
      </c>
      <c r="I303" s="1" t="b">
        <v>0</v>
      </c>
      <c r="J303" s="1" t="s">
        <v>534</v>
      </c>
      <c r="K303" s="1" t="s">
        <v>535</v>
      </c>
      <c r="L303" s="1" t="s">
        <v>536</v>
      </c>
      <c r="M303" s="1" t="s">
        <v>537</v>
      </c>
      <c r="N303" s="1">
        <v>0.0</v>
      </c>
      <c r="O303" s="1">
        <v>44.25</v>
      </c>
      <c r="P303" s="1">
        <v>0.0</v>
      </c>
      <c r="Q303" s="1">
        <v>0.0</v>
      </c>
      <c r="R303" s="1">
        <v>28.0</v>
      </c>
      <c r="S303" s="1" t="s">
        <v>538</v>
      </c>
      <c r="T303" s="1" t="s">
        <v>539</v>
      </c>
      <c r="V303" s="4">
        <v>7335014.0</v>
      </c>
      <c r="W303" s="4"/>
      <c r="X303" s="4">
        <v>0.0</v>
      </c>
      <c r="Y303" s="1">
        <v>0.0</v>
      </c>
      <c r="Z303" s="1">
        <v>0.0</v>
      </c>
      <c r="AA303" s="1">
        <v>0.0</v>
      </c>
      <c r="AB303" s="1">
        <v>0.0</v>
      </c>
      <c r="AC303" s="1">
        <v>0.0</v>
      </c>
      <c r="AD303" s="1">
        <v>0.0</v>
      </c>
      <c r="AE303" s="1">
        <v>0.0</v>
      </c>
      <c r="AF303" s="1">
        <v>0.0</v>
      </c>
      <c r="AG303" s="1">
        <v>0.0</v>
      </c>
      <c r="AH303" s="1">
        <v>0.0</v>
      </c>
      <c r="AI303" s="1">
        <v>0.0</v>
      </c>
      <c r="AJ303" s="1">
        <v>0.0</v>
      </c>
      <c r="AK303" s="1">
        <v>0.0</v>
      </c>
      <c r="AL303" s="1">
        <v>0.0</v>
      </c>
      <c r="AM303" s="4">
        <v>0.0</v>
      </c>
      <c r="AN303" s="1">
        <v>0.0</v>
      </c>
      <c r="AO303" s="4">
        <v>0.0</v>
      </c>
      <c r="AP303" s="1">
        <f t="shared" si="1"/>
        <v>1</v>
      </c>
      <c r="AQ303" s="1" t="s">
        <v>557</v>
      </c>
      <c r="AR303" s="1" t="s">
        <v>542</v>
      </c>
      <c r="AT303" s="1" t="s">
        <v>1002</v>
      </c>
      <c r="AU303" s="2">
        <v>46003.0</v>
      </c>
      <c r="AV303" s="2">
        <v>46024.0020833333</v>
      </c>
      <c r="AW303" s="1">
        <v>0.0</v>
      </c>
      <c r="AX303" s="1">
        <v>168420.0</v>
      </c>
      <c r="AY303" s="1">
        <v>277.0</v>
      </c>
      <c r="AZ303" s="1">
        <v>1.0</v>
      </c>
      <c r="BA303" s="1">
        <v>0.0</v>
      </c>
      <c r="BB303" s="1">
        <v>0.0</v>
      </c>
      <c r="BC303" s="2">
        <v>46003.0</v>
      </c>
      <c r="BD303" s="1">
        <v>49.0</v>
      </c>
      <c r="BE303" s="1" t="s">
        <v>550</v>
      </c>
      <c r="BF303" s="1">
        <v>2025.0</v>
      </c>
      <c r="BG303" s="1" t="s">
        <v>1003</v>
      </c>
      <c r="BH303" s="7" t="str">
        <f>VLOOKUP(B303,CookieClicks!D:O,12,FALSE)</f>
        <v>https://www.method.me/crm-quickbooks/pricing/</v>
      </c>
      <c r="BI303" s="8" t="str">
        <f>IFERROR(__xludf.DUMMYFUNCTION("VLOOKUP(REGEXREPLACE(BH303,""[?].*"",""""),ContentBuckets!A:C,2,FALSE)"),"/crm-quickbooks/")</f>
        <v>/crm-quickbooks/</v>
      </c>
      <c r="BJ303" s="8" t="str">
        <f>IFERROR(__xludf.DUMMYFUNCTION("VLOOKUP(REGEXREPLACE(BH303,""[?].*"",""""),ContentBuckets!A:C,3,FALSE)"),"Other page")</f>
        <v>Other page</v>
      </c>
    </row>
    <row r="304" ht="14.25" customHeight="1">
      <c r="A304" s="1">
        <v>153494.0</v>
      </c>
      <c r="B304" s="1" t="s">
        <v>1004</v>
      </c>
      <c r="C304" s="2">
        <v>46003.6020833333</v>
      </c>
      <c r="D304" s="2">
        <v>46020.3743055556</v>
      </c>
      <c r="E304" s="2"/>
      <c r="F304" s="1" t="b">
        <v>0</v>
      </c>
      <c r="G304" s="4" t="b">
        <v>0</v>
      </c>
      <c r="H304" s="1" t="b">
        <v>0</v>
      </c>
      <c r="I304" s="1" t="b">
        <v>0</v>
      </c>
      <c r="J304" s="1" t="s">
        <v>534</v>
      </c>
      <c r="K304" s="1" t="s">
        <v>535</v>
      </c>
      <c r="L304" s="1" t="s">
        <v>536</v>
      </c>
      <c r="M304" s="1" t="s">
        <v>537</v>
      </c>
      <c r="N304" s="1">
        <v>0.0</v>
      </c>
      <c r="O304" s="1">
        <v>44.25</v>
      </c>
      <c r="P304" s="1">
        <v>0.0</v>
      </c>
      <c r="Q304" s="1">
        <v>0.0</v>
      </c>
      <c r="R304" s="1">
        <v>28.0</v>
      </c>
      <c r="S304" s="1" t="s">
        <v>538</v>
      </c>
      <c r="T304" s="1" t="s">
        <v>539</v>
      </c>
      <c r="V304" s="4">
        <v>7335079.0</v>
      </c>
      <c r="W304" s="4"/>
      <c r="X304" s="4">
        <v>0.0</v>
      </c>
      <c r="Y304" s="1">
        <v>0.0</v>
      </c>
      <c r="Z304" s="1">
        <v>0.0</v>
      </c>
      <c r="AA304" s="1">
        <v>0.0</v>
      </c>
      <c r="AB304" s="1">
        <v>0.0</v>
      </c>
      <c r="AC304" s="1">
        <v>0.0</v>
      </c>
      <c r="AD304" s="1">
        <v>0.0</v>
      </c>
      <c r="AE304" s="1">
        <v>0.0</v>
      </c>
      <c r="AF304" s="1">
        <v>0.0</v>
      </c>
      <c r="AG304" s="1">
        <v>0.0</v>
      </c>
      <c r="AH304" s="1">
        <v>0.0</v>
      </c>
      <c r="AI304" s="1">
        <v>0.0</v>
      </c>
      <c r="AJ304" s="1">
        <v>0.0</v>
      </c>
      <c r="AK304" s="1">
        <v>0.0</v>
      </c>
      <c r="AL304" s="1">
        <v>0.0</v>
      </c>
      <c r="AM304" s="4">
        <v>0.0</v>
      </c>
      <c r="AN304" s="1">
        <v>0.0</v>
      </c>
      <c r="AO304" s="4">
        <v>0.0</v>
      </c>
      <c r="AP304" s="1">
        <f t="shared" si="1"/>
        <v>1</v>
      </c>
      <c r="AQ304" s="1" t="s">
        <v>557</v>
      </c>
      <c r="AR304" s="1" t="s">
        <v>578</v>
      </c>
      <c r="AU304" s="2">
        <v>46003.0</v>
      </c>
      <c r="AV304" s="2">
        <v>46020.0333333333</v>
      </c>
      <c r="AW304" s="1">
        <v>1.0</v>
      </c>
      <c r="AX304" s="1">
        <v>361871.04</v>
      </c>
      <c r="AY304" s="1">
        <v>180.0</v>
      </c>
      <c r="AZ304" s="1">
        <v>1.0</v>
      </c>
      <c r="BA304" s="1">
        <v>0.0</v>
      </c>
      <c r="BB304" s="1">
        <v>0.0</v>
      </c>
      <c r="BC304" s="2">
        <v>46003.0</v>
      </c>
      <c r="BD304" s="1">
        <v>49.0</v>
      </c>
      <c r="BE304" s="1" t="s">
        <v>550</v>
      </c>
      <c r="BF304" s="1">
        <v>2025.0</v>
      </c>
      <c r="BG304" s="1" t="s">
        <v>558</v>
      </c>
      <c r="BH304" s="7" t="str">
        <f>VLOOKUP(B304,CookieClicks!D:O,12,FALSE)</f>
        <v>http://signup.method.me/methodcrm/?_gl=1*1l1lywd*_gcl_au*MTY1Nzc1ODI3OC4xNzY1NTY3NjAw*_ga*Nzg1OTA3NzEyLjE3NjU1Njc2MDA.*_ga_L2HEZNW53E*czE3NjU1Njc2MDAkbzEkZzAkdDE3NjU1Njc2MDAkajYwJGwwJGgxOTM0OTEwMzEy&amp;_ga=2.47438887.1879154521.1765567600-785907712.1765567600</v>
      </c>
      <c r="BI304" s="8" t="str">
        <f>IFERROR(__xludf.DUMMYFUNCTION("VLOOKUP(REGEXREPLACE(BH304,""[?].*"",""""),ContentBuckets!A:C,2,FALSE)"),"#N/A")</f>
        <v>#N/A</v>
      </c>
      <c r="BJ304" s="8" t="str">
        <f>IFERROR(__xludf.DUMMYFUNCTION("VLOOKUP(REGEXREPLACE(BH304,""[?].*"",""""),ContentBuckets!A:C,3,FALSE)"),"#N/A")</f>
        <v>#N/A</v>
      </c>
    </row>
    <row r="305" ht="14.25" customHeight="1">
      <c r="A305" s="1">
        <v>153496.0</v>
      </c>
      <c r="B305" s="1" t="s">
        <v>1005</v>
      </c>
      <c r="C305" s="2">
        <v>46003.6493055556</v>
      </c>
      <c r="D305" s="2"/>
      <c r="E305" s="2"/>
      <c r="F305" s="1" t="b">
        <v>1</v>
      </c>
      <c r="G305" s="4" t="b">
        <v>0</v>
      </c>
      <c r="H305" s="1" t="b">
        <v>0</v>
      </c>
      <c r="I305" s="1" t="b">
        <v>0</v>
      </c>
      <c r="J305" s="1" t="s">
        <v>534</v>
      </c>
      <c r="K305" s="1" t="s">
        <v>535</v>
      </c>
      <c r="L305" s="1" t="s">
        <v>536</v>
      </c>
      <c r="M305" s="1" t="s">
        <v>537</v>
      </c>
      <c r="N305" s="1">
        <v>0.0</v>
      </c>
      <c r="O305" s="1">
        <v>63.75</v>
      </c>
      <c r="P305" s="1">
        <v>0.0</v>
      </c>
      <c r="Q305" s="1">
        <v>0.0</v>
      </c>
      <c r="R305" s="1">
        <v>28.0</v>
      </c>
      <c r="S305" s="1" t="s">
        <v>538</v>
      </c>
      <c r="T305" s="1" t="s">
        <v>539</v>
      </c>
      <c r="V305" s="4">
        <v>7335476.0</v>
      </c>
      <c r="W305" s="4"/>
      <c r="X305" s="4">
        <v>0.0</v>
      </c>
      <c r="Y305" s="1">
        <v>0.0</v>
      </c>
      <c r="Z305" s="1">
        <v>0.0</v>
      </c>
      <c r="AA305" s="1">
        <v>0.0</v>
      </c>
      <c r="AB305" s="1">
        <v>0.0</v>
      </c>
      <c r="AC305" s="1">
        <v>0.0</v>
      </c>
      <c r="AD305" s="1">
        <v>0.0</v>
      </c>
      <c r="AE305" s="1">
        <v>0.0</v>
      </c>
      <c r="AF305" s="1">
        <v>0.0</v>
      </c>
      <c r="AG305" s="1">
        <v>0.0</v>
      </c>
      <c r="AH305" s="1">
        <v>0.0</v>
      </c>
      <c r="AI305" s="1">
        <v>0.0</v>
      </c>
      <c r="AJ305" s="1">
        <v>0.0</v>
      </c>
      <c r="AK305" s="1">
        <v>0.0</v>
      </c>
      <c r="AL305" s="1">
        <v>0.0</v>
      </c>
      <c r="AM305" s="4">
        <v>0.0</v>
      </c>
      <c r="AN305" s="1">
        <v>0.0</v>
      </c>
      <c r="AO305" s="4">
        <v>0.0</v>
      </c>
      <c r="AP305" s="1">
        <f t="shared" si="1"/>
        <v>1</v>
      </c>
      <c r="AQ305" s="1" t="s">
        <v>557</v>
      </c>
      <c r="AR305" s="1" t="s">
        <v>681</v>
      </c>
      <c r="AT305" s="1" t="s">
        <v>1006</v>
      </c>
      <c r="AU305" s="2">
        <v>46003.0</v>
      </c>
      <c r="AV305" s="2">
        <v>46024.0090277778</v>
      </c>
      <c r="AW305" s="1">
        <v>0.0</v>
      </c>
      <c r="AX305" s="1">
        <v>36673.08</v>
      </c>
      <c r="AY305" s="1">
        <v>15.0</v>
      </c>
      <c r="AZ305" s="1">
        <v>1.0</v>
      </c>
      <c r="BA305" s="1">
        <v>0.0</v>
      </c>
      <c r="BB305" s="1">
        <v>0.0</v>
      </c>
      <c r="BC305" s="2">
        <v>46003.0</v>
      </c>
      <c r="BD305" s="1">
        <v>49.0</v>
      </c>
      <c r="BE305" s="1" t="s">
        <v>550</v>
      </c>
      <c r="BF305" s="1">
        <v>2025.0</v>
      </c>
      <c r="BG305" s="1" t="s">
        <v>558</v>
      </c>
      <c r="BH305" s="7" t="str">
        <f>VLOOKUP(B305,CookieClicks!D:O,12,FALSE)</f>
        <v>https://www.method.me/</v>
      </c>
      <c r="BI305" s="8" t="str">
        <f>IFERROR(__xludf.DUMMYFUNCTION("VLOOKUP(REGEXREPLACE(BH305,""[?].*"",""""),ContentBuckets!A:C,2,FALSE)"),"Homepage")</f>
        <v>Homepage</v>
      </c>
      <c r="BJ305" s="8" t="str">
        <f>IFERROR(__xludf.DUMMYFUNCTION("VLOOKUP(REGEXREPLACE(BH305,""[?].*"",""""),ContentBuckets!A:C,3,FALSE)"),"Other page")</f>
        <v>Other page</v>
      </c>
    </row>
    <row r="306" ht="14.25" customHeight="1">
      <c r="A306" s="1">
        <v>153497.0</v>
      </c>
      <c r="B306" s="1" t="s">
        <v>1007</v>
      </c>
      <c r="C306" s="2">
        <v>46003.6583333333</v>
      </c>
      <c r="D306" s="2"/>
      <c r="E306" s="2"/>
      <c r="F306" s="1" t="b">
        <v>1</v>
      </c>
      <c r="G306" s="4" t="b">
        <v>0</v>
      </c>
      <c r="H306" s="1" t="b">
        <v>0</v>
      </c>
      <c r="I306" s="1" t="b">
        <v>0</v>
      </c>
      <c r="J306" s="1" t="s">
        <v>534</v>
      </c>
      <c r="K306" s="1" t="s">
        <v>535</v>
      </c>
      <c r="L306" s="1" t="s">
        <v>536</v>
      </c>
      <c r="M306" s="1" t="s">
        <v>537</v>
      </c>
      <c r="N306" s="1">
        <v>0.0</v>
      </c>
      <c r="O306" s="1">
        <v>54.75</v>
      </c>
      <c r="P306" s="1">
        <v>0.0</v>
      </c>
      <c r="Q306" s="1">
        <v>0.0</v>
      </c>
      <c r="R306" s="1">
        <v>28.0</v>
      </c>
      <c r="S306" s="1" t="s">
        <v>538</v>
      </c>
      <c r="T306" s="1" t="s">
        <v>539</v>
      </c>
      <c r="V306" s="4">
        <v>6798468.0</v>
      </c>
      <c r="W306" s="4" t="s">
        <v>540</v>
      </c>
      <c r="X306" s="4">
        <v>0.0</v>
      </c>
      <c r="Y306" s="1">
        <v>0.4</v>
      </c>
      <c r="Z306" s="1">
        <v>0.0</v>
      </c>
      <c r="AA306" s="1">
        <v>0.6001</v>
      </c>
      <c r="AB306" s="1">
        <v>0.0</v>
      </c>
      <c r="AC306" s="1">
        <v>0.0</v>
      </c>
      <c r="AD306" s="1">
        <v>0.0</v>
      </c>
      <c r="AE306" s="1">
        <v>0.0</v>
      </c>
      <c r="AF306" s="1">
        <v>0.0</v>
      </c>
      <c r="AG306" s="1">
        <v>0.0</v>
      </c>
      <c r="AH306" s="1">
        <v>0.0</v>
      </c>
      <c r="AI306" s="1">
        <v>0.0</v>
      </c>
      <c r="AJ306" s="1">
        <v>0.0</v>
      </c>
      <c r="AK306" s="1">
        <v>0.0</v>
      </c>
      <c r="AL306" s="1">
        <v>0.0</v>
      </c>
      <c r="AM306" s="4">
        <v>0.0</v>
      </c>
      <c r="AN306" s="1">
        <v>0.0</v>
      </c>
      <c r="AO306" s="4">
        <v>0.0</v>
      </c>
      <c r="AP306" s="1">
        <f t="shared" si="1"/>
        <v>-0.0001</v>
      </c>
      <c r="AQ306" s="1" t="s">
        <v>557</v>
      </c>
      <c r="AR306" s="1" t="s">
        <v>560</v>
      </c>
      <c r="AT306" s="1" t="s">
        <v>1008</v>
      </c>
      <c r="AU306" s="2">
        <v>46003.0</v>
      </c>
      <c r="AV306" s="2">
        <v>46023.9993055556</v>
      </c>
      <c r="AW306" s="1">
        <v>0.0</v>
      </c>
      <c r="AX306" s="1">
        <v>804864.6</v>
      </c>
      <c r="AY306" s="1">
        <v>178.0</v>
      </c>
      <c r="AZ306" s="1">
        <v>1.0</v>
      </c>
      <c r="BA306" s="1">
        <v>0.0</v>
      </c>
      <c r="BB306" s="1">
        <v>0.0</v>
      </c>
      <c r="BC306" s="2">
        <v>46003.0</v>
      </c>
      <c r="BD306" s="1">
        <v>49.0</v>
      </c>
      <c r="BE306" s="1" t="s">
        <v>550</v>
      </c>
      <c r="BF306" s="1">
        <v>2025.0</v>
      </c>
      <c r="BG306" s="1" t="s">
        <v>558</v>
      </c>
      <c r="BH306" s="7" t="str">
        <f>VLOOKUP(B306,CookieClicks!D:O,12,FALSE)</f>
        <v>https://www.method.me/contact-us/?trc=180&amp;trk=contact-us&amp;trs=gmb-profile&amp;utm_source=seo&amp;utm_medium=google&amp;utm_campaign=my-business-profile</v>
      </c>
      <c r="BI306" s="8" t="str">
        <f>IFERROR(__xludf.DUMMYFUNCTION("VLOOKUP(REGEXREPLACE(BH306,""[?].*"",""""),ContentBuckets!A:C,2,FALSE)"),"Other page")</f>
        <v>Other page</v>
      </c>
      <c r="BJ306" s="8" t="str">
        <f>IFERROR(__xludf.DUMMYFUNCTION("VLOOKUP(REGEXREPLACE(BH306,""[?].*"",""""),ContentBuckets!A:C,3,FALSE)"),"Other page")</f>
        <v>Other page</v>
      </c>
    </row>
    <row r="307" ht="14.25" customHeight="1">
      <c r="A307" s="1">
        <v>153499.0</v>
      </c>
      <c r="B307" s="1" t="s">
        <v>1009</v>
      </c>
      <c r="C307" s="2">
        <v>46003.6916666667</v>
      </c>
      <c r="D307" s="2">
        <v>46013.6618055556</v>
      </c>
      <c r="E307" s="2"/>
      <c r="F307" s="1" t="b">
        <v>0</v>
      </c>
      <c r="G307" s="4" t="b">
        <v>0</v>
      </c>
      <c r="H307" s="1" t="b">
        <v>0</v>
      </c>
      <c r="I307" s="1" t="b">
        <v>0</v>
      </c>
      <c r="J307" s="1" t="s">
        <v>534</v>
      </c>
      <c r="K307" s="1" t="s">
        <v>535</v>
      </c>
      <c r="L307" s="1" t="s">
        <v>536</v>
      </c>
      <c r="M307" s="1" t="s">
        <v>537</v>
      </c>
      <c r="N307" s="1">
        <v>0.0</v>
      </c>
      <c r="O307" s="1">
        <v>53.25</v>
      </c>
      <c r="P307" s="1">
        <v>0.0</v>
      </c>
      <c r="Q307" s="1">
        <v>0.0</v>
      </c>
      <c r="R307" s="1">
        <v>28.0</v>
      </c>
      <c r="S307" s="1" t="s">
        <v>538</v>
      </c>
      <c r="T307" s="1" t="s">
        <v>539</v>
      </c>
      <c r="V307" s="4">
        <v>7335776.0</v>
      </c>
      <c r="W307" s="4" t="s">
        <v>540</v>
      </c>
      <c r="X307" s="4">
        <v>0.0</v>
      </c>
      <c r="Y307" s="1">
        <v>1.0</v>
      </c>
      <c r="Z307" s="1">
        <v>0.0</v>
      </c>
      <c r="AA307" s="1">
        <v>0.0</v>
      </c>
      <c r="AB307" s="1">
        <v>0.0</v>
      </c>
      <c r="AC307" s="1">
        <v>0.0</v>
      </c>
      <c r="AD307" s="1">
        <v>0.0</v>
      </c>
      <c r="AE307" s="1">
        <v>0.0</v>
      </c>
      <c r="AF307" s="1">
        <v>0.0</v>
      </c>
      <c r="AG307" s="1">
        <v>0.0</v>
      </c>
      <c r="AH307" s="1">
        <v>0.0</v>
      </c>
      <c r="AI307" s="1">
        <v>0.0</v>
      </c>
      <c r="AJ307" s="1">
        <v>0.0</v>
      </c>
      <c r="AK307" s="1">
        <v>0.0</v>
      </c>
      <c r="AL307" s="1">
        <v>0.0</v>
      </c>
      <c r="AM307" s="4">
        <v>0.0</v>
      </c>
      <c r="AN307" s="1">
        <v>0.0</v>
      </c>
      <c r="AO307" s="4">
        <v>0.0</v>
      </c>
      <c r="AP307" s="1">
        <f t="shared" si="1"/>
        <v>0</v>
      </c>
      <c r="AR307" s="1" t="s">
        <v>578</v>
      </c>
      <c r="AU307" s="2"/>
      <c r="AV307" s="2">
        <v>46012.9951388889</v>
      </c>
      <c r="AW307" s="1">
        <v>0.0</v>
      </c>
      <c r="AX307" s="1">
        <v>0.0</v>
      </c>
      <c r="AY307" s="1">
        <v>0.0</v>
      </c>
      <c r="AZ307" s="1">
        <v>1.0</v>
      </c>
      <c r="BA307" s="1">
        <v>0.0</v>
      </c>
      <c r="BB307" s="1">
        <v>0.0</v>
      </c>
      <c r="BC307" s="2">
        <v>46003.0</v>
      </c>
      <c r="BD307" s="1">
        <v>49.0</v>
      </c>
      <c r="BE307" s="1" t="s">
        <v>550</v>
      </c>
      <c r="BF307" s="1">
        <v>2025.0</v>
      </c>
      <c r="BG307" s="1" t="s">
        <v>558</v>
      </c>
      <c r="BH307" s="7" t="str">
        <f>VLOOKUP(B307,CookieClicks!D:O,12,FALSE)</f>
        <v>https://www.method.me/crm-quickbooks/pricing/field-service/</v>
      </c>
      <c r="BI307" s="8" t="str">
        <f>IFERROR(__xludf.DUMMYFUNCTION("VLOOKUP(REGEXREPLACE(BH307,""[?].*"",""""),ContentBuckets!A:C,2,FALSE)"),"/crm-quickbooks/")</f>
        <v>/crm-quickbooks/</v>
      </c>
      <c r="BJ307" s="8" t="str">
        <f>IFERROR(__xludf.DUMMYFUNCTION("VLOOKUP(REGEXREPLACE(BH307,""[?].*"",""""),ContentBuckets!A:C,3,FALSE)"),"Other page")</f>
        <v>Other page</v>
      </c>
    </row>
    <row r="308" ht="14.25" customHeight="1">
      <c r="A308" s="1">
        <v>153500.0</v>
      </c>
      <c r="B308" s="1" t="s">
        <v>1010</v>
      </c>
      <c r="C308" s="2">
        <v>46003.7097222222</v>
      </c>
      <c r="D308" s="2">
        <v>46013.5013888889</v>
      </c>
      <c r="E308" s="2"/>
      <c r="F308" s="1" t="b">
        <v>0</v>
      </c>
      <c r="G308" s="4" t="b">
        <v>0</v>
      </c>
      <c r="H308" s="1" t="b">
        <v>0</v>
      </c>
      <c r="I308" s="1" t="b">
        <v>0</v>
      </c>
      <c r="J308" s="1" t="s">
        <v>534</v>
      </c>
      <c r="K308" s="1" t="s">
        <v>535</v>
      </c>
      <c r="L308" s="1" t="s">
        <v>536</v>
      </c>
      <c r="M308" s="1" t="s">
        <v>537</v>
      </c>
      <c r="N308" s="1">
        <v>0.0</v>
      </c>
      <c r="O308" s="1">
        <v>54.75</v>
      </c>
      <c r="P308" s="1">
        <v>0.0</v>
      </c>
      <c r="Q308" s="1">
        <v>0.0</v>
      </c>
      <c r="R308" s="1">
        <v>28.0</v>
      </c>
      <c r="S308" s="1" t="s">
        <v>538</v>
      </c>
      <c r="T308" s="1" t="s">
        <v>539</v>
      </c>
      <c r="V308" s="4">
        <v>7316922.0</v>
      </c>
      <c r="W308" s="4" t="s">
        <v>831</v>
      </c>
      <c r="X308" s="4">
        <v>0.0</v>
      </c>
      <c r="Y308" s="1">
        <v>1.0</v>
      </c>
      <c r="Z308" s="1">
        <v>0.0</v>
      </c>
      <c r="AA308" s="1">
        <v>0.0</v>
      </c>
      <c r="AB308" s="1">
        <v>0.0</v>
      </c>
      <c r="AC308" s="1">
        <v>0.0</v>
      </c>
      <c r="AD308" s="1">
        <v>0.0</v>
      </c>
      <c r="AE308" s="1">
        <v>0.0</v>
      </c>
      <c r="AF308" s="1">
        <v>0.0</v>
      </c>
      <c r="AG308" s="1">
        <v>0.0</v>
      </c>
      <c r="AH308" s="1">
        <v>0.0</v>
      </c>
      <c r="AI308" s="1">
        <v>0.0</v>
      </c>
      <c r="AJ308" s="1">
        <v>0.0</v>
      </c>
      <c r="AK308" s="1">
        <v>0.0</v>
      </c>
      <c r="AL308" s="1">
        <v>0.0</v>
      </c>
      <c r="AM308" s="4">
        <v>0.0</v>
      </c>
      <c r="AN308" s="1">
        <v>0.0</v>
      </c>
      <c r="AO308" s="4">
        <v>0.0</v>
      </c>
      <c r="AP308" s="1">
        <f t="shared" si="1"/>
        <v>0</v>
      </c>
      <c r="AQ308" s="1" t="s">
        <v>557</v>
      </c>
      <c r="AR308" s="1" t="s">
        <v>571</v>
      </c>
      <c r="AT308" s="1" t="s">
        <v>1011</v>
      </c>
      <c r="AU308" s="2">
        <v>46003.0</v>
      </c>
      <c r="AV308" s="2">
        <v>46013.0118055556</v>
      </c>
      <c r="AW308" s="1">
        <v>0.0</v>
      </c>
      <c r="AX308" s="1">
        <v>0.0</v>
      </c>
      <c r="AY308" s="1">
        <v>24.0</v>
      </c>
      <c r="AZ308" s="1">
        <v>1.0</v>
      </c>
      <c r="BA308" s="1">
        <v>0.0</v>
      </c>
      <c r="BB308" s="1">
        <v>0.0</v>
      </c>
      <c r="BC308" s="2">
        <v>46003.0</v>
      </c>
      <c r="BD308" s="1">
        <v>49.0</v>
      </c>
      <c r="BE308" s="1" t="s">
        <v>550</v>
      </c>
      <c r="BF308" s="1">
        <v>2025.0</v>
      </c>
      <c r="BG308" s="1" t="s">
        <v>558</v>
      </c>
      <c r="BH308" s="7" t="str">
        <f>VLOOKUP(B308,CookieClicks!D:O,12,FALSE)</f>
        <v>https://www.method.me/</v>
      </c>
      <c r="BI308" s="8" t="str">
        <f>IFERROR(__xludf.DUMMYFUNCTION("VLOOKUP(REGEXREPLACE(BH308,""[?].*"",""""),ContentBuckets!A:C,2,FALSE)"),"Homepage")</f>
        <v>Homepage</v>
      </c>
      <c r="BJ308" s="8" t="str">
        <f>IFERROR(__xludf.DUMMYFUNCTION("VLOOKUP(REGEXREPLACE(BH308,""[?].*"",""""),ContentBuckets!A:C,3,FALSE)"),"Other page")</f>
        <v>Other page</v>
      </c>
    </row>
    <row r="309" ht="14.25" customHeight="1">
      <c r="A309" s="1">
        <v>153501.0</v>
      </c>
      <c r="B309" s="1" t="s">
        <v>1012</v>
      </c>
      <c r="C309" s="2">
        <v>46003.7118055556</v>
      </c>
      <c r="D309" s="2"/>
      <c r="E309" s="2">
        <v>46013.6666666667</v>
      </c>
      <c r="F309" s="1" t="b">
        <v>1</v>
      </c>
      <c r="G309" s="4" t="b">
        <v>0</v>
      </c>
      <c r="H309" s="1" t="b">
        <v>0</v>
      </c>
      <c r="I309" s="1" t="b">
        <v>0</v>
      </c>
      <c r="J309" s="1" t="s">
        <v>601</v>
      </c>
      <c r="K309" s="1" t="s">
        <v>535</v>
      </c>
      <c r="L309" s="1" t="s">
        <v>536</v>
      </c>
      <c r="M309" s="1" t="s">
        <v>537</v>
      </c>
      <c r="N309" s="1">
        <v>62.75</v>
      </c>
      <c r="O309" s="1">
        <v>62.75</v>
      </c>
      <c r="P309" s="1">
        <v>0.0</v>
      </c>
      <c r="Q309" s="1">
        <v>0.0</v>
      </c>
      <c r="R309" s="1">
        <v>28.0</v>
      </c>
      <c r="S309" s="1" t="s">
        <v>538</v>
      </c>
      <c r="T309" s="1" t="s">
        <v>539</v>
      </c>
      <c r="V309" s="4">
        <v>7335977.0</v>
      </c>
      <c r="W309" s="4"/>
      <c r="X309" s="4">
        <v>1.0</v>
      </c>
      <c r="Y309" s="1">
        <v>0.0</v>
      </c>
      <c r="Z309" s="1">
        <v>0.0</v>
      </c>
      <c r="AA309" s="1">
        <v>0.0</v>
      </c>
      <c r="AB309" s="1">
        <v>0.0</v>
      </c>
      <c r="AC309" s="1">
        <v>0.0</v>
      </c>
      <c r="AD309" s="1">
        <v>0.0</v>
      </c>
      <c r="AE309" s="1">
        <v>0.0</v>
      </c>
      <c r="AF309" s="1">
        <v>0.0</v>
      </c>
      <c r="AG309" s="1">
        <v>0.0</v>
      </c>
      <c r="AH309" s="1">
        <v>0.0</v>
      </c>
      <c r="AI309" s="1">
        <v>0.0</v>
      </c>
      <c r="AJ309" s="1">
        <v>0.0</v>
      </c>
      <c r="AK309" s="1">
        <v>0.0</v>
      </c>
      <c r="AL309" s="1">
        <v>0.0</v>
      </c>
      <c r="AM309" s="4">
        <v>0.0</v>
      </c>
      <c r="AN309" s="1">
        <v>0.0</v>
      </c>
      <c r="AO309" s="4">
        <v>0.0</v>
      </c>
      <c r="AP309" s="1">
        <f t="shared" si="1"/>
        <v>0</v>
      </c>
      <c r="AQ309" s="1" t="s">
        <v>541</v>
      </c>
      <c r="AR309" s="1" t="s">
        <v>564</v>
      </c>
      <c r="AT309" s="1" t="s">
        <v>1013</v>
      </c>
      <c r="AU309" s="2">
        <v>46003.0</v>
      </c>
      <c r="AV309" s="2">
        <v>46023.9965277778</v>
      </c>
      <c r="AW309" s="1">
        <v>3.0</v>
      </c>
      <c r="AX309" s="1">
        <v>1391818.68</v>
      </c>
      <c r="AY309" s="1">
        <v>3488.0</v>
      </c>
      <c r="AZ309" s="1">
        <v>3.0</v>
      </c>
      <c r="BA309" s="1">
        <v>0.0</v>
      </c>
      <c r="BB309" s="1">
        <v>3.0</v>
      </c>
      <c r="BC309" s="2">
        <v>46003.0</v>
      </c>
      <c r="BD309" s="1">
        <v>49.0</v>
      </c>
      <c r="BE309" s="1" t="s">
        <v>550</v>
      </c>
      <c r="BF309" s="1">
        <v>2025.0</v>
      </c>
      <c r="BG309" s="1" t="s">
        <v>546</v>
      </c>
      <c r="BH309" s="7" t="str">
        <f>VLOOKUP(B309,CookieClicks!D:O,12,FALSE)</f>
        <v>https://www.method.me/</v>
      </c>
      <c r="BI309" s="8" t="str">
        <f>IFERROR(__xludf.DUMMYFUNCTION("VLOOKUP(REGEXREPLACE(BH309,""[?].*"",""""),ContentBuckets!A:C,2,FALSE)"),"Homepage")</f>
        <v>Homepage</v>
      </c>
      <c r="BJ309" s="8" t="str">
        <f>IFERROR(__xludf.DUMMYFUNCTION("VLOOKUP(REGEXREPLACE(BH309,""[?].*"",""""),ContentBuckets!A:C,3,FALSE)"),"Other page")</f>
        <v>Other page</v>
      </c>
    </row>
    <row r="310" ht="14.25" customHeight="1">
      <c r="A310" s="1">
        <v>153502.0</v>
      </c>
      <c r="B310" s="1" t="s">
        <v>1014</v>
      </c>
      <c r="C310" s="2">
        <v>46003.7569444444</v>
      </c>
      <c r="D310" s="2"/>
      <c r="E310" s="2"/>
      <c r="F310" s="1" t="b">
        <v>1</v>
      </c>
      <c r="G310" s="4" t="b">
        <v>0</v>
      </c>
      <c r="H310" s="1" t="b">
        <v>0</v>
      </c>
      <c r="I310" s="1" t="b">
        <v>0</v>
      </c>
      <c r="J310" s="1" t="s">
        <v>534</v>
      </c>
      <c r="K310" s="1" t="s">
        <v>981</v>
      </c>
      <c r="L310" s="1" t="s">
        <v>623</v>
      </c>
      <c r="M310" s="1" t="s">
        <v>537</v>
      </c>
      <c r="N310" s="1">
        <v>0.0</v>
      </c>
      <c r="O310" s="1">
        <v>44.25</v>
      </c>
      <c r="P310" s="1">
        <v>0.0</v>
      </c>
      <c r="Q310" s="1">
        <v>0.0</v>
      </c>
      <c r="R310" s="1">
        <v>0.0</v>
      </c>
      <c r="S310" s="1" t="s">
        <v>538</v>
      </c>
      <c r="T310" s="1" t="s">
        <v>539</v>
      </c>
      <c r="V310" s="4">
        <v>7336304.0</v>
      </c>
      <c r="W310" s="4" t="s">
        <v>540</v>
      </c>
      <c r="X310" s="4">
        <v>0.0</v>
      </c>
      <c r="Y310" s="1">
        <v>1.0</v>
      </c>
      <c r="Z310" s="1">
        <v>0.0</v>
      </c>
      <c r="AA310" s="1">
        <v>0.0</v>
      </c>
      <c r="AB310" s="1">
        <v>0.0</v>
      </c>
      <c r="AC310" s="1">
        <v>0.0</v>
      </c>
      <c r="AD310" s="1">
        <v>0.0</v>
      </c>
      <c r="AE310" s="1">
        <v>0.0</v>
      </c>
      <c r="AF310" s="1">
        <v>0.0</v>
      </c>
      <c r="AG310" s="1">
        <v>0.0</v>
      </c>
      <c r="AH310" s="1">
        <v>0.0</v>
      </c>
      <c r="AI310" s="1">
        <v>0.0</v>
      </c>
      <c r="AJ310" s="1">
        <v>0.0</v>
      </c>
      <c r="AK310" s="1">
        <v>0.0</v>
      </c>
      <c r="AL310" s="1">
        <v>0.0</v>
      </c>
      <c r="AM310" s="4">
        <v>0.0</v>
      </c>
      <c r="AN310" s="1">
        <v>0.0</v>
      </c>
      <c r="AO310" s="4">
        <v>0.0</v>
      </c>
      <c r="AP310" s="1">
        <f t="shared" si="1"/>
        <v>0</v>
      </c>
      <c r="AU310" s="2"/>
      <c r="AV310" s="2">
        <v>46024.0208333333</v>
      </c>
      <c r="AW310" s="1">
        <v>0.0</v>
      </c>
      <c r="AX310" s="1">
        <v>0.0</v>
      </c>
      <c r="AY310" s="1">
        <v>0.0</v>
      </c>
      <c r="AZ310" s="1">
        <v>1.0</v>
      </c>
      <c r="BA310" s="1">
        <v>0.0</v>
      </c>
      <c r="BB310" s="1">
        <v>0.0</v>
      </c>
      <c r="BC310" s="2">
        <v>46003.0</v>
      </c>
      <c r="BD310" s="1">
        <v>49.0</v>
      </c>
      <c r="BE310" s="1" t="s">
        <v>550</v>
      </c>
      <c r="BF310" s="1">
        <v>2025.0</v>
      </c>
      <c r="BG310" s="1" t="s">
        <v>558</v>
      </c>
      <c r="BH310" s="7" t="str">
        <f>VLOOKUP(B310,CookieClicks!D:O,12,FALSE)</f>
        <v>https://www.method.me/resources/mechanic-work-order-forms/</v>
      </c>
      <c r="BI310" s="8" t="str">
        <f>IFERROR(__xludf.DUMMYFUNCTION("VLOOKUP(REGEXREPLACE(BH310,""[?].*"",""""),ContentBuckets!A:C,2,FALSE)"),"Field services / Contractors")</f>
        <v>Field services / Contractors</v>
      </c>
      <c r="BJ310" s="8" t="str">
        <f>IFERROR(__xludf.DUMMYFUNCTION("VLOOKUP(REGEXREPLACE(BH310,""[?].*"",""""),ContentBuckets!A:C,3,FALSE)"),"Guide")</f>
        <v>Guide</v>
      </c>
    </row>
    <row r="311" ht="14.25" customHeight="1">
      <c r="A311" s="1">
        <v>153503.0</v>
      </c>
      <c r="B311" s="1" t="s">
        <v>1015</v>
      </c>
      <c r="C311" s="2">
        <v>46003.8409722222</v>
      </c>
      <c r="D311" s="2"/>
      <c r="E311" s="2"/>
      <c r="F311" s="1" t="b">
        <v>1</v>
      </c>
      <c r="G311" s="4" t="b">
        <v>0</v>
      </c>
      <c r="H311" s="1" t="b">
        <v>0</v>
      </c>
      <c r="I311" s="1" t="b">
        <v>0</v>
      </c>
      <c r="J311" s="1" t="s">
        <v>534</v>
      </c>
      <c r="K311" s="1" t="s">
        <v>566</v>
      </c>
      <c r="L311" s="1" t="s">
        <v>567</v>
      </c>
      <c r="M311" s="1" t="s">
        <v>537</v>
      </c>
      <c r="N311" s="1">
        <v>0.0</v>
      </c>
      <c r="O311" s="1">
        <v>63.75</v>
      </c>
      <c r="P311" s="1">
        <v>0.0</v>
      </c>
      <c r="Q311" s="1">
        <v>0.0</v>
      </c>
      <c r="R311" s="1">
        <v>28.0</v>
      </c>
      <c r="S311" s="1" t="s">
        <v>538</v>
      </c>
      <c r="T311" s="1" t="s">
        <v>539</v>
      </c>
      <c r="V311" s="4">
        <v>7336827.0</v>
      </c>
      <c r="W311" s="4" t="s">
        <v>540</v>
      </c>
      <c r="X311" s="4">
        <v>0.0</v>
      </c>
      <c r="Y311" s="1">
        <v>1.0</v>
      </c>
      <c r="Z311" s="1">
        <v>0.0</v>
      </c>
      <c r="AA311" s="1">
        <v>0.0</v>
      </c>
      <c r="AB311" s="1">
        <v>0.0</v>
      </c>
      <c r="AC311" s="1">
        <v>0.0</v>
      </c>
      <c r="AD311" s="1">
        <v>0.0</v>
      </c>
      <c r="AE311" s="1">
        <v>0.0</v>
      </c>
      <c r="AF311" s="1">
        <v>0.0</v>
      </c>
      <c r="AG311" s="1">
        <v>0.0</v>
      </c>
      <c r="AH311" s="1">
        <v>0.0</v>
      </c>
      <c r="AI311" s="1">
        <v>0.0</v>
      </c>
      <c r="AJ311" s="1">
        <v>0.0</v>
      </c>
      <c r="AK311" s="1">
        <v>0.0</v>
      </c>
      <c r="AL311" s="1">
        <v>0.0</v>
      </c>
      <c r="AM311" s="4">
        <v>0.0</v>
      </c>
      <c r="AN311" s="1">
        <v>0.0</v>
      </c>
      <c r="AO311" s="4">
        <v>0.0</v>
      </c>
      <c r="AP311" s="1">
        <f t="shared" si="1"/>
        <v>0</v>
      </c>
      <c r="AR311" s="1" t="s">
        <v>571</v>
      </c>
      <c r="AU311" s="2"/>
      <c r="AV311" s="2">
        <v>46024.0395833333</v>
      </c>
      <c r="AW311" s="1">
        <v>0.0</v>
      </c>
      <c r="AX311" s="1">
        <v>0.0</v>
      </c>
      <c r="AY311" s="1">
        <v>0.0</v>
      </c>
      <c r="AZ311" s="1">
        <v>1.0</v>
      </c>
      <c r="BA311" s="1">
        <v>0.0</v>
      </c>
      <c r="BB311" s="1">
        <v>0.0</v>
      </c>
      <c r="BC311" s="2">
        <v>46003.0</v>
      </c>
      <c r="BD311" s="1">
        <v>49.0</v>
      </c>
      <c r="BE311" s="1" t="s">
        <v>550</v>
      </c>
      <c r="BF311" s="1">
        <v>2025.0</v>
      </c>
      <c r="BG311" s="1" t="s">
        <v>558</v>
      </c>
      <c r="BH311" s="7" t="str">
        <f>VLOOKUP(B311,CookieClicks!D:O,12,FALSE)</f>
        <v>https://www.method.me/</v>
      </c>
      <c r="BI311" s="8" t="str">
        <f>IFERROR(__xludf.DUMMYFUNCTION("VLOOKUP(REGEXREPLACE(BH311,""[?].*"",""""),ContentBuckets!A:C,2,FALSE)"),"Homepage")</f>
        <v>Homepage</v>
      </c>
      <c r="BJ311" s="8" t="str">
        <f>IFERROR(__xludf.DUMMYFUNCTION("VLOOKUP(REGEXREPLACE(BH311,""[?].*"",""""),ContentBuckets!A:C,3,FALSE)"),"Other page")</f>
        <v>Other page</v>
      </c>
    </row>
    <row r="312" ht="14.25" customHeight="1">
      <c r="A312" s="1">
        <v>153504.0</v>
      </c>
      <c r="B312" s="1" t="s">
        <v>1016</v>
      </c>
      <c r="C312" s="2">
        <v>46003.8541666667</v>
      </c>
      <c r="D312" s="2"/>
      <c r="E312" s="2"/>
      <c r="F312" s="1" t="b">
        <v>1</v>
      </c>
      <c r="G312" s="4" t="b">
        <v>0</v>
      </c>
      <c r="H312" s="1" t="b">
        <v>0</v>
      </c>
      <c r="I312" s="1" t="b">
        <v>0</v>
      </c>
      <c r="J312" s="1" t="s">
        <v>534</v>
      </c>
      <c r="K312" s="1" t="s">
        <v>553</v>
      </c>
      <c r="L312" s="1" t="s">
        <v>599</v>
      </c>
      <c r="M312" s="1" t="s">
        <v>537</v>
      </c>
      <c r="N312" s="1">
        <v>0.0</v>
      </c>
      <c r="O312" s="1">
        <v>44.25</v>
      </c>
      <c r="P312" s="1">
        <v>0.0</v>
      </c>
      <c r="Q312" s="1">
        <v>0.0</v>
      </c>
      <c r="R312" s="1">
        <v>0.0</v>
      </c>
      <c r="S312" s="1" t="s">
        <v>538</v>
      </c>
      <c r="T312" s="1" t="s">
        <v>539</v>
      </c>
      <c r="V312" s="4">
        <v>7336910.0</v>
      </c>
      <c r="W312" s="4"/>
      <c r="X312" s="4">
        <v>0.0</v>
      </c>
      <c r="Y312" s="1">
        <v>0.0</v>
      </c>
      <c r="Z312" s="1">
        <v>0.0</v>
      </c>
      <c r="AA312" s="1">
        <v>1.0</v>
      </c>
      <c r="AB312" s="1">
        <v>0.0</v>
      </c>
      <c r="AC312" s="1">
        <v>0.0</v>
      </c>
      <c r="AD312" s="1">
        <v>0.0</v>
      </c>
      <c r="AE312" s="1">
        <v>0.0</v>
      </c>
      <c r="AF312" s="1">
        <v>0.0</v>
      </c>
      <c r="AG312" s="1">
        <v>0.0</v>
      </c>
      <c r="AH312" s="1">
        <v>0.0</v>
      </c>
      <c r="AI312" s="1">
        <v>0.0</v>
      </c>
      <c r="AJ312" s="1">
        <v>0.0</v>
      </c>
      <c r="AK312" s="1">
        <v>0.0</v>
      </c>
      <c r="AL312" s="1">
        <v>0.0</v>
      </c>
      <c r="AM312" s="4">
        <v>0.0</v>
      </c>
      <c r="AN312" s="1">
        <v>0.0</v>
      </c>
      <c r="AO312" s="4">
        <v>0.0</v>
      </c>
      <c r="AP312" s="1">
        <f t="shared" si="1"/>
        <v>0</v>
      </c>
      <c r="AU312" s="2"/>
      <c r="AV312" s="2">
        <v>46023.9965277778</v>
      </c>
      <c r="AW312" s="1">
        <v>0.0</v>
      </c>
      <c r="AX312" s="1">
        <v>0.0</v>
      </c>
      <c r="AY312" s="1">
        <v>0.0</v>
      </c>
      <c r="AZ312" s="1">
        <v>1.0</v>
      </c>
      <c r="BA312" s="1">
        <v>0.0</v>
      </c>
      <c r="BB312" s="1">
        <v>0.0</v>
      </c>
      <c r="BC312" s="2">
        <v>46003.0</v>
      </c>
      <c r="BD312" s="1">
        <v>49.0</v>
      </c>
      <c r="BE312" s="1" t="s">
        <v>550</v>
      </c>
      <c r="BF312" s="1">
        <v>2025.0</v>
      </c>
      <c r="BG312" s="1" t="s">
        <v>558</v>
      </c>
      <c r="BH312" s="7" t="str">
        <f>VLOOKUP(B312,CookieClicks!D:O,12,FALSE)</f>
        <v>https://grow.method.me/no-erp/?trc=81&amp;trk=&amp;trs=US-ERP&amp;campaignid=20938141894&amp;adgroupid=&amp;adid=&amp;gad_source=5&amp;gad_campaignid=20938142383&amp;gclid=EAIaIQobChMIu7aCg7S5kQMVYjdECB0xLAiUEAAYASAAEgJk6_D_BwE</v>
      </c>
      <c r="BI312" s="8" t="str">
        <f>IFERROR(__xludf.DUMMYFUNCTION("VLOOKUP(REGEXREPLACE(BH312,""[?].*"",""""),ContentBuckets!A:C,2,FALSE)"),"#N/A")</f>
        <v>#N/A</v>
      </c>
      <c r="BJ312" s="8" t="str">
        <f>IFERROR(__xludf.DUMMYFUNCTION("VLOOKUP(REGEXREPLACE(BH312,""[?].*"",""""),ContentBuckets!A:C,3,FALSE)"),"#N/A")</f>
        <v>#N/A</v>
      </c>
    </row>
    <row r="313" ht="14.25" customHeight="1">
      <c r="A313" s="1">
        <v>153505.0</v>
      </c>
      <c r="B313" s="1" t="s">
        <v>1017</v>
      </c>
      <c r="C313" s="2">
        <v>46003.9069444444</v>
      </c>
      <c r="D313" s="2"/>
      <c r="E313" s="2"/>
      <c r="F313" s="1" t="b">
        <v>1</v>
      </c>
      <c r="G313" s="4" t="b">
        <v>0</v>
      </c>
      <c r="H313" s="1" t="b">
        <v>0</v>
      </c>
      <c r="I313" s="1" t="b">
        <v>0</v>
      </c>
      <c r="J313" s="1" t="s">
        <v>534</v>
      </c>
      <c r="K313" s="1" t="s">
        <v>553</v>
      </c>
      <c r="L313" s="1" t="s">
        <v>599</v>
      </c>
      <c r="M313" s="1" t="s">
        <v>537</v>
      </c>
      <c r="N313" s="1">
        <v>0.0</v>
      </c>
      <c r="O313" s="1">
        <v>44.25</v>
      </c>
      <c r="P313" s="1">
        <v>0.0</v>
      </c>
      <c r="Q313" s="1">
        <v>0.0</v>
      </c>
      <c r="R313" s="1">
        <v>0.0</v>
      </c>
      <c r="S313" s="1" t="s">
        <v>538</v>
      </c>
      <c r="T313" s="1" t="s">
        <v>539</v>
      </c>
      <c r="V313" s="4">
        <v>7337316.0</v>
      </c>
      <c r="W313" s="4"/>
      <c r="X313" s="4">
        <v>0.0</v>
      </c>
      <c r="Y313" s="1">
        <v>0.0</v>
      </c>
      <c r="Z313" s="1">
        <v>0.0</v>
      </c>
      <c r="AA313" s="1">
        <v>1.0</v>
      </c>
      <c r="AB313" s="1">
        <v>0.0</v>
      </c>
      <c r="AC313" s="1">
        <v>0.0</v>
      </c>
      <c r="AD313" s="1">
        <v>0.0</v>
      </c>
      <c r="AE313" s="1">
        <v>0.0</v>
      </c>
      <c r="AF313" s="1">
        <v>0.0</v>
      </c>
      <c r="AG313" s="1">
        <v>0.0</v>
      </c>
      <c r="AH313" s="1">
        <v>0.0</v>
      </c>
      <c r="AI313" s="1">
        <v>0.0</v>
      </c>
      <c r="AJ313" s="1">
        <v>0.0</v>
      </c>
      <c r="AK313" s="1">
        <v>0.0</v>
      </c>
      <c r="AL313" s="1">
        <v>0.0</v>
      </c>
      <c r="AM313" s="4">
        <v>0.0</v>
      </c>
      <c r="AN313" s="1">
        <v>0.0</v>
      </c>
      <c r="AO313" s="4">
        <v>0.0</v>
      </c>
      <c r="AP313" s="1">
        <f t="shared" si="1"/>
        <v>0</v>
      </c>
      <c r="AU313" s="2"/>
      <c r="AV313" s="2">
        <v>46024.0319444444</v>
      </c>
      <c r="AW313" s="1">
        <v>0.0</v>
      </c>
      <c r="AX313" s="1">
        <v>0.0</v>
      </c>
      <c r="AY313" s="1">
        <v>0.0</v>
      </c>
      <c r="AZ313" s="1">
        <v>1.0</v>
      </c>
      <c r="BA313" s="1">
        <v>0.0</v>
      </c>
      <c r="BB313" s="1">
        <v>0.0</v>
      </c>
      <c r="BC313" s="2">
        <v>46003.0</v>
      </c>
      <c r="BD313" s="1">
        <v>49.0</v>
      </c>
      <c r="BE313" s="1" t="s">
        <v>550</v>
      </c>
      <c r="BF313" s="1">
        <v>2025.0</v>
      </c>
      <c r="BG313" s="1" t="s">
        <v>558</v>
      </c>
      <c r="BH313" s="7" t="str">
        <f>VLOOKUP(B313,CookieClicks!D:O,12,FALSE)</f>
        <v>https://www.method.me/crm-quickbooks/customer-management-software/?trc=81&amp;trk=&amp;trs=PMax-ERP&amp;campaignid=20938141894&amp;adgroupid=&amp;adid=&amp;gad_source=5&amp;gad_campaignid=20938142383&amp;gclid=EAIaIQobChMIwMr31sW5kQMVtElHAR24PgsGEAEYASABEgIvmPD_BwE</v>
      </c>
      <c r="BI313" s="8" t="str">
        <f>IFERROR(__xludf.DUMMYFUNCTION("VLOOKUP(REGEXREPLACE(BH313,""[?].*"",""""),ContentBuckets!A:C,2,FALSE)"),"/crm-quickbooks/")</f>
        <v>/crm-quickbooks/</v>
      </c>
      <c r="BJ313" s="8" t="str">
        <f>IFERROR(__xludf.DUMMYFUNCTION("VLOOKUP(REGEXREPLACE(BH313,""[?].*"",""""),ContentBuckets!A:C,3,FALSE)"),"Other page")</f>
        <v>Other page</v>
      </c>
    </row>
    <row r="314" ht="14.25" customHeight="1">
      <c r="A314" s="1">
        <v>153506.0</v>
      </c>
      <c r="B314" s="1" t="s">
        <v>1018</v>
      </c>
      <c r="C314" s="2">
        <v>46003.9152777778</v>
      </c>
      <c r="D314" s="2"/>
      <c r="E314" s="2"/>
      <c r="F314" s="1" t="b">
        <v>1</v>
      </c>
      <c r="G314" s="4" t="b">
        <v>0</v>
      </c>
      <c r="H314" s="1" t="b">
        <v>0</v>
      </c>
      <c r="I314" s="1" t="b">
        <v>0</v>
      </c>
      <c r="J314" s="1" t="s">
        <v>534</v>
      </c>
      <c r="K314" s="1" t="s">
        <v>566</v>
      </c>
      <c r="L314" s="1" t="s">
        <v>567</v>
      </c>
      <c r="M314" s="1" t="s">
        <v>537</v>
      </c>
      <c r="N314" s="1">
        <v>0.0</v>
      </c>
      <c r="O314" s="1">
        <v>44.25</v>
      </c>
      <c r="P314" s="1">
        <v>0.0</v>
      </c>
      <c r="Q314" s="1">
        <v>0.0</v>
      </c>
      <c r="R314" s="1">
        <v>0.0</v>
      </c>
      <c r="S314" s="1" t="s">
        <v>538</v>
      </c>
      <c r="T314" s="1" t="s">
        <v>539</v>
      </c>
      <c r="V314" s="4">
        <v>7337375.0</v>
      </c>
      <c r="W314" s="4"/>
      <c r="X314" s="4">
        <v>0.0</v>
      </c>
      <c r="Y314" s="1">
        <v>0.0</v>
      </c>
      <c r="Z314" s="1">
        <v>0.0</v>
      </c>
      <c r="AA314" s="1">
        <v>0.0</v>
      </c>
      <c r="AB314" s="1">
        <v>0.0</v>
      </c>
      <c r="AC314" s="1">
        <v>0.0</v>
      </c>
      <c r="AD314" s="1">
        <v>0.0</v>
      </c>
      <c r="AE314" s="1">
        <v>0.0</v>
      </c>
      <c r="AF314" s="1">
        <v>0.0</v>
      </c>
      <c r="AG314" s="1">
        <v>0.0</v>
      </c>
      <c r="AH314" s="1">
        <v>0.0</v>
      </c>
      <c r="AI314" s="1">
        <v>0.0</v>
      </c>
      <c r="AJ314" s="1">
        <v>0.0</v>
      </c>
      <c r="AK314" s="1">
        <v>0.0</v>
      </c>
      <c r="AL314" s="1">
        <v>0.0</v>
      </c>
      <c r="AM314" s="4">
        <v>0.0</v>
      </c>
      <c r="AN314" s="1">
        <v>0.0</v>
      </c>
      <c r="AO314" s="4">
        <v>0.0</v>
      </c>
      <c r="AP314" s="1">
        <f t="shared" si="1"/>
        <v>1</v>
      </c>
      <c r="AU314" s="2"/>
      <c r="AV314" s="2">
        <v>46024.025</v>
      </c>
      <c r="AW314" s="1">
        <v>0.0</v>
      </c>
      <c r="AX314" s="1">
        <v>0.0</v>
      </c>
      <c r="AY314" s="1">
        <v>0.0</v>
      </c>
      <c r="AZ314" s="1">
        <v>1.0</v>
      </c>
      <c r="BA314" s="1">
        <v>0.0</v>
      </c>
      <c r="BB314" s="1">
        <v>0.0</v>
      </c>
      <c r="BC314" s="2">
        <v>46003.0</v>
      </c>
      <c r="BD314" s="1">
        <v>49.0</v>
      </c>
      <c r="BE314" s="1" t="s">
        <v>550</v>
      </c>
      <c r="BF314" s="1">
        <v>2025.0</v>
      </c>
      <c r="BG314" s="1" t="s">
        <v>1019</v>
      </c>
      <c r="BH314" s="7" t="str">
        <f>VLOOKUP(B314,CookieClicks!D:O,12,FALSE)</f>
        <v>http://signup.method.me/methodcrm</v>
      </c>
      <c r="BI314" s="8" t="str">
        <f>IFERROR(__xludf.DUMMYFUNCTION("VLOOKUP(REGEXREPLACE(BH314,""[?].*"",""""),ContentBuckets!A:C,2,FALSE)"),"#N/A")</f>
        <v>#N/A</v>
      </c>
      <c r="BJ314" s="8" t="str">
        <f>IFERROR(__xludf.DUMMYFUNCTION("VLOOKUP(REGEXREPLACE(BH314,""[?].*"",""""),ContentBuckets!A:C,3,FALSE)"),"#N/A")</f>
        <v>#N/A</v>
      </c>
    </row>
    <row r="315" ht="14.25" customHeight="1">
      <c r="A315" s="1">
        <v>153507.0</v>
      </c>
      <c r="B315" s="1" t="s">
        <v>1020</v>
      </c>
      <c r="C315" s="2">
        <v>46003.9166666667</v>
      </c>
      <c r="D315" s="2"/>
      <c r="E315" s="2"/>
      <c r="F315" s="1" t="b">
        <v>1</v>
      </c>
      <c r="G315" s="4" t="b">
        <v>0</v>
      </c>
      <c r="H315" s="1" t="b">
        <v>0</v>
      </c>
      <c r="I315" s="1" t="b">
        <v>0</v>
      </c>
      <c r="J315" s="1" t="s">
        <v>534</v>
      </c>
      <c r="K315" s="1" t="s">
        <v>553</v>
      </c>
      <c r="L315" s="1" t="s">
        <v>599</v>
      </c>
      <c r="M315" s="1" t="s">
        <v>537</v>
      </c>
      <c r="N315" s="1">
        <v>0.0</v>
      </c>
      <c r="O315" s="1">
        <v>44.25</v>
      </c>
      <c r="P315" s="1">
        <v>0.0</v>
      </c>
      <c r="Q315" s="1">
        <v>0.0</v>
      </c>
      <c r="R315" s="1">
        <v>0.0</v>
      </c>
      <c r="S315" s="1" t="s">
        <v>538</v>
      </c>
      <c r="T315" s="1" t="s">
        <v>539</v>
      </c>
      <c r="V315" s="4">
        <v>7337359.0</v>
      </c>
      <c r="W315" s="4"/>
      <c r="X315" s="4">
        <v>0.0</v>
      </c>
      <c r="Y315" s="1">
        <v>0.0</v>
      </c>
      <c r="Z315" s="1">
        <v>0.0</v>
      </c>
      <c r="AA315" s="1">
        <v>1.0</v>
      </c>
      <c r="AB315" s="1">
        <v>0.0</v>
      </c>
      <c r="AC315" s="1">
        <v>0.0</v>
      </c>
      <c r="AD315" s="1">
        <v>0.0</v>
      </c>
      <c r="AE315" s="1">
        <v>0.0</v>
      </c>
      <c r="AF315" s="1">
        <v>0.0</v>
      </c>
      <c r="AG315" s="1">
        <v>0.0</v>
      </c>
      <c r="AH315" s="1">
        <v>0.0</v>
      </c>
      <c r="AI315" s="1">
        <v>0.0</v>
      </c>
      <c r="AJ315" s="1">
        <v>0.0</v>
      </c>
      <c r="AK315" s="1">
        <v>0.0</v>
      </c>
      <c r="AL315" s="1">
        <v>0.0</v>
      </c>
      <c r="AM315" s="4">
        <v>0.0</v>
      </c>
      <c r="AN315" s="1">
        <v>0.0</v>
      </c>
      <c r="AO315" s="4">
        <v>0.0</v>
      </c>
      <c r="AP315" s="1">
        <f t="shared" si="1"/>
        <v>0</v>
      </c>
      <c r="AU315" s="2"/>
      <c r="AV315" s="2">
        <v>46024.0180555556</v>
      </c>
      <c r="AW315" s="1">
        <v>0.0</v>
      </c>
      <c r="AX315" s="1">
        <v>0.0</v>
      </c>
      <c r="AY315" s="1">
        <v>0.0</v>
      </c>
      <c r="AZ315" s="1">
        <v>1.0</v>
      </c>
      <c r="BA315" s="1">
        <v>0.0</v>
      </c>
      <c r="BB315" s="1">
        <v>0.0</v>
      </c>
      <c r="BC315" s="2">
        <v>46003.0</v>
      </c>
      <c r="BD315" s="1">
        <v>49.0</v>
      </c>
      <c r="BE315" s="1" t="s">
        <v>550</v>
      </c>
      <c r="BF315" s="1">
        <v>2025.0</v>
      </c>
      <c r="BG315" s="1" t="s">
        <v>558</v>
      </c>
      <c r="BH315" s="7" t="str">
        <f>VLOOKUP(B315,CookieClicks!D:O,12,FALSE)</f>
        <v>https://grow.method.me/no-erp/?trc=81&amp;trk=&amp;trs=US-ERP&amp;campaignid=20938141894&amp;adgroupid=&amp;adid=&amp;gad_source=5&amp;gad_campaignid=20938142383&amp;gclid=EAIaIQobChMIwLvpqce5kQMV6AtECB1ggyt2EAAYASAAEgL3YfD_BwE</v>
      </c>
      <c r="BI315" s="8" t="str">
        <f>IFERROR(__xludf.DUMMYFUNCTION("VLOOKUP(REGEXREPLACE(BH315,""[?].*"",""""),ContentBuckets!A:C,2,FALSE)"),"#N/A")</f>
        <v>#N/A</v>
      </c>
      <c r="BJ315" s="8" t="str">
        <f>IFERROR(__xludf.DUMMYFUNCTION("VLOOKUP(REGEXREPLACE(BH315,""[?].*"",""""),ContentBuckets!A:C,3,FALSE)"),"#N/A")</f>
        <v>#N/A</v>
      </c>
    </row>
    <row r="316" ht="14.25" customHeight="1">
      <c r="A316" s="1">
        <v>153508.0</v>
      </c>
      <c r="B316" s="1" t="s">
        <v>1021</v>
      </c>
      <c r="C316" s="2">
        <v>46003.9166666667</v>
      </c>
      <c r="D316" s="2">
        <v>46006.5180555556</v>
      </c>
      <c r="E316" s="2"/>
      <c r="F316" s="1" t="b">
        <v>0</v>
      </c>
      <c r="G316" s="4" t="b">
        <v>1</v>
      </c>
      <c r="H316" s="1" t="b">
        <v>0</v>
      </c>
      <c r="I316" s="1" t="b">
        <v>0</v>
      </c>
      <c r="J316" s="1" t="s">
        <v>534</v>
      </c>
      <c r="K316" s="1" t="s">
        <v>535</v>
      </c>
      <c r="L316" s="1" t="s">
        <v>536</v>
      </c>
      <c r="M316" s="1" t="s">
        <v>537</v>
      </c>
      <c r="N316" s="1">
        <v>0.0</v>
      </c>
      <c r="O316" s="1">
        <v>62.25</v>
      </c>
      <c r="P316" s="1">
        <v>0.0</v>
      </c>
      <c r="Q316" s="1">
        <v>0.0</v>
      </c>
      <c r="R316" s="1">
        <v>28.0</v>
      </c>
      <c r="S316" s="1" t="s">
        <v>538</v>
      </c>
      <c r="T316" s="1" t="s">
        <v>539</v>
      </c>
      <c r="V316" s="4">
        <v>7337348.0</v>
      </c>
      <c r="W316" s="4" t="s">
        <v>540</v>
      </c>
      <c r="X316" s="4">
        <v>0.0</v>
      </c>
      <c r="Y316" s="1">
        <v>1.0</v>
      </c>
      <c r="Z316" s="1">
        <v>0.0</v>
      </c>
      <c r="AA316" s="1">
        <v>0.0</v>
      </c>
      <c r="AB316" s="1">
        <v>0.0</v>
      </c>
      <c r="AC316" s="1">
        <v>0.0</v>
      </c>
      <c r="AD316" s="1">
        <v>0.0</v>
      </c>
      <c r="AE316" s="1">
        <v>0.0</v>
      </c>
      <c r="AF316" s="1">
        <v>0.0</v>
      </c>
      <c r="AG316" s="1">
        <v>0.0</v>
      </c>
      <c r="AH316" s="1">
        <v>0.0</v>
      </c>
      <c r="AI316" s="1">
        <v>0.0</v>
      </c>
      <c r="AJ316" s="1">
        <v>0.0</v>
      </c>
      <c r="AK316" s="1">
        <v>0.0</v>
      </c>
      <c r="AL316" s="1">
        <v>0.0</v>
      </c>
      <c r="AM316" s="4">
        <v>0.0</v>
      </c>
      <c r="AN316" s="1">
        <v>0.0</v>
      </c>
      <c r="AO316" s="4">
        <v>0.0</v>
      </c>
      <c r="AP316" s="1">
        <f t="shared" si="1"/>
        <v>0</v>
      </c>
      <c r="AR316" s="1" t="s">
        <v>549</v>
      </c>
      <c r="AU316" s="2"/>
      <c r="AV316" s="2">
        <v>46006.0138888889</v>
      </c>
      <c r="AW316" s="1">
        <v>0.0</v>
      </c>
      <c r="AX316" s="1">
        <v>0.0</v>
      </c>
      <c r="AY316" s="1">
        <v>0.0</v>
      </c>
      <c r="AZ316" s="1">
        <v>1.0</v>
      </c>
      <c r="BA316" s="1">
        <v>0.0</v>
      </c>
      <c r="BB316" s="1">
        <v>0.0</v>
      </c>
      <c r="BC316" s="2">
        <v>46003.0</v>
      </c>
      <c r="BD316" s="1">
        <v>49.0</v>
      </c>
      <c r="BE316" s="1" t="s">
        <v>550</v>
      </c>
      <c r="BF316" s="1">
        <v>2025.0</v>
      </c>
      <c r="BG316" s="1" t="s">
        <v>558</v>
      </c>
      <c r="BH316" s="7" t="str">
        <f>VLOOKUP(B316,CookieClicks!D:O,12,FALSE)</f>
        <v>https://www.method.me/quickbooks-crm/</v>
      </c>
      <c r="BI316" s="8" t="str">
        <f>IFERROR(__xludf.DUMMYFUNCTION("VLOOKUP(REGEXREPLACE(BH316,""[?].*"",""""),ContentBuckets!A:C,2,FALSE)"),"/crm-quickbooks/")</f>
        <v>/crm-quickbooks/</v>
      </c>
      <c r="BJ316" s="8" t="str">
        <f>IFERROR(__xludf.DUMMYFUNCTION("VLOOKUP(REGEXREPLACE(BH316,""[?].*"",""""),ContentBuckets!A:C,3,FALSE)"),"Other page")</f>
        <v>Other page</v>
      </c>
    </row>
    <row r="317" ht="14.25" customHeight="1">
      <c r="A317" s="1">
        <v>153509.0</v>
      </c>
      <c r="B317" s="1" t="s">
        <v>1022</v>
      </c>
      <c r="C317" s="2">
        <v>46003.9194444444</v>
      </c>
      <c r="D317" s="2"/>
      <c r="E317" s="2"/>
      <c r="F317" s="1" t="b">
        <v>1</v>
      </c>
      <c r="G317" s="4" t="b">
        <v>0</v>
      </c>
      <c r="H317" s="1" t="b">
        <v>0</v>
      </c>
      <c r="I317" s="1" t="b">
        <v>0</v>
      </c>
      <c r="J317" s="1" t="s">
        <v>534</v>
      </c>
      <c r="K317" s="1" t="s">
        <v>535</v>
      </c>
      <c r="L317" s="1" t="s">
        <v>536</v>
      </c>
      <c r="M317" s="1" t="s">
        <v>537</v>
      </c>
      <c r="N317" s="1">
        <v>0.0</v>
      </c>
      <c r="O317" s="1">
        <v>63.75</v>
      </c>
      <c r="P317" s="1">
        <v>0.0</v>
      </c>
      <c r="Q317" s="1">
        <v>0.0</v>
      </c>
      <c r="R317" s="1">
        <v>28.0</v>
      </c>
      <c r="S317" s="1" t="s">
        <v>538</v>
      </c>
      <c r="T317" s="1" t="s">
        <v>539</v>
      </c>
      <c r="V317" s="4">
        <v>7337348.0</v>
      </c>
      <c r="W317" s="4" t="s">
        <v>540</v>
      </c>
      <c r="X317" s="4">
        <v>0.0</v>
      </c>
      <c r="Y317" s="1">
        <v>1.0</v>
      </c>
      <c r="Z317" s="1">
        <v>0.0</v>
      </c>
      <c r="AA317" s="1">
        <v>0.0</v>
      </c>
      <c r="AB317" s="1">
        <v>0.0</v>
      </c>
      <c r="AC317" s="1">
        <v>0.0</v>
      </c>
      <c r="AD317" s="1">
        <v>0.0</v>
      </c>
      <c r="AE317" s="1">
        <v>0.0</v>
      </c>
      <c r="AF317" s="1">
        <v>0.0</v>
      </c>
      <c r="AG317" s="1">
        <v>0.0</v>
      </c>
      <c r="AH317" s="1">
        <v>0.0</v>
      </c>
      <c r="AI317" s="1">
        <v>0.0</v>
      </c>
      <c r="AJ317" s="1">
        <v>0.0</v>
      </c>
      <c r="AK317" s="1">
        <v>0.0</v>
      </c>
      <c r="AL317" s="1">
        <v>0.0</v>
      </c>
      <c r="AM317" s="4">
        <v>0.0</v>
      </c>
      <c r="AN317" s="1">
        <v>0.0</v>
      </c>
      <c r="AO317" s="4">
        <v>0.0</v>
      </c>
      <c r="AP317" s="1">
        <f t="shared" si="1"/>
        <v>0</v>
      </c>
      <c r="AR317" s="1" t="s">
        <v>549</v>
      </c>
      <c r="AU317" s="2"/>
      <c r="AV317" s="2">
        <v>46024.01875</v>
      </c>
      <c r="AW317" s="1">
        <v>0.0</v>
      </c>
      <c r="AX317" s="1">
        <v>0.0</v>
      </c>
      <c r="AY317" s="1">
        <v>0.0</v>
      </c>
      <c r="AZ317" s="1">
        <v>1.0</v>
      </c>
      <c r="BA317" s="1">
        <v>0.0</v>
      </c>
      <c r="BB317" s="1">
        <v>0.0</v>
      </c>
      <c r="BC317" s="2">
        <v>46003.0</v>
      </c>
      <c r="BD317" s="1">
        <v>49.0</v>
      </c>
      <c r="BE317" s="1" t="s">
        <v>550</v>
      </c>
      <c r="BF317" s="1">
        <v>2025.0</v>
      </c>
      <c r="BG317" s="1" t="s">
        <v>558</v>
      </c>
      <c r="BH317" s="7" t="str">
        <f>VLOOKUP(B317,CookieClicks!D:O,12,FALSE)</f>
        <v>https://www.method.me/quickbooks-crm/</v>
      </c>
      <c r="BI317" s="8" t="str">
        <f>IFERROR(__xludf.DUMMYFUNCTION("VLOOKUP(REGEXREPLACE(BH317,""[?].*"",""""),ContentBuckets!A:C,2,FALSE)"),"/crm-quickbooks/")</f>
        <v>/crm-quickbooks/</v>
      </c>
      <c r="BJ317" s="8" t="str">
        <f>IFERROR(__xludf.DUMMYFUNCTION("VLOOKUP(REGEXREPLACE(BH317,""[?].*"",""""),ContentBuckets!A:C,3,FALSE)"),"Other page")</f>
        <v>Other page</v>
      </c>
    </row>
    <row r="318" ht="14.25" customHeight="1">
      <c r="A318" s="1">
        <v>153510.0</v>
      </c>
      <c r="B318" s="1" t="s">
        <v>1023</v>
      </c>
      <c r="C318" s="2">
        <v>46003.9416666667</v>
      </c>
      <c r="D318" s="2"/>
      <c r="E318" s="2">
        <v>46003.9465277778</v>
      </c>
      <c r="F318" s="1" t="b">
        <v>1</v>
      </c>
      <c r="G318" s="4" t="b">
        <v>0</v>
      </c>
      <c r="H318" s="1" t="b">
        <v>0</v>
      </c>
      <c r="I318" s="1" t="b">
        <v>0</v>
      </c>
      <c r="J318" s="1" t="s">
        <v>534</v>
      </c>
      <c r="K318" s="1" t="s">
        <v>535</v>
      </c>
      <c r="L318" s="1" t="s">
        <v>536</v>
      </c>
      <c r="M318" s="1" t="s">
        <v>537</v>
      </c>
      <c r="N318" s="1">
        <v>44.25</v>
      </c>
      <c r="O318" s="1">
        <v>44.25</v>
      </c>
      <c r="P318" s="1">
        <v>0.0</v>
      </c>
      <c r="Q318" s="1">
        <v>0.0</v>
      </c>
      <c r="R318" s="1">
        <v>28.0</v>
      </c>
      <c r="S318" s="1" t="s">
        <v>538</v>
      </c>
      <c r="T318" s="1" t="s">
        <v>539</v>
      </c>
      <c r="V318" s="4">
        <v>7337541.0</v>
      </c>
      <c r="W318" s="4"/>
      <c r="X318" s="4">
        <v>0.0</v>
      </c>
      <c r="Y318" s="1">
        <v>0.0</v>
      </c>
      <c r="Z318" s="1">
        <v>0.0</v>
      </c>
      <c r="AA318" s="1">
        <v>0.0</v>
      </c>
      <c r="AB318" s="1">
        <v>0.0</v>
      </c>
      <c r="AC318" s="1">
        <v>0.0</v>
      </c>
      <c r="AD318" s="1">
        <v>0.0</v>
      </c>
      <c r="AE318" s="1">
        <v>0.0</v>
      </c>
      <c r="AF318" s="1">
        <v>0.0</v>
      </c>
      <c r="AG318" s="1">
        <v>0.0</v>
      </c>
      <c r="AH318" s="1">
        <v>0.0</v>
      </c>
      <c r="AI318" s="1">
        <v>0.0</v>
      </c>
      <c r="AJ318" s="1">
        <v>0.0</v>
      </c>
      <c r="AK318" s="1">
        <v>0.0</v>
      </c>
      <c r="AL318" s="1">
        <v>0.0</v>
      </c>
      <c r="AM318" s="4">
        <v>0.0</v>
      </c>
      <c r="AN318" s="1">
        <v>0.0</v>
      </c>
      <c r="AO318" s="4">
        <v>0.0</v>
      </c>
      <c r="AP318" s="1">
        <f t="shared" si="1"/>
        <v>1</v>
      </c>
      <c r="AQ318" s="1" t="s">
        <v>795</v>
      </c>
      <c r="AR318" s="1" t="s">
        <v>608</v>
      </c>
      <c r="AU318" s="2">
        <v>46003.0</v>
      </c>
      <c r="AV318" s="2">
        <v>46023.9826388889</v>
      </c>
      <c r="AW318" s="1">
        <v>0.0</v>
      </c>
      <c r="AX318" s="1">
        <v>29980.92</v>
      </c>
      <c r="AY318" s="1">
        <v>15.0</v>
      </c>
      <c r="AZ318" s="1">
        <v>1.0</v>
      </c>
      <c r="BA318" s="1">
        <v>0.0</v>
      </c>
      <c r="BB318" s="1">
        <v>0.0</v>
      </c>
      <c r="BC318" s="2">
        <v>46003.0</v>
      </c>
      <c r="BD318" s="1">
        <v>49.0</v>
      </c>
      <c r="BE318" s="1" t="s">
        <v>550</v>
      </c>
      <c r="BF318" s="1">
        <v>2025.0</v>
      </c>
      <c r="BG318" s="1" t="s">
        <v>649</v>
      </c>
      <c r="BH318" s="7" t="str">
        <f>VLOOKUP(B318,CookieClicks!D:O,12,FALSE)</f>
        <v>https://signin.method.me/?_ga=2.162661820.1827644277.1743456497-959090251.1677599655&amp;_gl=1*jpkzev*_gcl_au*MjY0ODE4Njk1LjE3NjU1OTY4MjQ.*_ga*MzYwOTI3NTcwLjE3NjU1OTY4MjQ.*_ga_L2HEZNW53E*czE3NjU1OTY4MjQkbzEkZzAkdDE3NjU1OTY4MjQkajYwJGwwJGgxNTYwNTIzODQ0</v>
      </c>
      <c r="BI318" s="8" t="str">
        <f>IFERROR(__xludf.DUMMYFUNCTION("VLOOKUP(REGEXREPLACE(BH318,""[?].*"",""""),ContentBuckets!A:C,2,FALSE)"),"#N/A")</f>
        <v>#N/A</v>
      </c>
      <c r="BJ318" s="8" t="str">
        <f>IFERROR(__xludf.DUMMYFUNCTION("VLOOKUP(REGEXREPLACE(BH318,""[?].*"",""""),ContentBuckets!A:C,3,FALSE)"),"#N/A")</f>
        <v>#N/A</v>
      </c>
    </row>
    <row r="319" ht="14.25" customHeight="1">
      <c r="A319" s="1">
        <v>153511.0</v>
      </c>
      <c r="B319" s="1" t="s">
        <v>1024</v>
      </c>
      <c r="C319" s="2">
        <v>46003.9541666667</v>
      </c>
      <c r="D319" s="2"/>
      <c r="E319" s="2"/>
      <c r="F319" s="1" t="b">
        <v>1</v>
      </c>
      <c r="G319" s="4" t="b">
        <v>0</v>
      </c>
      <c r="H319" s="1" t="b">
        <v>0</v>
      </c>
      <c r="I319" s="1" t="b">
        <v>0</v>
      </c>
      <c r="J319" s="1" t="s">
        <v>534</v>
      </c>
      <c r="K319" s="1" t="s">
        <v>553</v>
      </c>
      <c r="L319" s="1" t="s">
        <v>599</v>
      </c>
      <c r="M319" s="1" t="s">
        <v>537</v>
      </c>
      <c r="N319" s="1">
        <v>0.0</v>
      </c>
      <c r="O319" s="1">
        <v>44.25</v>
      </c>
      <c r="P319" s="1">
        <v>0.0</v>
      </c>
      <c r="Q319" s="1">
        <v>0.0</v>
      </c>
      <c r="R319" s="1">
        <v>0.0</v>
      </c>
      <c r="S319" s="1" t="s">
        <v>538</v>
      </c>
      <c r="T319" s="1" t="s">
        <v>539</v>
      </c>
      <c r="V319" s="4">
        <v>0.0</v>
      </c>
      <c r="W319" s="4"/>
      <c r="X319" s="4">
        <v>0.0</v>
      </c>
      <c r="Y319" s="1">
        <v>0.0</v>
      </c>
      <c r="Z319" s="1">
        <v>0.0</v>
      </c>
      <c r="AA319" s="1">
        <v>0.0</v>
      </c>
      <c r="AB319" s="1">
        <v>0.0</v>
      </c>
      <c r="AC319" s="1">
        <v>0.0</v>
      </c>
      <c r="AD319" s="1">
        <v>0.0</v>
      </c>
      <c r="AE319" s="1">
        <v>0.0</v>
      </c>
      <c r="AF319" s="1">
        <v>0.0</v>
      </c>
      <c r="AG319" s="1">
        <v>0.0</v>
      </c>
      <c r="AH319" s="1">
        <v>0.0</v>
      </c>
      <c r="AI319" s="1">
        <v>0.0</v>
      </c>
      <c r="AJ319" s="1">
        <v>0.0</v>
      </c>
      <c r="AK319" s="1">
        <v>0.0</v>
      </c>
      <c r="AL319" s="1">
        <v>0.0</v>
      </c>
      <c r="AM319" s="4">
        <v>0.0</v>
      </c>
      <c r="AN319" s="1">
        <v>0.0</v>
      </c>
      <c r="AO319" s="4">
        <v>0.0</v>
      </c>
      <c r="AP319" s="1">
        <f t="shared" si="1"/>
        <v>1</v>
      </c>
      <c r="AU319" s="2"/>
      <c r="AV319" s="2">
        <v>46024.0145833333</v>
      </c>
      <c r="AW319" s="1">
        <v>0.0</v>
      </c>
      <c r="AX319" s="1">
        <v>0.0</v>
      </c>
      <c r="AY319" s="1">
        <v>0.0</v>
      </c>
      <c r="AZ319" s="1">
        <v>1.0</v>
      </c>
      <c r="BA319" s="1">
        <v>0.0</v>
      </c>
      <c r="BB319" s="1">
        <v>0.0</v>
      </c>
      <c r="BC319" s="2">
        <v>46003.0</v>
      </c>
      <c r="BD319" s="1">
        <v>49.0</v>
      </c>
      <c r="BE319" s="1" t="s">
        <v>550</v>
      </c>
      <c r="BF319" s="1">
        <v>2025.0</v>
      </c>
      <c r="BG319" s="1" t="s">
        <v>558</v>
      </c>
      <c r="BH319" s="1" t="str">
        <f>VLOOKUP(B319,CookieClicks!D:O,12,FALSE)</f>
        <v>#N/A</v>
      </c>
      <c r="BI319" s="8" t="str">
        <f>IFERROR(__xludf.DUMMYFUNCTION("VLOOKUP(REGEXREPLACE(BH319,""[?].*"",""""),ContentBuckets!A:C,2,FALSE)"),"#N/A")</f>
        <v>#N/A</v>
      </c>
      <c r="BJ319" s="8" t="str">
        <f>IFERROR(__xludf.DUMMYFUNCTION("VLOOKUP(REGEXREPLACE(BH319,""[?].*"",""""),ContentBuckets!A:C,3,FALSE)"),"#N/A")</f>
        <v>#N/A</v>
      </c>
    </row>
    <row r="320" ht="14.25" customHeight="1">
      <c r="A320" s="1">
        <v>153512.0</v>
      </c>
      <c r="B320" s="1" t="s">
        <v>1025</v>
      </c>
      <c r="C320" s="2">
        <v>46003.9743055556</v>
      </c>
      <c r="D320" s="2"/>
      <c r="E320" s="2"/>
      <c r="F320" s="1" t="b">
        <v>1</v>
      </c>
      <c r="G320" s="4" t="b">
        <v>0</v>
      </c>
      <c r="H320" s="1" t="b">
        <v>0</v>
      </c>
      <c r="I320" s="1" t="b">
        <v>0</v>
      </c>
      <c r="J320" s="1" t="s">
        <v>534</v>
      </c>
      <c r="K320" s="1" t="s">
        <v>553</v>
      </c>
      <c r="L320" s="1" t="s">
        <v>599</v>
      </c>
      <c r="M320" s="1" t="s">
        <v>537</v>
      </c>
      <c r="N320" s="1">
        <v>0.0</v>
      </c>
      <c r="O320" s="1">
        <v>44.25</v>
      </c>
      <c r="P320" s="1">
        <v>0.0</v>
      </c>
      <c r="Q320" s="1">
        <v>0.0</v>
      </c>
      <c r="R320" s="1">
        <v>0.0</v>
      </c>
      <c r="S320" s="1" t="s">
        <v>538</v>
      </c>
      <c r="T320" s="1" t="s">
        <v>539</v>
      </c>
      <c r="V320" s="4">
        <v>7337712.0</v>
      </c>
      <c r="W320" s="4"/>
      <c r="X320" s="4">
        <v>0.0</v>
      </c>
      <c r="Y320" s="1">
        <v>0.0</v>
      </c>
      <c r="Z320" s="1">
        <v>0.0</v>
      </c>
      <c r="AA320" s="1">
        <v>1.0</v>
      </c>
      <c r="AB320" s="1">
        <v>0.0</v>
      </c>
      <c r="AC320" s="1">
        <v>0.0</v>
      </c>
      <c r="AD320" s="1">
        <v>0.0</v>
      </c>
      <c r="AE320" s="1">
        <v>0.0</v>
      </c>
      <c r="AF320" s="1">
        <v>0.0</v>
      </c>
      <c r="AG320" s="1">
        <v>0.0</v>
      </c>
      <c r="AH320" s="1">
        <v>0.0</v>
      </c>
      <c r="AI320" s="1">
        <v>0.0</v>
      </c>
      <c r="AJ320" s="1">
        <v>0.0</v>
      </c>
      <c r="AK320" s="1">
        <v>0.0</v>
      </c>
      <c r="AL320" s="1">
        <v>0.0</v>
      </c>
      <c r="AM320" s="4">
        <v>0.0</v>
      </c>
      <c r="AN320" s="1">
        <v>0.0</v>
      </c>
      <c r="AO320" s="4">
        <v>0.0</v>
      </c>
      <c r="AP320" s="1">
        <f t="shared" si="1"/>
        <v>0</v>
      </c>
      <c r="AU320" s="2"/>
      <c r="AV320" s="2">
        <v>46024.0284722222</v>
      </c>
      <c r="AW320" s="1">
        <v>0.0</v>
      </c>
      <c r="AX320" s="1">
        <v>0.0</v>
      </c>
      <c r="AY320" s="1">
        <v>0.0</v>
      </c>
      <c r="AZ320" s="1">
        <v>1.0</v>
      </c>
      <c r="BA320" s="1">
        <v>0.0</v>
      </c>
      <c r="BB320" s="1">
        <v>0.0</v>
      </c>
      <c r="BC320" s="2">
        <v>46003.0</v>
      </c>
      <c r="BD320" s="1">
        <v>49.0</v>
      </c>
      <c r="BE320" s="1" t="s">
        <v>550</v>
      </c>
      <c r="BF320" s="1">
        <v>2025.0</v>
      </c>
      <c r="BG320" s="1" t="s">
        <v>558</v>
      </c>
      <c r="BH320" s="7" t="str">
        <f>VLOOKUP(B320,CookieClicks!D:O,12,FALSE)</f>
        <v>https://grow.method.me/no-erp/?trc=81&amp;trk=&amp;trs=US-ERP&amp;campaignid=20938141894&amp;adgroupid=&amp;adid=&amp;gad_source=5&amp;gad_campaignid=20938142383&amp;gclid=EAIaIQobChMIhJuHg9u5kQMV5V3_AR1FfSi5EAAYASAAEgKGGvD_BwE</v>
      </c>
      <c r="BI320" s="8" t="str">
        <f>IFERROR(__xludf.DUMMYFUNCTION("VLOOKUP(REGEXREPLACE(BH320,""[?].*"",""""),ContentBuckets!A:C,2,FALSE)"),"#N/A")</f>
        <v>#N/A</v>
      </c>
      <c r="BJ320" s="8" t="str">
        <f>IFERROR(__xludf.DUMMYFUNCTION("VLOOKUP(REGEXREPLACE(BH320,""[?].*"",""""),ContentBuckets!A:C,3,FALSE)"),"#N/A")</f>
        <v>#N/A</v>
      </c>
    </row>
    <row r="321" ht="14.25" customHeight="1">
      <c r="A321" s="1">
        <v>153513.0</v>
      </c>
      <c r="B321" s="1" t="s">
        <v>1026</v>
      </c>
      <c r="C321" s="2">
        <v>46003.9895833333</v>
      </c>
      <c r="D321" s="2"/>
      <c r="E321" s="2"/>
      <c r="F321" s="1" t="b">
        <v>1</v>
      </c>
      <c r="G321" s="4" t="b">
        <v>0</v>
      </c>
      <c r="H321" s="1" t="b">
        <v>0</v>
      </c>
      <c r="I321" s="1" t="b">
        <v>0</v>
      </c>
      <c r="J321" s="1" t="s">
        <v>534</v>
      </c>
      <c r="K321" s="1" t="s">
        <v>553</v>
      </c>
      <c r="L321" s="1" t="s">
        <v>554</v>
      </c>
      <c r="M321" s="1" t="s">
        <v>537</v>
      </c>
      <c r="N321" s="1">
        <v>0.0</v>
      </c>
      <c r="O321" s="1">
        <v>44.25</v>
      </c>
      <c r="P321" s="1">
        <v>0.0</v>
      </c>
      <c r="Q321" s="1">
        <v>0.0</v>
      </c>
      <c r="R321" s="1">
        <v>0.0</v>
      </c>
      <c r="S321" s="1" t="s">
        <v>538</v>
      </c>
      <c r="T321" s="1" t="s">
        <v>539</v>
      </c>
      <c r="V321" s="4">
        <v>7337789.0</v>
      </c>
      <c r="W321" s="4"/>
      <c r="X321" s="4">
        <v>0.0</v>
      </c>
      <c r="Y321" s="1">
        <v>0.0</v>
      </c>
      <c r="Z321" s="1">
        <v>0.0</v>
      </c>
      <c r="AA321" s="1">
        <v>1.0</v>
      </c>
      <c r="AB321" s="1">
        <v>0.0</v>
      </c>
      <c r="AC321" s="1">
        <v>0.0</v>
      </c>
      <c r="AD321" s="1">
        <v>0.0</v>
      </c>
      <c r="AE321" s="1">
        <v>0.0</v>
      </c>
      <c r="AF321" s="1">
        <v>0.0</v>
      </c>
      <c r="AG321" s="1">
        <v>0.0</v>
      </c>
      <c r="AH321" s="1">
        <v>0.0</v>
      </c>
      <c r="AI321" s="1">
        <v>0.0</v>
      </c>
      <c r="AJ321" s="1">
        <v>0.0</v>
      </c>
      <c r="AK321" s="1">
        <v>0.0</v>
      </c>
      <c r="AL321" s="1">
        <v>0.0</v>
      </c>
      <c r="AM321" s="4">
        <v>0.0</v>
      </c>
      <c r="AN321" s="1">
        <v>0.0</v>
      </c>
      <c r="AO321" s="4">
        <v>0.0</v>
      </c>
      <c r="AP321" s="1">
        <f t="shared" si="1"/>
        <v>0</v>
      </c>
      <c r="AU321" s="2"/>
      <c r="AV321" s="2">
        <v>46024.0083333333</v>
      </c>
      <c r="AW321" s="1">
        <v>0.0</v>
      </c>
      <c r="AX321" s="1">
        <v>0.0</v>
      </c>
      <c r="AY321" s="1">
        <v>0.0</v>
      </c>
      <c r="AZ321" s="1">
        <v>1.0</v>
      </c>
      <c r="BA321" s="1">
        <v>0.0</v>
      </c>
      <c r="BB321" s="1">
        <v>0.0</v>
      </c>
      <c r="BC321" s="2">
        <v>46003.0</v>
      </c>
      <c r="BD321" s="1">
        <v>49.0</v>
      </c>
      <c r="BE321" s="1" t="s">
        <v>550</v>
      </c>
      <c r="BF321" s="1">
        <v>2025.0</v>
      </c>
      <c r="BG321" s="1" t="s">
        <v>558</v>
      </c>
      <c r="BH321" s="7" t="str">
        <f>VLOOKUP(B321,CookieClicks!D:O,12,FALSE)</f>
        <v>https://www.method.me/crm-quickbooks/job-scheduling-software/?trc=81&amp;trk=&amp;trs=USA-DSA&amp;campaignid=13038312612&amp;adgroupid=127756898611&amp;adid=771467139249&amp;gad_source=1&amp;gad_campaignid=13038312612&amp;gbraid=0AAAAAD3Itna_QUa4HPpRiouV8y1gZUsoE&amp;gclid=EAIaIQobChMIoPCusOC5kQMVhyvUAR2SoxRZEAAYASAAEgJxivD_BwE</v>
      </c>
      <c r="BI321" s="8" t="str">
        <f>IFERROR(__xludf.DUMMYFUNCTION("VLOOKUP(REGEXREPLACE(BH321,""[?].*"",""""),ContentBuckets!A:C,2,FALSE)"),"/crm-quickbooks/")</f>
        <v>/crm-quickbooks/</v>
      </c>
      <c r="BJ321" s="8" t="str">
        <f>IFERROR(__xludf.DUMMYFUNCTION("VLOOKUP(REGEXREPLACE(BH321,""[?].*"",""""),ContentBuckets!A:C,3,FALSE)"),"Other page")</f>
        <v>Other page</v>
      </c>
    </row>
    <row r="322" ht="14.25" customHeight="1">
      <c r="A322" s="1">
        <v>153514.0</v>
      </c>
      <c r="B322" s="1" t="s">
        <v>1027</v>
      </c>
      <c r="C322" s="2">
        <v>46004.0597222222</v>
      </c>
      <c r="D322" s="2"/>
      <c r="E322" s="2">
        <v>46012.1131944444</v>
      </c>
      <c r="F322" s="1" t="b">
        <v>1</v>
      </c>
      <c r="G322" s="4" t="b">
        <v>0</v>
      </c>
      <c r="H322" s="1" t="b">
        <v>0</v>
      </c>
      <c r="I322" s="1" t="b">
        <v>0</v>
      </c>
      <c r="J322" s="1" t="s">
        <v>534</v>
      </c>
      <c r="K322" s="1" t="s">
        <v>535</v>
      </c>
      <c r="L322" s="1" t="s">
        <v>536</v>
      </c>
      <c r="M322" s="1" t="s">
        <v>537</v>
      </c>
      <c r="N322" s="1">
        <v>97.5</v>
      </c>
      <c r="O322" s="1">
        <v>97.5</v>
      </c>
      <c r="P322" s="1">
        <v>0.0</v>
      </c>
      <c r="Q322" s="1">
        <v>0.0</v>
      </c>
      <c r="R322" s="1">
        <v>28.0</v>
      </c>
      <c r="S322" s="1" t="s">
        <v>538</v>
      </c>
      <c r="T322" s="1" t="s">
        <v>539</v>
      </c>
      <c r="V322" s="4">
        <v>7193167.0</v>
      </c>
      <c r="W322" s="4" t="s">
        <v>653</v>
      </c>
      <c r="X322" s="4">
        <v>0.0</v>
      </c>
      <c r="Y322" s="1">
        <v>1.0</v>
      </c>
      <c r="Z322" s="1">
        <v>0.0</v>
      </c>
      <c r="AA322" s="1">
        <v>0.0</v>
      </c>
      <c r="AB322" s="1">
        <v>0.0</v>
      </c>
      <c r="AC322" s="1">
        <v>0.0</v>
      </c>
      <c r="AD322" s="1">
        <v>0.0</v>
      </c>
      <c r="AE322" s="1">
        <v>0.0</v>
      </c>
      <c r="AF322" s="1">
        <v>0.0</v>
      </c>
      <c r="AG322" s="1">
        <v>0.0</v>
      </c>
      <c r="AH322" s="1">
        <v>0.0</v>
      </c>
      <c r="AI322" s="1">
        <v>0.0</v>
      </c>
      <c r="AJ322" s="1">
        <v>0.0</v>
      </c>
      <c r="AK322" s="1">
        <v>0.0</v>
      </c>
      <c r="AL322" s="1">
        <v>0.0</v>
      </c>
      <c r="AM322" s="4">
        <v>0.0</v>
      </c>
      <c r="AN322" s="1">
        <v>0.0</v>
      </c>
      <c r="AO322" s="4">
        <v>0.0</v>
      </c>
      <c r="AP322" s="1">
        <f t="shared" si="1"/>
        <v>0</v>
      </c>
      <c r="AQ322" s="1" t="s">
        <v>541</v>
      </c>
      <c r="AR322" s="1" t="s">
        <v>568</v>
      </c>
      <c r="AT322" s="1" t="s">
        <v>1028</v>
      </c>
      <c r="AU322" s="2">
        <v>46004.0</v>
      </c>
      <c r="AV322" s="2">
        <v>46024.0173611111</v>
      </c>
      <c r="AW322" s="1">
        <v>7.0</v>
      </c>
      <c r="AX322" s="1">
        <v>383952.12</v>
      </c>
      <c r="AY322" s="1">
        <v>64.0</v>
      </c>
      <c r="AZ322" s="1">
        <v>2.0</v>
      </c>
      <c r="BA322" s="1">
        <v>0.0</v>
      </c>
      <c r="BB322" s="1">
        <v>4.0</v>
      </c>
      <c r="BC322" s="2">
        <v>46004.0</v>
      </c>
      <c r="BD322" s="1">
        <v>49.0</v>
      </c>
      <c r="BE322" s="1" t="s">
        <v>550</v>
      </c>
      <c r="BF322" s="1">
        <v>2025.0</v>
      </c>
      <c r="BG322" s="1" t="s">
        <v>546</v>
      </c>
      <c r="BH322" s="7" t="str">
        <f>VLOOKUP(B322,CookieClicks!D:O,12,FALSE)</f>
        <v>https://www.method.me/</v>
      </c>
      <c r="BI322" s="8" t="str">
        <f>IFERROR(__xludf.DUMMYFUNCTION("VLOOKUP(REGEXREPLACE(BH322,""[?].*"",""""),ContentBuckets!A:C,2,FALSE)"),"Homepage")</f>
        <v>Homepage</v>
      </c>
      <c r="BJ322" s="8" t="str">
        <f>IFERROR(__xludf.DUMMYFUNCTION("VLOOKUP(REGEXREPLACE(BH322,""[?].*"",""""),ContentBuckets!A:C,3,FALSE)"),"Other page")</f>
        <v>Other page</v>
      </c>
    </row>
    <row r="323" ht="14.25" customHeight="1">
      <c r="A323" s="1">
        <v>153515.0</v>
      </c>
      <c r="B323" s="1" t="s">
        <v>1029</v>
      </c>
      <c r="C323" s="2">
        <v>46004.09375</v>
      </c>
      <c r="D323" s="2"/>
      <c r="E323" s="2"/>
      <c r="F323" s="1" t="b">
        <v>1</v>
      </c>
      <c r="G323" s="4" t="b">
        <v>0</v>
      </c>
      <c r="H323" s="1" t="b">
        <v>0</v>
      </c>
      <c r="I323" s="1" t="b">
        <v>0</v>
      </c>
      <c r="J323" s="1" t="s">
        <v>534</v>
      </c>
      <c r="K323" s="1" t="s">
        <v>553</v>
      </c>
      <c r="L323" s="1" t="s">
        <v>599</v>
      </c>
      <c r="M323" s="1" t="s">
        <v>537</v>
      </c>
      <c r="N323" s="1">
        <v>0.0</v>
      </c>
      <c r="O323" s="1">
        <v>44.25</v>
      </c>
      <c r="P323" s="1">
        <v>0.0</v>
      </c>
      <c r="Q323" s="1">
        <v>0.0</v>
      </c>
      <c r="R323" s="1">
        <v>0.0</v>
      </c>
      <c r="S323" s="1" t="s">
        <v>538</v>
      </c>
      <c r="T323" s="1" t="s">
        <v>539</v>
      </c>
      <c r="V323" s="4">
        <v>7338308.0</v>
      </c>
      <c r="W323" s="4"/>
      <c r="X323" s="4">
        <v>0.0</v>
      </c>
      <c r="Y323" s="1">
        <v>0.0</v>
      </c>
      <c r="Z323" s="1">
        <v>0.0</v>
      </c>
      <c r="AA323" s="1">
        <v>1.0</v>
      </c>
      <c r="AB323" s="1">
        <v>0.0</v>
      </c>
      <c r="AC323" s="1">
        <v>0.0</v>
      </c>
      <c r="AD323" s="1">
        <v>0.0</v>
      </c>
      <c r="AE323" s="1">
        <v>0.0</v>
      </c>
      <c r="AF323" s="1">
        <v>0.0</v>
      </c>
      <c r="AG323" s="1">
        <v>0.0</v>
      </c>
      <c r="AH323" s="1">
        <v>0.0</v>
      </c>
      <c r="AI323" s="1">
        <v>0.0</v>
      </c>
      <c r="AJ323" s="1">
        <v>0.0</v>
      </c>
      <c r="AK323" s="1">
        <v>0.0</v>
      </c>
      <c r="AL323" s="1">
        <v>0.0</v>
      </c>
      <c r="AM323" s="4">
        <v>0.0</v>
      </c>
      <c r="AN323" s="1">
        <v>0.0</v>
      </c>
      <c r="AO323" s="4">
        <v>0.0</v>
      </c>
      <c r="AP323" s="1">
        <f t="shared" si="1"/>
        <v>0</v>
      </c>
      <c r="AU323" s="2"/>
      <c r="AV323" s="2">
        <v>46023.9826388889</v>
      </c>
      <c r="AW323" s="1">
        <v>0.0</v>
      </c>
      <c r="AX323" s="1">
        <v>0.0</v>
      </c>
      <c r="AY323" s="1">
        <v>0.0</v>
      </c>
      <c r="AZ323" s="1">
        <v>1.0</v>
      </c>
      <c r="BA323" s="1">
        <v>0.0</v>
      </c>
      <c r="BB323" s="1">
        <v>0.0</v>
      </c>
      <c r="BC323" s="2">
        <v>46004.0</v>
      </c>
      <c r="BD323" s="1">
        <v>49.0</v>
      </c>
      <c r="BE323" s="1" t="s">
        <v>550</v>
      </c>
      <c r="BF323" s="1">
        <v>2025.0</v>
      </c>
      <c r="BG323" s="1" t="s">
        <v>558</v>
      </c>
      <c r="BH323" s="7" t="str">
        <f>VLOOKUP(B323,CookieClicks!D:O,12,FALSE)</f>
        <v>https://www.method.me/crm-quickbooks/customer-management-software/?trc=81&amp;trk=&amp;trs=PMax-ERP&amp;campaignid=20938141894&amp;adgroupid=&amp;adid=&amp;gad_source=5&amp;gad_campaignid=20938142383&amp;gclid=EAIaIQobChMI5bG8s4C6kQMVXmRHAR0MMBGPEAAYAiABEgKWnvD_BwE</v>
      </c>
      <c r="BI323" s="8" t="str">
        <f>IFERROR(__xludf.DUMMYFUNCTION("VLOOKUP(REGEXREPLACE(BH323,""[?].*"",""""),ContentBuckets!A:C,2,FALSE)"),"/crm-quickbooks/")</f>
        <v>/crm-quickbooks/</v>
      </c>
      <c r="BJ323" s="8" t="str">
        <f>IFERROR(__xludf.DUMMYFUNCTION("VLOOKUP(REGEXREPLACE(BH323,""[?].*"",""""),ContentBuckets!A:C,3,FALSE)"),"Other page")</f>
        <v>Other page</v>
      </c>
    </row>
    <row r="324" ht="14.25" customHeight="1">
      <c r="A324" s="1">
        <v>153516.0</v>
      </c>
      <c r="B324" s="1" t="s">
        <v>1030</v>
      </c>
      <c r="C324" s="2">
        <v>46004.2</v>
      </c>
      <c r="D324" s="2"/>
      <c r="E324" s="2"/>
      <c r="F324" s="1" t="b">
        <v>1</v>
      </c>
      <c r="G324" s="4" t="b">
        <v>0</v>
      </c>
      <c r="H324" s="1" t="b">
        <v>0</v>
      </c>
      <c r="I324" s="1" t="b">
        <v>0</v>
      </c>
      <c r="J324" s="1" t="s">
        <v>534</v>
      </c>
      <c r="K324" s="1" t="s">
        <v>553</v>
      </c>
      <c r="L324" s="1" t="s">
        <v>599</v>
      </c>
      <c r="M324" s="1" t="s">
        <v>537</v>
      </c>
      <c r="N324" s="1">
        <v>0.0</v>
      </c>
      <c r="O324" s="1">
        <v>44.25</v>
      </c>
      <c r="P324" s="1">
        <v>0.0</v>
      </c>
      <c r="Q324" s="1">
        <v>0.0</v>
      </c>
      <c r="R324" s="1">
        <v>0.0</v>
      </c>
      <c r="S324" s="1" t="s">
        <v>538</v>
      </c>
      <c r="T324" s="1" t="s">
        <v>539</v>
      </c>
      <c r="V324" s="4">
        <v>7338781.0</v>
      </c>
      <c r="W324" s="4"/>
      <c r="X324" s="4">
        <v>0.0</v>
      </c>
      <c r="Y324" s="1">
        <v>0.0</v>
      </c>
      <c r="Z324" s="1">
        <v>0.0</v>
      </c>
      <c r="AA324" s="1">
        <v>1.0</v>
      </c>
      <c r="AB324" s="1">
        <v>0.0</v>
      </c>
      <c r="AC324" s="1">
        <v>0.0</v>
      </c>
      <c r="AD324" s="1">
        <v>0.0</v>
      </c>
      <c r="AE324" s="1">
        <v>0.0</v>
      </c>
      <c r="AF324" s="1">
        <v>0.0</v>
      </c>
      <c r="AG324" s="1">
        <v>0.0</v>
      </c>
      <c r="AH324" s="1">
        <v>0.0</v>
      </c>
      <c r="AI324" s="1">
        <v>0.0</v>
      </c>
      <c r="AJ324" s="1">
        <v>0.0</v>
      </c>
      <c r="AK324" s="1">
        <v>0.0</v>
      </c>
      <c r="AL324" s="1">
        <v>0.0</v>
      </c>
      <c r="AM324" s="4">
        <v>0.0</v>
      </c>
      <c r="AN324" s="1">
        <v>0.0</v>
      </c>
      <c r="AO324" s="4">
        <v>0.0</v>
      </c>
      <c r="AP324" s="1">
        <f t="shared" si="1"/>
        <v>0</v>
      </c>
      <c r="AU324" s="2"/>
      <c r="AV324" s="2">
        <v>46024.0097222222</v>
      </c>
      <c r="AW324" s="1">
        <v>0.0</v>
      </c>
      <c r="AX324" s="1">
        <v>0.0</v>
      </c>
      <c r="AY324" s="1">
        <v>0.0</v>
      </c>
      <c r="AZ324" s="1">
        <v>1.0</v>
      </c>
      <c r="BA324" s="1">
        <v>0.0</v>
      </c>
      <c r="BB324" s="1">
        <v>0.0</v>
      </c>
      <c r="BC324" s="2">
        <v>46004.0</v>
      </c>
      <c r="BD324" s="1">
        <v>49.0</v>
      </c>
      <c r="BE324" s="1" t="s">
        <v>550</v>
      </c>
      <c r="BF324" s="1">
        <v>2025.0</v>
      </c>
      <c r="BG324" s="1" t="s">
        <v>558</v>
      </c>
      <c r="BH324" s="7" t="str">
        <f>VLOOKUP(B324,CookieClicks!D:O,12,FALSE)</f>
        <v>https://www.method.me/crm-quickbooks/customer-management-software/?trc=81&amp;trk=&amp;trs=PMax-ERP&amp;campaignid=20938141894&amp;adgroupid=&amp;adid=&amp;gad_source=5&amp;gad_campaignid=20938142383&amp;gclid=EAIaIQobChMIj5vY-6O6kQMVZEb_AR1pOzziEAAYASABEgJeW_D_BwE</v>
      </c>
      <c r="BI324" s="8" t="str">
        <f>IFERROR(__xludf.DUMMYFUNCTION("VLOOKUP(REGEXREPLACE(BH324,""[?].*"",""""),ContentBuckets!A:C,2,FALSE)"),"/crm-quickbooks/")</f>
        <v>/crm-quickbooks/</v>
      </c>
      <c r="BJ324" s="8" t="str">
        <f>IFERROR(__xludf.DUMMYFUNCTION("VLOOKUP(REGEXREPLACE(BH324,""[?].*"",""""),ContentBuckets!A:C,3,FALSE)"),"Other page")</f>
        <v>Other page</v>
      </c>
    </row>
    <row r="325" ht="14.25" customHeight="1">
      <c r="A325" s="1">
        <v>153517.0</v>
      </c>
      <c r="B325" s="1" t="s">
        <v>1031</v>
      </c>
      <c r="C325" s="2">
        <v>46004.2868055556</v>
      </c>
      <c r="D325" s="2"/>
      <c r="E325" s="2"/>
      <c r="F325" s="1" t="b">
        <v>1</v>
      </c>
      <c r="G325" s="4" t="b">
        <v>0</v>
      </c>
      <c r="H325" s="1" t="b">
        <v>0</v>
      </c>
      <c r="I325" s="1" t="b">
        <v>0</v>
      </c>
      <c r="J325" s="1" t="s">
        <v>534</v>
      </c>
      <c r="K325" s="1" t="s">
        <v>535</v>
      </c>
      <c r="L325" s="1" t="s">
        <v>536</v>
      </c>
      <c r="M325" s="1" t="s">
        <v>537</v>
      </c>
      <c r="N325" s="1">
        <v>0.0</v>
      </c>
      <c r="O325" s="1">
        <v>177.0</v>
      </c>
      <c r="P325" s="1">
        <v>0.0</v>
      </c>
      <c r="Q325" s="1">
        <v>0.0</v>
      </c>
      <c r="R325" s="1">
        <v>28.0</v>
      </c>
      <c r="S325" s="1" t="s">
        <v>538</v>
      </c>
      <c r="T325" s="1" t="s">
        <v>539</v>
      </c>
      <c r="V325" s="4">
        <v>7339068.0</v>
      </c>
      <c r="W325" s="4"/>
      <c r="X325" s="4">
        <v>0.0</v>
      </c>
      <c r="Y325" s="1">
        <v>0.0</v>
      </c>
      <c r="Z325" s="1">
        <v>1.0</v>
      </c>
      <c r="AA325" s="1">
        <v>0.0</v>
      </c>
      <c r="AB325" s="1">
        <v>0.0</v>
      </c>
      <c r="AC325" s="1">
        <v>0.0</v>
      </c>
      <c r="AD325" s="1">
        <v>0.0</v>
      </c>
      <c r="AE325" s="1">
        <v>0.0</v>
      </c>
      <c r="AF325" s="1">
        <v>0.0</v>
      </c>
      <c r="AG325" s="1">
        <v>0.0</v>
      </c>
      <c r="AH325" s="1">
        <v>0.0</v>
      </c>
      <c r="AI325" s="1">
        <v>0.0</v>
      </c>
      <c r="AJ325" s="1">
        <v>0.0</v>
      </c>
      <c r="AK325" s="1">
        <v>0.0</v>
      </c>
      <c r="AL325" s="1">
        <v>0.0</v>
      </c>
      <c r="AM325" s="4">
        <v>0.0</v>
      </c>
      <c r="AN325" s="1">
        <v>0.0</v>
      </c>
      <c r="AO325" s="4">
        <v>0.0</v>
      </c>
      <c r="AP325" s="1">
        <f t="shared" si="1"/>
        <v>0</v>
      </c>
      <c r="AQ325" s="1" t="s">
        <v>1032</v>
      </c>
      <c r="AR325" s="1" t="s">
        <v>681</v>
      </c>
      <c r="AU325" s="2">
        <v>46004.0</v>
      </c>
      <c r="AV325" s="2">
        <v>46023.9881944444</v>
      </c>
      <c r="AW325" s="1">
        <v>0.0</v>
      </c>
      <c r="AX325" s="1">
        <v>1.0217534292E8</v>
      </c>
      <c r="AY325" s="1">
        <v>1135.0</v>
      </c>
      <c r="AZ325" s="1">
        <v>6.0</v>
      </c>
      <c r="BA325" s="1">
        <v>0.0</v>
      </c>
      <c r="BB325" s="1">
        <v>0.0</v>
      </c>
      <c r="BC325" s="2">
        <v>46004.0</v>
      </c>
      <c r="BD325" s="1">
        <v>49.0</v>
      </c>
      <c r="BE325" s="1" t="s">
        <v>550</v>
      </c>
      <c r="BF325" s="1">
        <v>2025.0</v>
      </c>
      <c r="BG325" s="1" t="s">
        <v>1033</v>
      </c>
      <c r="BH325" s="7" t="str">
        <f>VLOOKUP(B325,CookieClicks!D:O,12,FALSE)</f>
        <v>http://signup.method.me/methodcrm?trc=69&amp;trk=win-more-biz-qb-crm&amp;trs=vimeo&amp;utm_source=Intuit&amp;utm_medium=vimeo&amp;utm_campaign=cta&amp;dc=638724609380700000</v>
      </c>
      <c r="BI325" s="8" t="str">
        <f>IFERROR(__xludf.DUMMYFUNCTION("VLOOKUP(REGEXREPLACE(BH325,""[?].*"",""""),ContentBuckets!A:C,2,FALSE)"),"#N/A")</f>
        <v>#N/A</v>
      </c>
      <c r="BJ325" s="8" t="str">
        <f>IFERROR(__xludf.DUMMYFUNCTION("VLOOKUP(REGEXREPLACE(BH325,""[?].*"",""""),ContentBuckets!A:C,3,FALSE)"),"#N/A")</f>
        <v>#N/A</v>
      </c>
    </row>
    <row r="326" ht="14.25" customHeight="1">
      <c r="A326" s="1">
        <v>153518.0</v>
      </c>
      <c r="B326" s="1" t="s">
        <v>1034</v>
      </c>
      <c r="C326" s="2">
        <v>46004.3944444444</v>
      </c>
      <c r="D326" s="2"/>
      <c r="E326" s="2"/>
      <c r="F326" s="1" t="b">
        <v>1</v>
      </c>
      <c r="G326" s="4" t="b">
        <v>0</v>
      </c>
      <c r="H326" s="1" t="b">
        <v>0</v>
      </c>
      <c r="I326" s="1" t="b">
        <v>0</v>
      </c>
      <c r="J326" s="1" t="s">
        <v>534</v>
      </c>
      <c r="K326" s="1" t="s">
        <v>535</v>
      </c>
      <c r="L326" s="1" t="s">
        <v>536</v>
      </c>
      <c r="M326" s="1" t="s">
        <v>537</v>
      </c>
      <c r="N326" s="1">
        <v>0.0</v>
      </c>
      <c r="O326" s="1">
        <v>63.75</v>
      </c>
      <c r="P326" s="1">
        <v>0.0</v>
      </c>
      <c r="Q326" s="1">
        <v>0.0</v>
      </c>
      <c r="R326" s="1">
        <v>28.0</v>
      </c>
      <c r="S326" s="1" t="s">
        <v>538</v>
      </c>
      <c r="T326" s="1" t="s">
        <v>539</v>
      </c>
      <c r="V326" s="4">
        <v>7339662.0</v>
      </c>
      <c r="W326" s="4"/>
      <c r="X326" s="4">
        <v>0.0</v>
      </c>
      <c r="Y326" s="1">
        <v>0.0</v>
      </c>
      <c r="Z326" s="1">
        <v>0.0</v>
      </c>
      <c r="AA326" s="1">
        <v>1.0</v>
      </c>
      <c r="AB326" s="1">
        <v>0.0</v>
      </c>
      <c r="AC326" s="1">
        <v>0.0</v>
      </c>
      <c r="AD326" s="1">
        <v>0.0</v>
      </c>
      <c r="AE326" s="1">
        <v>0.0</v>
      </c>
      <c r="AF326" s="1">
        <v>0.0</v>
      </c>
      <c r="AG326" s="1">
        <v>0.0</v>
      </c>
      <c r="AH326" s="1">
        <v>0.0</v>
      </c>
      <c r="AI326" s="1">
        <v>0.0</v>
      </c>
      <c r="AJ326" s="1">
        <v>0.0</v>
      </c>
      <c r="AK326" s="1">
        <v>0.0</v>
      </c>
      <c r="AL326" s="1">
        <v>0.0</v>
      </c>
      <c r="AM326" s="4">
        <v>0.0</v>
      </c>
      <c r="AN326" s="1">
        <v>0.0</v>
      </c>
      <c r="AO326" s="4">
        <v>0.0</v>
      </c>
      <c r="AP326" s="1">
        <f t="shared" si="1"/>
        <v>0</v>
      </c>
      <c r="AQ326" s="1" t="s">
        <v>557</v>
      </c>
      <c r="AR326" s="1" t="s">
        <v>571</v>
      </c>
      <c r="AU326" s="2">
        <v>46004.0</v>
      </c>
      <c r="AV326" s="2">
        <v>46024.0166666667</v>
      </c>
      <c r="AW326" s="1">
        <v>25.0</v>
      </c>
      <c r="AX326" s="1">
        <v>6850700.4</v>
      </c>
      <c r="AY326" s="1">
        <v>1363.0</v>
      </c>
      <c r="AZ326" s="1">
        <v>1.0</v>
      </c>
      <c r="BA326" s="1">
        <v>0.0</v>
      </c>
      <c r="BB326" s="1">
        <v>0.0</v>
      </c>
      <c r="BC326" s="2">
        <v>46004.0</v>
      </c>
      <c r="BD326" s="1">
        <v>49.0</v>
      </c>
      <c r="BE326" s="1" t="s">
        <v>550</v>
      </c>
      <c r="BF326" s="1">
        <v>2025.0</v>
      </c>
      <c r="BG326" s="1" t="s">
        <v>558</v>
      </c>
      <c r="BH326" s="1" t="str">
        <f>VLOOKUP(B326,CookieClicks!D:O,12,FALSE)</f>
        <v>https://grow.method.me/crm-quickbooks/?trc=86&amp;trk=how to use quickbooks online with a sales crm&amp;trs=US-QBInt-Bing&amp;msclkid=e82977076c541f064eda1e3a1aa97596&amp;utm_source=bing&amp;utm_medium=cpc&amp;utm_campaign=US - Generic 2020&amp;utm_term=how to use quickbooks online with a sales crm&amp;utm_content=Integrations</v>
      </c>
      <c r="BI326" s="8" t="str">
        <f>IFERROR(__xludf.DUMMYFUNCTION("VLOOKUP(REGEXREPLACE(BH326,""[?].*"",""""),ContentBuckets!A:C,2,FALSE)"),"#N/A")</f>
        <v>#N/A</v>
      </c>
      <c r="BJ326" s="8" t="str">
        <f>IFERROR(__xludf.DUMMYFUNCTION("VLOOKUP(REGEXREPLACE(BH326,""[?].*"",""""),ContentBuckets!A:C,3,FALSE)"),"#N/A")</f>
        <v>#N/A</v>
      </c>
    </row>
    <row r="327" ht="14.25" customHeight="1">
      <c r="A327" s="1">
        <v>153519.0</v>
      </c>
      <c r="B327" s="1" t="s">
        <v>1035</v>
      </c>
      <c r="C327" s="2">
        <v>46004.4569444444</v>
      </c>
      <c r="D327" s="2"/>
      <c r="E327" s="2"/>
      <c r="F327" s="1" t="b">
        <v>1</v>
      </c>
      <c r="G327" s="4" t="b">
        <v>0</v>
      </c>
      <c r="H327" s="1" t="b">
        <v>0</v>
      </c>
      <c r="I327" s="1" t="b">
        <v>0</v>
      </c>
      <c r="J327" s="1" t="s">
        <v>534</v>
      </c>
      <c r="K327" s="1" t="s">
        <v>566</v>
      </c>
      <c r="L327" s="1" t="s">
        <v>567</v>
      </c>
      <c r="M327" s="1" t="s">
        <v>537</v>
      </c>
      <c r="N327" s="1">
        <v>0.0</v>
      </c>
      <c r="O327" s="1">
        <v>44.25</v>
      </c>
      <c r="P327" s="1">
        <v>0.0</v>
      </c>
      <c r="Q327" s="1">
        <v>0.0</v>
      </c>
      <c r="R327" s="1">
        <v>28.0</v>
      </c>
      <c r="S327" s="1" t="s">
        <v>538</v>
      </c>
      <c r="T327" s="1" t="s">
        <v>539</v>
      </c>
      <c r="V327" s="4">
        <v>7008148.0</v>
      </c>
      <c r="W327" s="4"/>
      <c r="X327" s="4">
        <v>0.0</v>
      </c>
      <c r="Y327" s="1">
        <v>0.0</v>
      </c>
      <c r="Z327" s="1">
        <v>0.0</v>
      </c>
      <c r="AA327" s="1">
        <v>1.0</v>
      </c>
      <c r="AB327" s="1">
        <v>0.0</v>
      </c>
      <c r="AC327" s="1">
        <v>0.0</v>
      </c>
      <c r="AD327" s="1">
        <v>0.0</v>
      </c>
      <c r="AE327" s="1">
        <v>0.0</v>
      </c>
      <c r="AF327" s="1">
        <v>0.0</v>
      </c>
      <c r="AG327" s="1">
        <v>0.0</v>
      </c>
      <c r="AH327" s="1">
        <v>0.0</v>
      </c>
      <c r="AI327" s="1">
        <v>0.0</v>
      </c>
      <c r="AJ327" s="1">
        <v>0.0</v>
      </c>
      <c r="AK327" s="1">
        <v>0.0</v>
      </c>
      <c r="AL327" s="1">
        <v>0.0</v>
      </c>
      <c r="AM327" s="4">
        <v>0.0</v>
      </c>
      <c r="AN327" s="1">
        <v>0.0</v>
      </c>
      <c r="AO327" s="4">
        <v>0.0</v>
      </c>
      <c r="AP327" s="1">
        <f t="shared" si="1"/>
        <v>0</v>
      </c>
      <c r="AR327" s="1" t="s">
        <v>571</v>
      </c>
      <c r="AU327" s="2"/>
      <c r="AV327" s="2">
        <v>46024.0375</v>
      </c>
      <c r="AW327" s="1">
        <v>0.0</v>
      </c>
      <c r="AX327" s="1">
        <v>0.0</v>
      </c>
      <c r="AY327" s="1">
        <v>0.0</v>
      </c>
      <c r="AZ327" s="1">
        <v>1.0</v>
      </c>
      <c r="BA327" s="1">
        <v>0.0</v>
      </c>
      <c r="BB327" s="1">
        <v>0.0</v>
      </c>
      <c r="BC327" s="2">
        <v>46004.0</v>
      </c>
      <c r="BD327" s="1">
        <v>49.0</v>
      </c>
      <c r="BE327" s="1" t="s">
        <v>550</v>
      </c>
      <c r="BF327" s="1">
        <v>2025.0</v>
      </c>
      <c r="BG327" s="1" t="s">
        <v>558</v>
      </c>
      <c r="BH327" s="1" t="str">
        <f>VLOOKUP(B327,CookieClicks!D:O,12,FALSE)</f>
        <v>https://grow.method.me/best-quickbooks-crm/?trc=86&amp;trk=grow.method.me&amp;trs=Bing-PMax&amp;msclkid=6df8489e2cda1274daa0206e3a2228f2&amp;utm_source=bing&amp;utm_medium=cpc&amp;utm_campaign=Bing - PMAX&amp;utm_term=grow.method.me&amp;utm_content=US - retargeting</v>
      </c>
      <c r="BI327" s="8" t="str">
        <f>IFERROR(__xludf.DUMMYFUNCTION("VLOOKUP(REGEXREPLACE(BH327,""[?].*"",""""),ContentBuckets!A:C,2,FALSE)"),"#N/A")</f>
        <v>#N/A</v>
      </c>
      <c r="BJ327" s="8" t="str">
        <f>IFERROR(__xludf.DUMMYFUNCTION("VLOOKUP(REGEXREPLACE(BH327,""[?].*"",""""),ContentBuckets!A:C,3,FALSE)"),"#N/A")</f>
        <v>#N/A</v>
      </c>
    </row>
    <row r="328" ht="14.25" customHeight="1">
      <c r="A328" s="1">
        <v>153520.0</v>
      </c>
      <c r="B328" s="1" t="s">
        <v>1036</v>
      </c>
      <c r="C328" s="2">
        <v>46004.5256944444</v>
      </c>
      <c r="D328" s="2"/>
      <c r="E328" s="2"/>
      <c r="F328" s="1" t="b">
        <v>1</v>
      </c>
      <c r="G328" s="4" t="b">
        <v>0</v>
      </c>
      <c r="H328" s="1" t="b">
        <v>0</v>
      </c>
      <c r="I328" s="1" t="b">
        <v>0</v>
      </c>
      <c r="J328" s="1" t="s">
        <v>534</v>
      </c>
      <c r="K328" s="1" t="s">
        <v>553</v>
      </c>
      <c r="L328" s="1" t="s">
        <v>599</v>
      </c>
      <c r="M328" s="1" t="s">
        <v>537</v>
      </c>
      <c r="N328" s="1">
        <v>0.0</v>
      </c>
      <c r="O328" s="1">
        <v>44.25</v>
      </c>
      <c r="P328" s="1">
        <v>0.0</v>
      </c>
      <c r="Q328" s="1">
        <v>0.0</v>
      </c>
      <c r="R328" s="1">
        <v>0.0</v>
      </c>
      <c r="S328" s="1" t="s">
        <v>538</v>
      </c>
      <c r="T328" s="1" t="s">
        <v>539</v>
      </c>
      <c r="V328" s="4">
        <v>7340537.0</v>
      </c>
      <c r="W328" s="4"/>
      <c r="X328" s="4">
        <v>0.0</v>
      </c>
      <c r="Y328" s="1">
        <v>0.0</v>
      </c>
      <c r="Z328" s="1">
        <v>0.0</v>
      </c>
      <c r="AA328" s="1">
        <v>1.0</v>
      </c>
      <c r="AB328" s="1">
        <v>0.0</v>
      </c>
      <c r="AC328" s="1">
        <v>0.0</v>
      </c>
      <c r="AD328" s="1">
        <v>0.0</v>
      </c>
      <c r="AE328" s="1">
        <v>0.0</v>
      </c>
      <c r="AF328" s="1">
        <v>0.0</v>
      </c>
      <c r="AG328" s="1">
        <v>0.0</v>
      </c>
      <c r="AH328" s="1">
        <v>0.0</v>
      </c>
      <c r="AI328" s="1">
        <v>0.0</v>
      </c>
      <c r="AJ328" s="1">
        <v>0.0</v>
      </c>
      <c r="AK328" s="1">
        <v>0.0</v>
      </c>
      <c r="AL328" s="1">
        <v>0.0</v>
      </c>
      <c r="AM328" s="4">
        <v>0.0</v>
      </c>
      <c r="AN328" s="1">
        <v>0.0</v>
      </c>
      <c r="AO328" s="4">
        <v>0.0</v>
      </c>
      <c r="AP328" s="1">
        <f t="shared" si="1"/>
        <v>0</v>
      </c>
      <c r="AU328" s="2"/>
      <c r="AV328" s="2">
        <v>46024.0138888889</v>
      </c>
      <c r="AW328" s="1">
        <v>0.0</v>
      </c>
      <c r="AX328" s="1">
        <v>0.0</v>
      </c>
      <c r="AY328" s="1">
        <v>0.0</v>
      </c>
      <c r="AZ328" s="1">
        <v>1.0</v>
      </c>
      <c r="BA328" s="1">
        <v>0.0</v>
      </c>
      <c r="BB328" s="1">
        <v>0.0</v>
      </c>
      <c r="BC328" s="2">
        <v>46004.0</v>
      </c>
      <c r="BD328" s="1">
        <v>49.0</v>
      </c>
      <c r="BE328" s="1" t="s">
        <v>550</v>
      </c>
      <c r="BF328" s="1">
        <v>2025.0</v>
      </c>
      <c r="BG328" s="1" t="s">
        <v>558</v>
      </c>
      <c r="BH328" s="7" t="str">
        <f>VLOOKUP(B328,CookieClicks!D:O,12,FALSE)</f>
        <v>https://grow.method.me/quickbooks-crm-fb/?trc=517&amp;trk=BOF&amp;trs=FB-Lookalike&amp;utm_source=Facebook&amp;utm_medium=PPC&amp;utm_campaign=Banner_trial&amp;utm_id=120213444289450307&amp;utm_content=120215433569050307&amp;utm_term=120215433408020307&amp;fbclid=IwY2xjawOqg4JleHRuA2FlbQEwAGFkaWQBqyqL-KxFI3NydGMGYXBwX2lkDzE2NTkwNzQ3Njg1NDYyNgABHgzQeZ5SELNElQgIcSJeMBfxE7JrBRtJjMUuQyzGCVWHJZaIqo6nk7z4pSvn_aem_ZvvWN3DMqTvNxGGXO0p35w&amp;campaign_id=120213444289450307&amp;ad_id=120215433569050307</v>
      </c>
      <c r="BI328" s="8" t="str">
        <f>IFERROR(__xludf.DUMMYFUNCTION("VLOOKUP(REGEXREPLACE(BH328,""[?].*"",""""),ContentBuckets!A:C,2,FALSE)"),"#N/A")</f>
        <v>#N/A</v>
      </c>
      <c r="BJ328" s="8" t="str">
        <f>IFERROR(__xludf.DUMMYFUNCTION("VLOOKUP(REGEXREPLACE(BH328,""[?].*"",""""),ContentBuckets!A:C,3,FALSE)"),"#N/A")</f>
        <v>#N/A</v>
      </c>
    </row>
    <row r="329" ht="14.25" customHeight="1">
      <c r="A329" s="1">
        <v>153521.0</v>
      </c>
      <c r="B329" s="1" t="s">
        <v>1037</v>
      </c>
      <c r="C329" s="2">
        <v>46004.5506944444</v>
      </c>
      <c r="D329" s="2"/>
      <c r="E329" s="2"/>
      <c r="F329" s="1" t="b">
        <v>1</v>
      </c>
      <c r="G329" s="4" t="b">
        <v>0</v>
      </c>
      <c r="H329" s="1" t="b">
        <v>0</v>
      </c>
      <c r="I329" s="1" t="b">
        <v>0</v>
      </c>
      <c r="J329" s="1" t="s">
        <v>534</v>
      </c>
      <c r="K329" s="1" t="s">
        <v>535</v>
      </c>
      <c r="L329" s="1" t="s">
        <v>536</v>
      </c>
      <c r="M329" s="1" t="s">
        <v>537</v>
      </c>
      <c r="N329" s="1">
        <v>0.0</v>
      </c>
      <c r="O329" s="1">
        <v>54.75</v>
      </c>
      <c r="P329" s="1">
        <v>0.0</v>
      </c>
      <c r="Q329" s="1">
        <v>0.0</v>
      </c>
      <c r="R329" s="1">
        <v>28.0</v>
      </c>
      <c r="S329" s="1" t="s">
        <v>538</v>
      </c>
      <c r="T329" s="1" t="s">
        <v>539</v>
      </c>
      <c r="V329" s="4">
        <v>7340674.0</v>
      </c>
      <c r="W329" s="4"/>
      <c r="X329" s="4">
        <v>0.0</v>
      </c>
      <c r="Y329" s="1">
        <v>0.0</v>
      </c>
      <c r="Z329" s="1">
        <v>0.0</v>
      </c>
      <c r="AA329" s="1">
        <v>0.0</v>
      </c>
      <c r="AB329" s="1">
        <v>0.0</v>
      </c>
      <c r="AC329" s="1">
        <v>0.0</v>
      </c>
      <c r="AD329" s="1">
        <v>0.0</v>
      </c>
      <c r="AE329" s="1">
        <v>0.0</v>
      </c>
      <c r="AF329" s="1">
        <v>0.0</v>
      </c>
      <c r="AG329" s="1">
        <v>0.0</v>
      </c>
      <c r="AH329" s="1">
        <v>0.0</v>
      </c>
      <c r="AI329" s="1">
        <v>0.0</v>
      </c>
      <c r="AJ329" s="1">
        <v>0.0</v>
      </c>
      <c r="AK329" s="1">
        <v>0.0</v>
      </c>
      <c r="AL329" s="1">
        <v>0.0</v>
      </c>
      <c r="AM329" s="4">
        <v>0.0</v>
      </c>
      <c r="AN329" s="1">
        <v>0.0</v>
      </c>
      <c r="AO329" s="4">
        <v>0.0</v>
      </c>
      <c r="AP329" s="1">
        <f t="shared" si="1"/>
        <v>1</v>
      </c>
      <c r="AR329" s="1" t="s">
        <v>608</v>
      </c>
      <c r="AU329" s="2"/>
      <c r="AV329" s="2">
        <v>46024.04375</v>
      </c>
      <c r="AW329" s="1">
        <v>0.0</v>
      </c>
      <c r="AX329" s="1">
        <v>0.0</v>
      </c>
      <c r="AY329" s="1">
        <v>0.0</v>
      </c>
      <c r="AZ329" s="1">
        <v>1.0</v>
      </c>
      <c r="BA329" s="1">
        <v>0.0</v>
      </c>
      <c r="BB329" s="1">
        <v>0.0</v>
      </c>
      <c r="BC329" s="2">
        <v>46004.0</v>
      </c>
      <c r="BD329" s="1">
        <v>49.0</v>
      </c>
      <c r="BE329" s="1" t="s">
        <v>550</v>
      </c>
      <c r="BF329" s="1">
        <v>2025.0</v>
      </c>
      <c r="BG329" s="1" t="s">
        <v>786</v>
      </c>
      <c r="BH329" s="7" t="str">
        <f>VLOOKUP(B329,CookieClicks!D:O,12,FALSE)</f>
        <v>http://signup.method.me/methodcrm/</v>
      </c>
      <c r="BI329" s="8" t="str">
        <f>IFERROR(__xludf.DUMMYFUNCTION("VLOOKUP(REGEXREPLACE(BH329,""[?].*"",""""),ContentBuckets!A:C,2,FALSE)"),"#N/A")</f>
        <v>#N/A</v>
      </c>
      <c r="BJ329" s="8" t="str">
        <f>IFERROR(__xludf.DUMMYFUNCTION("VLOOKUP(REGEXREPLACE(BH329,""[?].*"",""""),ContentBuckets!A:C,3,FALSE)"),"#N/A")</f>
        <v>#N/A</v>
      </c>
    </row>
    <row r="330" ht="14.25" customHeight="1">
      <c r="A330" s="1">
        <v>153522.0</v>
      </c>
      <c r="B330" s="1" t="s">
        <v>1038</v>
      </c>
      <c r="C330" s="2">
        <v>46004.6201388889</v>
      </c>
      <c r="D330" s="2"/>
      <c r="E330" s="2"/>
      <c r="F330" s="1" t="b">
        <v>1</v>
      </c>
      <c r="G330" s="4" t="b">
        <v>0</v>
      </c>
      <c r="H330" s="1" t="b">
        <v>0</v>
      </c>
      <c r="I330" s="1" t="b">
        <v>0</v>
      </c>
      <c r="J330" s="1" t="s">
        <v>534</v>
      </c>
      <c r="K330" s="1" t="s">
        <v>535</v>
      </c>
      <c r="L330" s="1" t="s">
        <v>536</v>
      </c>
      <c r="M330" s="1" t="s">
        <v>537</v>
      </c>
      <c r="N330" s="1">
        <v>0.0</v>
      </c>
      <c r="O330" s="1">
        <v>44.25</v>
      </c>
      <c r="P330" s="1">
        <v>0.0</v>
      </c>
      <c r="Q330" s="1">
        <v>0.0</v>
      </c>
      <c r="R330" s="1">
        <v>0.0</v>
      </c>
      <c r="S330" s="1" t="s">
        <v>538</v>
      </c>
      <c r="T330" s="1" t="s">
        <v>539</v>
      </c>
      <c r="V330" s="4">
        <v>7341148.0</v>
      </c>
      <c r="W330" s="4"/>
      <c r="X330" s="4">
        <v>0.0</v>
      </c>
      <c r="Y330" s="1">
        <v>0.0</v>
      </c>
      <c r="Z330" s="1">
        <v>0.0</v>
      </c>
      <c r="AA330" s="1">
        <v>1.0</v>
      </c>
      <c r="AB330" s="1">
        <v>0.0</v>
      </c>
      <c r="AC330" s="1">
        <v>0.0</v>
      </c>
      <c r="AD330" s="1">
        <v>0.0</v>
      </c>
      <c r="AE330" s="1">
        <v>0.0</v>
      </c>
      <c r="AF330" s="1">
        <v>0.0</v>
      </c>
      <c r="AG330" s="1">
        <v>0.0</v>
      </c>
      <c r="AH330" s="1">
        <v>0.0</v>
      </c>
      <c r="AI330" s="1">
        <v>0.0</v>
      </c>
      <c r="AJ330" s="1">
        <v>0.0</v>
      </c>
      <c r="AK330" s="1">
        <v>0.0</v>
      </c>
      <c r="AL330" s="1">
        <v>0.0</v>
      </c>
      <c r="AM330" s="4">
        <v>0.0</v>
      </c>
      <c r="AN330" s="1">
        <v>0.0</v>
      </c>
      <c r="AO330" s="4">
        <v>0.0</v>
      </c>
      <c r="AP330" s="1">
        <f t="shared" si="1"/>
        <v>0</v>
      </c>
      <c r="AU330" s="2"/>
      <c r="AV330" s="2">
        <v>46024.0277777778</v>
      </c>
      <c r="AW330" s="1">
        <v>0.0</v>
      </c>
      <c r="AX330" s="1">
        <v>0.0</v>
      </c>
      <c r="AY330" s="1">
        <v>0.0</v>
      </c>
      <c r="AZ330" s="1">
        <v>1.0</v>
      </c>
      <c r="BA330" s="1">
        <v>0.0</v>
      </c>
      <c r="BB330" s="1">
        <v>0.0</v>
      </c>
      <c r="BC330" s="2">
        <v>46004.0</v>
      </c>
      <c r="BD330" s="1">
        <v>49.0</v>
      </c>
      <c r="BE330" s="1" t="s">
        <v>550</v>
      </c>
      <c r="BF330" s="1">
        <v>2025.0</v>
      </c>
      <c r="BG330" s="1" t="s">
        <v>546</v>
      </c>
      <c r="BH330" s="1" t="str">
        <f>VLOOKUP(B330,CookieClicks!D:O,12,FALSE)</f>
        <v>https://grow.method.me/quickbooks-customization/?trc=81&amp;trk=quickbooks invoice customization&amp;trs=CA-Customization&amp;campaignid=1543604353&amp;adgroupid=187747789113&amp;adid=776764616790&amp;gad_source=1&amp;gad_campaignid=1543604353&amp;gbraid=0AAAAAD3ItnagJZrvK3YnHuuaXZGRTXlwd&amp;gclid=Cj0KCQiAuvTJBhCwARIsAL6Demj165IabiVitof104u42jT7HTrXNATdx-YHokPKhct7qvJAInSd1QkaAgavEALw_wcB</v>
      </c>
      <c r="BI330" s="8" t="str">
        <f>IFERROR(__xludf.DUMMYFUNCTION("VLOOKUP(REGEXREPLACE(BH330,""[?].*"",""""),ContentBuckets!A:C,2,FALSE)"),"#N/A")</f>
        <v>#N/A</v>
      </c>
      <c r="BJ330" s="8" t="str">
        <f>IFERROR(__xludf.DUMMYFUNCTION("VLOOKUP(REGEXREPLACE(BH330,""[?].*"",""""),ContentBuckets!A:C,3,FALSE)"),"#N/A")</f>
        <v>#N/A</v>
      </c>
    </row>
    <row r="331" ht="14.25" customHeight="1">
      <c r="A331" s="1">
        <v>153523.0</v>
      </c>
      <c r="B331" s="1" t="s">
        <v>1039</v>
      </c>
      <c r="C331" s="2">
        <v>46004.6576388889</v>
      </c>
      <c r="D331" s="2">
        <v>46006.5166666667</v>
      </c>
      <c r="E331" s="2"/>
      <c r="F331" s="1" t="b">
        <v>0</v>
      </c>
      <c r="G331" s="4" t="b">
        <v>1</v>
      </c>
      <c r="H331" s="1" t="b">
        <v>0</v>
      </c>
      <c r="I331" s="1" t="b">
        <v>0</v>
      </c>
      <c r="J331" s="1" t="s">
        <v>534</v>
      </c>
      <c r="K331" s="1" t="s">
        <v>535</v>
      </c>
      <c r="L331" s="1" t="s">
        <v>536</v>
      </c>
      <c r="M331" s="1" t="s">
        <v>537</v>
      </c>
      <c r="N331" s="1">
        <v>0.0</v>
      </c>
      <c r="O331" s="1">
        <v>63.75</v>
      </c>
      <c r="P331" s="1">
        <v>0.0</v>
      </c>
      <c r="Q331" s="1">
        <v>0.0</v>
      </c>
      <c r="R331" s="1">
        <v>28.0</v>
      </c>
      <c r="S331" s="1" t="s">
        <v>538</v>
      </c>
      <c r="T331" s="1" t="s">
        <v>539</v>
      </c>
      <c r="V331" s="4">
        <v>7341433.0</v>
      </c>
      <c r="W331" s="4" t="s">
        <v>540</v>
      </c>
      <c r="X331" s="4">
        <v>0.0</v>
      </c>
      <c r="Y331" s="1">
        <v>1.0</v>
      </c>
      <c r="Z331" s="1">
        <v>0.0</v>
      </c>
      <c r="AA331" s="1">
        <v>0.0</v>
      </c>
      <c r="AB331" s="1">
        <v>0.0</v>
      </c>
      <c r="AC331" s="1">
        <v>0.0</v>
      </c>
      <c r="AD331" s="1">
        <v>0.0</v>
      </c>
      <c r="AE331" s="1">
        <v>0.0</v>
      </c>
      <c r="AF331" s="1">
        <v>0.0</v>
      </c>
      <c r="AG331" s="1">
        <v>0.0</v>
      </c>
      <c r="AH331" s="1">
        <v>0.0</v>
      </c>
      <c r="AI331" s="1">
        <v>0.0</v>
      </c>
      <c r="AJ331" s="1">
        <v>0.0</v>
      </c>
      <c r="AK331" s="1">
        <v>0.0</v>
      </c>
      <c r="AL331" s="1">
        <v>0.0</v>
      </c>
      <c r="AM331" s="4">
        <v>0.0</v>
      </c>
      <c r="AN331" s="1">
        <v>0.0</v>
      </c>
      <c r="AO331" s="4">
        <v>0.0</v>
      </c>
      <c r="AP331" s="1">
        <f t="shared" si="1"/>
        <v>0</v>
      </c>
      <c r="AR331" s="1" t="s">
        <v>681</v>
      </c>
      <c r="AU331" s="2"/>
      <c r="AV331" s="2">
        <v>46006.0347222222</v>
      </c>
      <c r="AW331" s="1">
        <v>0.0</v>
      </c>
      <c r="AX331" s="1">
        <v>0.0</v>
      </c>
      <c r="AY331" s="1">
        <v>0.0</v>
      </c>
      <c r="AZ331" s="1">
        <v>1.0</v>
      </c>
      <c r="BA331" s="1">
        <v>0.0</v>
      </c>
      <c r="BB331" s="1">
        <v>0.0</v>
      </c>
      <c r="BC331" s="2">
        <v>46004.0</v>
      </c>
      <c r="BD331" s="1">
        <v>49.0</v>
      </c>
      <c r="BE331" s="1" t="s">
        <v>550</v>
      </c>
      <c r="BF331" s="1">
        <v>2025.0</v>
      </c>
      <c r="BG331" s="1" t="s">
        <v>558</v>
      </c>
      <c r="BH331" s="7" t="str">
        <f>VLOOKUP(B331,CookieClicks!D:O,12,FALSE)</f>
        <v>https://www.method.me/</v>
      </c>
      <c r="BI331" s="8" t="str">
        <f>IFERROR(__xludf.DUMMYFUNCTION("VLOOKUP(REGEXREPLACE(BH331,""[?].*"",""""),ContentBuckets!A:C,2,FALSE)"),"Homepage")</f>
        <v>Homepage</v>
      </c>
      <c r="BJ331" s="8" t="str">
        <f>IFERROR(__xludf.DUMMYFUNCTION("VLOOKUP(REGEXREPLACE(BH331,""[?].*"",""""),ContentBuckets!A:C,3,FALSE)"),"Other page")</f>
        <v>Other page</v>
      </c>
    </row>
    <row r="332" ht="14.25" customHeight="1">
      <c r="A332" s="1">
        <v>153524.0</v>
      </c>
      <c r="B332" s="1" t="s">
        <v>1040</v>
      </c>
      <c r="C332" s="2">
        <v>46004.6826388889</v>
      </c>
      <c r="D332" s="2">
        <v>46007.3548611111</v>
      </c>
      <c r="E332" s="2"/>
      <c r="F332" s="1" t="b">
        <v>0</v>
      </c>
      <c r="G332" s="4" t="b">
        <v>1</v>
      </c>
      <c r="H332" s="1" t="b">
        <v>0</v>
      </c>
      <c r="I332" s="1" t="b">
        <v>0</v>
      </c>
      <c r="J332" s="1" t="s">
        <v>534</v>
      </c>
      <c r="K332" s="1" t="s">
        <v>566</v>
      </c>
      <c r="L332" s="1" t="s">
        <v>567</v>
      </c>
      <c r="M332" s="1" t="s">
        <v>537</v>
      </c>
      <c r="N332" s="1">
        <v>0.0</v>
      </c>
      <c r="O332" s="1">
        <v>63.75</v>
      </c>
      <c r="P332" s="1">
        <v>0.0</v>
      </c>
      <c r="Q332" s="1">
        <v>0.0</v>
      </c>
      <c r="R332" s="1">
        <v>28.0</v>
      </c>
      <c r="S332" s="1" t="s">
        <v>538</v>
      </c>
      <c r="T332" s="1" t="s">
        <v>539</v>
      </c>
      <c r="V332" s="4">
        <v>7340072.0</v>
      </c>
      <c r="W332" s="4"/>
      <c r="X332" s="4">
        <v>1.0</v>
      </c>
      <c r="Y332" s="1">
        <v>0.0</v>
      </c>
      <c r="Z332" s="1">
        <v>0.0</v>
      </c>
      <c r="AA332" s="1">
        <v>0.0</v>
      </c>
      <c r="AB332" s="1">
        <v>0.0</v>
      </c>
      <c r="AC332" s="1">
        <v>0.0</v>
      </c>
      <c r="AD332" s="1">
        <v>0.0</v>
      </c>
      <c r="AE332" s="1">
        <v>0.0</v>
      </c>
      <c r="AF332" s="1">
        <v>0.0</v>
      </c>
      <c r="AG332" s="1">
        <v>0.0</v>
      </c>
      <c r="AH332" s="1">
        <v>0.0</v>
      </c>
      <c r="AI332" s="1">
        <v>0.0</v>
      </c>
      <c r="AJ332" s="1">
        <v>0.0</v>
      </c>
      <c r="AK332" s="1">
        <v>0.0</v>
      </c>
      <c r="AL332" s="1">
        <v>0.0</v>
      </c>
      <c r="AM332" s="4">
        <v>0.0</v>
      </c>
      <c r="AN332" s="1">
        <v>0.0</v>
      </c>
      <c r="AO332" s="4">
        <v>0.0</v>
      </c>
      <c r="AP332" s="1">
        <f t="shared" si="1"/>
        <v>0</v>
      </c>
      <c r="AR332" s="1" t="s">
        <v>571</v>
      </c>
      <c r="AU332" s="2"/>
      <c r="AV332" s="2">
        <v>46006.98125</v>
      </c>
      <c r="AW332" s="1">
        <v>0.0</v>
      </c>
      <c r="AX332" s="1">
        <v>0.0</v>
      </c>
      <c r="AY332" s="1">
        <v>0.0</v>
      </c>
      <c r="AZ332" s="1">
        <v>1.0</v>
      </c>
      <c r="BA332" s="1">
        <v>0.0</v>
      </c>
      <c r="BB332" s="1">
        <v>0.0</v>
      </c>
      <c r="BC332" s="2">
        <v>46004.0</v>
      </c>
      <c r="BD332" s="1">
        <v>49.0</v>
      </c>
      <c r="BE332" s="1" t="s">
        <v>550</v>
      </c>
      <c r="BF332" s="1">
        <v>2025.0</v>
      </c>
      <c r="BG332" s="1" t="s">
        <v>558</v>
      </c>
      <c r="BH332" s="7" t="str">
        <f>VLOOKUP(B332,CookieClicks!D:O,12,FALSE)</f>
        <v>https://www.method.me/crm-quickbooks/enterprise/</v>
      </c>
      <c r="BI332" s="8" t="str">
        <f>IFERROR(__xludf.DUMMYFUNCTION("VLOOKUP(REGEXREPLACE(BH332,""[?].*"",""""),ContentBuckets!A:C,2,FALSE)"),"/crm-quickbooks/")</f>
        <v>/crm-quickbooks/</v>
      </c>
      <c r="BJ332" s="8" t="str">
        <f>IFERROR(__xludf.DUMMYFUNCTION("VLOOKUP(REGEXREPLACE(BH332,""[?].*"",""""),ContentBuckets!A:C,3,FALSE)"),"Other page")</f>
        <v>Other page</v>
      </c>
    </row>
    <row r="333" ht="14.25" customHeight="1">
      <c r="A333" s="1">
        <v>153525.0</v>
      </c>
      <c r="B333" s="1" t="s">
        <v>1041</v>
      </c>
      <c r="C333" s="2">
        <v>46004.7104166667</v>
      </c>
      <c r="D333" s="2"/>
      <c r="E333" s="2"/>
      <c r="F333" s="1" t="b">
        <v>1</v>
      </c>
      <c r="G333" s="4" t="b">
        <v>0</v>
      </c>
      <c r="H333" s="1" t="b">
        <v>0</v>
      </c>
      <c r="I333" s="1" t="b">
        <v>0</v>
      </c>
      <c r="J333" s="1" t="s">
        <v>534</v>
      </c>
      <c r="K333" s="1" t="s">
        <v>535</v>
      </c>
      <c r="L333" s="1" t="s">
        <v>536</v>
      </c>
      <c r="M333" s="1" t="s">
        <v>537</v>
      </c>
      <c r="N333" s="1">
        <v>0.0</v>
      </c>
      <c r="O333" s="1">
        <v>78.0</v>
      </c>
      <c r="P333" s="1">
        <v>0.0</v>
      </c>
      <c r="Q333" s="1">
        <v>0.0</v>
      </c>
      <c r="R333" s="1">
        <v>28.0</v>
      </c>
      <c r="S333" s="1" t="s">
        <v>538</v>
      </c>
      <c r="T333" s="1" t="s">
        <v>539</v>
      </c>
      <c r="V333" s="4">
        <v>7341136.0</v>
      </c>
      <c r="W333" s="4"/>
      <c r="X333" s="4">
        <v>0.0</v>
      </c>
      <c r="Y333" s="1">
        <v>0.0</v>
      </c>
      <c r="Z333" s="1">
        <v>0.0</v>
      </c>
      <c r="AA333" s="1">
        <v>1.0</v>
      </c>
      <c r="AB333" s="1">
        <v>0.0</v>
      </c>
      <c r="AC333" s="1">
        <v>0.0</v>
      </c>
      <c r="AD333" s="1">
        <v>0.0</v>
      </c>
      <c r="AE333" s="1">
        <v>0.0</v>
      </c>
      <c r="AF333" s="1">
        <v>0.0</v>
      </c>
      <c r="AG333" s="1">
        <v>0.0</v>
      </c>
      <c r="AH333" s="1">
        <v>0.0</v>
      </c>
      <c r="AI333" s="1">
        <v>0.0</v>
      </c>
      <c r="AJ333" s="1">
        <v>0.0</v>
      </c>
      <c r="AK333" s="1">
        <v>0.0</v>
      </c>
      <c r="AL333" s="1">
        <v>0.0</v>
      </c>
      <c r="AM333" s="4">
        <v>0.0</v>
      </c>
      <c r="AN333" s="1">
        <v>0.0</v>
      </c>
      <c r="AO333" s="4">
        <v>0.0</v>
      </c>
      <c r="AP333" s="1">
        <f t="shared" si="1"/>
        <v>0</v>
      </c>
      <c r="AQ333" s="1" t="s">
        <v>557</v>
      </c>
      <c r="AR333" s="1" t="s">
        <v>568</v>
      </c>
      <c r="AU333" s="2">
        <v>46004.0</v>
      </c>
      <c r="AV333" s="2">
        <v>46023.9861111111</v>
      </c>
      <c r="AW333" s="1">
        <v>1.0</v>
      </c>
      <c r="AX333" s="1">
        <v>26160.0</v>
      </c>
      <c r="AY333" s="1">
        <v>407.0</v>
      </c>
      <c r="AZ333" s="1">
        <v>2.0</v>
      </c>
      <c r="BA333" s="1">
        <v>0.0</v>
      </c>
      <c r="BB333" s="1">
        <v>0.0</v>
      </c>
      <c r="BC333" s="2">
        <v>46004.0</v>
      </c>
      <c r="BD333" s="1">
        <v>49.0</v>
      </c>
      <c r="BE333" s="1" t="s">
        <v>550</v>
      </c>
      <c r="BF333" s="1">
        <v>2025.0</v>
      </c>
      <c r="BG333" s="1" t="s">
        <v>558</v>
      </c>
      <c r="BH333" s="1" t="str">
        <f>VLOOKUP(B333,CookieClicks!D:O,12,FALSE)</f>
        <v>https://grow.method.me/crm-quickbooks/?trc=81&amp;trk=crm with quickbooks&amp;trs=USA-QB-G&amp;campaignid=1543381580&amp;adgroupid=61437797000&amp;adid=704678754673&amp;gad_source=1&amp;gad_campaignid=1543381580&amp;gbraid=0AAAAAD3ItnZdAF9mJUnGhEFfDuRZpRw26&amp;gclid=Cj0KCQiAuvTJBhCwARIsAL6DemhuMTSjJvlPn7GB4mzs2SnRJrvGZ0x6IJq2GtoHAZZRfi7gFTiE1skaAtNuEALw_wcB</v>
      </c>
      <c r="BI333" s="8" t="str">
        <f>IFERROR(__xludf.DUMMYFUNCTION("VLOOKUP(REGEXREPLACE(BH333,""[?].*"",""""),ContentBuckets!A:C,2,FALSE)"),"#N/A")</f>
        <v>#N/A</v>
      </c>
      <c r="BJ333" s="8" t="str">
        <f>IFERROR(__xludf.DUMMYFUNCTION("VLOOKUP(REGEXREPLACE(BH333,""[?].*"",""""),ContentBuckets!A:C,3,FALSE)"),"#N/A")</f>
        <v>#N/A</v>
      </c>
    </row>
    <row r="334" ht="14.25" customHeight="1">
      <c r="A334" s="1">
        <v>153526.0</v>
      </c>
      <c r="B334" s="1" t="s">
        <v>1042</v>
      </c>
      <c r="C334" s="2">
        <v>46004.7201388889</v>
      </c>
      <c r="D334" s="2"/>
      <c r="E334" s="2"/>
      <c r="F334" s="1" t="b">
        <v>1</v>
      </c>
      <c r="G334" s="4" t="b">
        <v>0</v>
      </c>
      <c r="H334" s="1" t="b">
        <v>0</v>
      </c>
      <c r="I334" s="1" t="b">
        <v>0</v>
      </c>
      <c r="J334" s="1" t="s">
        <v>534</v>
      </c>
      <c r="K334" s="1" t="s">
        <v>553</v>
      </c>
      <c r="L334" s="1" t="s">
        <v>554</v>
      </c>
      <c r="M334" s="1" t="s">
        <v>537</v>
      </c>
      <c r="N334" s="1">
        <v>0.0</v>
      </c>
      <c r="O334" s="1">
        <v>44.25</v>
      </c>
      <c r="P334" s="1">
        <v>0.0</v>
      </c>
      <c r="Q334" s="1">
        <v>0.0</v>
      </c>
      <c r="R334" s="1">
        <v>0.0</v>
      </c>
      <c r="S334" s="1" t="s">
        <v>538</v>
      </c>
      <c r="T334" s="1" t="s">
        <v>539</v>
      </c>
      <c r="V334" s="4">
        <v>7341830.0</v>
      </c>
      <c r="W334" s="4" t="s">
        <v>653</v>
      </c>
      <c r="X334" s="4">
        <v>0.0</v>
      </c>
      <c r="Y334" s="1">
        <v>1.0</v>
      </c>
      <c r="Z334" s="1">
        <v>0.0</v>
      </c>
      <c r="AA334" s="1">
        <v>0.0</v>
      </c>
      <c r="AB334" s="1">
        <v>0.0</v>
      </c>
      <c r="AC334" s="1">
        <v>0.0</v>
      </c>
      <c r="AD334" s="1">
        <v>0.0</v>
      </c>
      <c r="AE334" s="1">
        <v>0.0</v>
      </c>
      <c r="AF334" s="1">
        <v>0.0</v>
      </c>
      <c r="AG334" s="1">
        <v>0.0</v>
      </c>
      <c r="AH334" s="1">
        <v>0.0</v>
      </c>
      <c r="AI334" s="1">
        <v>0.0</v>
      </c>
      <c r="AJ334" s="1">
        <v>0.0</v>
      </c>
      <c r="AK334" s="1">
        <v>0.0</v>
      </c>
      <c r="AL334" s="1">
        <v>0.0</v>
      </c>
      <c r="AM334" s="4">
        <v>0.0</v>
      </c>
      <c r="AN334" s="1">
        <v>0.0</v>
      </c>
      <c r="AO334" s="4">
        <v>0.0</v>
      </c>
      <c r="AP334" s="1">
        <f t="shared" si="1"/>
        <v>0</v>
      </c>
      <c r="AU334" s="2"/>
      <c r="AV334" s="2">
        <v>46024.0173611111</v>
      </c>
      <c r="AW334" s="1">
        <v>0.0</v>
      </c>
      <c r="AX334" s="1">
        <v>0.0</v>
      </c>
      <c r="AY334" s="1">
        <v>0.0</v>
      </c>
      <c r="AZ334" s="1">
        <v>1.0</v>
      </c>
      <c r="BA334" s="1">
        <v>0.0</v>
      </c>
      <c r="BB334" s="1">
        <v>0.0</v>
      </c>
      <c r="BC334" s="2">
        <v>46004.0</v>
      </c>
      <c r="BD334" s="1">
        <v>49.0</v>
      </c>
      <c r="BE334" s="1" t="s">
        <v>550</v>
      </c>
      <c r="BF334" s="1">
        <v>2025.0</v>
      </c>
      <c r="BG334" s="1" t="s">
        <v>558</v>
      </c>
      <c r="BH334" s="7" t="str">
        <f>VLOOKUP(B334,CookieClicks!D:O,12,FALSE)</f>
        <v>https://www.method.me/blog/quickbooks-online-invoice-templates/</v>
      </c>
      <c r="BI334" s="8" t="str">
        <f>IFERROR(__xludf.DUMMYFUNCTION("VLOOKUP(REGEXREPLACE(BH334,""[?].*"",""""),ContentBuckets!A:C,2,FALSE)"),"QuickBooks - How-to")</f>
        <v>QuickBooks - How-to</v>
      </c>
      <c r="BJ334" s="8" t="str">
        <f>IFERROR(__xludf.DUMMYFUNCTION("VLOOKUP(REGEXREPLACE(BH334,""[?].*"",""""),ContentBuckets!A:C,3,FALSE)"),"Blog")</f>
        <v>Blog</v>
      </c>
    </row>
    <row r="335" ht="14.25" customHeight="1">
      <c r="A335" s="1">
        <v>153527.0</v>
      </c>
      <c r="B335" s="1" t="s">
        <v>1043</v>
      </c>
      <c r="C335" s="2">
        <v>46004.7652777778</v>
      </c>
      <c r="D335" s="2"/>
      <c r="E335" s="2">
        <v>46010.4465277778</v>
      </c>
      <c r="F335" s="1" t="b">
        <v>1</v>
      </c>
      <c r="G335" s="4" t="b">
        <v>0</v>
      </c>
      <c r="H335" s="1" t="b">
        <v>0</v>
      </c>
      <c r="I335" s="1" t="b">
        <v>0</v>
      </c>
      <c r="J335" s="1" t="s">
        <v>534</v>
      </c>
      <c r="K335" s="1" t="s">
        <v>535</v>
      </c>
      <c r="L335" s="1" t="s">
        <v>536</v>
      </c>
      <c r="M335" s="1" t="s">
        <v>537</v>
      </c>
      <c r="N335" s="1">
        <v>62.75</v>
      </c>
      <c r="O335" s="1">
        <v>62.75</v>
      </c>
      <c r="P335" s="1">
        <v>0.0</v>
      </c>
      <c r="Q335" s="1">
        <v>0.0</v>
      </c>
      <c r="R335" s="1">
        <v>28.0</v>
      </c>
      <c r="S335" s="1" t="s">
        <v>538</v>
      </c>
      <c r="T335" s="1" t="s">
        <v>539</v>
      </c>
      <c r="V335" s="4">
        <v>7333726.0</v>
      </c>
      <c r="W335" s="4" t="s">
        <v>540</v>
      </c>
      <c r="X335" s="4">
        <v>0.0</v>
      </c>
      <c r="Y335" s="1">
        <v>1.0</v>
      </c>
      <c r="Z335" s="1">
        <v>0.0</v>
      </c>
      <c r="AA335" s="1">
        <v>0.0</v>
      </c>
      <c r="AB335" s="1">
        <v>0.0</v>
      </c>
      <c r="AC335" s="1">
        <v>0.0</v>
      </c>
      <c r="AD335" s="1">
        <v>0.0</v>
      </c>
      <c r="AE335" s="1">
        <v>0.0</v>
      </c>
      <c r="AF335" s="1">
        <v>0.0</v>
      </c>
      <c r="AG335" s="1">
        <v>0.0</v>
      </c>
      <c r="AH335" s="1">
        <v>0.0</v>
      </c>
      <c r="AI335" s="1">
        <v>0.0</v>
      </c>
      <c r="AJ335" s="1">
        <v>0.0</v>
      </c>
      <c r="AK335" s="1">
        <v>0.0</v>
      </c>
      <c r="AL335" s="1">
        <v>0.0</v>
      </c>
      <c r="AM335" s="4">
        <v>0.0</v>
      </c>
      <c r="AN335" s="1">
        <v>0.0</v>
      </c>
      <c r="AO335" s="4">
        <v>0.0</v>
      </c>
      <c r="AP335" s="1">
        <f t="shared" si="1"/>
        <v>0</v>
      </c>
      <c r="AQ335" s="1" t="s">
        <v>557</v>
      </c>
      <c r="AR335" s="1" t="s">
        <v>564</v>
      </c>
      <c r="AT335" s="1" t="s">
        <v>1044</v>
      </c>
      <c r="AU335" s="2">
        <v>46004.0</v>
      </c>
      <c r="AV335" s="2">
        <v>46024.0409722222</v>
      </c>
      <c r="AW335" s="1">
        <v>2.0</v>
      </c>
      <c r="AX335" s="1">
        <v>15600.0</v>
      </c>
      <c r="AY335" s="1">
        <v>1.0</v>
      </c>
      <c r="AZ335" s="1">
        <v>3.0</v>
      </c>
      <c r="BA335" s="1">
        <v>0.0</v>
      </c>
      <c r="BB335" s="1">
        <v>4.0</v>
      </c>
      <c r="BC335" s="2">
        <v>46004.0</v>
      </c>
      <c r="BD335" s="1">
        <v>49.0</v>
      </c>
      <c r="BE335" s="1" t="s">
        <v>550</v>
      </c>
      <c r="BF335" s="1">
        <v>2025.0</v>
      </c>
      <c r="BG335" s="1" t="s">
        <v>558</v>
      </c>
      <c r="BH335" s="7" t="str">
        <f>VLOOKUP(B335,CookieClicks!D:O,12,FALSE)</f>
        <v>https://www.method.me/crm-quickbooks/pricing/</v>
      </c>
      <c r="BI335" s="8" t="str">
        <f>IFERROR(__xludf.DUMMYFUNCTION("VLOOKUP(REGEXREPLACE(BH335,""[?].*"",""""),ContentBuckets!A:C,2,FALSE)"),"/crm-quickbooks/")</f>
        <v>/crm-quickbooks/</v>
      </c>
      <c r="BJ335" s="8" t="str">
        <f>IFERROR(__xludf.DUMMYFUNCTION("VLOOKUP(REGEXREPLACE(BH335,""[?].*"",""""),ContentBuckets!A:C,3,FALSE)"),"Other page")</f>
        <v>Other page</v>
      </c>
    </row>
    <row r="336" ht="14.25" customHeight="1">
      <c r="A336" s="1">
        <v>153528.0</v>
      </c>
      <c r="B336" s="1" t="s">
        <v>1045</v>
      </c>
      <c r="C336" s="2">
        <v>46004.8083333333</v>
      </c>
      <c r="D336" s="2"/>
      <c r="E336" s="2"/>
      <c r="F336" s="1" t="b">
        <v>1</v>
      </c>
      <c r="G336" s="4" t="b">
        <v>0</v>
      </c>
      <c r="H336" s="1" t="b">
        <v>0</v>
      </c>
      <c r="I336" s="1" t="b">
        <v>0</v>
      </c>
      <c r="J336" s="1" t="s">
        <v>534</v>
      </c>
      <c r="K336" s="1" t="s">
        <v>553</v>
      </c>
      <c r="L336" s="1" t="s">
        <v>599</v>
      </c>
      <c r="M336" s="1" t="s">
        <v>537</v>
      </c>
      <c r="N336" s="1">
        <v>0.0</v>
      </c>
      <c r="O336" s="1">
        <v>44.25</v>
      </c>
      <c r="P336" s="1">
        <v>0.0</v>
      </c>
      <c r="Q336" s="1">
        <v>0.0</v>
      </c>
      <c r="R336" s="1">
        <v>0.0</v>
      </c>
      <c r="S336" s="1" t="s">
        <v>538</v>
      </c>
      <c r="T336" s="1" t="s">
        <v>539</v>
      </c>
      <c r="V336" s="4">
        <v>7342377.0</v>
      </c>
      <c r="W336" s="4" t="s">
        <v>540</v>
      </c>
      <c r="X336" s="4">
        <v>0.0</v>
      </c>
      <c r="Y336" s="1">
        <v>1.0</v>
      </c>
      <c r="Z336" s="1">
        <v>0.0</v>
      </c>
      <c r="AA336" s="1">
        <v>0.0</v>
      </c>
      <c r="AB336" s="1">
        <v>0.0</v>
      </c>
      <c r="AC336" s="1">
        <v>0.0</v>
      </c>
      <c r="AD336" s="1">
        <v>0.0</v>
      </c>
      <c r="AE336" s="1">
        <v>0.0</v>
      </c>
      <c r="AF336" s="1">
        <v>0.0</v>
      </c>
      <c r="AG336" s="1">
        <v>0.0</v>
      </c>
      <c r="AH336" s="1">
        <v>0.0</v>
      </c>
      <c r="AI336" s="1">
        <v>0.0</v>
      </c>
      <c r="AJ336" s="1">
        <v>0.0</v>
      </c>
      <c r="AK336" s="1">
        <v>0.0</v>
      </c>
      <c r="AL336" s="1">
        <v>0.0</v>
      </c>
      <c r="AM336" s="4">
        <v>0.0</v>
      </c>
      <c r="AN336" s="1">
        <v>0.0</v>
      </c>
      <c r="AO336" s="4">
        <v>0.0</v>
      </c>
      <c r="AP336" s="1">
        <f t="shared" si="1"/>
        <v>0</v>
      </c>
      <c r="AU336" s="2"/>
      <c r="AV336" s="2">
        <v>46024.0048611111</v>
      </c>
      <c r="AW336" s="1">
        <v>0.0</v>
      </c>
      <c r="AX336" s="1">
        <v>0.0</v>
      </c>
      <c r="AY336" s="1">
        <v>0.0</v>
      </c>
      <c r="AZ336" s="1">
        <v>1.0</v>
      </c>
      <c r="BA336" s="1">
        <v>0.0</v>
      </c>
      <c r="BB336" s="1">
        <v>0.0</v>
      </c>
      <c r="BC336" s="2">
        <v>46004.0</v>
      </c>
      <c r="BD336" s="1">
        <v>49.0</v>
      </c>
      <c r="BE336" s="1" t="s">
        <v>550</v>
      </c>
      <c r="BF336" s="1">
        <v>2025.0</v>
      </c>
      <c r="BG336" s="1" t="s">
        <v>931</v>
      </c>
      <c r="BH336" s="7" t="str">
        <f>VLOOKUP(B336,CookieClicks!D:O,12,FALSE)</f>
        <v>http://signup.method.me/methodcrm</v>
      </c>
      <c r="BI336" s="8" t="str">
        <f>IFERROR(__xludf.DUMMYFUNCTION("VLOOKUP(REGEXREPLACE(BH336,""[?].*"",""""),ContentBuckets!A:C,2,FALSE)"),"#N/A")</f>
        <v>#N/A</v>
      </c>
      <c r="BJ336" s="8" t="str">
        <f>IFERROR(__xludf.DUMMYFUNCTION("VLOOKUP(REGEXREPLACE(BH336,""[?].*"",""""),ContentBuckets!A:C,3,FALSE)"),"#N/A")</f>
        <v>#N/A</v>
      </c>
    </row>
    <row r="337" ht="14.25" customHeight="1">
      <c r="A337" s="1">
        <v>153529.0</v>
      </c>
      <c r="B337" s="1" t="s">
        <v>1046</v>
      </c>
      <c r="C337" s="2">
        <v>46004.8909722222</v>
      </c>
      <c r="D337" s="2"/>
      <c r="E337" s="2">
        <v>46020.4847222222</v>
      </c>
      <c r="F337" s="1" t="b">
        <v>1</v>
      </c>
      <c r="G337" s="4" t="b">
        <v>0</v>
      </c>
      <c r="H337" s="1" t="b">
        <v>0</v>
      </c>
      <c r="I337" s="1" t="b">
        <v>0</v>
      </c>
      <c r="J337" s="1" t="s">
        <v>534</v>
      </c>
      <c r="K337" s="1" t="s">
        <v>566</v>
      </c>
      <c r="L337" s="1" t="s">
        <v>567</v>
      </c>
      <c r="M337" s="1" t="s">
        <v>537</v>
      </c>
      <c r="N337" s="1">
        <v>44.25</v>
      </c>
      <c r="O337" s="1">
        <v>44.25</v>
      </c>
      <c r="P337" s="1">
        <v>0.0</v>
      </c>
      <c r="Q337" s="1">
        <v>0.0</v>
      </c>
      <c r="R337" s="1">
        <v>28.0</v>
      </c>
      <c r="S337" s="1" t="s">
        <v>538</v>
      </c>
      <c r="T337" s="1" t="s">
        <v>539</v>
      </c>
      <c r="V337" s="4">
        <v>7276113.0</v>
      </c>
      <c r="W337" s="4" t="s">
        <v>540</v>
      </c>
      <c r="X337" s="4">
        <v>0.0</v>
      </c>
      <c r="Y337" s="1">
        <v>1.0</v>
      </c>
      <c r="Z337" s="1">
        <v>0.0</v>
      </c>
      <c r="AA337" s="1">
        <v>0.0</v>
      </c>
      <c r="AB337" s="1">
        <v>0.0</v>
      </c>
      <c r="AC337" s="1">
        <v>0.0</v>
      </c>
      <c r="AD337" s="1">
        <v>0.0</v>
      </c>
      <c r="AE337" s="1">
        <v>0.0</v>
      </c>
      <c r="AF337" s="1">
        <v>0.0</v>
      </c>
      <c r="AG337" s="1">
        <v>0.0</v>
      </c>
      <c r="AH337" s="1">
        <v>0.0</v>
      </c>
      <c r="AI337" s="1">
        <v>0.0</v>
      </c>
      <c r="AJ337" s="1">
        <v>0.0</v>
      </c>
      <c r="AK337" s="1">
        <v>0.0</v>
      </c>
      <c r="AL337" s="1">
        <v>0.0</v>
      </c>
      <c r="AM337" s="4">
        <v>0.0</v>
      </c>
      <c r="AN337" s="1">
        <v>0.0</v>
      </c>
      <c r="AO337" s="4">
        <v>0.0</v>
      </c>
      <c r="AP337" s="1">
        <f t="shared" si="1"/>
        <v>0</v>
      </c>
      <c r="AQ337" s="1" t="s">
        <v>557</v>
      </c>
      <c r="AR337" s="1" t="s">
        <v>681</v>
      </c>
      <c r="AT337" s="1" t="s">
        <v>1047</v>
      </c>
      <c r="AU337" s="2">
        <v>46004.0</v>
      </c>
      <c r="AV337" s="2">
        <v>46024.0027777778</v>
      </c>
      <c r="AW337" s="1">
        <v>24.0</v>
      </c>
      <c r="AX337" s="1">
        <v>4668285.24</v>
      </c>
      <c r="AY337" s="1">
        <v>11298.0</v>
      </c>
      <c r="AZ337" s="1">
        <v>1.0</v>
      </c>
      <c r="BA337" s="1">
        <v>0.0</v>
      </c>
      <c r="BB337" s="1">
        <v>4.0</v>
      </c>
      <c r="BC337" s="2">
        <v>46004.0</v>
      </c>
      <c r="BD337" s="1">
        <v>49.0</v>
      </c>
      <c r="BE337" s="1" t="s">
        <v>550</v>
      </c>
      <c r="BF337" s="1">
        <v>2025.0</v>
      </c>
      <c r="BG337" s="1" t="s">
        <v>558</v>
      </c>
      <c r="BH337" s="7" t="str">
        <f>VLOOKUP(B337,CookieClicks!D:O,12,FALSE)</f>
        <v>https://www.method.me/</v>
      </c>
      <c r="BI337" s="8" t="str">
        <f>IFERROR(__xludf.DUMMYFUNCTION("VLOOKUP(REGEXREPLACE(BH337,""[?].*"",""""),ContentBuckets!A:C,2,FALSE)"),"Homepage")</f>
        <v>Homepage</v>
      </c>
      <c r="BJ337" s="8" t="str">
        <f>IFERROR(__xludf.DUMMYFUNCTION("VLOOKUP(REGEXREPLACE(BH337,""[?].*"",""""),ContentBuckets!A:C,3,FALSE)"),"Other page")</f>
        <v>Other page</v>
      </c>
    </row>
    <row r="338" ht="14.25" customHeight="1">
      <c r="A338" s="1">
        <v>153530.0</v>
      </c>
      <c r="B338" s="1" t="s">
        <v>1048</v>
      </c>
      <c r="C338" s="2">
        <v>46004.8965277778</v>
      </c>
      <c r="D338" s="2"/>
      <c r="E338" s="2"/>
      <c r="F338" s="1" t="b">
        <v>1</v>
      </c>
      <c r="G338" s="4" t="b">
        <v>0</v>
      </c>
      <c r="H338" s="1" t="b">
        <v>0</v>
      </c>
      <c r="I338" s="1" t="b">
        <v>0</v>
      </c>
      <c r="J338" s="1" t="s">
        <v>534</v>
      </c>
      <c r="K338" s="1" t="s">
        <v>566</v>
      </c>
      <c r="L338" s="1" t="s">
        <v>567</v>
      </c>
      <c r="M338" s="1" t="s">
        <v>537</v>
      </c>
      <c r="N338" s="1">
        <v>0.0</v>
      </c>
      <c r="O338" s="1">
        <v>44.25</v>
      </c>
      <c r="P338" s="1">
        <v>0.0</v>
      </c>
      <c r="Q338" s="1">
        <v>0.0</v>
      </c>
      <c r="R338" s="1">
        <v>28.0</v>
      </c>
      <c r="S338" s="1" t="s">
        <v>538</v>
      </c>
      <c r="T338" s="1" t="s">
        <v>539</v>
      </c>
      <c r="V338" s="4">
        <v>7342786.0</v>
      </c>
      <c r="W338" s="4"/>
      <c r="X338" s="4">
        <v>1.0</v>
      </c>
      <c r="Y338" s="1">
        <v>0.0</v>
      </c>
      <c r="Z338" s="1">
        <v>0.0</v>
      </c>
      <c r="AA338" s="1">
        <v>0.0</v>
      </c>
      <c r="AB338" s="1">
        <v>0.0</v>
      </c>
      <c r="AC338" s="1">
        <v>0.0</v>
      </c>
      <c r="AD338" s="1">
        <v>0.0</v>
      </c>
      <c r="AE338" s="1">
        <v>0.0</v>
      </c>
      <c r="AF338" s="1">
        <v>0.0</v>
      </c>
      <c r="AG338" s="1">
        <v>0.0</v>
      </c>
      <c r="AH338" s="1">
        <v>0.0</v>
      </c>
      <c r="AI338" s="1">
        <v>0.0</v>
      </c>
      <c r="AJ338" s="1">
        <v>0.0</v>
      </c>
      <c r="AK338" s="1">
        <v>0.0</v>
      </c>
      <c r="AL338" s="1">
        <v>0.0</v>
      </c>
      <c r="AM338" s="4">
        <v>0.0</v>
      </c>
      <c r="AN338" s="1">
        <v>0.0</v>
      </c>
      <c r="AO338" s="4">
        <v>0.0</v>
      </c>
      <c r="AP338" s="1">
        <f t="shared" si="1"/>
        <v>0</v>
      </c>
      <c r="AR338" s="1" t="s">
        <v>578</v>
      </c>
      <c r="AU338" s="2"/>
      <c r="AV338" s="2">
        <v>46024.0430555556</v>
      </c>
      <c r="AW338" s="1">
        <v>0.0</v>
      </c>
      <c r="AX338" s="1">
        <v>0.0</v>
      </c>
      <c r="AY338" s="1">
        <v>0.0</v>
      </c>
      <c r="AZ338" s="1">
        <v>1.0</v>
      </c>
      <c r="BA338" s="1">
        <v>0.0</v>
      </c>
      <c r="BB338" s="1">
        <v>0.0</v>
      </c>
      <c r="BC338" s="2">
        <v>46004.0</v>
      </c>
      <c r="BD338" s="1">
        <v>49.0</v>
      </c>
      <c r="BE338" s="1" t="s">
        <v>550</v>
      </c>
      <c r="BF338" s="1">
        <v>2025.0</v>
      </c>
      <c r="BG338" s="1" t="s">
        <v>558</v>
      </c>
      <c r="BH338" s="7" t="str">
        <f>VLOOKUP(B338,CookieClicks!D:O,12,FALSE)</f>
        <v>https://www.method.me/features/mobile-app/?utm_source=chatgpt.com</v>
      </c>
      <c r="BI338" s="8" t="str">
        <f>IFERROR(__xludf.DUMMYFUNCTION("VLOOKUP(REGEXREPLACE(BH338,""[?].*"",""""),ContentBuckets!A:C,2,FALSE)"),"Features page")</f>
        <v>Features page</v>
      </c>
      <c r="BJ338" s="8" t="str">
        <f>IFERROR(__xludf.DUMMYFUNCTION("VLOOKUP(REGEXREPLACE(BH338,""[?].*"",""""),ContentBuckets!A:C,3,FALSE)"),"Other page")</f>
        <v>Other page</v>
      </c>
    </row>
    <row r="339" ht="14.25" customHeight="1">
      <c r="A339" s="1">
        <v>153531.0</v>
      </c>
      <c r="B339" s="1" t="s">
        <v>1049</v>
      </c>
      <c r="C339" s="2">
        <v>46004.9111111111</v>
      </c>
      <c r="D339" s="2"/>
      <c r="E339" s="2"/>
      <c r="F339" s="1" t="b">
        <v>1</v>
      </c>
      <c r="G339" s="4" t="b">
        <v>0</v>
      </c>
      <c r="H339" s="1" t="b">
        <v>0</v>
      </c>
      <c r="I339" s="1" t="b">
        <v>0</v>
      </c>
      <c r="J339" s="1" t="s">
        <v>534</v>
      </c>
      <c r="K339" s="1" t="s">
        <v>535</v>
      </c>
      <c r="L339" s="1" t="s">
        <v>536</v>
      </c>
      <c r="M339" s="1" t="s">
        <v>537</v>
      </c>
      <c r="N339" s="1">
        <v>0.0</v>
      </c>
      <c r="O339" s="1">
        <v>44.25</v>
      </c>
      <c r="P339" s="1">
        <v>0.0</v>
      </c>
      <c r="Q339" s="1">
        <v>0.0</v>
      </c>
      <c r="R339" s="1">
        <v>28.0</v>
      </c>
      <c r="S339" s="1" t="s">
        <v>538</v>
      </c>
      <c r="T339" s="1" t="s">
        <v>539</v>
      </c>
      <c r="V339" s="4">
        <v>7342948.0</v>
      </c>
      <c r="W339" s="4" t="s">
        <v>540</v>
      </c>
      <c r="X339" s="4">
        <v>0.0</v>
      </c>
      <c r="Y339" s="1">
        <v>1.0</v>
      </c>
      <c r="Z339" s="1">
        <v>0.0</v>
      </c>
      <c r="AA339" s="1">
        <v>0.0</v>
      </c>
      <c r="AB339" s="1">
        <v>0.0</v>
      </c>
      <c r="AC339" s="1">
        <v>0.0</v>
      </c>
      <c r="AD339" s="1">
        <v>0.0</v>
      </c>
      <c r="AE339" s="1">
        <v>0.0</v>
      </c>
      <c r="AF339" s="1">
        <v>0.0</v>
      </c>
      <c r="AG339" s="1">
        <v>0.0</v>
      </c>
      <c r="AH339" s="1">
        <v>0.0</v>
      </c>
      <c r="AI339" s="1">
        <v>0.0</v>
      </c>
      <c r="AJ339" s="1">
        <v>0.0</v>
      </c>
      <c r="AK339" s="1">
        <v>0.0</v>
      </c>
      <c r="AL339" s="1">
        <v>0.0</v>
      </c>
      <c r="AM339" s="4">
        <v>0.0</v>
      </c>
      <c r="AN339" s="1">
        <v>0.0</v>
      </c>
      <c r="AO339" s="4">
        <v>0.0</v>
      </c>
      <c r="AP339" s="1">
        <f t="shared" si="1"/>
        <v>0</v>
      </c>
      <c r="AQ339" s="1" t="s">
        <v>557</v>
      </c>
      <c r="AR339" s="1" t="s">
        <v>571</v>
      </c>
      <c r="AU339" s="2">
        <v>46004.0</v>
      </c>
      <c r="AV339" s="2">
        <v>46024.04375</v>
      </c>
      <c r="AW339" s="1">
        <v>19.0</v>
      </c>
      <c r="AX339" s="1">
        <v>3333392.4</v>
      </c>
      <c r="AY339" s="1">
        <v>65.0</v>
      </c>
      <c r="AZ339" s="1">
        <v>1.0</v>
      </c>
      <c r="BA339" s="1">
        <v>0.0</v>
      </c>
      <c r="BB339" s="1">
        <v>0.0</v>
      </c>
      <c r="BC339" s="2">
        <v>46004.0</v>
      </c>
      <c r="BD339" s="1">
        <v>49.0</v>
      </c>
      <c r="BE339" s="1" t="s">
        <v>550</v>
      </c>
      <c r="BF339" s="1">
        <v>2025.0</v>
      </c>
      <c r="BG339" s="1" t="s">
        <v>558</v>
      </c>
      <c r="BH339" s="7" t="str">
        <f>VLOOKUP(B339,CookieClicks!D:O,12,FALSE)</f>
        <v>https://www.method.me/blog/how-to-import-transactions-into-quickbooks-online-from-excel/</v>
      </c>
      <c r="BI339" s="8" t="str">
        <f>IFERROR(__xludf.DUMMYFUNCTION("VLOOKUP(REGEXREPLACE(BH339,""[?].*"",""""),ContentBuckets!A:C,2,FALSE)"),"QuickBooks - How-to")</f>
        <v>QuickBooks - How-to</v>
      </c>
      <c r="BJ339" s="8" t="str">
        <f>IFERROR(__xludf.DUMMYFUNCTION("VLOOKUP(REGEXREPLACE(BH339,""[?].*"",""""),ContentBuckets!A:C,3,FALSE)"),"Blog")</f>
        <v>Blog</v>
      </c>
    </row>
    <row r="340" ht="14.25" customHeight="1">
      <c r="A340" s="1">
        <v>153532.0</v>
      </c>
      <c r="B340" s="1" t="s">
        <v>1050</v>
      </c>
      <c r="C340" s="2">
        <v>46005.0652777778</v>
      </c>
      <c r="D340" s="2">
        <v>46009.0597222222</v>
      </c>
      <c r="E340" s="2"/>
      <c r="F340" s="1" t="b">
        <v>0</v>
      </c>
      <c r="G340" s="4" t="b">
        <v>0</v>
      </c>
      <c r="H340" s="1" t="b">
        <v>0</v>
      </c>
      <c r="I340" s="1" t="b">
        <v>0</v>
      </c>
      <c r="J340" s="1" t="s">
        <v>534</v>
      </c>
      <c r="K340" s="1" t="s">
        <v>535</v>
      </c>
      <c r="L340" s="1" t="s">
        <v>536</v>
      </c>
      <c r="M340" s="1" t="s">
        <v>537</v>
      </c>
      <c r="N340" s="1">
        <v>0.0</v>
      </c>
      <c r="O340" s="1">
        <v>88.5</v>
      </c>
      <c r="P340" s="1">
        <v>0.0</v>
      </c>
      <c r="Q340" s="1">
        <v>0.0</v>
      </c>
      <c r="R340" s="1">
        <v>28.0</v>
      </c>
      <c r="S340" s="1" t="s">
        <v>538</v>
      </c>
      <c r="T340" s="1" t="s">
        <v>539</v>
      </c>
      <c r="V340" s="4">
        <v>7343742.0</v>
      </c>
      <c r="W340" s="4"/>
      <c r="X340" s="4">
        <v>0.0</v>
      </c>
      <c r="Y340" s="1">
        <v>0.0</v>
      </c>
      <c r="Z340" s="1">
        <v>1.0</v>
      </c>
      <c r="AA340" s="1">
        <v>0.0</v>
      </c>
      <c r="AB340" s="1">
        <v>0.0</v>
      </c>
      <c r="AC340" s="1">
        <v>0.0</v>
      </c>
      <c r="AD340" s="1">
        <v>0.0</v>
      </c>
      <c r="AE340" s="1">
        <v>0.0</v>
      </c>
      <c r="AF340" s="1">
        <v>0.0</v>
      </c>
      <c r="AG340" s="1">
        <v>0.0</v>
      </c>
      <c r="AH340" s="1">
        <v>0.0</v>
      </c>
      <c r="AI340" s="1">
        <v>0.0</v>
      </c>
      <c r="AJ340" s="1">
        <v>0.0</v>
      </c>
      <c r="AK340" s="1">
        <v>0.0</v>
      </c>
      <c r="AL340" s="1">
        <v>0.0</v>
      </c>
      <c r="AM340" s="4">
        <v>0.0</v>
      </c>
      <c r="AN340" s="1">
        <v>0.0</v>
      </c>
      <c r="AO340" s="4">
        <v>0.0</v>
      </c>
      <c r="AP340" s="1">
        <f t="shared" si="1"/>
        <v>0</v>
      </c>
      <c r="AQ340" s="1" t="s">
        <v>795</v>
      </c>
      <c r="AR340" s="1" t="s">
        <v>608</v>
      </c>
      <c r="AU340" s="2">
        <v>46005.0</v>
      </c>
      <c r="AV340" s="2">
        <v>46009.0458333333</v>
      </c>
      <c r="AW340" s="1">
        <v>2.0</v>
      </c>
      <c r="AX340" s="1">
        <v>4200.0</v>
      </c>
      <c r="AY340" s="1">
        <v>18.0</v>
      </c>
      <c r="AZ340" s="1">
        <v>2.0</v>
      </c>
      <c r="BA340" s="1">
        <v>0.0</v>
      </c>
      <c r="BB340" s="1">
        <v>0.0</v>
      </c>
      <c r="BC340" s="2">
        <v>46005.0</v>
      </c>
      <c r="BD340" s="1">
        <v>49.0</v>
      </c>
      <c r="BE340" s="1" t="s">
        <v>550</v>
      </c>
      <c r="BF340" s="1">
        <v>2025.0</v>
      </c>
      <c r="BG340" s="1" t="s">
        <v>649</v>
      </c>
      <c r="BH340" s="7" t="str">
        <f>VLOOKUP(B340,CookieClicks!D:O,12,FALSE)</f>
        <v>https://signup.method.me/QBOAppstoreSignup?offering=methodcrm</v>
      </c>
      <c r="BI340" s="8" t="str">
        <f>IFERROR(__xludf.DUMMYFUNCTION("VLOOKUP(REGEXREPLACE(BH340,""[?].*"",""""),ContentBuckets!A:C,2,FALSE)"),"#N/A")</f>
        <v>#N/A</v>
      </c>
      <c r="BJ340" s="8" t="str">
        <f>IFERROR(__xludf.DUMMYFUNCTION("VLOOKUP(REGEXREPLACE(BH340,""[?].*"",""""),ContentBuckets!A:C,3,FALSE)"),"#N/A")</f>
        <v>#N/A</v>
      </c>
    </row>
    <row r="341" ht="14.25" customHeight="1">
      <c r="A341" s="1">
        <v>153533.0</v>
      </c>
      <c r="B341" s="1" t="s">
        <v>1051</v>
      </c>
      <c r="C341" s="2">
        <v>46005.2611111111</v>
      </c>
      <c r="D341" s="2"/>
      <c r="E341" s="2"/>
      <c r="F341" s="1" t="b">
        <v>1</v>
      </c>
      <c r="G341" s="4" t="b">
        <v>0</v>
      </c>
      <c r="H341" s="1" t="b">
        <v>0</v>
      </c>
      <c r="I341" s="1" t="b">
        <v>0</v>
      </c>
      <c r="J341" s="1" t="s">
        <v>534</v>
      </c>
      <c r="K341" s="1" t="s">
        <v>703</v>
      </c>
      <c r="L341" s="1" t="s">
        <v>536</v>
      </c>
      <c r="M341" s="1" t="s">
        <v>537</v>
      </c>
      <c r="N341" s="1">
        <v>0.0</v>
      </c>
      <c r="O341" s="1">
        <v>44.25</v>
      </c>
      <c r="P341" s="1">
        <v>0.0</v>
      </c>
      <c r="Q341" s="1">
        <v>0.0</v>
      </c>
      <c r="R341" s="1">
        <v>28.0</v>
      </c>
      <c r="S341" s="1" t="s">
        <v>538</v>
      </c>
      <c r="T341" s="1" t="s">
        <v>539</v>
      </c>
      <c r="V341" s="4">
        <v>7344694.0</v>
      </c>
      <c r="W341" s="4" t="s">
        <v>540</v>
      </c>
      <c r="X341" s="4">
        <v>0.0</v>
      </c>
      <c r="Y341" s="1">
        <v>1.0</v>
      </c>
      <c r="Z341" s="1">
        <v>0.0</v>
      </c>
      <c r="AA341" s="1">
        <v>0.0</v>
      </c>
      <c r="AB341" s="1">
        <v>0.0</v>
      </c>
      <c r="AC341" s="1">
        <v>0.0</v>
      </c>
      <c r="AD341" s="1">
        <v>0.0</v>
      </c>
      <c r="AE341" s="1">
        <v>0.0</v>
      </c>
      <c r="AF341" s="1">
        <v>0.0</v>
      </c>
      <c r="AG341" s="1">
        <v>0.0</v>
      </c>
      <c r="AH341" s="1">
        <v>0.0</v>
      </c>
      <c r="AI341" s="1">
        <v>0.0</v>
      </c>
      <c r="AJ341" s="1">
        <v>0.0</v>
      </c>
      <c r="AK341" s="1">
        <v>0.0</v>
      </c>
      <c r="AL341" s="1">
        <v>0.0</v>
      </c>
      <c r="AM341" s="4">
        <v>0.0</v>
      </c>
      <c r="AN341" s="1">
        <v>0.0</v>
      </c>
      <c r="AO341" s="4">
        <v>0.0</v>
      </c>
      <c r="AP341" s="1">
        <f t="shared" si="1"/>
        <v>0</v>
      </c>
      <c r="AR341" s="1" t="s">
        <v>542</v>
      </c>
      <c r="AU341" s="2"/>
      <c r="AV341" s="2">
        <v>46024.0340277778</v>
      </c>
      <c r="AW341" s="1">
        <v>0.0</v>
      </c>
      <c r="AX341" s="1">
        <v>0.0</v>
      </c>
      <c r="AY341" s="1">
        <v>0.0</v>
      </c>
      <c r="AZ341" s="1">
        <v>1.0</v>
      </c>
      <c r="BA341" s="1">
        <v>0.0</v>
      </c>
      <c r="BB341" s="1">
        <v>0.0</v>
      </c>
      <c r="BC341" s="2">
        <v>46005.0</v>
      </c>
      <c r="BD341" s="1">
        <v>49.0</v>
      </c>
      <c r="BE341" s="1" t="s">
        <v>550</v>
      </c>
      <c r="BF341" s="1">
        <v>2025.0</v>
      </c>
      <c r="BG341" s="1" t="s">
        <v>558</v>
      </c>
      <c r="BH341" s="7" t="str">
        <f>VLOOKUP(B341,CookieClicks!D:O,12,FALSE)</f>
        <v>https://www.method.me/blog/checklist-for-starting-a-cleaning-business/</v>
      </c>
      <c r="BI341" s="8" t="str">
        <f>IFERROR(__xludf.DUMMYFUNCTION("VLOOKUP(REGEXREPLACE(BH341,""[?].*"",""""),ContentBuckets!A:C,2,FALSE)"),"Field services / Contractors")</f>
        <v>Field services / Contractors</v>
      </c>
      <c r="BJ341" s="8" t="str">
        <f>IFERROR(__xludf.DUMMYFUNCTION("VLOOKUP(REGEXREPLACE(BH341,""[?].*"",""""),ContentBuckets!A:C,3,FALSE)"),"Blog")</f>
        <v>Blog</v>
      </c>
    </row>
    <row r="342" ht="14.25" customHeight="1">
      <c r="A342" s="1">
        <v>153534.0</v>
      </c>
      <c r="B342" s="1" t="s">
        <v>1052</v>
      </c>
      <c r="C342" s="2">
        <v>46005.2625</v>
      </c>
      <c r="D342" s="2">
        <v>46006.5152777778</v>
      </c>
      <c r="E342" s="2"/>
      <c r="F342" s="1" t="b">
        <v>0</v>
      </c>
      <c r="G342" s="4" t="b">
        <v>1</v>
      </c>
      <c r="H342" s="1" t="b">
        <v>0</v>
      </c>
      <c r="I342" s="1" t="b">
        <v>0</v>
      </c>
      <c r="J342" s="1" t="s">
        <v>534</v>
      </c>
      <c r="K342" s="1" t="s">
        <v>553</v>
      </c>
      <c r="L342" s="1" t="s">
        <v>599</v>
      </c>
      <c r="M342" s="1" t="s">
        <v>537</v>
      </c>
      <c r="N342" s="1">
        <v>0.0</v>
      </c>
      <c r="O342" s="1">
        <v>44.25</v>
      </c>
      <c r="P342" s="1">
        <v>0.0</v>
      </c>
      <c r="Q342" s="1">
        <v>0.0</v>
      </c>
      <c r="R342" s="1">
        <v>0.0</v>
      </c>
      <c r="S342" s="1" t="s">
        <v>538</v>
      </c>
      <c r="T342" s="1" t="s">
        <v>539</v>
      </c>
      <c r="V342" s="4">
        <v>7344694.0</v>
      </c>
      <c r="W342" s="4" t="s">
        <v>540</v>
      </c>
      <c r="X342" s="4">
        <v>0.0</v>
      </c>
      <c r="Y342" s="1">
        <v>1.0</v>
      </c>
      <c r="Z342" s="1">
        <v>0.0</v>
      </c>
      <c r="AA342" s="1">
        <v>0.0</v>
      </c>
      <c r="AB342" s="1">
        <v>0.0</v>
      </c>
      <c r="AC342" s="1">
        <v>0.0</v>
      </c>
      <c r="AD342" s="1">
        <v>0.0</v>
      </c>
      <c r="AE342" s="1">
        <v>0.0</v>
      </c>
      <c r="AF342" s="1">
        <v>0.0</v>
      </c>
      <c r="AG342" s="1">
        <v>0.0</v>
      </c>
      <c r="AH342" s="1">
        <v>0.0</v>
      </c>
      <c r="AI342" s="1">
        <v>0.0</v>
      </c>
      <c r="AJ342" s="1">
        <v>0.0</v>
      </c>
      <c r="AK342" s="1">
        <v>0.0</v>
      </c>
      <c r="AL342" s="1">
        <v>0.0</v>
      </c>
      <c r="AM342" s="4">
        <v>0.0</v>
      </c>
      <c r="AN342" s="1">
        <v>0.0</v>
      </c>
      <c r="AO342" s="4">
        <v>0.0</v>
      </c>
      <c r="AP342" s="1">
        <f t="shared" si="1"/>
        <v>0</v>
      </c>
      <c r="AU342" s="2"/>
      <c r="AV342" s="2">
        <v>46006.0354166667</v>
      </c>
      <c r="AW342" s="1">
        <v>0.0</v>
      </c>
      <c r="AX342" s="1">
        <v>0.0</v>
      </c>
      <c r="AY342" s="1">
        <v>0.0</v>
      </c>
      <c r="AZ342" s="1">
        <v>1.0</v>
      </c>
      <c r="BA342" s="1">
        <v>0.0</v>
      </c>
      <c r="BB342" s="1">
        <v>0.0</v>
      </c>
      <c r="BC342" s="2">
        <v>46005.0</v>
      </c>
      <c r="BD342" s="1">
        <v>49.0</v>
      </c>
      <c r="BE342" s="1" t="s">
        <v>550</v>
      </c>
      <c r="BF342" s="1">
        <v>2025.0</v>
      </c>
      <c r="BG342" s="1" t="s">
        <v>558</v>
      </c>
      <c r="BH342" s="7" t="str">
        <f>VLOOKUP(B342,CookieClicks!D:O,12,FALSE)</f>
        <v>https://www.method.me/blog/checklist-for-starting-a-cleaning-business/</v>
      </c>
      <c r="BI342" s="8" t="str">
        <f>IFERROR(__xludf.DUMMYFUNCTION("VLOOKUP(REGEXREPLACE(BH342,""[?].*"",""""),ContentBuckets!A:C,2,FALSE)"),"Field services / Contractors")</f>
        <v>Field services / Contractors</v>
      </c>
      <c r="BJ342" s="8" t="str">
        <f>IFERROR(__xludf.DUMMYFUNCTION("VLOOKUP(REGEXREPLACE(BH342,""[?].*"",""""),ContentBuckets!A:C,3,FALSE)"),"Blog")</f>
        <v>Blog</v>
      </c>
    </row>
    <row r="343" ht="14.25" customHeight="1">
      <c r="A343" s="1">
        <v>153535.0</v>
      </c>
      <c r="B343" s="1" t="s">
        <v>1053</v>
      </c>
      <c r="C343" s="2">
        <v>46005.2625</v>
      </c>
      <c r="D343" s="2"/>
      <c r="E343" s="2"/>
      <c r="F343" s="1" t="b">
        <v>1</v>
      </c>
      <c r="G343" s="4" t="b">
        <v>0</v>
      </c>
      <c r="H343" s="1" t="b">
        <v>0</v>
      </c>
      <c r="I343" s="1" t="b">
        <v>0</v>
      </c>
      <c r="J343" s="1" t="s">
        <v>534</v>
      </c>
      <c r="K343" s="1" t="s">
        <v>535</v>
      </c>
      <c r="L343" s="1" t="s">
        <v>536</v>
      </c>
      <c r="M343" s="1" t="s">
        <v>537</v>
      </c>
      <c r="N343" s="1">
        <v>0.0</v>
      </c>
      <c r="O343" s="1">
        <v>44.25</v>
      </c>
      <c r="P343" s="1">
        <v>0.0</v>
      </c>
      <c r="Q343" s="1">
        <v>0.0</v>
      </c>
      <c r="R343" s="1">
        <v>28.0</v>
      </c>
      <c r="S343" s="1" t="s">
        <v>538</v>
      </c>
      <c r="T343" s="1" t="s">
        <v>539</v>
      </c>
      <c r="V343" s="4">
        <v>7344705.0</v>
      </c>
      <c r="W343" s="4"/>
      <c r="X343" s="4">
        <v>0.0</v>
      </c>
      <c r="Y343" s="1">
        <v>0.0</v>
      </c>
      <c r="Z343" s="1">
        <v>0.0</v>
      </c>
      <c r="AA343" s="1">
        <v>0.0</v>
      </c>
      <c r="AB343" s="1">
        <v>0.0</v>
      </c>
      <c r="AC343" s="1">
        <v>0.0</v>
      </c>
      <c r="AD343" s="1">
        <v>0.0</v>
      </c>
      <c r="AE343" s="1">
        <v>0.0</v>
      </c>
      <c r="AF343" s="1">
        <v>0.0</v>
      </c>
      <c r="AG343" s="1">
        <v>0.0</v>
      </c>
      <c r="AH343" s="1">
        <v>0.0</v>
      </c>
      <c r="AI343" s="1">
        <v>0.0</v>
      </c>
      <c r="AJ343" s="1">
        <v>0.0</v>
      </c>
      <c r="AK343" s="1">
        <v>0.0</v>
      </c>
      <c r="AL343" s="1">
        <v>0.0</v>
      </c>
      <c r="AM343" s="4">
        <v>0.0</v>
      </c>
      <c r="AN343" s="1">
        <v>0.0</v>
      </c>
      <c r="AO343" s="4">
        <v>0.0</v>
      </c>
      <c r="AP343" s="1">
        <f t="shared" si="1"/>
        <v>1</v>
      </c>
      <c r="AQ343" s="1" t="s">
        <v>557</v>
      </c>
      <c r="AR343" s="1" t="s">
        <v>560</v>
      </c>
      <c r="AT343" s="1" t="s">
        <v>879</v>
      </c>
      <c r="AU343" s="2">
        <v>46005.0</v>
      </c>
      <c r="AV343" s="2">
        <v>46023.9909722222</v>
      </c>
      <c r="AW343" s="1">
        <v>0.0</v>
      </c>
      <c r="AX343" s="1">
        <v>1210951.2</v>
      </c>
      <c r="AY343" s="1">
        <v>198.0</v>
      </c>
      <c r="AZ343" s="1">
        <v>1.0</v>
      </c>
      <c r="BA343" s="1">
        <v>0.0</v>
      </c>
      <c r="BB343" s="1">
        <v>0.0</v>
      </c>
      <c r="BC343" s="2">
        <v>46005.0</v>
      </c>
      <c r="BD343" s="1">
        <v>49.0</v>
      </c>
      <c r="BE343" s="1" t="s">
        <v>550</v>
      </c>
      <c r="BF343" s="1">
        <v>2025.0</v>
      </c>
      <c r="BG343" s="1" t="s">
        <v>558</v>
      </c>
      <c r="BH343" s="7" t="str">
        <f>VLOOKUP(B343,CookieClicks!D:O,12,FALSE)</f>
        <v>http://signup.method.me/methodcrm/?_gl=1*1c1ker2*_gcl_au*MTg0NDc1NDM4Ni4xNzY1NzExMDkx*_ga*MTAwMTA1ODMwMC4xNzY1NzExMDkx*_ga_L2HEZNW53E*czE3NjU3MTEwOTEkbzEkZzAkdDE3NjU3MTEwOTEkajYwJGwwJGgxODQyMDI5ODM0&amp;_ga=2.104325568.1146954089.1765711091-1001058300.1765711091</v>
      </c>
      <c r="BI343" s="8" t="str">
        <f>IFERROR(__xludf.DUMMYFUNCTION("VLOOKUP(REGEXREPLACE(BH343,""[?].*"",""""),ContentBuckets!A:C,2,FALSE)"),"#N/A")</f>
        <v>#N/A</v>
      </c>
      <c r="BJ343" s="8" t="str">
        <f>IFERROR(__xludf.DUMMYFUNCTION("VLOOKUP(REGEXREPLACE(BH343,""[?].*"",""""),ContentBuckets!A:C,3,FALSE)"),"#N/A")</f>
        <v>#N/A</v>
      </c>
    </row>
    <row r="344" ht="14.25" customHeight="1">
      <c r="A344" s="1">
        <v>153536.0</v>
      </c>
      <c r="B344" s="1" t="s">
        <v>1054</v>
      </c>
      <c r="C344" s="2">
        <v>46005.2805555556</v>
      </c>
      <c r="D344" s="2"/>
      <c r="E344" s="2"/>
      <c r="F344" s="1" t="b">
        <v>1</v>
      </c>
      <c r="G344" s="4" t="b">
        <v>0</v>
      </c>
      <c r="H344" s="1" t="b">
        <v>0</v>
      </c>
      <c r="I344" s="1" t="b">
        <v>0</v>
      </c>
      <c r="J344" s="1" t="s">
        <v>534</v>
      </c>
      <c r="K344" s="1" t="s">
        <v>553</v>
      </c>
      <c r="L344" s="1" t="s">
        <v>599</v>
      </c>
      <c r="M344" s="1" t="s">
        <v>537</v>
      </c>
      <c r="N344" s="1">
        <v>0.0</v>
      </c>
      <c r="O344" s="1">
        <v>44.25</v>
      </c>
      <c r="P344" s="1">
        <v>0.0</v>
      </c>
      <c r="Q344" s="1">
        <v>0.0</v>
      </c>
      <c r="R344" s="1">
        <v>0.0</v>
      </c>
      <c r="S344" s="1" t="s">
        <v>538</v>
      </c>
      <c r="T344" s="1" t="s">
        <v>539</v>
      </c>
      <c r="V344" s="4">
        <v>7344793.0</v>
      </c>
      <c r="W344" s="4"/>
      <c r="X344" s="4">
        <v>0.0</v>
      </c>
      <c r="Y344" s="1">
        <v>0.0</v>
      </c>
      <c r="Z344" s="1">
        <v>0.0</v>
      </c>
      <c r="AA344" s="1">
        <v>0.0</v>
      </c>
      <c r="AB344" s="1">
        <v>0.0</v>
      </c>
      <c r="AC344" s="1">
        <v>0.0</v>
      </c>
      <c r="AD344" s="1">
        <v>0.0</v>
      </c>
      <c r="AE344" s="1">
        <v>0.0</v>
      </c>
      <c r="AF344" s="1">
        <v>0.0</v>
      </c>
      <c r="AG344" s="1">
        <v>0.0</v>
      </c>
      <c r="AH344" s="1">
        <v>0.0</v>
      </c>
      <c r="AI344" s="1">
        <v>0.0</v>
      </c>
      <c r="AJ344" s="1">
        <v>0.0</v>
      </c>
      <c r="AK344" s="1">
        <v>0.0</v>
      </c>
      <c r="AL344" s="1">
        <v>0.0</v>
      </c>
      <c r="AM344" s="4">
        <v>0.0</v>
      </c>
      <c r="AN344" s="1">
        <v>0.0</v>
      </c>
      <c r="AO344" s="4">
        <v>0.0</v>
      </c>
      <c r="AP344" s="1">
        <f t="shared" si="1"/>
        <v>1</v>
      </c>
      <c r="AU344" s="2"/>
      <c r="AV344" s="2">
        <v>46024.01875</v>
      </c>
      <c r="AW344" s="1">
        <v>0.0</v>
      </c>
      <c r="AX344" s="1">
        <v>0.0</v>
      </c>
      <c r="AY344" s="1">
        <v>0.0</v>
      </c>
      <c r="AZ344" s="1">
        <v>1.0</v>
      </c>
      <c r="BA344" s="1">
        <v>0.0</v>
      </c>
      <c r="BB344" s="1">
        <v>0.0</v>
      </c>
      <c r="BC344" s="2">
        <v>46005.0</v>
      </c>
      <c r="BD344" s="1">
        <v>49.0</v>
      </c>
      <c r="BE344" s="1" t="s">
        <v>550</v>
      </c>
      <c r="BF344" s="1">
        <v>2025.0</v>
      </c>
      <c r="BG344" s="1" t="s">
        <v>624</v>
      </c>
      <c r="BH344" s="7" t="str">
        <f>VLOOKUP(B344,CookieClicks!D:O,12,FALSE)</f>
        <v>http://signup.method.me/methodcrm</v>
      </c>
      <c r="BI344" s="8" t="str">
        <f>IFERROR(__xludf.DUMMYFUNCTION("VLOOKUP(REGEXREPLACE(BH344,""[?].*"",""""),ContentBuckets!A:C,2,FALSE)"),"#N/A")</f>
        <v>#N/A</v>
      </c>
      <c r="BJ344" s="8" t="str">
        <f>IFERROR(__xludf.DUMMYFUNCTION("VLOOKUP(REGEXREPLACE(BH344,""[?].*"",""""),ContentBuckets!A:C,3,FALSE)"),"#N/A")</f>
        <v>#N/A</v>
      </c>
    </row>
    <row r="345" ht="14.25" customHeight="1">
      <c r="A345" s="1">
        <v>153537.0</v>
      </c>
      <c r="B345" s="1" t="s">
        <v>1055</v>
      </c>
      <c r="C345" s="2">
        <v>46005.2888888889</v>
      </c>
      <c r="D345" s="2"/>
      <c r="E345" s="2"/>
      <c r="F345" s="1" t="b">
        <v>1</v>
      </c>
      <c r="G345" s="4" t="b">
        <v>0</v>
      </c>
      <c r="H345" s="1" t="b">
        <v>0</v>
      </c>
      <c r="I345" s="1" t="b">
        <v>0</v>
      </c>
      <c r="J345" s="1" t="s">
        <v>534</v>
      </c>
      <c r="K345" s="1" t="s">
        <v>553</v>
      </c>
      <c r="L345" s="1" t="s">
        <v>599</v>
      </c>
      <c r="M345" s="1" t="s">
        <v>537</v>
      </c>
      <c r="N345" s="1">
        <v>0.0</v>
      </c>
      <c r="O345" s="1">
        <v>44.25</v>
      </c>
      <c r="P345" s="1">
        <v>0.0</v>
      </c>
      <c r="Q345" s="1">
        <v>0.0</v>
      </c>
      <c r="R345" s="1">
        <v>0.0</v>
      </c>
      <c r="S345" s="1" t="s">
        <v>538</v>
      </c>
      <c r="T345" s="1" t="s">
        <v>539</v>
      </c>
      <c r="V345" s="4">
        <v>7344836.0</v>
      </c>
      <c r="W345" s="4"/>
      <c r="X345" s="4">
        <v>0.0</v>
      </c>
      <c r="Y345" s="1">
        <v>0.0</v>
      </c>
      <c r="Z345" s="1">
        <v>0.0</v>
      </c>
      <c r="AA345" s="1">
        <v>1.0</v>
      </c>
      <c r="AB345" s="1">
        <v>0.0</v>
      </c>
      <c r="AC345" s="1">
        <v>0.0</v>
      </c>
      <c r="AD345" s="1">
        <v>0.0</v>
      </c>
      <c r="AE345" s="1">
        <v>0.0</v>
      </c>
      <c r="AF345" s="1">
        <v>0.0</v>
      </c>
      <c r="AG345" s="1">
        <v>0.0</v>
      </c>
      <c r="AH345" s="1">
        <v>0.0</v>
      </c>
      <c r="AI345" s="1">
        <v>0.0</v>
      </c>
      <c r="AJ345" s="1">
        <v>0.0</v>
      </c>
      <c r="AK345" s="1">
        <v>0.0</v>
      </c>
      <c r="AL345" s="1">
        <v>0.0</v>
      </c>
      <c r="AM345" s="4">
        <v>0.0</v>
      </c>
      <c r="AN345" s="1">
        <v>0.0</v>
      </c>
      <c r="AO345" s="4">
        <v>0.0</v>
      </c>
      <c r="AP345" s="1">
        <f t="shared" si="1"/>
        <v>0</v>
      </c>
      <c r="AU345" s="2"/>
      <c r="AV345" s="2">
        <v>46024.0395833333</v>
      </c>
      <c r="AW345" s="1">
        <v>0.0</v>
      </c>
      <c r="AX345" s="1">
        <v>0.0</v>
      </c>
      <c r="AY345" s="1">
        <v>0.0</v>
      </c>
      <c r="AZ345" s="1">
        <v>1.0</v>
      </c>
      <c r="BA345" s="1">
        <v>0.0</v>
      </c>
      <c r="BB345" s="1">
        <v>0.0</v>
      </c>
      <c r="BC345" s="2">
        <v>46005.0</v>
      </c>
      <c r="BD345" s="1">
        <v>49.0</v>
      </c>
      <c r="BE345" s="1" t="s">
        <v>550</v>
      </c>
      <c r="BF345" s="1">
        <v>2025.0</v>
      </c>
      <c r="BG345" s="1" t="s">
        <v>558</v>
      </c>
      <c r="BH345" s="7" t="str">
        <f>VLOOKUP(B345,CookieClicks!D:O,12,FALSE)</f>
        <v>https://grow.method.me/quickbooks-crm-fb/?trc=517&amp;trk=DoThis&amp;trs=FB-Retargeting&amp;utm_source=Facebook&amp;utm_medium=PPC&amp;utm_campaign=Trial-Q42024&amp;fbclid=IwZXh0bgNhZW0BMABhZGlkAasqjAyLjONzcnRjBmFwcF9pZAo2NjI4NTY4Mzc5AAEe317QqwOx2CP7zHBXCcClGQJghQuxKAcBUr9T5pxWJ52zJJyXVS2M00OBiUk_aem_GvRmokYYPp_jdpUoH70hjA&amp;campaign_id=120213444289450307&amp;ad_id=120223209344020307&amp;utm_id=120213444289450307&amp;utm_content=120223209344020307&amp;utm_term=120223209344030307</v>
      </c>
      <c r="BI345" s="8" t="str">
        <f>IFERROR(__xludf.DUMMYFUNCTION("VLOOKUP(REGEXREPLACE(BH345,""[?].*"",""""),ContentBuckets!A:C,2,FALSE)"),"#N/A")</f>
        <v>#N/A</v>
      </c>
      <c r="BJ345" s="8" t="str">
        <f>IFERROR(__xludf.DUMMYFUNCTION("VLOOKUP(REGEXREPLACE(BH345,""[?].*"",""""),ContentBuckets!A:C,3,FALSE)"),"#N/A")</f>
        <v>#N/A</v>
      </c>
    </row>
    <row r="346" ht="14.25" customHeight="1">
      <c r="A346" s="1">
        <v>153538.0</v>
      </c>
      <c r="B346" s="1" t="s">
        <v>1056</v>
      </c>
      <c r="C346" s="2">
        <v>46005.3708333333</v>
      </c>
      <c r="D346" s="2"/>
      <c r="E346" s="2"/>
      <c r="F346" s="1" t="b">
        <v>1</v>
      </c>
      <c r="G346" s="4" t="b">
        <v>0</v>
      </c>
      <c r="H346" s="1" t="b">
        <v>0</v>
      </c>
      <c r="I346" s="1" t="b">
        <v>0</v>
      </c>
      <c r="J346" s="1" t="s">
        <v>534</v>
      </c>
      <c r="K346" s="1" t="s">
        <v>535</v>
      </c>
      <c r="L346" s="1" t="s">
        <v>536</v>
      </c>
      <c r="M346" s="1" t="s">
        <v>537</v>
      </c>
      <c r="N346" s="1">
        <v>0.0</v>
      </c>
      <c r="O346" s="1">
        <v>44.25</v>
      </c>
      <c r="P346" s="1">
        <v>0.0</v>
      </c>
      <c r="Q346" s="1">
        <v>0.0</v>
      </c>
      <c r="R346" s="1">
        <v>28.0</v>
      </c>
      <c r="S346" s="1" t="s">
        <v>538</v>
      </c>
      <c r="T346" s="1" t="s">
        <v>539</v>
      </c>
      <c r="V346" s="4">
        <v>7345219.0</v>
      </c>
      <c r="W346" s="4"/>
      <c r="X346" s="4">
        <v>0.0</v>
      </c>
      <c r="Y346" s="1">
        <v>0.0</v>
      </c>
      <c r="Z346" s="1">
        <v>1.0</v>
      </c>
      <c r="AA346" s="1">
        <v>0.0</v>
      </c>
      <c r="AB346" s="1">
        <v>0.0</v>
      </c>
      <c r="AC346" s="1">
        <v>0.0</v>
      </c>
      <c r="AD346" s="1">
        <v>0.0</v>
      </c>
      <c r="AE346" s="1">
        <v>0.0</v>
      </c>
      <c r="AF346" s="1">
        <v>0.0</v>
      </c>
      <c r="AG346" s="1">
        <v>0.0</v>
      </c>
      <c r="AH346" s="1">
        <v>0.0</v>
      </c>
      <c r="AI346" s="1">
        <v>0.0</v>
      </c>
      <c r="AJ346" s="1">
        <v>0.0</v>
      </c>
      <c r="AK346" s="1">
        <v>0.0</v>
      </c>
      <c r="AL346" s="1">
        <v>0.0</v>
      </c>
      <c r="AM346" s="4">
        <v>0.0</v>
      </c>
      <c r="AN346" s="1">
        <v>0.0</v>
      </c>
      <c r="AO346" s="4">
        <v>0.0</v>
      </c>
      <c r="AP346" s="1">
        <f t="shared" si="1"/>
        <v>0</v>
      </c>
      <c r="AQ346" s="1" t="s">
        <v>557</v>
      </c>
      <c r="AR346" s="1" t="s">
        <v>608</v>
      </c>
      <c r="AU346" s="2">
        <v>46005.0</v>
      </c>
      <c r="AV346" s="2">
        <v>46024.0159722222</v>
      </c>
      <c r="AW346" s="1">
        <v>2.0</v>
      </c>
      <c r="AX346" s="1">
        <v>3635424.0</v>
      </c>
      <c r="AY346" s="1">
        <v>16.0</v>
      </c>
      <c r="AZ346" s="1">
        <v>1.0</v>
      </c>
      <c r="BA346" s="1">
        <v>0.0</v>
      </c>
      <c r="BB346" s="1">
        <v>0.0</v>
      </c>
      <c r="BC346" s="2">
        <v>46005.0</v>
      </c>
      <c r="BD346" s="1">
        <v>49.0</v>
      </c>
      <c r="BE346" s="1" t="s">
        <v>550</v>
      </c>
      <c r="BF346" s="1">
        <v>2025.0</v>
      </c>
      <c r="BG346" s="1" t="s">
        <v>624</v>
      </c>
      <c r="BH346" s="7" t="str">
        <f>VLOOKUP(B346,CookieClicks!D:O,12,FALSE)</f>
        <v>https://signup.method.me/QBOAppstoreSignup?offering=methodcrm</v>
      </c>
      <c r="BI346" s="8" t="str">
        <f>IFERROR(__xludf.DUMMYFUNCTION("VLOOKUP(REGEXREPLACE(BH346,""[?].*"",""""),ContentBuckets!A:C,2,FALSE)"),"#N/A")</f>
        <v>#N/A</v>
      </c>
      <c r="BJ346" s="8" t="str">
        <f>IFERROR(__xludf.DUMMYFUNCTION("VLOOKUP(REGEXREPLACE(BH346,""[?].*"",""""),ContentBuckets!A:C,3,FALSE)"),"#N/A")</f>
        <v>#N/A</v>
      </c>
    </row>
    <row r="347" ht="14.25" customHeight="1">
      <c r="A347" s="1">
        <v>153539.0</v>
      </c>
      <c r="B347" s="1" t="s">
        <v>1057</v>
      </c>
      <c r="C347" s="2">
        <v>46005.3881944444</v>
      </c>
      <c r="D347" s="2"/>
      <c r="E347" s="2"/>
      <c r="F347" s="1" t="b">
        <v>1</v>
      </c>
      <c r="G347" s="4" t="b">
        <v>0</v>
      </c>
      <c r="H347" s="1" t="b">
        <v>0</v>
      </c>
      <c r="I347" s="1" t="b">
        <v>0</v>
      </c>
      <c r="J347" s="1" t="s">
        <v>534</v>
      </c>
      <c r="K347" s="1" t="s">
        <v>553</v>
      </c>
      <c r="L347" s="1" t="s">
        <v>554</v>
      </c>
      <c r="M347" s="1" t="s">
        <v>537</v>
      </c>
      <c r="N347" s="1">
        <v>0.0</v>
      </c>
      <c r="O347" s="1">
        <v>44.25</v>
      </c>
      <c r="P347" s="1">
        <v>0.0</v>
      </c>
      <c r="Q347" s="1">
        <v>0.0</v>
      </c>
      <c r="R347" s="1">
        <v>0.0</v>
      </c>
      <c r="S347" s="1" t="s">
        <v>538</v>
      </c>
      <c r="T347" s="1" t="s">
        <v>539</v>
      </c>
      <c r="V347" s="4">
        <v>7345290.0</v>
      </c>
      <c r="W347" s="4"/>
      <c r="X347" s="4">
        <v>0.0</v>
      </c>
      <c r="Y347" s="1">
        <v>0.0</v>
      </c>
      <c r="Z347" s="1">
        <v>0.0</v>
      </c>
      <c r="AA347" s="1">
        <v>1.0</v>
      </c>
      <c r="AB347" s="1">
        <v>0.0</v>
      </c>
      <c r="AC347" s="1">
        <v>0.0</v>
      </c>
      <c r="AD347" s="1">
        <v>0.0</v>
      </c>
      <c r="AE347" s="1">
        <v>0.0</v>
      </c>
      <c r="AF347" s="1">
        <v>0.0</v>
      </c>
      <c r="AG347" s="1">
        <v>0.0</v>
      </c>
      <c r="AH347" s="1">
        <v>0.0</v>
      </c>
      <c r="AI347" s="1">
        <v>0.0</v>
      </c>
      <c r="AJ347" s="1">
        <v>0.0</v>
      </c>
      <c r="AK347" s="1">
        <v>0.0</v>
      </c>
      <c r="AL347" s="1">
        <v>0.0</v>
      </c>
      <c r="AM347" s="4">
        <v>0.0</v>
      </c>
      <c r="AN347" s="1">
        <v>0.0</v>
      </c>
      <c r="AO347" s="4">
        <v>0.0</v>
      </c>
      <c r="AP347" s="1">
        <f t="shared" si="1"/>
        <v>0</v>
      </c>
      <c r="AU347" s="2"/>
      <c r="AV347" s="2">
        <v>46024.0076388889</v>
      </c>
      <c r="AW347" s="1">
        <v>0.0</v>
      </c>
      <c r="AX347" s="1">
        <v>0.0</v>
      </c>
      <c r="AY347" s="1">
        <v>0.0</v>
      </c>
      <c r="AZ347" s="1">
        <v>1.0</v>
      </c>
      <c r="BA347" s="1">
        <v>0.0</v>
      </c>
      <c r="BB347" s="1">
        <v>0.0</v>
      </c>
      <c r="BC347" s="2">
        <v>46005.0</v>
      </c>
      <c r="BD347" s="1">
        <v>49.0</v>
      </c>
      <c r="BE347" s="1" t="s">
        <v>550</v>
      </c>
      <c r="BF347" s="1">
        <v>2025.0</v>
      </c>
      <c r="BG347" s="1" t="s">
        <v>558</v>
      </c>
      <c r="BH347" s="1" t="str">
        <f>VLOOKUP(B347,CookieClicks!D:O,12,FALSE)</f>
        <v>https://grow.method.me/crm-quickbooks/?trc=81&amp;trk=crm with quickbooks&amp;trs=USA-QB-G&amp;campaignid=1543381580&amp;adgroupid=61437797000&amp;adid=704678754673&amp;gad_source=1&amp;gad_campaignid=1543381580&amp;gbraid=0AAAAAD3ItnZNMn31Mc4lcykjapq4w1c2y&amp;gclid=CjwKCAiA3fnJBhAgEiwAyqmY5a3z2oa4e6z39qvLFfhg3yx71LDrPAUqrpjXV_AGDb348YZlAdKszBoC8EUQAvD_BwE</v>
      </c>
      <c r="BI347" s="8" t="str">
        <f>IFERROR(__xludf.DUMMYFUNCTION("VLOOKUP(REGEXREPLACE(BH347,""[?].*"",""""),ContentBuckets!A:C,2,FALSE)"),"#N/A")</f>
        <v>#N/A</v>
      </c>
      <c r="BJ347" s="8" t="str">
        <f>IFERROR(__xludf.DUMMYFUNCTION("VLOOKUP(REGEXREPLACE(BH347,""[?].*"",""""),ContentBuckets!A:C,3,FALSE)"),"#N/A")</f>
        <v>#N/A</v>
      </c>
    </row>
    <row r="348" ht="14.25" customHeight="1">
      <c r="A348" s="1">
        <v>153540.0</v>
      </c>
      <c r="B348" s="1" t="s">
        <v>1058</v>
      </c>
      <c r="C348" s="2">
        <v>46005.5111111111</v>
      </c>
      <c r="D348" s="2"/>
      <c r="E348" s="2"/>
      <c r="F348" s="1" t="b">
        <v>1</v>
      </c>
      <c r="G348" s="4" t="b">
        <v>0</v>
      </c>
      <c r="H348" s="1" t="b">
        <v>0</v>
      </c>
      <c r="I348" s="1" t="b">
        <v>0</v>
      </c>
      <c r="J348" s="1" t="s">
        <v>534</v>
      </c>
      <c r="K348" s="1" t="s">
        <v>535</v>
      </c>
      <c r="L348" s="1" t="s">
        <v>536</v>
      </c>
      <c r="M348" s="1" t="s">
        <v>537</v>
      </c>
      <c r="N348" s="1">
        <v>0.0</v>
      </c>
      <c r="O348" s="1">
        <v>106.5</v>
      </c>
      <c r="P348" s="1">
        <v>0.0</v>
      </c>
      <c r="Q348" s="1">
        <v>0.0</v>
      </c>
      <c r="R348" s="1">
        <v>28.0</v>
      </c>
      <c r="S348" s="1" t="s">
        <v>538</v>
      </c>
      <c r="T348" s="1" t="s">
        <v>539</v>
      </c>
      <c r="V348" s="4">
        <v>7345968.0</v>
      </c>
      <c r="W348" s="4"/>
      <c r="X348" s="4">
        <v>0.0</v>
      </c>
      <c r="Y348" s="1">
        <v>0.0</v>
      </c>
      <c r="Z348" s="1">
        <v>0.0</v>
      </c>
      <c r="AA348" s="1">
        <v>1.0</v>
      </c>
      <c r="AB348" s="1">
        <v>0.0</v>
      </c>
      <c r="AC348" s="1">
        <v>0.0</v>
      </c>
      <c r="AD348" s="1">
        <v>0.0</v>
      </c>
      <c r="AE348" s="1">
        <v>0.0</v>
      </c>
      <c r="AF348" s="1">
        <v>0.0</v>
      </c>
      <c r="AG348" s="1">
        <v>0.0</v>
      </c>
      <c r="AH348" s="1">
        <v>0.0</v>
      </c>
      <c r="AI348" s="1">
        <v>0.0</v>
      </c>
      <c r="AJ348" s="1">
        <v>0.0</v>
      </c>
      <c r="AK348" s="1">
        <v>0.0</v>
      </c>
      <c r="AL348" s="1">
        <v>0.0</v>
      </c>
      <c r="AM348" s="4">
        <v>0.0</v>
      </c>
      <c r="AN348" s="1">
        <v>0.0</v>
      </c>
      <c r="AO348" s="4">
        <v>0.0</v>
      </c>
      <c r="AP348" s="1">
        <f t="shared" si="1"/>
        <v>0</v>
      </c>
      <c r="AQ348" s="1" t="s">
        <v>557</v>
      </c>
      <c r="AR348" s="1" t="s">
        <v>578</v>
      </c>
      <c r="AT348" s="1" t="s">
        <v>1059</v>
      </c>
      <c r="AU348" s="2">
        <v>46005.0</v>
      </c>
      <c r="AV348" s="2">
        <v>46024.0340277778</v>
      </c>
      <c r="AW348" s="1">
        <v>12.0</v>
      </c>
      <c r="AX348" s="1">
        <v>4175041.08</v>
      </c>
      <c r="AY348" s="1">
        <v>2271.0</v>
      </c>
      <c r="AZ348" s="1">
        <v>2.0</v>
      </c>
      <c r="BA348" s="1">
        <v>0.0</v>
      </c>
      <c r="BB348" s="1">
        <v>0.0</v>
      </c>
      <c r="BC348" s="2">
        <v>46005.0</v>
      </c>
      <c r="BD348" s="1">
        <v>49.0</v>
      </c>
      <c r="BE348" s="1" t="s">
        <v>550</v>
      </c>
      <c r="BF348" s="1">
        <v>2025.0</v>
      </c>
      <c r="BG348" s="1" t="s">
        <v>558</v>
      </c>
      <c r="BH348" s="1" t="str">
        <f>VLOOKUP(B348,CookieClicks!D:O,12,FALSE)</f>
        <v>https://grow.method.me/crm-quickbooks/?trc=86&amp;trk=best crm quickbooks integration&amp;trs=US-QBInt-Bing&amp;msclkid=2c066c0b5c94172aa0090535b322c1bd&amp;utm_source=bing&amp;utm_medium=cpc&amp;utm_campaign=US - Generic 2020&amp;utm_term=best crm quickbooks integration&amp;utm_content=Integrations</v>
      </c>
      <c r="BI348" s="8" t="str">
        <f>IFERROR(__xludf.DUMMYFUNCTION("VLOOKUP(REGEXREPLACE(BH348,""[?].*"",""""),ContentBuckets!A:C,2,FALSE)"),"#N/A")</f>
        <v>#N/A</v>
      </c>
      <c r="BJ348" s="8" t="str">
        <f>IFERROR(__xludf.DUMMYFUNCTION("VLOOKUP(REGEXREPLACE(BH348,""[?].*"",""""),ContentBuckets!A:C,3,FALSE)"),"#N/A")</f>
        <v>#N/A</v>
      </c>
    </row>
    <row r="349" ht="14.25" customHeight="1">
      <c r="A349" s="1">
        <v>153541.0</v>
      </c>
      <c r="B349" s="1" t="s">
        <v>1060</v>
      </c>
      <c r="C349" s="2">
        <v>46005.5708333333</v>
      </c>
      <c r="D349" s="2"/>
      <c r="E349" s="2"/>
      <c r="F349" s="1" t="b">
        <v>1</v>
      </c>
      <c r="G349" s="4" t="b">
        <v>0</v>
      </c>
      <c r="H349" s="1" t="b">
        <v>0</v>
      </c>
      <c r="I349" s="1" t="b">
        <v>0</v>
      </c>
      <c r="J349" s="1" t="s">
        <v>534</v>
      </c>
      <c r="K349" s="1" t="s">
        <v>553</v>
      </c>
      <c r="L349" s="1" t="s">
        <v>554</v>
      </c>
      <c r="M349" s="1" t="s">
        <v>537</v>
      </c>
      <c r="N349" s="1">
        <v>0.0</v>
      </c>
      <c r="O349" s="1">
        <v>44.25</v>
      </c>
      <c r="P349" s="1">
        <v>0.0</v>
      </c>
      <c r="Q349" s="1">
        <v>0.0</v>
      </c>
      <c r="R349" s="1">
        <v>0.0</v>
      </c>
      <c r="S349" s="1" t="s">
        <v>538</v>
      </c>
      <c r="T349" s="1" t="s">
        <v>539</v>
      </c>
      <c r="V349" s="4">
        <v>7346355.0</v>
      </c>
      <c r="W349" s="4"/>
      <c r="X349" s="4">
        <v>0.0</v>
      </c>
      <c r="Y349" s="1">
        <v>0.0</v>
      </c>
      <c r="Z349" s="1">
        <v>0.0</v>
      </c>
      <c r="AA349" s="1">
        <v>1.0</v>
      </c>
      <c r="AB349" s="1">
        <v>0.0</v>
      </c>
      <c r="AC349" s="1">
        <v>0.0</v>
      </c>
      <c r="AD349" s="1">
        <v>0.0</v>
      </c>
      <c r="AE349" s="1">
        <v>0.0</v>
      </c>
      <c r="AF349" s="1">
        <v>0.0</v>
      </c>
      <c r="AG349" s="1">
        <v>0.0</v>
      </c>
      <c r="AH349" s="1">
        <v>0.0</v>
      </c>
      <c r="AI349" s="1">
        <v>0.0</v>
      </c>
      <c r="AJ349" s="1">
        <v>0.0</v>
      </c>
      <c r="AK349" s="1">
        <v>0.0</v>
      </c>
      <c r="AL349" s="1">
        <v>0.0</v>
      </c>
      <c r="AM349" s="4">
        <v>0.0</v>
      </c>
      <c r="AN349" s="1">
        <v>0.0</v>
      </c>
      <c r="AO349" s="4">
        <v>0.0</v>
      </c>
      <c r="AP349" s="1">
        <f t="shared" si="1"/>
        <v>0</v>
      </c>
      <c r="AU349" s="2"/>
      <c r="AV349" s="2">
        <v>46024.0305555556</v>
      </c>
      <c r="AW349" s="1">
        <v>0.0</v>
      </c>
      <c r="AX349" s="1">
        <v>0.0</v>
      </c>
      <c r="AY349" s="1">
        <v>0.0</v>
      </c>
      <c r="AZ349" s="1">
        <v>1.0</v>
      </c>
      <c r="BA349" s="1">
        <v>0.0</v>
      </c>
      <c r="BB349" s="1">
        <v>0.0</v>
      </c>
      <c r="BC349" s="2">
        <v>46005.0</v>
      </c>
      <c r="BD349" s="1">
        <v>49.0</v>
      </c>
      <c r="BE349" s="1" t="s">
        <v>550</v>
      </c>
      <c r="BF349" s="1">
        <v>2025.0</v>
      </c>
      <c r="BG349" s="1" t="s">
        <v>558</v>
      </c>
      <c r="BH349" s="1" t="str">
        <f>VLOOKUP(B349,CookieClicks!D:O,12,FALSE)</f>
        <v>https://grow.method.me/crm-quickbooks/?trc=81&amp;trk=crm with quickbooks&amp;trs=USA-QB-G&amp;campaignid=1543381580&amp;adgroupid=61437797000&amp;adid=704678754673&amp;gad_source=1&amp;gad_campaignid=1543381580&amp;gbraid=0AAAAAD3ItnZNMn31Mc4lcykjapq4w1c2y&amp;gclid=CjwKCAiA3fnJBhAgEiwAyqmY5R5E5ZOrPRY-E8E1Cu3NTq80M27ts7SY_55Cx6pXawTq89jMPOrCEBoCVbsQAvD_BwE</v>
      </c>
      <c r="BI349" s="8" t="str">
        <f>IFERROR(__xludf.DUMMYFUNCTION("VLOOKUP(REGEXREPLACE(BH349,""[?].*"",""""),ContentBuckets!A:C,2,FALSE)"),"#N/A")</f>
        <v>#N/A</v>
      </c>
      <c r="BJ349" s="8" t="str">
        <f>IFERROR(__xludf.DUMMYFUNCTION("VLOOKUP(REGEXREPLACE(BH349,""[?].*"",""""),ContentBuckets!A:C,3,FALSE)"),"#N/A")</f>
        <v>#N/A</v>
      </c>
    </row>
    <row r="350" ht="14.25" customHeight="1">
      <c r="A350" s="1">
        <v>153542.0</v>
      </c>
      <c r="B350" s="1" t="s">
        <v>1061</v>
      </c>
      <c r="C350" s="2">
        <v>46005.8034722222</v>
      </c>
      <c r="D350" s="2"/>
      <c r="E350" s="2"/>
      <c r="F350" s="1" t="b">
        <v>1</v>
      </c>
      <c r="G350" s="4" t="b">
        <v>0</v>
      </c>
      <c r="H350" s="1" t="b">
        <v>0</v>
      </c>
      <c r="I350" s="1" t="b">
        <v>0</v>
      </c>
      <c r="J350" s="1" t="s">
        <v>534</v>
      </c>
      <c r="K350" s="1" t="s">
        <v>553</v>
      </c>
      <c r="L350" s="1" t="s">
        <v>554</v>
      </c>
      <c r="M350" s="1" t="s">
        <v>537</v>
      </c>
      <c r="N350" s="1">
        <v>0.0</v>
      </c>
      <c r="O350" s="1">
        <v>44.25</v>
      </c>
      <c r="P350" s="1">
        <v>0.0</v>
      </c>
      <c r="Q350" s="1">
        <v>0.0</v>
      </c>
      <c r="R350" s="1">
        <v>0.0</v>
      </c>
      <c r="S350" s="1" t="s">
        <v>538</v>
      </c>
      <c r="T350" s="1" t="s">
        <v>539</v>
      </c>
      <c r="V350" s="4">
        <v>7343077.0</v>
      </c>
      <c r="W350" s="4"/>
      <c r="X350" s="4">
        <v>0.0</v>
      </c>
      <c r="Y350" s="1">
        <v>0.0</v>
      </c>
      <c r="Z350" s="1">
        <v>0.0</v>
      </c>
      <c r="AA350" s="1">
        <v>1.0</v>
      </c>
      <c r="AB350" s="1">
        <v>0.0</v>
      </c>
      <c r="AC350" s="1">
        <v>0.0</v>
      </c>
      <c r="AD350" s="1">
        <v>0.0</v>
      </c>
      <c r="AE350" s="1">
        <v>0.0</v>
      </c>
      <c r="AF350" s="1">
        <v>0.0</v>
      </c>
      <c r="AG350" s="1">
        <v>0.0</v>
      </c>
      <c r="AH350" s="1">
        <v>0.0</v>
      </c>
      <c r="AI350" s="1">
        <v>0.0</v>
      </c>
      <c r="AJ350" s="1">
        <v>0.0</v>
      </c>
      <c r="AK350" s="1">
        <v>0.0</v>
      </c>
      <c r="AL350" s="1">
        <v>0.0</v>
      </c>
      <c r="AM350" s="4">
        <v>0.0</v>
      </c>
      <c r="AN350" s="1">
        <v>0.0</v>
      </c>
      <c r="AO350" s="4">
        <v>0.0</v>
      </c>
      <c r="AP350" s="1">
        <f t="shared" si="1"/>
        <v>0</v>
      </c>
      <c r="AU350" s="2"/>
      <c r="AV350" s="2">
        <v>46024.0347222222</v>
      </c>
      <c r="AW350" s="1">
        <v>0.0</v>
      </c>
      <c r="AX350" s="1">
        <v>0.0</v>
      </c>
      <c r="AY350" s="1">
        <v>0.0</v>
      </c>
      <c r="AZ350" s="1">
        <v>1.0</v>
      </c>
      <c r="BA350" s="1">
        <v>0.0</v>
      </c>
      <c r="BB350" s="1">
        <v>0.0</v>
      </c>
      <c r="BC350" s="2">
        <v>46005.0</v>
      </c>
      <c r="BD350" s="1">
        <v>49.0</v>
      </c>
      <c r="BE350" s="1" t="s">
        <v>550</v>
      </c>
      <c r="BF350" s="1">
        <v>2025.0</v>
      </c>
      <c r="BG350" s="1" t="s">
        <v>558</v>
      </c>
      <c r="BH350" s="7" t="str">
        <f>VLOOKUP(B350,CookieClicks!D:O,12,FALSE)</f>
        <v>https://grow.method.me/quickbooks-crm-fb/?trc=517&amp;trk=BOF&amp;trs=FB-Lookalike&amp;utm_source=Facebook&amp;utm_medium=PPC&amp;utm_campaign=Banner_trial&amp;fbclid=IwZXh0bgNhZW0BMABhZGlkAasqi_isRSNzcnRjBmFwcF9pZAo2NjI4NTY4Mzc5AAEepiZrCDtl3qAyjy2Y36kTwHriGxyox36mSzGnd_SPkDwhqsr9Ca8cA_d-yAw_aem_9NCwsqVNdgYf1pOnD1YlZw&amp;brid=9NCwsqVNdgYf1pOnD1YlZw&amp;campaign_id=120213444289450307&amp;ad_id=120215433569050307&amp;utm_id=120213444289450307&amp;utm_content=120215433569050307&amp;utm_term=120215433408020307</v>
      </c>
      <c r="BI350" s="8" t="str">
        <f>IFERROR(__xludf.DUMMYFUNCTION("VLOOKUP(REGEXREPLACE(BH350,""[?].*"",""""),ContentBuckets!A:C,2,FALSE)"),"#N/A")</f>
        <v>#N/A</v>
      </c>
      <c r="BJ350" s="8" t="str">
        <f>IFERROR(__xludf.DUMMYFUNCTION("VLOOKUP(REGEXREPLACE(BH350,""[?].*"",""""),ContentBuckets!A:C,3,FALSE)"),"#N/A")</f>
        <v>#N/A</v>
      </c>
    </row>
    <row r="351" ht="14.25" customHeight="1">
      <c r="A351" s="1">
        <v>153543.0</v>
      </c>
      <c r="B351" s="1" t="s">
        <v>1062</v>
      </c>
      <c r="C351" s="2">
        <v>46005.8111111111</v>
      </c>
      <c r="D351" s="2">
        <v>46007.5541666667</v>
      </c>
      <c r="E351" s="2"/>
      <c r="F351" s="1" t="b">
        <v>0</v>
      </c>
      <c r="G351" s="4" t="b">
        <v>1</v>
      </c>
      <c r="H351" s="1" t="b">
        <v>0</v>
      </c>
      <c r="I351" s="1" t="b">
        <v>0</v>
      </c>
      <c r="J351" s="1" t="s">
        <v>534</v>
      </c>
      <c r="K351" s="1" t="s">
        <v>566</v>
      </c>
      <c r="L351" s="1" t="s">
        <v>567</v>
      </c>
      <c r="M351" s="1" t="s">
        <v>537</v>
      </c>
      <c r="N351" s="1">
        <v>0.0</v>
      </c>
      <c r="O351" s="1">
        <v>54.75</v>
      </c>
      <c r="P351" s="1">
        <v>0.0</v>
      </c>
      <c r="Q351" s="1">
        <v>0.0</v>
      </c>
      <c r="R351" s="1">
        <v>28.0</v>
      </c>
      <c r="S351" s="1" t="s">
        <v>538</v>
      </c>
      <c r="T351" s="1" t="s">
        <v>539</v>
      </c>
      <c r="V351" s="4">
        <v>7347422.0</v>
      </c>
      <c r="W351" s="4"/>
      <c r="X351" s="4">
        <v>0.0</v>
      </c>
      <c r="Y351" s="1">
        <v>0.0</v>
      </c>
      <c r="Z351" s="1">
        <v>0.0</v>
      </c>
      <c r="AA351" s="1">
        <v>1.0</v>
      </c>
      <c r="AB351" s="1">
        <v>0.0</v>
      </c>
      <c r="AC351" s="1">
        <v>0.0</v>
      </c>
      <c r="AD351" s="1">
        <v>0.0</v>
      </c>
      <c r="AE351" s="1">
        <v>0.0</v>
      </c>
      <c r="AF351" s="1">
        <v>0.0</v>
      </c>
      <c r="AG351" s="1">
        <v>0.0</v>
      </c>
      <c r="AH351" s="1">
        <v>0.0</v>
      </c>
      <c r="AI351" s="1">
        <v>0.0</v>
      </c>
      <c r="AJ351" s="1">
        <v>0.0</v>
      </c>
      <c r="AK351" s="1">
        <v>0.0</v>
      </c>
      <c r="AL351" s="1">
        <v>0.0</v>
      </c>
      <c r="AM351" s="4">
        <v>0.0</v>
      </c>
      <c r="AN351" s="1">
        <v>0.0</v>
      </c>
      <c r="AO351" s="4">
        <v>0.0</v>
      </c>
      <c r="AP351" s="1">
        <f t="shared" si="1"/>
        <v>0</v>
      </c>
      <c r="AR351" s="1" t="s">
        <v>681</v>
      </c>
      <c r="AU351" s="2"/>
      <c r="AV351" s="2">
        <v>46007.0506944444</v>
      </c>
      <c r="AW351" s="1">
        <v>0.0</v>
      </c>
      <c r="AX351" s="1">
        <v>0.0</v>
      </c>
      <c r="AY351" s="1">
        <v>0.0</v>
      </c>
      <c r="AZ351" s="1">
        <v>1.0</v>
      </c>
      <c r="BA351" s="1">
        <v>0.0</v>
      </c>
      <c r="BB351" s="1">
        <v>0.0</v>
      </c>
      <c r="BC351" s="2">
        <v>46005.0</v>
      </c>
      <c r="BD351" s="1">
        <v>49.0</v>
      </c>
      <c r="BE351" s="1" t="s">
        <v>550</v>
      </c>
      <c r="BF351" s="1">
        <v>2025.0</v>
      </c>
      <c r="BG351" s="1" t="s">
        <v>558</v>
      </c>
      <c r="BH351" s="7" t="str">
        <f>VLOOKUP(B351,CookieClicks!D:O,12,FALSE)</f>
        <v>https://www.method.me/quickbooks-crm/?trc=81&amp;trk=&amp;trs=USA-DSA-QB&amp;campaignid=13038312612&amp;adgroupid=128764620688&amp;adid=776781070272&amp;gad_source=1&amp;gad_campaignid=13038312612&amp;gbraid=0AAAAAD3ItnZ7eMf13ooxTjuxmRbe6HMoy&amp;gclid=CjwKCAiA3fnJBhAgEiwAyqmY5fn0Z9KcZ3X2ujSAkgENJkwkcsGwTvuLRoP9iLuM_5QestAzczFPDRoCLp0QAvD_BwE</v>
      </c>
      <c r="BI351" s="8" t="str">
        <f>IFERROR(__xludf.DUMMYFUNCTION("VLOOKUP(REGEXREPLACE(BH351,""[?].*"",""""),ContentBuckets!A:C,2,FALSE)"),"/crm-quickbooks/")</f>
        <v>/crm-quickbooks/</v>
      </c>
      <c r="BJ351" s="8" t="str">
        <f>IFERROR(__xludf.DUMMYFUNCTION("VLOOKUP(REGEXREPLACE(BH351,""[?].*"",""""),ContentBuckets!A:C,3,FALSE)"),"Other page")</f>
        <v>Other page</v>
      </c>
    </row>
    <row r="352" ht="14.25" customHeight="1">
      <c r="A352" s="1">
        <v>153544.0</v>
      </c>
      <c r="B352" s="1" t="s">
        <v>1063</v>
      </c>
      <c r="C352" s="2">
        <v>46005.8770833333</v>
      </c>
      <c r="D352" s="2"/>
      <c r="E352" s="2"/>
      <c r="F352" s="1" t="b">
        <v>1</v>
      </c>
      <c r="G352" s="4" t="b">
        <v>0</v>
      </c>
      <c r="H352" s="1" t="b">
        <v>0</v>
      </c>
      <c r="I352" s="1" t="b">
        <v>0</v>
      </c>
      <c r="J352" s="1" t="s">
        <v>534</v>
      </c>
      <c r="K352" s="1" t="s">
        <v>553</v>
      </c>
      <c r="L352" s="1" t="s">
        <v>599</v>
      </c>
      <c r="M352" s="1" t="s">
        <v>537</v>
      </c>
      <c r="N352" s="1">
        <v>0.0</v>
      </c>
      <c r="O352" s="1">
        <v>44.25</v>
      </c>
      <c r="P352" s="1">
        <v>0.0</v>
      </c>
      <c r="Q352" s="1">
        <v>0.0</v>
      </c>
      <c r="R352" s="1">
        <v>0.0</v>
      </c>
      <c r="S352" s="1" t="s">
        <v>538</v>
      </c>
      <c r="T352" s="1" t="s">
        <v>539</v>
      </c>
      <c r="V352" s="4">
        <v>7348243.0</v>
      </c>
      <c r="W352" s="4"/>
      <c r="X352" s="4">
        <v>0.0</v>
      </c>
      <c r="Y352" s="1">
        <v>0.0</v>
      </c>
      <c r="Z352" s="1">
        <v>0.0</v>
      </c>
      <c r="AA352" s="1">
        <v>1.0</v>
      </c>
      <c r="AB352" s="1">
        <v>0.0</v>
      </c>
      <c r="AC352" s="1">
        <v>0.0</v>
      </c>
      <c r="AD352" s="1">
        <v>0.0</v>
      </c>
      <c r="AE352" s="1">
        <v>0.0</v>
      </c>
      <c r="AF352" s="1">
        <v>0.0</v>
      </c>
      <c r="AG352" s="1">
        <v>0.0</v>
      </c>
      <c r="AH352" s="1">
        <v>0.0</v>
      </c>
      <c r="AI352" s="1">
        <v>0.0</v>
      </c>
      <c r="AJ352" s="1">
        <v>0.0</v>
      </c>
      <c r="AK352" s="1">
        <v>0.0</v>
      </c>
      <c r="AL352" s="1">
        <v>0.0</v>
      </c>
      <c r="AM352" s="4">
        <v>0.0</v>
      </c>
      <c r="AN352" s="1">
        <v>0.0</v>
      </c>
      <c r="AO352" s="4">
        <v>0.0</v>
      </c>
      <c r="AP352" s="1">
        <f t="shared" si="1"/>
        <v>0</v>
      </c>
      <c r="AU352" s="2"/>
      <c r="AV352" s="2">
        <v>46024.0034722222</v>
      </c>
      <c r="AW352" s="1">
        <v>0.0</v>
      </c>
      <c r="AX352" s="1">
        <v>0.0</v>
      </c>
      <c r="AY352" s="1">
        <v>0.0</v>
      </c>
      <c r="AZ352" s="1">
        <v>1.0</v>
      </c>
      <c r="BA352" s="1">
        <v>0.0</v>
      </c>
      <c r="BB352" s="1">
        <v>0.0</v>
      </c>
      <c r="BC352" s="2">
        <v>46005.0</v>
      </c>
      <c r="BD352" s="1">
        <v>49.0</v>
      </c>
      <c r="BE352" s="1" t="s">
        <v>550</v>
      </c>
      <c r="BF352" s="1">
        <v>2025.0</v>
      </c>
      <c r="BG352" s="1" t="s">
        <v>558</v>
      </c>
      <c r="BH352" s="7" t="str">
        <f>VLOOKUP(B352,CookieClicks!D:O,12,FALSE)</f>
        <v>https://grow.method.me/quickbooks-crm/?trc=81&amp;trk=&amp;trs=PMax-weekend&amp;campaignid=21009929726&amp;adgroupid=&amp;adid=&amp;gad_source=5&amp;gad_campaignid=21012967633&amp;gclid=EAIaIQobChMI4ZGFmMC-kQMVsGBHAR2Ftw2REAAYASAAEgLym_D_BwE</v>
      </c>
      <c r="BI352" s="8" t="str">
        <f>IFERROR(__xludf.DUMMYFUNCTION("VLOOKUP(REGEXREPLACE(BH352,""[?].*"",""""),ContentBuckets!A:C,2,FALSE)"),"#N/A")</f>
        <v>#N/A</v>
      </c>
      <c r="BJ352" s="8" t="str">
        <f>IFERROR(__xludf.DUMMYFUNCTION("VLOOKUP(REGEXREPLACE(BH352,""[?].*"",""""),ContentBuckets!A:C,3,FALSE)"),"#N/A")</f>
        <v>#N/A</v>
      </c>
    </row>
    <row r="353" ht="14.25" customHeight="1">
      <c r="A353" s="1">
        <v>153545.0</v>
      </c>
      <c r="B353" s="1" t="s">
        <v>1064</v>
      </c>
      <c r="C353" s="2">
        <v>46005.8951388889</v>
      </c>
      <c r="D353" s="2"/>
      <c r="E353" s="2"/>
      <c r="F353" s="1" t="b">
        <v>1</v>
      </c>
      <c r="G353" s="4" t="b">
        <v>0</v>
      </c>
      <c r="H353" s="1" t="b">
        <v>0</v>
      </c>
      <c r="I353" s="1" t="b">
        <v>0</v>
      </c>
      <c r="J353" s="1" t="s">
        <v>534</v>
      </c>
      <c r="K353" s="1" t="s">
        <v>553</v>
      </c>
      <c r="L353" s="1" t="s">
        <v>599</v>
      </c>
      <c r="M353" s="1" t="s">
        <v>537</v>
      </c>
      <c r="N353" s="1">
        <v>0.0</v>
      </c>
      <c r="O353" s="1">
        <v>44.25</v>
      </c>
      <c r="P353" s="1">
        <v>0.0</v>
      </c>
      <c r="Q353" s="1">
        <v>0.0</v>
      </c>
      <c r="R353" s="1">
        <v>0.0</v>
      </c>
      <c r="S353" s="1" t="s">
        <v>538</v>
      </c>
      <c r="T353" s="1" t="s">
        <v>539</v>
      </c>
      <c r="V353" s="4">
        <v>7348356.0</v>
      </c>
      <c r="W353" s="4"/>
      <c r="X353" s="4">
        <v>0.0</v>
      </c>
      <c r="Y353" s="1">
        <v>0.0</v>
      </c>
      <c r="Z353" s="1">
        <v>0.0</v>
      </c>
      <c r="AA353" s="1">
        <v>1.0</v>
      </c>
      <c r="AB353" s="1">
        <v>0.0</v>
      </c>
      <c r="AC353" s="1">
        <v>0.0</v>
      </c>
      <c r="AD353" s="1">
        <v>0.0</v>
      </c>
      <c r="AE353" s="1">
        <v>0.0</v>
      </c>
      <c r="AF353" s="1">
        <v>0.0</v>
      </c>
      <c r="AG353" s="1">
        <v>0.0</v>
      </c>
      <c r="AH353" s="1">
        <v>0.0</v>
      </c>
      <c r="AI353" s="1">
        <v>0.0</v>
      </c>
      <c r="AJ353" s="1">
        <v>0.0</v>
      </c>
      <c r="AK353" s="1">
        <v>0.0</v>
      </c>
      <c r="AL353" s="1">
        <v>0.0</v>
      </c>
      <c r="AM353" s="4">
        <v>0.0</v>
      </c>
      <c r="AN353" s="1">
        <v>0.0</v>
      </c>
      <c r="AO353" s="4">
        <v>0.0</v>
      </c>
      <c r="AP353" s="1">
        <f t="shared" si="1"/>
        <v>0</v>
      </c>
      <c r="AU353" s="2"/>
      <c r="AV353" s="2">
        <v>46023.9826388889</v>
      </c>
      <c r="AW353" s="1">
        <v>0.0</v>
      </c>
      <c r="AX353" s="1">
        <v>0.0</v>
      </c>
      <c r="AY353" s="1">
        <v>0.0</v>
      </c>
      <c r="AZ353" s="1">
        <v>1.0</v>
      </c>
      <c r="BA353" s="1">
        <v>0.0</v>
      </c>
      <c r="BB353" s="1">
        <v>0.0</v>
      </c>
      <c r="BC353" s="2">
        <v>46005.0</v>
      </c>
      <c r="BD353" s="1">
        <v>49.0</v>
      </c>
      <c r="BE353" s="1" t="s">
        <v>550</v>
      </c>
      <c r="BF353" s="1">
        <v>2025.0</v>
      </c>
      <c r="BG353" s="1" t="s">
        <v>558</v>
      </c>
      <c r="BH353" s="7" t="str">
        <f>VLOOKUP(B353,CookieClicks!D:O,12,FALSE)</f>
        <v>https://grow.method.me/no-erp/?trc=81&amp;trk=&amp;trs=US-ERP&amp;campaignid=20938141894&amp;adgroupid=&amp;adid=&amp;gad_source=5&amp;gad_campaignid=20938142383&amp;gclid=EAIaIQobChMIpY_g1MS-kQMVukJHAR29GiA1EAAYASAAEgLzwPD_BwE</v>
      </c>
      <c r="BI353" s="8" t="str">
        <f>IFERROR(__xludf.DUMMYFUNCTION("VLOOKUP(REGEXREPLACE(BH353,""[?].*"",""""),ContentBuckets!A:C,2,FALSE)"),"#N/A")</f>
        <v>#N/A</v>
      </c>
      <c r="BJ353" s="8" t="str">
        <f>IFERROR(__xludf.DUMMYFUNCTION("VLOOKUP(REGEXREPLACE(BH353,""[?].*"",""""),ContentBuckets!A:C,3,FALSE)"),"#N/A")</f>
        <v>#N/A</v>
      </c>
    </row>
    <row r="354" ht="14.25" customHeight="1">
      <c r="A354" s="1">
        <v>153546.0</v>
      </c>
      <c r="B354" s="1" t="s">
        <v>1065</v>
      </c>
      <c r="C354" s="2">
        <v>46005.9270833333</v>
      </c>
      <c r="D354" s="2"/>
      <c r="E354" s="2"/>
      <c r="F354" s="1" t="b">
        <v>1</v>
      </c>
      <c r="G354" s="4" t="b">
        <v>0</v>
      </c>
      <c r="H354" s="1" t="b">
        <v>0</v>
      </c>
      <c r="I354" s="1" t="b">
        <v>0</v>
      </c>
      <c r="J354" s="1" t="s">
        <v>534</v>
      </c>
      <c r="K354" s="1" t="s">
        <v>553</v>
      </c>
      <c r="L354" s="1" t="s">
        <v>599</v>
      </c>
      <c r="M354" s="1" t="s">
        <v>537</v>
      </c>
      <c r="N354" s="1">
        <v>0.0</v>
      </c>
      <c r="O354" s="1">
        <v>44.25</v>
      </c>
      <c r="P354" s="1">
        <v>0.0</v>
      </c>
      <c r="Q354" s="1">
        <v>0.0</v>
      </c>
      <c r="R354" s="1">
        <v>0.0</v>
      </c>
      <c r="S354" s="1" t="s">
        <v>538</v>
      </c>
      <c r="T354" s="1" t="s">
        <v>539</v>
      </c>
      <c r="V354" s="4">
        <v>7348552.0</v>
      </c>
      <c r="W354" s="4"/>
      <c r="X354" s="4">
        <v>0.0</v>
      </c>
      <c r="Y354" s="1">
        <v>0.0</v>
      </c>
      <c r="Z354" s="1">
        <v>0.0</v>
      </c>
      <c r="AA354" s="1">
        <v>1.0</v>
      </c>
      <c r="AB354" s="1">
        <v>0.0</v>
      </c>
      <c r="AC354" s="1">
        <v>0.0</v>
      </c>
      <c r="AD354" s="1">
        <v>0.0</v>
      </c>
      <c r="AE354" s="1">
        <v>0.0</v>
      </c>
      <c r="AF354" s="1">
        <v>0.0</v>
      </c>
      <c r="AG354" s="1">
        <v>0.0</v>
      </c>
      <c r="AH354" s="1">
        <v>0.0</v>
      </c>
      <c r="AI354" s="1">
        <v>0.0</v>
      </c>
      <c r="AJ354" s="1">
        <v>0.0</v>
      </c>
      <c r="AK354" s="1">
        <v>0.0</v>
      </c>
      <c r="AL354" s="1">
        <v>0.0</v>
      </c>
      <c r="AM354" s="4">
        <v>0.0</v>
      </c>
      <c r="AN354" s="1">
        <v>0.0</v>
      </c>
      <c r="AO354" s="4">
        <v>0.0</v>
      </c>
      <c r="AP354" s="1">
        <f t="shared" si="1"/>
        <v>0</v>
      </c>
      <c r="AU354" s="2"/>
      <c r="AV354" s="2">
        <v>46024.0340277778</v>
      </c>
      <c r="AW354" s="1">
        <v>0.0</v>
      </c>
      <c r="AX354" s="1">
        <v>0.0</v>
      </c>
      <c r="AY354" s="1">
        <v>0.0</v>
      </c>
      <c r="AZ354" s="1">
        <v>1.0</v>
      </c>
      <c r="BA354" s="1">
        <v>0.0</v>
      </c>
      <c r="BB354" s="1">
        <v>0.0</v>
      </c>
      <c r="BC354" s="2">
        <v>46005.0</v>
      </c>
      <c r="BD354" s="1">
        <v>49.0</v>
      </c>
      <c r="BE354" s="1" t="s">
        <v>550</v>
      </c>
      <c r="BF354" s="1">
        <v>2025.0</v>
      </c>
      <c r="BG354" s="1" t="s">
        <v>558</v>
      </c>
      <c r="BH354" s="7" t="str">
        <f>VLOOKUP(B354,CookieClicks!D:O,12,FALSE)</f>
        <v>https://grow.method.me/no-erp/?trc=81&amp;trk=&amp;trs=US-ERP&amp;campaignid=20938141894&amp;adgroupid=&amp;adid=&amp;gad_source=5&amp;gad_campaignid=20938142383&amp;gclid=EAIaIQobChMIhtuv-M--kQMVribUAR3dbzjQEAAYASAAEgIRrPD_BwE</v>
      </c>
      <c r="BI354" s="8" t="str">
        <f>IFERROR(__xludf.DUMMYFUNCTION("VLOOKUP(REGEXREPLACE(BH354,""[?].*"",""""),ContentBuckets!A:C,2,FALSE)"),"#N/A")</f>
        <v>#N/A</v>
      </c>
      <c r="BJ354" s="8" t="str">
        <f>IFERROR(__xludf.DUMMYFUNCTION("VLOOKUP(REGEXREPLACE(BH354,""[?].*"",""""),ContentBuckets!A:C,3,FALSE)"),"#N/A")</f>
        <v>#N/A</v>
      </c>
    </row>
    <row r="355" ht="14.25" customHeight="1">
      <c r="A355" s="1">
        <v>153547.0</v>
      </c>
      <c r="B355" s="1" t="s">
        <v>1066</v>
      </c>
      <c r="C355" s="2">
        <v>46005.9493055556</v>
      </c>
      <c r="D355" s="2"/>
      <c r="E355" s="2"/>
      <c r="F355" s="1" t="b">
        <v>1</v>
      </c>
      <c r="G355" s="4" t="b">
        <v>0</v>
      </c>
      <c r="H355" s="1" t="b">
        <v>0</v>
      </c>
      <c r="I355" s="1" t="b">
        <v>0</v>
      </c>
      <c r="J355" s="1" t="s">
        <v>534</v>
      </c>
      <c r="K355" s="1" t="s">
        <v>566</v>
      </c>
      <c r="L355" s="1" t="s">
        <v>567</v>
      </c>
      <c r="M355" s="1" t="s">
        <v>537</v>
      </c>
      <c r="N355" s="1">
        <v>0.0</v>
      </c>
      <c r="O355" s="1">
        <v>44.25</v>
      </c>
      <c r="P355" s="1">
        <v>0.0</v>
      </c>
      <c r="Q355" s="1">
        <v>0.0</v>
      </c>
      <c r="R355" s="1">
        <v>0.0</v>
      </c>
      <c r="S355" s="1" t="s">
        <v>538</v>
      </c>
      <c r="T355" s="1" t="s">
        <v>539</v>
      </c>
      <c r="V355" s="4">
        <v>7348708.0</v>
      </c>
      <c r="W355" s="4" t="s">
        <v>540</v>
      </c>
      <c r="X355" s="4">
        <v>0.0</v>
      </c>
      <c r="Y355" s="1">
        <v>1.0</v>
      </c>
      <c r="Z355" s="1">
        <v>0.0</v>
      </c>
      <c r="AA355" s="1">
        <v>0.0</v>
      </c>
      <c r="AB355" s="1">
        <v>0.0</v>
      </c>
      <c r="AC355" s="1">
        <v>0.0</v>
      </c>
      <c r="AD355" s="1">
        <v>0.0</v>
      </c>
      <c r="AE355" s="1">
        <v>0.0</v>
      </c>
      <c r="AF355" s="1">
        <v>0.0</v>
      </c>
      <c r="AG355" s="1">
        <v>0.0</v>
      </c>
      <c r="AH355" s="1">
        <v>0.0</v>
      </c>
      <c r="AI355" s="1">
        <v>0.0</v>
      </c>
      <c r="AJ355" s="1">
        <v>0.0</v>
      </c>
      <c r="AK355" s="1">
        <v>0.0</v>
      </c>
      <c r="AL355" s="1">
        <v>0.0</v>
      </c>
      <c r="AM355" s="4">
        <v>0.0</v>
      </c>
      <c r="AN355" s="1">
        <v>0.0</v>
      </c>
      <c r="AO355" s="4">
        <v>0.0</v>
      </c>
      <c r="AP355" s="1">
        <f t="shared" si="1"/>
        <v>0</v>
      </c>
      <c r="AU355" s="2"/>
      <c r="AV355" s="2">
        <v>46024.0423611111</v>
      </c>
      <c r="AW355" s="1">
        <v>0.0</v>
      </c>
      <c r="AX355" s="1">
        <v>0.0</v>
      </c>
      <c r="AY355" s="1">
        <v>0.0</v>
      </c>
      <c r="AZ355" s="1">
        <v>1.0</v>
      </c>
      <c r="BA355" s="1">
        <v>0.0</v>
      </c>
      <c r="BB355" s="1">
        <v>0.0</v>
      </c>
      <c r="BC355" s="2">
        <v>46005.0</v>
      </c>
      <c r="BD355" s="1">
        <v>49.0</v>
      </c>
      <c r="BE355" s="1" t="s">
        <v>550</v>
      </c>
      <c r="BF355" s="1">
        <v>2025.0</v>
      </c>
      <c r="BG355" s="1" t="s">
        <v>624</v>
      </c>
      <c r="BH355" s="7" t="str">
        <f>VLOOKUP(B355,CookieClicks!D:O,12,FALSE)</f>
        <v>https://www.method.me/pricing-guides/carpet-cleaning-estimate-template/</v>
      </c>
      <c r="BI355" s="8" t="str">
        <f>IFERROR(__xludf.DUMMYFUNCTION("VLOOKUP(REGEXREPLACE(BH355,""[?].*"",""""),ContentBuckets!A:C,2,FALSE)"),"Pricing guide")</f>
        <v>Pricing guide</v>
      </c>
      <c r="BJ355" s="8" t="str">
        <f>IFERROR(__xludf.DUMMYFUNCTION("VLOOKUP(REGEXREPLACE(BH355,""[?].*"",""""),ContentBuckets!A:C,3,FALSE)"),"Other page")</f>
        <v>Other page</v>
      </c>
    </row>
    <row r="356" ht="14.25" customHeight="1">
      <c r="A356" s="1">
        <v>153548.0</v>
      </c>
      <c r="B356" s="1" t="s">
        <v>1067</v>
      </c>
      <c r="C356" s="2">
        <v>46005.9534722222</v>
      </c>
      <c r="D356" s="2"/>
      <c r="E356" s="2"/>
      <c r="F356" s="1" t="b">
        <v>1</v>
      </c>
      <c r="G356" s="4" t="b">
        <v>0</v>
      </c>
      <c r="H356" s="1" t="b">
        <v>0</v>
      </c>
      <c r="I356" s="1" t="b">
        <v>0</v>
      </c>
      <c r="J356" s="1" t="s">
        <v>534</v>
      </c>
      <c r="K356" s="1" t="s">
        <v>535</v>
      </c>
      <c r="L356" s="1" t="s">
        <v>536</v>
      </c>
      <c r="M356" s="1" t="s">
        <v>537</v>
      </c>
      <c r="N356" s="1">
        <v>0.0</v>
      </c>
      <c r="O356" s="1">
        <v>44.25</v>
      </c>
      <c r="P356" s="1">
        <v>0.0</v>
      </c>
      <c r="Q356" s="1">
        <v>0.0</v>
      </c>
      <c r="R356" s="1">
        <v>28.0</v>
      </c>
      <c r="S356" s="1" t="s">
        <v>538</v>
      </c>
      <c r="T356" s="1" t="s">
        <v>539</v>
      </c>
      <c r="V356" s="4">
        <v>7348738.0</v>
      </c>
      <c r="W356" s="4"/>
      <c r="X356" s="4">
        <v>0.0</v>
      </c>
      <c r="Y356" s="1">
        <v>0.0</v>
      </c>
      <c r="Z356" s="1">
        <v>0.0</v>
      </c>
      <c r="AA356" s="1">
        <v>0.0</v>
      </c>
      <c r="AB356" s="1">
        <v>0.0</v>
      </c>
      <c r="AC356" s="1">
        <v>0.0</v>
      </c>
      <c r="AD356" s="1">
        <v>0.0</v>
      </c>
      <c r="AE356" s="1">
        <v>0.0</v>
      </c>
      <c r="AF356" s="1">
        <v>0.0</v>
      </c>
      <c r="AG356" s="1">
        <v>0.0</v>
      </c>
      <c r="AH356" s="1">
        <v>0.0</v>
      </c>
      <c r="AI356" s="1">
        <v>0.0</v>
      </c>
      <c r="AJ356" s="1">
        <v>0.0</v>
      </c>
      <c r="AK356" s="1">
        <v>0.0</v>
      </c>
      <c r="AL356" s="1">
        <v>0.0</v>
      </c>
      <c r="AM356" s="4">
        <v>0.0</v>
      </c>
      <c r="AN356" s="1">
        <v>0.0</v>
      </c>
      <c r="AO356" s="4">
        <v>0.0</v>
      </c>
      <c r="AP356" s="1">
        <f t="shared" si="1"/>
        <v>1</v>
      </c>
      <c r="AR356" s="1" t="s">
        <v>591</v>
      </c>
      <c r="AU356" s="2"/>
      <c r="AV356" s="2">
        <v>46024.0236111111</v>
      </c>
      <c r="AW356" s="1">
        <v>0.0</v>
      </c>
      <c r="AX356" s="1">
        <v>0.0</v>
      </c>
      <c r="AY356" s="1">
        <v>0.0</v>
      </c>
      <c r="AZ356" s="1">
        <v>1.0</v>
      </c>
      <c r="BA356" s="1">
        <v>0.0</v>
      </c>
      <c r="BB356" s="1">
        <v>0.0</v>
      </c>
      <c r="BC356" s="2">
        <v>46005.0</v>
      </c>
      <c r="BD356" s="1">
        <v>49.0</v>
      </c>
      <c r="BE356" s="1" t="s">
        <v>550</v>
      </c>
      <c r="BF356" s="1">
        <v>2025.0</v>
      </c>
      <c r="BG356" s="1" t="s">
        <v>649</v>
      </c>
      <c r="BH356" s="7" t="str">
        <f>VLOOKUP(B356,CookieClicks!D:O,12,FALSE)</f>
        <v>http://signup.method.me/methodcrm/?_gl=1*1jbvp5k*_gcl_au*NTc1NTM1MDk4LjE3MzkyODg4NjM.*_ga*OTU5MDkwMjUxLjE2Nzc1OTk2NTU.*_ga_L2HEZNW53E*MTc0MzQ3MDUwMC40LjEuMTc0MzQ3MDUyOC4zMi4wLjE3MDQ4NDc5MzM.&amp;_ga=2.199247150.1827644277.1743456497-959090251.1677599655</v>
      </c>
      <c r="BI356" s="8" t="str">
        <f>IFERROR(__xludf.DUMMYFUNCTION("VLOOKUP(REGEXREPLACE(BH356,""[?].*"",""""),ContentBuckets!A:C,2,FALSE)"),"#N/A")</f>
        <v>#N/A</v>
      </c>
      <c r="BJ356" s="8" t="str">
        <f>IFERROR(__xludf.DUMMYFUNCTION("VLOOKUP(REGEXREPLACE(BH356,""[?].*"",""""),ContentBuckets!A:C,3,FALSE)"),"#N/A")</f>
        <v>#N/A</v>
      </c>
    </row>
    <row r="357" ht="14.25" customHeight="1">
      <c r="A357" s="1">
        <v>153549.0</v>
      </c>
      <c r="B357" s="1" t="s">
        <v>1068</v>
      </c>
      <c r="C357" s="2">
        <v>46006.0076388889</v>
      </c>
      <c r="D357" s="2"/>
      <c r="E357" s="2"/>
      <c r="F357" s="1" t="b">
        <v>1</v>
      </c>
      <c r="G357" s="4" t="b">
        <v>0</v>
      </c>
      <c r="H357" s="1" t="b">
        <v>0</v>
      </c>
      <c r="I357" s="1" t="b">
        <v>0</v>
      </c>
      <c r="J357" s="1" t="s">
        <v>534</v>
      </c>
      <c r="K357" s="1" t="s">
        <v>553</v>
      </c>
      <c r="L357" s="1" t="s">
        <v>554</v>
      </c>
      <c r="M357" s="1" t="s">
        <v>537</v>
      </c>
      <c r="N357" s="1">
        <v>0.0</v>
      </c>
      <c r="O357" s="1">
        <v>44.25</v>
      </c>
      <c r="P357" s="1">
        <v>0.0</v>
      </c>
      <c r="Q357" s="1">
        <v>0.0</v>
      </c>
      <c r="R357" s="1">
        <v>0.0</v>
      </c>
      <c r="S357" s="1" t="s">
        <v>538</v>
      </c>
      <c r="T357" s="1" t="s">
        <v>539</v>
      </c>
      <c r="V357" s="4">
        <v>7349063.0</v>
      </c>
      <c r="W357" s="4"/>
      <c r="X357" s="4">
        <v>0.0</v>
      </c>
      <c r="Y357" s="1">
        <v>0.0</v>
      </c>
      <c r="Z357" s="1">
        <v>0.0</v>
      </c>
      <c r="AA357" s="1">
        <v>1.0</v>
      </c>
      <c r="AB357" s="1">
        <v>0.0</v>
      </c>
      <c r="AC357" s="1">
        <v>0.0</v>
      </c>
      <c r="AD357" s="1">
        <v>0.0</v>
      </c>
      <c r="AE357" s="1">
        <v>0.0</v>
      </c>
      <c r="AF357" s="1">
        <v>0.0</v>
      </c>
      <c r="AG357" s="1">
        <v>0.0</v>
      </c>
      <c r="AH357" s="1">
        <v>0.0</v>
      </c>
      <c r="AI357" s="1">
        <v>0.0</v>
      </c>
      <c r="AJ357" s="1">
        <v>0.0</v>
      </c>
      <c r="AK357" s="1">
        <v>0.0</v>
      </c>
      <c r="AL357" s="1">
        <v>0.0</v>
      </c>
      <c r="AM357" s="4">
        <v>0.0</v>
      </c>
      <c r="AN357" s="1">
        <v>0.0</v>
      </c>
      <c r="AO357" s="4">
        <v>0.0</v>
      </c>
      <c r="AP357" s="1">
        <f t="shared" si="1"/>
        <v>0</v>
      </c>
      <c r="AU357" s="2"/>
      <c r="AV357" s="2">
        <v>46024.0381944444</v>
      </c>
      <c r="AW357" s="1">
        <v>0.0</v>
      </c>
      <c r="AX357" s="1">
        <v>0.0</v>
      </c>
      <c r="AY357" s="1">
        <v>0.0</v>
      </c>
      <c r="AZ357" s="1">
        <v>1.0</v>
      </c>
      <c r="BA357" s="1">
        <v>0.0</v>
      </c>
      <c r="BB357" s="1">
        <v>0.0</v>
      </c>
      <c r="BC357" s="2">
        <v>46006.0</v>
      </c>
      <c r="BD357" s="1">
        <v>50.0</v>
      </c>
      <c r="BE357" s="1" t="s">
        <v>550</v>
      </c>
      <c r="BF357" s="1">
        <v>2025.0</v>
      </c>
      <c r="BG357" s="1" t="s">
        <v>546</v>
      </c>
      <c r="BH357" s="1" t="str">
        <f>VLOOKUP(B357,CookieClicks!D:O,12,FALSE)</f>
        <v>https://grow.method.me/quickbooks-customization/?trc=81&amp;trk=qbo customize invoice&amp;trs=CA-Customization&amp;campaignid=1543604353&amp;adgroupid=187747789113&amp;adid=776764616790&amp;gad_source=1&amp;gad_campaignid=1543604353&amp;gbraid=0AAAAAD3ItnYF4pfRNzcyxOzqJ8ZZPKgl_&amp;gclid=CjwKCAiA3fnJBhAgEiwAyqmY5Ste06JQS4xlymZtuVyI_9-8kD3nDum3BpBEl2QBQCby8rI7vd9OFBoC1kIQAvD_BwE</v>
      </c>
      <c r="BI357" s="8" t="str">
        <f>IFERROR(__xludf.DUMMYFUNCTION("VLOOKUP(REGEXREPLACE(BH357,""[?].*"",""""),ContentBuckets!A:C,2,FALSE)"),"#N/A")</f>
        <v>#N/A</v>
      </c>
      <c r="BJ357" s="8" t="str">
        <f>IFERROR(__xludf.DUMMYFUNCTION("VLOOKUP(REGEXREPLACE(BH357,""[?].*"",""""),ContentBuckets!A:C,3,FALSE)"),"#N/A")</f>
        <v>#N/A</v>
      </c>
    </row>
    <row r="358" ht="14.25" customHeight="1">
      <c r="A358" s="1">
        <v>153550.0</v>
      </c>
      <c r="B358" s="1" t="s">
        <v>1069</v>
      </c>
      <c r="C358" s="2">
        <v>46006.0152777778</v>
      </c>
      <c r="D358" s="2"/>
      <c r="E358" s="2"/>
      <c r="F358" s="1" t="b">
        <v>1</v>
      </c>
      <c r="G358" s="4" t="b">
        <v>0</v>
      </c>
      <c r="H358" s="1" t="b">
        <v>0</v>
      </c>
      <c r="I358" s="1" t="b">
        <v>0</v>
      </c>
      <c r="J358" s="1" t="s">
        <v>534</v>
      </c>
      <c r="K358" s="1" t="s">
        <v>622</v>
      </c>
      <c r="L358" s="1" t="s">
        <v>623</v>
      </c>
      <c r="M358" s="1" t="s">
        <v>537</v>
      </c>
      <c r="N358" s="1">
        <v>0.0</v>
      </c>
      <c r="O358" s="1">
        <v>44.25</v>
      </c>
      <c r="P358" s="1">
        <v>0.0</v>
      </c>
      <c r="Q358" s="1">
        <v>0.0</v>
      </c>
      <c r="R358" s="1">
        <v>28.0</v>
      </c>
      <c r="S358" s="1" t="s">
        <v>538</v>
      </c>
      <c r="T358" s="1" t="s">
        <v>539</v>
      </c>
      <c r="V358" s="4">
        <v>7348940.0</v>
      </c>
      <c r="W358" s="4" t="s">
        <v>540</v>
      </c>
      <c r="X358" s="4">
        <v>0.0</v>
      </c>
      <c r="Y358" s="1">
        <v>1.0</v>
      </c>
      <c r="Z358" s="1">
        <v>0.0</v>
      </c>
      <c r="AA358" s="1">
        <v>0.0</v>
      </c>
      <c r="AB358" s="1">
        <v>0.0</v>
      </c>
      <c r="AC358" s="1">
        <v>0.0</v>
      </c>
      <c r="AD358" s="1">
        <v>0.0</v>
      </c>
      <c r="AE358" s="1">
        <v>0.0</v>
      </c>
      <c r="AF358" s="1">
        <v>0.0</v>
      </c>
      <c r="AG358" s="1">
        <v>0.0</v>
      </c>
      <c r="AH358" s="1">
        <v>0.0</v>
      </c>
      <c r="AI358" s="1">
        <v>0.0</v>
      </c>
      <c r="AJ358" s="1">
        <v>0.0</v>
      </c>
      <c r="AK358" s="1">
        <v>0.0</v>
      </c>
      <c r="AL358" s="1">
        <v>0.0</v>
      </c>
      <c r="AM358" s="4">
        <v>0.0</v>
      </c>
      <c r="AN358" s="1">
        <v>0.0</v>
      </c>
      <c r="AO358" s="4">
        <v>0.0</v>
      </c>
      <c r="AP358" s="1">
        <f t="shared" si="1"/>
        <v>0</v>
      </c>
      <c r="AR358" s="1" t="s">
        <v>560</v>
      </c>
      <c r="AU358" s="2"/>
      <c r="AV358" s="2">
        <v>46023.9909722222</v>
      </c>
      <c r="AW358" s="1">
        <v>0.0</v>
      </c>
      <c r="AX358" s="1">
        <v>0.0</v>
      </c>
      <c r="AY358" s="1">
        <v>0.0</v>
      </c>
      <c r="AZ358" s="1">
        <v>1.0</v>
      </c>
      <c r="BA358" s="1">
        <v>0.0</v>
      </c>
      <c r="BB358" s="1">
        <v>0.0</v>
      </c>
      <c r="BC358" s="2">
        <v>46006.0</v>
      </c>
      <c r="BD358" s="1">
        <v>50.0</v>
      </c>
      <c r="BE358" s="1" t="s">
        <v>550</v>
      </c>
      <c r="BF358" s="1">
        <v>2025.0</v>
      </c>
      <c r="BG358" s="1" t="s">
        <v>558</v>
      </c>
      <c r="BH358" s="7" t="str">
        <f>VLOOKUP(B358,CookieClicks!D:O,12,FALSE)</f>
        <v>https://www.method.me/features/xero/payment-gateways/</v>
      </c>
      <c r="BI358" s="8" t="str">
        <f>IFERROR(__xludf.DUMMYFUNCTION("VLOOKUP(REGEXREPLACE(BH358,""[?].*"",""""),ContentBuckets!A:C,2,FALSE)"),"Features page")</f>
        <v>Features page</v>
      </c>
      <c r="BJ358" s="8" t="str">
        <f>IFERROR(__xludf.DUMMYFUNCTION("VLOOKUP(REGEXREPLACE(BH358,""[?].*"",""""),ContentBuckets!A:C,3,FALSE)"),"Other page")</f>
        <v>Other page</v>
      </c>
    </row>
    <row r="359" ht="14.25" customHeight="1">
      <c r="A359" s="1">
        <v>153551.0</v>
      </c>
      <c r="B359" s="1" t="s">
        <v>1070</v>
      </c>
      <c r="C359" s="2">
        <v>46006.0284722222</v>
      </c>
      <c r="D359" s="2"/>
      <c r="E359" s="2"/>
      <c r="F359" s="1" t="b">
        <v>1</v>
      </c>
      <c r="G359" s="4" t="b">
        <v>0</v>
      </c>
      <c r="H359" s="1" t="b">
        <v>0</v>
      </c>
      <c r="I359" s="1" t="b">
        <v>0</v>
      </c>
      <c r="J359" s="1" t="s">
        <v>534</v>
      </c>
      <c r="K359" s="1" t="s">
        <v>553</v>
      </c>
      <c r="L359" s="1" t="s">
        <v>599</v>
      </c>
      <c r="M359" s="1" t="s">
        <v>537</v>
      </c>
      <c r="N359" s="1">
        <v>0.0</v>
      </c>
      <c r="O359" s="1">
        <v>44.25</v>
      </c>
      <c r="P359" s="1">
        <v>0.0</v>
      </c>
      <c r="Q359" s="1">
        <v>0.0</v>
      </c>
      <c r="R359" s="1">
        <v>0.0</v>
      </c>
      <c r="S359" s="1" t="s">
        <v>538</v>
      </c>
      <c r="T359" s="1" t="s">
        <v>539</v>
      </c>
      <c r="V359" s="4">
        <v>7349171.0</v>
      </c>
      <c r="W359" s="4"/>
      <c r="X359" s="4">
        <v>0.0</v>
      </c>
      <c r="Y359" s="1">
        <v>0.0</v>
      </c>
      <c r="Z359" s="1">
        <v>0.0</v>
      </c>
      <c r="AA359" s="1">
        <v>1.0</v>
      </c>
      <c r="AB359" s="1">
        <v>0.0</v>
      </c>
      <c r="AC359" s="1">
        <v>0.0</v>
      </c>
      <c r="AD359" s="1">
        <v>0.0</v>
      </c>
      <c r="AE359" s="1">
        <v>0.0</v>
      </c>
      <c r="AF359" s="1">
        <v>0.0</v>
      </c>
      <c r="AG359" s="1">
        <v>0.0</v>
      </c>
      <c r="AH359" s="1">
        <v>0.0</v>
      </c>
      <c r="AI359" s="1">
        <v>0.0</v>
      </c>
      <c r="AJ359" s="1">
        <v>0.0</v>
      </c>
      <c r="AK359" s="1">
        <v>0.0</v>
      </c>
      <c r="AL359" s="1">
        <v>0.0</v>
      </c>
      <c r="AM359" s="4">
        <v>0.0</v>
      </c>
      <c r="AN359" s="1">
        <v>0.0</v>
      </c>
      <c r="AO359" s="4">
        <v>0.0</v>
      </c>
      <c r="AP359" s="1">
        <f t="shared" si="1"/>
        <v>0</v>
      </c>
      <c r="AU359" s="2"/>
      <c r="AV359" s="2">
        <v>46024.0284722222</v>
      </c>
      <c r="AW359" s="1">
        <v>0.0</v>
      </c>
      <c r="AX359" s="1">
        <v>0.0</v>
      </c>
      <c r="AY359" s="1">
        <v>0.0</v>
      </c>
      <c r="AZ359" s="1">
        <v>1.0</v>
      </c>
      <c r="BA359" s="1">
        <v>0.0</v>
      </c>
      <c r="BB359" s="1">
        <v>0.0</v>
      </c>
      <c r="BC359" s="2">
        <v>46006.0</v>
      </c>
      <c r="BD359" s="1">
        <v>50.0</v>
      </c>
      <c r="BE359" s="1" t="s">
        <v>550</v>
      </c>
      <c r="BF359" s="1">
        <v>2025.0</v>
      </c>
      <c r="BG359" s="1" t="s">
        <v>558</v>
      </c>
      <c r="BH359" s="7" t="str">
        <f>VLOOKUP(B359,CookieClicks!D:O,12,FALSE)</f>
        <v>https://grow.method.me/no-erp/?trc=81&amp;trk=&amp;trs=US-ERP&amp;campaignid=20938141894&amp;adgroupid=&amp;adid=&amp;gad_source=5&amp;gad_campaignid=20938142383&amp;gclid=EAIaIQobChMIjafA5O--kQMVczcIBR29yR7CEAAYAiAAEgJIJfD_BwE</v>
      </c>
      <c r="BI359" s="8" t="str">
        <f>IFERROR(__xludf.DUMMYFUNCTION("VLOOKUP(REGEXREPLACE(BH359,""[?].*"",""""),ContentBuckets!A:C,2,FALSE)"),"#N/A")</f>
        <v>#N/A</v>
      </c>
      <c r="BJ359" s="8" t="str">
        <f>IFERROR(__xludf.DUMMYFUNCTION("VLOOKUP(REGEXREPLACE(BH359,""[?].*"",""""),ContentBuckets!A:C,3,FALSE)"),"#N/A")</f>
        <v>#N/A</v>
      </c>
    </row>
    <row r="360" ht="14.25" customHeight="1">
      <c r="A360" s="1">
        <v>153552.0</v>
      </c>
      <c r="B360" s="1" t="s">
        <v>1071</v>
      </c>
      <c r="C360" s="2">
        <v>46006.0527777778</v>
      </c>
      <c r="D360" s="2"/>
      <c r="E360" s="2"/>
      <c r="F360" s="1" t="b">
        <v>1</v>
      </c>
      <c r="G360" s="4" t="b">
        <v>0</v>
      </c>
      <c r="H360" s="1" t="b">
        <v>0</v>
      </c>
      <c r="I360" s="1" t="b">
        <v>0</v>
      </c>
      <c r="J360" s="1" t="s">
        <v>534</v>
      </c>
      <c r="K360" s="1" t="s">
        <v>566</v>
      </c>
      <c r="L360" s="1" t="s">
        <v>567</v>
      </c>
      <c r="M360" s="1" t="s">
        <v>537</v>
      </c>
      <c r="N360" s="1">
        <v>0.0</v>
      </c>
      <c r="O360" s="1">
        <v>44.25</v>
      </c>
      <c r="P360" s="1">
        <v>0.0</v>
      </c>
      <c r="Q360" s="1">
        <v>0.0</v>
      </c>
      <c r="R360" s="1">
        <v>28.0</v>
      </c>
      <c r="S360" s="1" t="s">
        <v>538</v>
      </c>
      <c r="T360" s="1" t="s">
        <v>539</v>
      </c>
      <c r="V360" s="4">
        <v>7349288.0</v>
      </c>
      <c r="W360" s="4"/>
      <c r="X360" s="4">
        <v>0.0</v>
      </c>
      <c r="Y360" s="1">
        <v>0.0</v>
      </c>
      <c r="Z360" s="1">
        <v>0.0</v>
      </c>
      <c r="AA360" s="1">
        <v>1.0</v>
      </c>
      <c r="AB360" s="1">
        <v>0.0</v>
      </c>
      <c r="AC360" s="1">
        <v>0.0</v>
      </c>
      <c r="AD360" s="1">
        <v>0.0</v>
      </c>
      <c r="AE360" s="1">
        <v>0.0</v>
      </c>
      <c r="AF360" s="1">
        <v>0.0</v>
      </c>
      <c r="AG360" s="1">
        <v>0.0</v>
      </c>
      <c r="AH360" s="1">
        <v>0.0</v>
      </c>
      <c r="AI360" s="1">
        <v>0.0</v>
      </c>
      <c r="AJ360" s="1">
        <v>0.0</v>
      </c>
      <c r="AK360" s="1">
        <v>0.0</v>
      </c>
      <c r="AL360" s="1">
        <v>0.0</v>
      </c>
      <c r="AM360" s="4">
        <v>0.0</v>
      </c>
      <c r="AN360" s="1">
        <v>0.0</v>
      </c>
      <c r="AO360" s="4">
        <v>0.0</v>
      </c>
      <c r="AP360" s="1">
        <f t="shared" si="1"/>
        <v>0</v>
      </c>
      <c r="AR360" s="1" t="s">
        <v>564</v>
      </c>
      <c r="AU360" s="2"/>
      <c r="AV360" s="2">
        <v>46023.9861111111</v>
      </c>
      <c r="AW360" s="1">
        <v>0.0</v>
      </c>
      <c r="AX360" s="1">
        <v>0.0</v>
      </c>
      <c r="AY360" s="1">
        <v>0.0</v>
      </c>
      <c r="AZ360" s="1">
        <v>1.0</v>
      </c>
      <c r="BA360" s="1">
        <v>0.0</v>
      </c>
      <c r="BB360" s="1">
        <v>0.0</v>
      </c>
      <c r="BC360" s="2">
        <v>46006.0</v>
      </c>
      <c r="BD360" s="1">
        <v>50.0</v>
      </c>
      <c r="BE360" s="1" t="s">
        <v>550</v>
      </c>
      <c r="BF360" s="1">
        <v>2025.0</v>
      </c>
      <c r="BG360" s="1" t="s">
        <v>558</v>
      </c>
      <c r="BH360" s="7" t="str">
        <f>VLOOKUP(B360,CookieClicks!D:O,12,FALSE)</f>
        <v>https://grow.method.me/no-erp/?trc=81&amp;trk=&amp;trs=US-ERP&amp;campaignid=20938141894&amp;adgroupid=&amp;adid=&amp;gad_source=5&amp;gad_campaignid=20938142383&amp;gclid=EAIaIQobChMIp7_A_ve-kQMV1idECB163yfIEAAYASAAEgKvePD_BwE</v>
      </c>
      <c r="BI360" s="8" t="str">
        <f>IFERROR(__xludf.DUMMYFUNCTION("VLOOKUP(REGEXREPLACE(BH360,""[?].*"",""""),ContentBuckets!A:C,2,FALSE)"),"#N/A")</f>
        <v>#N/A</v>
      </c>
      <c r="BJ360" s="8" t="str">
        <f>IFERROR(__xludf.DUMMYFUNCTION("VLOOKUP(REGEXREPLACE(BH360,""[?].*"",""""),ContentBuckets!A:C,3,FALSE)"),"#N/A")</f>
        <v>#N/A</v>
      </c>
    </row>
    <row r="361" ht="14.25" customHeight="1">
      <c r="A361" s="1">
        <v>153553.0</v>
      </c>
      <c r="B361" s="1" t="s">
        <v>1072</v>
      </c>
      <c r="C361" s="2">
        <v>46006.0652777778</v>
      </c>
      <c r="D361" s="2"/>
      <c r="E361" s="2"/>
      <c r="F361" s="1" t="b">
        <v>1</v>
      </c>
      <c r="G361" s="4" t="b">
        <v>0</v>
      </c>
      <c r="H361" s="1" t="b">
        <v>0</v>
      </c>
      <c r="I361" s="1" t="b">
        <v>0</v>
      </c>
      <c r="J361" s="1" t="s">
        <v>534</v>
      </c>
      <c r="K361" s="1" t="s">
        <v>553</v>
      </c>
      <c r="L361" s="1" t="s">
        <v>554</v>
      </c>
      <c r="M361" s="1" t="s">
        <v>537</v>
      </c>
      <c r="N361" s="1">
        <v>0.0</v>
      </c>
      <c r="O361" s="1">
        <v>44.25</v>
      </c>
      <c r="P361" s="1">
        <v>0.0</v>
      </c>
      <c r="Q361" s="1">
        <v>0.0</v>
      </c>
      <c r="R361" s="1">
        <v>28.0</v>
      </c>
      <c r="S361" s="1" t="s">
        <v>538</v>
      </c>
      <c r="T361" s="1" t="s">
        <v>539</v>
      </c>
      <c r="V361" s="4">
        <v>7349341.0</v>
      </c>
      <c r="W361" s="4" t="s">
        <v>540</v>
      </c>
      <c r="X361" s="4">
        <v>0.0</v>
      </c>
      <c r="Y361" s="1">
        <v>1.0</v>
      </c>
      <c r="Z361" s="1">
        <v>0.0</v>
      </c>
      <c r="AA361" s="1">
        <v>0.0</v>
      </c>
      <c r="AB361" s="1">
        <v>0.0</v>
      </c>
      <c r="AC361" s="1">
        <v>0.0</v>
      </c>
      <c r="AD361" s="1">
        <v>0.0</v>
      </c>
      <c r="AE361" s="1">
        <v>0.0</v>
      </c>
      <c r="AF361" s="1">
        <v>0.0</v>
      </c>
      <c r="AG361" s="1">
        <v>0.0</v>
      </c>
      <c r="AH361" s="1">
        <v>0.0</v>
      </c>
      <c r="AI361" s="1">
        <v>0.0</v>
      </c>
      <c r="AJ361" s="1">
        <v>0.0</v>
      </c>
      <c r="AK361" s="1">
        <v>0.0</v>
      </c>
      <c r="AL361" s="1">
        <v>0.0</v>
      </c>
      <c r="AM361" s="4">
        <v>0.0</v>
      </c>
      <c r="AN361" s="1">
        <v>0.0</v>
      </c>
      <c r="AO361" s="4">
        <v>0.0</v>
      </c>
      <c r="AP361" s="1">
        <f t="shared" si="1"/>
        <v>0</v>
      </c>
      <c r="AR361" s="1" t="s">
        <v>578</v>
      </c>
      <c r="AU361" s="2"/>
      <c r="AV361" s="2">
        <v>46024.0298611111</v>
      </c>
      <c r="AW361" s="1">
        <v>0.0</v>
      </c>
      <c r="AX361" s="1">
        <v>0.0</v>
      </c>
      <c r="AY361" s="1">
        <v>0.0</v>
      </c>
      <c r="AZ361" s="1">
        <v>1.0</v>
      </c>
      <c r="BA361" s="1">
        <v>0.0</v>
      </c>
      <c r="BB361" s="1">
        <v>0.0</v>
      </c>
      <c r="BC361" s="2">
        <v>46006.0</v>
      </c>
      <c r="BD361" s="1">
        <v>50.0</v>
      </c>
      <c r="BE361" s="1" t="s">
        <v>550</v>
      </c>
      <c r="BF361" s="1">
        <v>2025.0</v>
      </c>
      <c r="BG361" s="1" t="s">
        <v>943</v>
      </c>
      <c r="BH361" s="7" t="str">
        <f>VLOOKUP(B361,CookieClicks!D:O,12,FALSE)</f>
        <v>https://www.method.me/crm-quickbooks/pricing/</v>
      </c>
      <c r="BI361" s="8" t="str">
        <f>IFERROR(__xludf.DUMMYFUNCTION("VLOOKUP(REGEXREPLACE(BH361,""[?].*"",""""),ContentBuckets!A:C,2,FALSE)"),"/crm-quickbooks/")</f>
        <v>/crm-quickbooks/</v>
      </c>
      <c r="BJ361" s="8" t="str">
        <f>IFERROR(__xludf.DUMMYFUNCTION("VLOOKUP(REGEXREPLACE(BH361,""[?].*"",""""),ContentBuckets!A:C,3,FALSE)"),"Other page")</f>
        <v>Other page</v>
      </c>
    </row>
    <row r="362" ht="14.25" customHeight="1">
      <c r="A362" s="1">
        <v>153554.0</v>
      </c>
      <c r="B362" s="1" t="s">
        <v>1073</v>
      </c>
      <c r="C362" s="2">
        <v>46006.1576388889</v>
      </c>
      <c r="D362" s="2">
        <v>46007.3520833333</v>
      </c>
      <c r="E362" s="2"/>
      <c r="F362" s="1" t="b">
        <v>0</v>
      </c>
      <c r="G362" s="4" t="b">
        <v>1</v>
      </c>
      <c r="H362" s="1" t="b">
        <v>0</v>
      </c>
      <c r="I362" s="1" t="b">
        <v>0</v>
      </c>
      <c r="J362" s="1" t="s">
        <v>534</v>
      </c>
      <c r="K362" s="1" t="s">
        <v>535</v>
      </c>
      <c r="L362" s="1" t="s">
        <v>536</v>
      </c>
      <c r="M362" s="1" t="s">
        <v>537</v>
      </c>
      <c r="N362" s="1">
        <v>0.0</v>
      </c>
      <c r="O362" s="1">
        <v>72.75</v>
      </c>
      <c r="P362" s="1">
        <v>0.0</v>
      </c>
      <c r="Q362" s="1">
        <v>0.0</v>
      </c>
      <c r="R362" s="1">
        <v>0.0</v>
      </c>
      <c r="S362" s="1" t="s">
        <v>538</v>
      </c>
      <c r="T362" s="1" t="s">
        <v>539</v>
      </c>
      <c r="V362" s="4">
        <v>7349688.0</v>
      </c>
      <c r="W362" s="4" t="s">
        <v>540</v>
      </c>
      <c r="X362" s="4">
        <v>0.0</v>
      </c>
      <c r="Y362" s="1">
        <v>1.0</v>
      </c>
      <c r="Z362" s="1">
        <v>0.0</v>
      </c>
      <c r="AA362" s="1">
        <v>0.0</v>
      </c>
      <c r="AB362" s="1">
        <v>0.0</v>
      </c>
      <c r="AC362" s="1">
        <v>0.0</v>
      </c>
      <c r="AD362" s="1">
        <v>0.0</v>
      </c>
      <c r="AE362" s="1">
        <v>0.0</v>
      </c>
      <c r="AF362" s="1">
        <v>0.0</v>
      </c>
      <c r="AG362" s="1">
        <v>0.0</v>
      </c>
      <c r="AH362" s="1">
        <v>0.0</v>
      </c>
      <c r="AI362" s="1">
        <v>0.0</v>
      </c>
      <c r="AJ362" s="1">
        <v>0.0</v>
      </c>
      <c r="AK362" s="1">
        <v>0.0</v>
      </c>
      <c r="AL362" s="1">
        <v>0.0</v>
      </c>
      <c r="AM362" s="4">
        <v>0.0</v>
      </c>
      <c r="AN362" s="1">
        <v>0.0</v>
      </c>
      <c r="AO362" s="4">
        <v>0.0</v>
      </c>
      <c r="AP362" s="1">
        <f t="shared" si="1"/>
        <v>0</v>
      </c>
      <c r="AU362" s="2"/>
      <c r="AV362" s="2">
        <v>46007.0361111111</v>
      </c>
      <c r="AW362" s="1">
        <v>0.0</v>
      </c>
      <c r="AX362" s="1">
        <v>0.0</v>
      </c>
      <c r="AY362" s="1">
        <v>0.0</v>
      </c>
      <c r="AZ362" s="1">
        <v>1.0</v>
      </c>
      <c r="BA362" s="1">
        <v>0.0</v>
      </c>
      <c r="BB362" s="1">
        <v>0.0</v>
      </c>
      <c r="BC362" s="2">
        <v>46006.0</v>
      </c>
      <c r="BD362" s="1">
        <v>50.0</v>
      </c>
      <c r="BE362" s="1" t="s">
        <v>550</v>
      </c>
      <c r="BF362" s="1">
        <v>2025.0</v>
      </c>
      <c r="BG362" s="1" t="s">
        <v>985</v>
      </c>
      <c r="BH362" s="7" t="str">
        <f>VLOOKUP(B362,CookieClicks!D:O,12,FALSE)</f>
        <v>https://www.method.me/</v>
      </c>
      <c r="BI362" s="8" t="str">
        <f>IFERROR(__xludf.DUMMYFUNCTION("VLOOKUP(REGEXREPLACE(BH362,""[?].*"",""""),ContentBuckets!A:C,2,FALSE)"),"Homepage")</f>
        <v>Homepage</v>
      </c>
      <c r="BJ362" s="8" t="str">
        <f>IFERROR(__xludf.DUMMYFUNCTION("VLOOKUP(REGEXREPLACE(BH362,""[?].*"",""""),ContentBuckets!A:C,3,FALSE)"),"Other page")</f>
        <v>Other page</v>
      </c>
    </row>
    <row r="363" ht="14.25" customHeight="1">
      <c r="A363" s="1">
        <v>153555.0</v>
      </c>
      <c r="B363" s="1" t="s">
        <v>1074</v>
      </c>
      <c r="C363" s="2">
        <v>46006.1881944444</v>
      </c>
      <c r="D363" s="2">
        <v>46023.6097222222</v>
      </c>
      <c r="E363" s="2"/>
      <c r="F363" s="1" t="b">
        <v>0</v>
      </c>
      <c r="G363" s="4" t="b">
        <v>0</v>
      </c>
      <c r="H363" s="1" t="b">
        <v>0</v>
      </c>
      <c r="I363" s="1" t="b">
        <v>0</v>
      </c>
      <c r="J363" s="1" t="s">
        <v>534</v>
      </c>
      <c r="K363" s="1" t="s">
        <v>535</v>
      </c>
      <c r="L363" s="1" t="s">
        <v>536</v>
      </c>
      <c r="M363" s="1" t="s">
        <v>537</v>
      </c>
      <c r="N363" s="1">
        <v>0.0</v>
      </c>
      <c r="O363" s="1">
        <v>44.25</v>
      </c>
      <c r="P363" s="1">
        <v>0.0</v>
      </c>
      <c r="Q363" s="1">
        <v>0.0</v>
      </c>
      <c r="R363" s="1">
        <v>28.0</v>
      </c>
      <c r="S363" s="1" t="s">
        <v>538</v>
      </c>
      <c r="T363" s="1" t="s">
        <v>539</v>
      </c>
      <c r="V363" s="4">
        <v>7348592.0</v>
      </c>
      <c r="W363" s="4" t="s">
        <v>540</v>
      </c>
      <c r="X363" s="4">
        <v>0.0</v>
      </c>
      <c r="Y363" s="1">
        <v>1.0</v>
      </c>
      <c r="Z363" s="1">
        <v>0.0</v>
      </c>
      <c r="AA363" s="1">
        <v>0.0</v>
      </c>
      <c r="AB363" s="1">
        <v>0.0</v>
      </c>
      <c r="AC363" s="1">
        <v>0.0</v>
      </c>
      <c r="AD363" s="1">
        <v>0.0</v>
      </c>
      <c r="AE363" s="1">
        <v>0.0</v>
      </c>
      <c r="AF363" s="1">
        <v>0.0</v>
      </c>
      <c r="AG363" s="1">
        <v>0.0</v>
      </c>
      <c r="AH363" s="1">
        <v>0.0</v>
      </c>
      <c r="AI363" s="1">
        <v>0.0</v>
      </c>
      <c r="AJ363" s="1">
        <v>0.0</v>
      </c>
      <c r="AK363" s="1">
        <v>0.0</v>
      </c>
      <c r="AL363" s="1">
        <v>0.0</v>
      </c>
      <c r="AM363" s="4">
        <v>0.0</v>
      </c>
      <c r="AN363" s="1">
        <v>0.0</v>
      </c>
      <c r="AO363" s="4">
        <v>0.0</v>
      </c>
      <c r="AP363" s="1">
        <f t="shared" si="1"/>
        <v>0</v>
      </c>
      <c r="AQ363" s="1" t="s">
        <v>557</v>
      </c>
      <c r="AR363" s="1" t="s">
        <v>608</v>
      </c>
      <c r="AU363" s="2">
        <v>46006.0</v>
      </c>
      <c r="AV363" s="2">
        <v>46023.0006944444</v>
      </c>
      <c r="AW363" s="1">
        <v>0.0</v>
      </c>
      <c r="AX363" s="1">
        <v>0.0</v>
      </c>
      <c r="AY363" s="1">
        <v>1.0</v>
      </c>
      <c r="AZ363" s="1">
        <v>1.0</v>
      </c>
      <c r="BA363" s="1">
        <v>0.0</v>
      </c>
      <c r="BB363" s="1">
        <v>0.0</v>
      </c>
      <c r="BC363" s="2">
        <v>46006.0</v>
      </c>
      <c r="BD363" s="1">
        <v>50.0</v>
      </c>
      <c r="BE363" s="1" t="s">
        <v>550</v>
      </c>
      <c r="BF363" s="1">
        <v>2025.0</v>
      </c>
      <c r="BG363" s="1" t="s">
        <v>558</v>
      </c>
      <c r="BH363" s="7" t="str">
        <f>VLOOKUP(B363,CookieClicks!D:O,12,FALSE)</f>
        <v>https://www.method.me/</v>
      </c>
      <c r="BI363" s="8" t="str">
        <f>IFERROR(__xludf.DUMMYFUNCTION("VLOOKUP(REGEXREPLACE(BH363,""[?].*"",""""),ContentBuckets!A:C,2,FALSE)"),"Homepage")</f>
        <v>Homepage</v>
      </c>
      <c r="BJ363" s="8" t="str">
        <f>IFERROR(__xludf.DUMMYFUNCTION("VLOOKUP(REGEXREPLACE(BH363,""[?].*"",""""),ContentBuckets!A:C,3,FALSE)"),"Other page")</f>
        <v>Other page</v>
      </c>
    </row>
    <row r="364" ht="14.25" customHeight="1">
      <c r="A364" s="1">
        <v>153556.0</v>
      </c>
      <c r="B364" s="1" t="s">
        <v>1075</v>
      </c>
      <c r="C364" s="2">
        <v>46006.2416666667</v>
      </c>
      <c r="D364" s="2"/>
      <c r="E364" s="2"/>
      <c r="F364" s="1" t="b">
        <v>1</v>
      </c>
      <c r="G364" s="4" t="b">
        <v>0</v>
      </c>
      <c r="H364" s="1" t="b">
        <v>0</v>
      </c>
      <c r="I364" s="1" t="b">
        <v>0</v>
      </c>
      <c r="J364" s="1" t="s">
        <v>534</v>
      </c>
      <c r="K364" s="1" t="s">
        <v>535</v>
      </c>
      <c r="L364" s="1" t="s">
        <v>536</v>
      </c>
      <c r="M364" s="1" t="s">
        <v>537</v>
      </c>
      <c r="N364" s="1">
        <v>0.0</v>
      </c>
      <c r="O364" s="1">
        <v>44.25</v>
      </c>
      <c r="P364" s="1">
        <v>0.0</v>
      </c>
      <c r="Q364" s="1">
        <v>0.0</v>
      </c>
      <c r="R364" s="1">
        <v>28.0</v>
      </c>
      <c r="S364" s="1" t="s">
        <v>538</v>
      </c>
      <c r="T364" s="1" t="s">
        <v>539</v>
      </c>
      <c r="V364" s="4">
        <v>7350158.0</v>
      </c>
      <c r="W364" s="4" t="s">
        <v>588</v>
      </c>
      <c r="X364" s="4">
        <v>0.0</v>
      </c>
      <c r="Y364" s="1">
        <v>1.0</v>
      </c>
      <c r="Z364" s="1">
        <v>0.0</v>
      </c>
      <c r="AA364" s="1">
        <v>0.0</v>
      </c>
      <c r="AB364" s="1">
        <v>0.0</v>
      </c>
      <c r="AC364" s="1">
        <v>0.0</v>
      </c>
      <c r="AD364" s="1">
        <v>0.0</v>
      </c>
      <c r="AE364" s="1">
        <v>0.0</v>
      </c>
      <c r="AF364" s="1">
        <v>0.0</v>
      </c>
      <c r="AG364" s="1">
        <v>0.0</v>
      </c>
      <c r="AH364" s="1">
        <v>0.0</v>
      </c>
      <c r="AI364" s="1">
        <v>0.0</v>
      </c>
      <c r="AJ364" s="1">
        <v>0.0</v>
      </c>
      <c r="AK364" s="1">
        <v>0.0</v>
      </c>
      <c r="AL364" s="1">
        <v>0.0</v>
      </c>
      <c r="AM364" s="4">
        <v>0.0</v>
      </c>
      <c r="AN364" s="1">
        <v>0.0</v>
      </c>
      <c r="AO364" s="4">
        <v>0.0</v>
      </c>
      <c r="AP364" s="1">
        <f t="shared" si="1"/>
        <v>0</v>
      </c>
      <c r="AR364" s="1" t="s">
        <v>591</v>
      </c>
      <c r="AU364" s="2"/>
      <c r="AV364" s="2">
        <v>46024.0180555556</v>
      </c>
      <c r="AW364" s="1">
        <v>0.0</v>
      </c>
      <c r="AX364" s="1">
        <v>0.0</v>
      </c>
      <c r="AY364" s="1">
        <v>0.0</v>
      </c>
      <c r="AZ364" s="1">
        <v>1.0</v>
      </c>
      <c r="BA364" s="1">
        <v>0.0</v>
      </c>
      <c r="BB364" s="1">
        <v>0.0</v>
      </c>
      <c r="BC364" s="2">
        <v>46006.0</v>
      </c>
      <c r="BD364" s="1">
        <v>50.0</v>
      </c>
      <c r="BE364" s="1" t="s">
        <v>550</v>
      </c>
      <c r="BF364" s="1">
        <v>2025.0</v>
      </c>
      <c r="BG364" s="1" t="s">
        <v>558</v>
      </c>
      <c r="BH364" s="7" t="str">
        <f>VLOOKUP(B364,CookieClicks!D:O,12,FALSE)</f>
        <v>https://www.method.me/</v>
      </c>
      <c r="BI364" s="8" t="str">
        <f>IFERROR(__xludf.DUMMYFUNCTION("VLOOKUP(REGEXREPLACE(BH364,""[?].*"",""""),ContentBuckets!A:C,2,FALSE)"),"Homepage")</f>
        <v>Homepage</v>
      </c>
      <c r="BJ364" s="8" t="str">
        <f>IFERROR(__xludf.DUMMYFUNCTION("VLOOKUP(REGEXREPLACE(BH364,""[?].*"",""""),ContentBuckets!A:C,3,FALSE)"),"Other page")</f>
        <v>Other page</v>
      </c>
    </row>
    <row r="365" ht="14.25" customHeight="1">
      <c r="A365" s="1">
        <v>153557.0</v>
      </c>
      <c r="B365" s="1" t="s">
        <v>1076</v>
      </c>
      <c r="C365" s="2">
        <v>46006.2527777778</v>
      </c>
      <c r="D365" s="2"/>
      <c r="E365" s="2"/>
      <c r="F365" s="1" t="b">
        <v>1</v>
      </c>
      <c r="G365" s="4" t="b">
        <v>1</v>
      </c>
      <c r="H365" s="1" t="b">
        <v>0</v>
      </c>
      <c r="I365" s="1" t="b">
        <v>0</v>
      </c>
      <c r="J365" s="1" t="s">
        <v>534</v>
      </c>
      <c r="K365" s="1" t="s">
        <v>535</v>
      </c>
      <c r="L365" s="1" t="s">
        <v>536</v>
      </c>
      <c r="M365" s="1" t="s">
        <v>537</v>
      </c>
      <c r="N365" s="1">
        <v>0.0</v>
      </c>
      <c r="O365" s="1">
        <v>44.25</v>
      </c>
      <c r="P365" s="1">
        <v>0.0</v>
      </c>
      <c r="Q365" s="1">
        <v>0.0</v>
      </c>
      <c r="R365" s="1">
        <v>28.0</v>
      </c>
      <c r="S365" s="1" t="s">
        <v>538</v>
      </c>
      <c r="T365" s="1" t="s">
        <v>539</v>
      </c>
      <c r="V365" s="4">
        <v>7350228.0</v>
      </c>
      <c r="W365" s="4"/>
      <c r="X365" s="4">
        <v>0.0</v>
      </c>
      <c r="Y365" s="1">
        <v>0.0</v>
      </c>
      <c r="Z365" s="1">
        <v>1.0</v>
      </c>
      <c r="AA365" s="1">
        <v>0.0</v>
      </c>
      <c r="AB365" s="1">
        <v>0.0</v>
      </c>
      <c r="AC365" s="1">
        <v>0.0</v>
      </c>
      <c r="AD365" s="1">
        <v>0.0</v>
      </c>
      <c r="AE365" s="1">
        <v>0.0</v>
      </c>
      <c r="AF365" s="1">
        <v>0.0</v>
      </c>
      <c r="AG365" s="1">
        <v>0.0</v>
      </c>
      <c r="AH365" s="1">
        <v>0.0</v>
      </c>
      <c r="AI365" s="1">
        <v>0.0</v>
      </c>
      <c r="AJ365" s="1">
        <v>0.0</v>
      </c>
      <c r="AK365" s="1">
        <v>0.0</v>
      </c>
      <c r="AL365" s="1">
        <v>0.0</v>
      </c>
      <c r="AM365" s="4">
        <v>0.0</v>
      </c>
      <c r="AN365" s="1">
        <v>0.0</v>
      </c>
      <c r="AO365" s="4">
        <v>0.0</v>
      </c>
      <c r="AP365" s="1">
        <f t="shared" si="1"/>
        <v>0</v>
      </c>
      <c r="AQ365" s="1" t="s">
        <v>557</v>
      </c>
      <c r="AR365" s="1" t="s">
        <v>542</v>
      </c>
      <c r="AT365" s="1" t="s">
        <v>1077</v>
      </c>
      <c r="AU365" s="2">
        <v>46006.0</v>
      </c>
      <c r="AV365" s="2">
        <v>46024.0069444444</v>
      </c>
      <c r="AW365" s="1">
        <v>0.0</v>
      </c>
      <c r="AX365" s="1">
        <v>0.0</v>
      </c>
      <c r="AY365" s="1">
        <v>4.0</v>
      </c>
      <c r="AZ365" s="1">
        <v>1.0</v>
      </c>
      <c r="BA365" s="1">
        <v>0.0</v>
      </c>
      <c r="BB365" s="1">
        <v>0.0</v>
      </c>
      <c r="BC365" s="2">
        <v>46006.0</v>
      </c>
      <c r="BD365" s="1">
        <v>50.0</v>
      </c>
      <c r="BE365" s="1" t="s">
        <v>550</v>
      </c>
      <c r="BF365" s="1">
        <v>2025.0</v>
      </c>
      <c r="BG365" s="1" t="s">
        <v>624</v>
      </c>
      <c r="BH365" s="7" t="str">
        <f>VLOOKUP(B365,CookieClicks!D:O,12,FALSE)</f>
        <v>https://signup.method.me/QBOAppstoreSignup?offering=methodcrm</v>
      </c>
      <c r="BI365" s="8" t="str">
        <f>IFERROR(__xludf.DUMMYFUNCTION("VLOOKUP(REGEXREPLACE(BH365,""[?].*"",""""),ContentBuckets!A:C,2,FALSE)"),"#N/A")</f>
        <v>#N/A</v>
      </c>
      <c r="BJ365" s="8" t="str">
        <f>IFERROR(__xludf.DUMMYFUNCTION("VLOOKUP(REGEXREPLACE(BH365,""[?].*"",""""),ContentBuckets!A:C,3,FALSE)"),"#N/A")</f>
        <v>#N/A</v>
      </c>
    </row>
    <row r="366" ht="14.25" customHeight="1">
      <c r="A366" s="1">
        <v>153558.0</v>
      </c>
      <c r="B366" s="1" t="s">
        <v>1078</v>
      </c>
      <c r="C366" s="2">
        <v>46006.2597222222</v>
      </c>
      <c r="D366" s="2"/>
      <c r="E366" s="2"/>
      <c r="F366" s="1" t="b">
        <v>1</v>
      </c>
      <c r="G366" s="4" t="b">
        <v>1</v>
      </c>
      <c r="H366" s="1" t="b">
        <v>0</v>
      </c>
      <c r="I366" s="1" t="b">
        <v>0</v>
      </c>
      <c r="J366" s="1" t="s">
        <v>534</v>
      </c>
      <c r="K366" s="1" t="s">
        <v>535</v>
      </c>
      <c r="L366" s="1" t="s">
        <v>536</v>
      </c>
      <c r="M366" s="1" t="s">
        <v>537</v>
      </c>
      <c r="N366" s="1">
        <v>0.0</v>
      </c>
      <c r="O366" s="1">
        <v>44.25</v>
      </c>
      <c r="P366" s="1">
        <v>0.0</v>
      </c>
      <c r="Q366" s="1">
        <v>0.0</v>
      </c>
      <c r="R366" s="1">
        <v>0.0</v>
      </c>
      <c r="S366" s="1" t="s">
        <v>538</v>
      </c>
      <c r="T366" s="1" t="s">
        <v>539</v>
      </c>
      <c r="V366" s="4">
        <v>7350246.0</v>
      </c>
      <c r="W366" s="4"/>
      <c r="X366" s="4">
        <v>0.0</v>
      </c>
      <c r="Y366" s="1">
        <v>0.0</v>
      </c>
      <c r="Z366" s="1">
        <v>0.0</v>
      </c>
      <c r="AA366" s="1">
        <v>0.0</v>
      </c>
      <c r="AB366" s="1">
        <v>0.0</v>
      </c>
      <c r="AC366" s="1">
        <v>0.0</v>
      </c>
      <c r="AD366" s="1">
        <v>0.0</v>
      </c>
      <c r="AE366" s="1">
        <v>0.0</v>
      </c>
      <c r="AF366" s="1">
        <v>0.0</v>
      </c>
      <c r="AG366" s="1">
        <v>0.0</v>
      </c>
      <c r="AH366" s="1">
        <v>0.0</v>
      </c>
      <c r="AI366" s="1">
        <v>0.0</v>
      </c>
      <c r="AJ366" s="1">
        <v>0.0</v>
      </c>
      <c r="AK366" s="1">
        <v>0.0</v>
      </c>
      <c r="AL366" s="1">
        <v>0.0</v>
      </c>
      <c r="AM366" s="4">
        <v>0.0</v>
      </c>
      <c r="AN366" s="1">
        <v>0.0</v>
      </c>
      <c r="AO366" s="4">
        <v>0.0</v>
      </c>
      <c r="AP366" s="1">
        <f t="shared" si="1"/>
        <v>1</v>
      </c>
      <c r="AQ366" s="1" t="s">
        <v>557</v>
      </c>
      <c r="AT366" s="1" t="s">
        <v>1079</v>
      </c>
      <c r="AU366" s="2">
        <v>46006.0</v>
      </c>
      <c r="AV366" s="2">
        <v>46024.00625</v>
      </c>
      <c r="AW366" s="1">
        <v>0.0</v>
      </c>
      <c r="AX366" s="1">
        <v>0.0</v>
      </c>
      <c r="AY366" s="1">
        <v>0.0</v>
      </c>
      <c r="AZ366" s="1">
        <v>1.0</v>
      </c>
      <c r="BA366" s="1">
        <v>0.0</v>
      </c>
      <c r="BB366" s="1">
        <v>0.0</v>
      </c>
      <c r="BC366" s="2">
        <v>46006.0</v>
      </c>
      <c r="BD366" s="1">
        <v>50.0</v>
      </c>
      <c r="BE366" s="1" t="s">
        <v>550</v>
      </c>
      <c r="BF366" s="1">
        <v>2025.0</v>
      </c>
      <c r="BG366" s="1" t="s">
        <v>624</v>
      </c>
      <c r="BH366" s="7" t="str">
        <f>VLOOKUP(B366,CookieClicks!D:O,12,FALSE)</f>
        <v>https://signin.method.me/</v>
      </c>
      <c r="BI366" s="8" t="str">
        <f>IFERROR(__xludf.DUMMYFUNCTION("VLOOKUP(REGEXREPLACE(BH366,""[?].*"",""""),ContentBuckets!A:C,2,FALSE)"),"#N/A")</f>
        <v>#N/A</v>
      </c>
      <c r="BJ366" s="8" t="str">
        <f>IFERROR(__xludf.DUMMYFUNCTION("VLOOKUP(REGEXREPLACE(BH366,""[?].*"",""""),ContentBuckets!A:C,3,FALSE)"),"#N/A")</f>
        <v>#N/A</v>
      </c>
    </row>
    <row r="367" ht="14.25" customHeight="1">
      <c r="A367" s="1">
        <v>153559.0</v>
      </c>
      <c r="B367" s="1" t="s">
        <v>1080</v>
      </c>
      <c r="C367" s="2">
        <v>46006.2666666667</v>
      </c>
      <c r="D367" s="2">
        <v>46006.5145833333</v>
      </c>
      <c r="E367" s="2"/>
      <c r="F367" s="1" t="b">
        <v>0</v>
      </c>
      <c r="G367" s="4" t="b">
        <v>1</v>
      </c>
      <c r="H367" s="1" t="b">
        <v>0</v>
      </c>
      <c r="I367" s="1" t="b">
        <v>0</v>
      </c>
      <c r="J367" s="1" t="s">
        <v>534</v>
      </c>
      <c r="K367" s="1" t="s">
        <v>535</v>
      </c>
      <c r="L367" s="1" t="s">
        <v>536</v>
      </c>
      <c r="M367" s="1" t="s">
        <v>537</v>
      </c>
      <c r="N367" s="1">
        <v>0.0</v>
      </c>
      <c r="O367" s="1">
        <v>0.0</v>
      </c>
      <c r="P367" s="1">
        <v>0.0</v>
      </c>
      <c r="Q367" s="1">
        <v>0.0</v>
      </c>
      <c r="R367" s="1">
        <v>28.0</v>
      </c>
      <c r="S367" s="1" t="s">
        <v>538</v>
      </c>
      <c r="T367" s="1" t="s">
        <v>539</v>
      </c>
      <c r="V367" s="4">
        <v>7349688.0</v>
      </c>
      <c r="W367" s="4" t="s">
        <v>540</v>
      </c>
      <c r="X367" s="4">
        <v>0.0</v>
      </c>
      <c r="Y367" s="1">
        <v>1.0</v>
      </c>
      <c r="Z367" s="1">
        <v>0.0</v>
      </c>
      <c r="AA367" s="1">
        <v>0.0</v>
      </c>
      <c r="AB367" s="1">
        <v>0.0</v>
      </c>
      <c r="AC367" s="1">
        <v>0.0</v>
      </c>
      <c r="AD367" s="1">
        <v>0.0</v>
      </c>
      <c r="AE367" s="1">
        <v>0.0</v>
      </c>
      <c r="AF367" s="1">
        <v>0.0</v>
      </c>
      <c r="AG367" s="1">
        <v>0.0</v>
      </c>
      <c r="AH367" s="1">
        <v>0.0</v>
      </c>
      <c r="AI367" s="1">
        <v>0.0</v>
      </c>
      <c r="AJ367" s="1">
        <v>0.0</v>
      </c>
      <c r="AK367" s="1">
        <v>0.0</v>
      </c>
      <c r="AL367" s="1">
        <v>0.0</v>
      </c>
      <c r="AM367" s="4">
        <v>0.0</v>
      </c>
      <c r="AN367" s="1">
        <v>0.0</v>
      </c>
      <c r="AO367" s="4">
        <v>0.0</v>
      </c>
      <c r="AP367" s="1">
        <f t="shared" si="1"/>
        <v>0</v>
      </c>
      <c r="AR367" s="1" t="s">
        <v>542</v>
      </c>
      <c r="AU367" s="2"/>
      <c r="AV367" s="2"/>
      <c r="AW367" s="1">
        <v>0.0</v>
      </c>
      <c r="AX367" s="1">
        <v>0.0</v>
      </c>
      <c r="AY367" s="1">
        <v>0.0</v>
      </c>
      <c r="AZ367" s="1">
        <v>1.0</v>
      </c>
      <c r="BA367" s="1">
        <v>0.0</v>
      </c>
      <c r="BB367" s="1">
        <v>0.0</v>
      </c>
      <c r="BC367" s="2">
        <v>46006.0</v>
      </c>
      <c r="BD367" s="1">
        <v>50.0</v>
      </c>
      <c r="BE367" s="1" t="s">
        <v>550</v>
      </c>
      <c r="BF367" s="1">
        <v>2025.0</v>
      </c>
      <c r="BG367" s="1" t="s">
        <v>985</v>
      </c>
      <c r="BH367" s="7" t="str">
        <f>VLOOKUP(B367,CookieClicks!D:O,12,FALSE)</f>
        <v>https://www.method.me/</v>
      </c>
      <c r="BI367" s="8" t="str">
        <f>IFERROR(__xludf.DUMMYFUNCTION("VLOOKUP(REGEXREPLACE(BH367,""[?].*"",""""),ContentBuckets!A:C,2,FALSE)"),"Homepage")</f>
        <v>Homepage</v>
      </c>
      <c r="BJ367" s="8" t="str">
        <f>IFERROR(__xludf.DUMMYFUNCTION("VLOOKUP(REGEXREPLACE(BH367,""[?].*"",""""),ContentBuckets!A:C,3,FALSE)"),"Other page")</f>
        <v>Other page</v>
      </c>
    </row>
    <row r="368" ht="14.25" customHeight="1">
      <c r="A368" s="1">
        <v>153560.0</v>
      </c>
      <c r="B368" s="1" t="s">
        <v>1081</v>
      </c>
      <c r="C368" s="2">
        <v>46006.3645833333</v>
      </c>
      <c r="D368" s="2">
        <v>46006.5138888889</v>
      </c>
      <c r="E368" s="2"/>
      <c r="F368" s="1" t="b">
        <v>0</v>
      </c>
      <c r="G368" s="4" t="b">
        <v>1</v>
      </c>
      <c r="H368" s="1" t="b">
        <v>0</v>
      </c>
      <c r="I368" s="1" t="b">
        <v>0</v>
      </c>
      <c r="J368" s="1" t="s">
        <v>534</v>
      </c>
      <c r="K368" s="1" t="s">
        <v>535</v>
      </c>
      <c r="L368" s="1" t="s">
        <v>536</v>
      </c>
      <c r="M368" s="1" t="s">
        <v>537</v>
      </c>
      <c r="N368" s="1">
        <v>0.0</v>
      </c>
      <c r="O368" s="1">
        <v>0.0</v>
      </c>
      <c r="P368" s="1">
        <v>0.0</v>
      </c>
      <c r="Q368" s="1">
        <v>0.0</v>
      </c>
      <c r="R368" s="1">
        <v>28.0</v>
      </c>
      <c r="S368" s="1" t="s">
        <v>538</v>
      </c>
      <c r="T368" s="1" t="s">
        <v>539</v>
      </c>
      <c r="V368" s="4">
        <v>7333647.0</v>
      </c>
      <c r="W368" s="4"/>
      <c r="X368" s="4">
        <v>0.0</v>
      </c>
      <c r="Y368" s="1">
        <v>0.0</v>
      </c>
      <c r="Z368" s="1">
        <v>1.0</v>
      </c>
      <c r="AA368" s="1">
        <v>0.0</v>
      </c>
      <c r="AB368" s="1">
        <v>0.0</v>
      </c>
      <c r="AC368" s="1">
        <v>0.0</v>
      </c>
      <c r="AD368" s="1">
        <v>0.0</v>
      </c>
      <c r="AE368" s="1">
        <v>0.0</v>
      </c>
      <c r="AF368" s="1">
        <v>0.0</v>
      </c>
      <c r="AG368" s="1">
        <v>0.0</v>
      </c>
      <c r="AH368" s="1">
        <v>0.0</v>
      </c>
      <c r="AI368" s="1">
        <v>0.0</v>
      </c>
      <c r="AJ368" s="1">
        <v>0.0</v>
      </c>
      <c r="AK368" s="1">
        <v>0.0</v>
      </c>
      <c r="AL368" s="1">
        <v>0.0</v>
      </c>
      <c r="AM368" s="4">
        <v>0.0</v>
      </c>
      <c r="AN368" s="1">
        <v>0.0</v>
      </c>
      <c r="AO368" s="4">
        <v>0.0</v>
      </c>
      <c r="AP368" s="1">
        <f t="shared" si="1"/>
        <v>0</v>
      </c>
      <c r="AR368" s="1" t="s">
        <v>560</v>
      </c>
      <c r="AU368" s="2"/>
      <c r="AV368" s="2"/>
      <c r="AW368" s="1">
        <v>0.0</v>
      </c>
      <c r="AX368" s="1">
        <v>0.0</v>
      </c>
      <c r="AY368" s="1">
        <v>0.0</v>
      </c>
      <c r="AZ368" s="1">
        <v>1.0</v>
      </c>
      <c r="BA368" s="1">
        <v>0.0</v>
      </c>
      <c r="BB368" s="1">
        <v>0.0</v>
      </c>
      <c r="BC368" s="2">
        <v>46006.0</v>
      </c>
      <c r="BD368" s="1">
        <v>50.0</v>
      </c>
      <c r="BE368" s="1" t="s">
        <v>550</v>
      </c>
      <c r="BF368" s="1">
        <v>2025.0</v>
      </c>
      <c r="BG368" s="1" t="s">
        <v>985</v>
      </c>
      <c r="BH368" s="7" t="str">
        <f>VLOOKUP(B368,CookieClicks!D:O,12,FALSE)</f>
        <v>https://signup.method.me/QBOAppstoreSignup?offering=methodcrm</v>
      </c>
      <c r="BI368" s="8" t="str">
        <f>IFERROR(__xludf.DUMMYFUNCTION("VLOOKUP(REGEXREPLACE(BH368,""[?].*"",""""),ContentBuckets!A:C,2,FALSE)"),"#N/A")</f>
        <v>#N/A</v>
      </c>
      <c r="BJ368" s="8" t="str">
        <f>IFERROR(__xludf.DUMMYFUNCTION("VLOOKUP(REGEXREPLACE(BH368,""[?].*"",""""),ContentBuckets!A:C,3,FALSE)"),"#N/A")</f>
        <v>#N/A</v>
      </c>
    </row>
    <row r="369" ht="14.25" customHeight="1">
      <c r="A369" s="1">
        <v>153565.0</v>
      </c>
      <c r="B369" s="1" t="s">
        <v>1082</v>
      </c>
      <c r="C369" s="2">
        <v>46006.4201388889</v>
      </c>
      <c r="D369" s="2"/>
      <c r="E369" s="2"/>
      <c r="F369" s="1" t="b">
        <v>1</v>
      </c>
      <c r="G369" s="4" t="b">
        <v>0</v>
      </c>
      <c r="H369" s="1" t="b">
        <v>0</v>
      </c>
      <c r="I369" s="1" t="b">
        <v>0</v>
      </c>
      <c r="J369" s="1" t="s">
        <v>534</v>
      </c>
      <c r="K369" s="1" t="s">
        <v>566</v>
      </c>
      <c r="L369" s="1" t="s">
        <v>567</v>
      </c>
      <c r="M369" s="1" t="s">
        <v>537</v>
      </c>
      <c r="N369" s="1">
        <v>0.0</v>
      </c>
      <c r="O369" s="1">
        <v>63.75</v>
      </c>
      <c r="P369" s="1">
        <v>0.0</v>
      </c>
      <c r="Q369" s="1">
        <v>0.0</v>
      </c>
      <c r="R369" s="1">
        <v>28.0</v>
      </c>
      <c r="S369" s="1" t="s">
        <v>538</v>
      </c>
      <c r="T369" s="1" t="s">
        <v>539</v>
      </c>
      <c r="V369" s="4">
        <v>7351322.0</v>
      </c>
      <c r="W369" s="4" t="s">
        <v>540</v>
      </c>
      <c r="X369" s="4">
        <v>0.0</v>
      </c>
      <c r="Y369" s="1">
        <v>1.0</v>
      </c>
      <c r="Z369" s="1">
        <v>0.0</v>
      </c>
      <c r="AA369" s="1">
        <v>0.0</v>
      </c>
      <c r="AB369" s="1">
        <v>0.0</v>
      </c>
      <c r="AC369" s="1">
        <v>0.0</v>
      </c>
      <c r="AD369" s="1">
        <v>0.0</v>
      </c>
      <c r="AE369" s="1">
        <v>0.0</v>
      </c>
      <c r="AF369" s="1">
        <v>0.0</v>
      </c>
      <c r="AG369" s="1">
        <v>0.0</v>
      </c>
      <c r="AH369" s="1">
        <v>0.0</v>
      </c>
      <c r="AI369" s="1">
        <v>0.0</v>
      </c>
      <c r="AJ369" s="1">
        <v>0.0</v>
      </c>
      <c r="AK369" s="1">
        <v>0.0</v>
      </c>
      <c r="AL369" s="1">
        <v>0.0</v>
      </c>
      <c r="AM369" s="4">
        <v>0.0</v>
      </c>
      <c r="AN369" s="1">
        <v>0.0</v>
      </c>
      <c r="AO369" s="4">
        <v>0.0</v>
      </c>
      <c r="AP369" s="1">
        <f t="shared" si="1"/>
        <v>0</v>
      </c>
      <c r="AR369" s="1" t="s">
        <v>571</v>
      </c>
      <c r="AU369" s="2"/>
      <c r="AV369" s="2">
        <v>46023.9798611111</v>
      </c>
      <c r="AW369" s="1">
        <v>0.0</v>
      </c>
      <c r="AX369" s="1">
        <v>0.0</v>
      </c>
      <c r="AY369" s="1">
        <v>0.0</v>
      </c>
      <c r="AZ369" s="1">
        <v>1.0</v>
      </c>
      <c r="BA369" s="1">
        <v>0.0</v>
      </c>
      <c r="BB369" s="1">
        <v>0.0</v>
      </c>
      <c r="BC369" s="2">
        <v>46006.0</v>
      </c>
      <c r="BD369" s="1">
        <v>50.0</v>
      </c>
      <c r="BE369" s="1" t="s">
        <v>550</v>
      </c>
      <c r="BF369" s="1">
        <v>2025.0</v>
      </c>
      <c r="BG369" s="1" t="s">
        <v>558</v>
      </c>
      <c r="BH369" s="7" t="str">
        <f>VLOOKUP(B369,CookieClicks!D:O,12,FALSE)</f>
        <v>https://www.method.me/</v>
      </c>
      <c r="BI369" s="8" t="str">
        <f>IFERROR(__xludf.DUMMYFUNCTION("VLOOKUP(REGEXREPLACE(BH369,""[?].*"",""""),ContentBuckets!A:C,2,FALSE)"),"Homepage")</f>
        <v>Homepage</v>
      </c>
      <c r="BJ369" s="8" t="str">
        <f>IFERROR(__xludf.DUMMYFUNCTION("VLOOKUP(REGEXREPLACE(BH369,""[?].*"",""""),ContentBuckets!A:C,3,FALSE)"),"Other page")</f>
        <v>Other page</v>
      </c>
    </row>
    <row r="370" ht="14.25" customHeight="1">
      <c r="A370" s="1">
        <v>153568.0</v>
      </c>
      <c r="B370" s="1" t="s">
        <v>1083</v>
      </c>
      <c r="C370" s="2">
        <v>46006.4638888889</v>
      </c>
      <c r="D370" s="2"/>
      <c r="E370" s="2">
        <v>46014.5368055556</v>
      </c>
      <c r="F370" s="1" t="b">
        <v>1</v>
      </c>
      <c r="G370" s="4" t="b">
        <v>0</v>
      </c>
      <c r="H370" s="1" t="b">
        <v>0</v>
      </c>
      <c r="I370" s="1" t="b">
        <v>0</v>
      </c>
      <c r="J370" s="1" t="s">
        <v>601</v>
      </c>
      <c r="K370" s="1" t="s">
        <v>535</v>
      </c>
      <c r="L370" s="1" t="s">
        <v>536</v>
      </c>
      <c r="M370" s="1" t="s">
        <v>537</v>
      </c>
      <c r="N370" s="1">
        <v>53.1</v>
      </c>
      <c r="O370" s="1">
        <v>59.0</v>
      </c>
      <c r="P370" s="1">
        <v>0.0</v>
      </c>
      <c r="Q370" s="1">
        <v>0.0</v>
      </c>
      <c r="R370" s="1">
        <v>28.0</v>
      </c>
      <c r="T370" s="1" t="s">
        <v>539</v>
      </c>
      <c r="V370" s="4">
        <v>7340809.0</v>
      </c>
      <c r="W370" s="4" t="s">
        <v>653</v>
      </c>
      <c r="X370" s="4">
        <v>0.0</v>
      </c>
      <c r="Y370" s="1">
        <v>1.0</v>
      </c>
      <c r="Z370" s="1">
        <v>0.0</v>
      </c>
      <c r="AA370" s="1">
        <v>0.0</v>
      </c>
      <c r="AB370" s="1">
        <v>0.0</v>
      </c>
      <c r="AC370" s="1">
        <v>0.0</v>
      </c>
      <c r="AD370" s="1">
        <v>0.0</v>
      </c>
      <c r="AE370" s="1">
        <v>0.0</v>
      </c>
      <c r="AF370" s="1">
        <v>0.0</v>
      </c>
      <c r="AG370" s="1">
        <v>0.0</v>
      </c>
      <c r="AH370" s="1">
        <v>0.0</v>
      </c>
      <c r="AI370" s="1">
        <v>0.0</v>
      </c>
      <c r="AJ370" s="1">
        <v>0.0</v>
      </c>
      <c r="AK370" s="1">
        <v>0.0</v>
      </c>
      <c r="AL370" s="1">
        <v>0.0</v>
      </c>
      <c r="AM370" s="4">
        <v>0.0</v>
      </c>
      <c r="AN370" s="1">
        <v>0.0</v>
      </c>
      <c r="AO370" s="4">
        <v>0.0</v>
      </c>
      <c r="AP370" s="1">
        <f t="shared" si="1"/>
        <v>0</v>
      </c>
      <c r="AQ370" s="1" t="s">
        <v>557</v>
      </c>
      <c r="AR370" s="1" t="s">
        <v>578</v>
      </c>
      <c r="AT370" s="1" t="s">
        <v>1084</v>
      </c>
      <c r="AU370" s="2">
        <v>46006.0</v>
      </c>
      <c r="AV370" s="2">
        <v>46024.0263888889</v>
      </c>
      <c r="AW370" s="1">
        <v>0.0</v>
      </c>
      <c r="AX370" s="1">
        <v>0.0</v>
      </c>
      <c r="AY370" s="1">
        <v>165.0</v>
      </c>
      <c r="AZ370" s="1">
        <v>1.0</v>
      </c>
      <c r="BA370" s="1">
        <v>0.0</v>
      </c>
      <c r="BB370" s="1">
        <v>0.0</v>
      </c>
      <c r="BC370" s="2">
        <v>46006.0</v>
      </c>
      <c r="BD370" s="1">
        <v>50.0</v>
      </c>
      <c r="BE370" s="1" t="s">
        <v>550</v>
      </c>
      <c r="BF370" s="1">
        <v>2025.0</v>
      </c>
      <c r="BG370" s="1" t="s">
        <v>558</v>
      </c>
      <c r="BH370" s="7" t="str">
        <f>VLOOKUP(B370,CookieClicks!D:O,12,FALSE)</f>
        <v>https://www.method.me/</v>
      </c>
      <c r="BI370" s="8" t="str">
        <f>IFERROR(__xludf.DUMMYFUNCTION("VLOOKUP(REGEXREPLACE(BH370,""[?].*"",""""),ContentBuckets!A:C,2,FALSE)"),"Homepage")</f>
        <v>Homepage</v>
      </c>
      <c r="BJ370" s="8" t="str">
        <f>IFERROR(__xludf.DUMMYFUNCTION("VLOOKUP(REGEXREPLACE(BH370,""[?].*"",""""),ContentBuckets!A:C,3,FALSE)"),"Other page")</f>
        <v>Other page</v>
      </c>
    </row>
    <row r="371" ht="14.25" customHeight="1">
      <c r="A371" s="1">
        <v>153571.0</v>
      </c>
      <c r="B371" s="1" t="s">
        <v>1085</v>
      </c>
      <c r="C371" s="2">
        <v>46006.5138888889</v>
      </c>
      <c r="D371" s="2"/>
      <c r="E371" s="2"/>
      <c r="F371" s="1" t="b">
        <v>1</v>
      </c>
      <c r="G371" s="4" t="b">
        <v>1</v>
      </c>
      <c r="H371" s="1" t="b">
        <v>0</v>
      </c>
      <c r="I371" s="1" t="b">
        <v>0</v>
      </c>
      <c r="J371" s="1" t="s">
        <v>534</v>
      </c>
      <c r="K371" s="1" t="s">
        <v>553</v>
      </c>
      <c r="L371" s="1" t="s">
        <v>554</v>
      </c>
      <c r="M371" s="1" t="s">
        <v>537</v>
      </c>
      <c r="N371" s="1">
        <v>0.0</v>
      </c>
      <c r="O371" s="1">
        <v>44.25</v>
      </c>
      <c r="P371" s="1">
        <v>0.0</v>
      </c>
      <c r="Q371" s="1">
        <v>0.0</v>
      </c>
      <c r="R371" s="1">
        <v>0.0</v>
      </c>
      <c r="S371" s="1" t="s">
        <v>538</v>
      </c>
      <c r="T371" s="1" t="s">
        <v>539</v>
      </c>
      <c r="V371" s="4">
        <v>7352143.0</v>
      </c>
      <c r="W371" s="4"/>
      <c r="X371" s="4">
        <v>0.0</v>
      </c>
      <c r="Y371" s="1">
        <v>0.0</v>
      </c>
      <c r="Z371" s="1">
        <v>0.0</v>
      </c>
      <c r="AA371" s="1">
        <v>0.0</v>
      </c>
      <c r="AB371" s="1">
        <v>0.0</v>
      </c>
      <c r="AC371" s="1">
        <v>0.0</v>
      </c>
      <c r="AD371" s="1">
        <v>0.0</v>
      </c>
      <c r="AE371" s="1">
        <v>0.0</v>
      </c>
      <c r="AF371" s="1">
        <v>0.0</v>
      </c>
      <c r="AG371" s="1">
        <v>0.0</v>
      </c>
      <c r="AH371" s="1">
        <v>0.0</v>
      </c>
      <c r="AI371" s="1">
        <v>0.0</v>
      </c>
      <c r="AJ371" s="1">
        <v>0.0</v>
      </c>
      <c r="AK371" s="1">
        <v>0.0</v>
      </c>
      <c r="AL371" s="1">
        <v>0.0</v>
      </c>
      <c r="AM371" s="4">
        <v>0.0</v>
      </c>
      <c r="AN371" s="1">
        <v>0.0</v>
      </c>
      <c r="AO371" s="4">
        <v>0.0</v>
      </c>
      <c r="AP371" s="1">
        <f t="shared" si="1"/>
        <v>1</v>
      </c>
      <c r="AU371" s="2"/>
      <c r="AV371" s="2">
        <v>46024.03125</v>
      </c>
      <c r="AW371" s="1">
        <v>0.0</v>
      </c>
      <c r="AX371" s="1">
        <v>0.0</v>
      </c>
      <c r="AY371" s="1">
        <v>0.0</v>
      </c>
      <c r="AZ371" s="1">
        <v>1.0</v>
      </c>
      <c r="BA371" s="1">
        <v>0.0</v>
      </c>
      <c r="BB371" s="1">
        <v>0.0</v>
      </c>
      <c r="BC371" s="2">
        <v>46006.0</v>
      </c>
      <c r="BD371" s="1">
        <v>50.0</v>
      </c>
      <c r="BE371" s="1" t="s">
        <v>550</v>
      </c>
      <c r="BF371" s="1">
        <v>2025.0</v>
      </c>
      <c r="BG371" s="1" t="s">
        <v>546</v>
      </c>
      <c r="BH371" s="7" t="str">
        <f>VLOOKUP(B371,CookieClicks!D:O,12,FALSE)</f>
        <v>http://signup.method.me/methodcrm/?_gl=1*j0egxn*_gcl_au*MTcyOTYxMDIuMTc2NTgxOTIyNg..*_ga*MTUzMzczNjMxLjE3NjU4MTkyMjY.*_ga_L2HEZNW53E*czE3NjU4MTkyMjYkbzEkZzAkdDE3NjU4MTkyMjYkajYwJGwwJGg0Mjg3MjIwMg..&amp;_ga=2.45122727.268718578.1765819226-153373631.1765819226</v>
      </c>
      <c r="BI371" s="8" t="str">
        <f>IFERROR(__xludf.DUMMYFUNCTION("VLOOKUP(REGEXREPLACE(BH371,""[?].*"",""""),ContentBuckets!A:C,2,FALSE)"),"#N/A")</f>
        <v>#N/A</v>
      </c>
      <c r="BJ371" s="8" t="str">
        <f>IFERROR(__xludf.DUMMYFUNCTION("VLOOKUP(REGEXREPLACE(BH371,""[?].*"",""""),ContentBuckets!A:C,3,FALSE)"),"#N/A")</f>
        <v>#N/A</v>
      </c>
    </row>
    <row r="372" ht="14.25" customHeight="1">
      <c r="A372" s="1">
        <v>153572.0</v>
      </c>
      <c r="B372" s="1" t="s">
        <v>1086</v>
      </c>
      <c r="C372" s="2">
        <v>46006.5472222222</v>
      </c>
      <c r="D372" s="2"/>
      <c r="E372" s="2"/>
      <c r="F372" s="1" t="b">
        <v>1</v>
      </c>
      <c r="G372" s="4" t="b">
        <v>0</v>
      </c>
      <c r="H372" s="1" t="b">
        <v>0</v>
      </c>
      <c r="I372" s="1" t="b">
        <v>0</v>
      </c>
      <c r="J372" s="1" t="s">
        <v>534</v>
      </c>
      <c r="K372" s="1" t="s">
        <v>622</v>
      </c>
      <c r="L372" s="1" t="s">
        <v>623</v>
      </c>
      <c r="M372" s="1" t="s">
        <v>537</v>
      </c>
      <c r="N372" s="1">
        <v>0.0</v>
      </c>
      <c r="O372" s="1">
        <v>44.25</v>
      </c>
      <c r="P372" s="1">
        <v>0.0</v>
      </c>
      <c r="Q372" s="1">
        <v>0.0</v>
      </c>
      <c r="R372" s="1">
        <v>0.0</v>
      </c>
      <c r="S372" s="1" t="s">
        <v>538</v>
      </c>
      <c r="T372" s="1" t="s">
        <v>539</v>
      </c>
      <c r="V372" s="4">
        <v>7352409.0</v>
      </c>
      <c r="W372" s="4" t="s">
        <v>540</v>
      </c>
      <c r="X372" s="4">
        <v>0.0</v>
      </c>
      <c r="Y372" s="1">
        <v>1.0</v>
      </c>
      <c r="Z372" s="1">
        <v>0.0</v>
      </c>
      <c r="AA372" s="1">
        <v>0.0</v>
      </c>
      <c r="AB372" s="1">
        <v>0.0</v>
      </c>
      <c r="AC372" s="1">
        <v>0.0</v>
      </c>
      <c r="AD372" s="1">
        <v>0.0</v>
      </c>
      <c r="AE372" s="1">
        <v>0.0</v>
      </c>
      <c r="AF372" s="1">
        <v>0.0</v>
      </c>
      <c r="AG372" s="1">
        <v>0.0</v>
      </c>
      <c r="AH372" s="1">
        <v>0.0</v>
      </c>
      <c r="AI372" s="1">
        <v>0.0</v>
      </c>
      <c r="AJ372" s="1">
        <v>0.0</v>
      </c>
      <c r="AK372" s="1">
        <v>0.0</v>
      </c>
      <c r="AL372" s="1">
        <v>0.0</v>
      </c>
      <c r="AM372" s="4">
        <v>0.0</v>
      </c>
      <c r="AN372" s="1">
        <v>0.0</v>
      </c>
      <c r="AO372" s="4">
        <v>0.0</v>
      </c>
      <c r="AP372" s="1">
        <f t="shared" si="1"/>
        <v>0</v>
      </c>
      <c r="AU372" s="2"/>
      <c r="AV372" s="2">
        <v>46023.9881944444</v>
      </c>
      <c r="AW372" s="1">
        <v>0.0</v>
      </c>
      <c r="AX372" s="1">
        <v>0.0</v>
      </c>
      <c r="AY372" s="1">
        <v>0.0</v>
      </c>
      <c r="AZ372" s="1">
        <v>1.0</v>
      </c>
      <c r="BA372" s="1">
        <v>0.0</v>
      </c>
      <c r="BB372" s="1">
        <v>0.0</v>
      </c>
      <c r="BC372" s="2">
        <v>46006.0</v>
      </c>
      <c r="BD372" s="1">
        <v>50.0</v>
      </c>
      <c r="BE372" s="1" t="s">
        <v>550</v>
      </c>
      <c r="BF372" s="1">
        <v>2025.0</v>
      </c>
      <c r="BG372" s="1" t="s">
        <v>558</v>
      </c>
      <c r="BH372" s="7" t="str">
        <f>VLOOKUP(B372,CookieClicks!D:O,12,FALSE)</f>
        <v>https://www.method.me/blog/wholesale-price-calculator/</v>
      </c>
      <c r="BI372" s="8" t="str">
        <f>IFERROR(__xludf.DUMMYFUNCTION("VLOOKUP(REGEXREPLACE(BH372,""[?].*"",""""),ContentBuckets!A:C,2,FALSE)"),"MWD")</f>
        <v>MWD</v>
      </c>
      <c r="BJ372" s="8" t="str">
        <f>IFERROR(__xludf.DUMMYFUNCTION("VLOOKUP(REGEXREPLACE(BH372,""[?].*"",""""),ContentBuckets!A:C,3,FALSE)"),"Blog")</f>
        <v>Blog</v>
      </c>
    </row>
    <row r="373" ht="14.25" customHeight="1">
      <c r="A373" s="1">
        <v>153573.0</v>
      </c>
      <c r="B373" s="1" t="s">
        <v>1087</v>
      </c>
      <c r="C373" s="2">
        <v>46006.5479166667</v>
      </c>
      <c r="D373" s="2"/>
      <c r="E373" s="2"/>
      <c r="F373" s="1" t="b">
        <v>1</v>
      </c>
      <c r="G373" s="4" t="b">
        <v>0</v>
      </c>
      <c r="H373" s="1" t="b">
        <v>0</v>
      </c>
      <c r="I373" s="1" t="b">
        <v>0</v>
      </c>
      <c r="J373" s="1" t="s">
        <v>534</v>
      </c>
      <c r="K373" s="1" t="s">
        <v>535</v>
      </c>
      <c r="L373" s="1" t="s">
        <v>536</v>
      </c>
      <c r="M373" s="1" t="s">
        <v>537</v>
      </c>
      <c r="N373" s="1">
        <v>0.0</v>
      </c>
      <c r="O373" s="1">
        <v>44.25</v>
      </c>
      <c r="P373" s="1">
        <v>0.0</v>
      </c>
      <c r="Q373" s="1">
        <v>0.0</v>
      </c>
      <c r="R373" s="1">
        <v>28.0</v>
      </c>
      <c r="S373" s="1" t="s">
        <v>538</v>
      </c>
      <c r="T373" s="1" t="s">
        <v>539</v>
      </c>
      <c r="V373" s="4">
        <v>7352422.0</v>
      </c>
      <c r="W373" s="4"/>
      <c r="X373" s="4">
        <v>0.0</v>
      </c>
      <c r="Y373" s="1">
        <v>0.0</v>
      </c>
      <c r="Z373" s="1">
        <v>1.0</v>
      </c>
      <c r="AA373" s="1">
        <v>0.0</v>
      </c>
      <c r="AB373" s="1">
        <v>0.0</v>
      </c>
      <c r="AC373" s="1">
        <v>0.0</v>
      </c>
      <c r="AD373" s="1">
        <v>0.0</v>
      </c>
      <c r="AE373" s="1">
        <v>0.0</v>
      </c>
      <c r="AF373" s="1">
        <v>0.0</v>
      </c>
      <c r="AG373" s="1">
        <v>0.0</v>
      </c>
      <c r="AH373" s="1">
        <v>0.0</v>
      </c>
      <c r="AI373" s="1">
        <v>0.0</v>
      </c>
      <c r="AJ373" s="1">
        <v>0.0</v>
      </c>
      <c r="AK373" s="1">
        <v>0.0</v>
      </c>
      <c r="AL373" s="1">
        <v>0.0</v>
      </c>
      <c r="AM373" s="4">
        <v>0.0</v>
      </c>
      <c r="AN373" s="1">
        <v>0.0</v>
      </c>
      <c r="AO373" s="4">
        <v>0.0</v>
      </c>
      <c r="AP373" s="1">
        <f t="shared" si="1"/>
        <v>0</v>
      </c>
      <c r="AQ373" s="1" t="s">
        <v>557</v>
      </c>
      <c r="AR373" s="1" t="s">
        <v>542</v>
      </c>
      <c r="AU373" s="2">
        <v>46006.0</v>
      </c>
      <c r="AV373" s="2">
        <v>46024.0263888889</v>
      </c>
      <c r="AW373" s="1">
        <v>26.0</v>
      </c>
      <c r="AX373" s="1">
        <v>1089531.48</v>
      </c>
      <c r="AY373" s="1">
        <v>2637.0</v>
      </c>
      <c r="AZ373" s="1">
        <v>1.0</v>
      </c>
      <c r="BA373" s="1">
        <v>0.0</v>
      </c>
      <c r="BB373" s="1">
        <v>0.0</v>
      </c>
      <c r="BC373" s="2">
        <v>46006.0</v>
      </c>
      <c r="BD373" s="1">
        <v>50.0</v>
      </c>
      <c r="BE373" s="1" t="s">
        <v>550</v>
      </c>
      <c r="BF373" s="1">
        <v>2025.0</v>
      </c>
      <c r="BG373" s="1" t="s">
        <v>558</v>
      </c>
      <c r="BH373" s="7" t="str">
        <f>VLOOKUP(B373,CookieClicks!D:O,12,FALSE)</f>
        <v>https://signup.method.me/QBOAppstoreSignup?offering=methodcrm</v>
      </c>
      <c r="BI373" s="8" t="str">
        <f>IFERROR(__xludf.DUMMYFUNCTION("VLOOKUP(REGEXREPLACE(BH373,""[?].*"",""""),ContentBuckets!A:C,2,FALSE)"),"#N/A")</f>
        <v>#N/A</v>
      </c>
      <c r="BJ373" s="8" t="str">
        <f>IFERROR(__xludf.DUMMYFUNCTION("VLOOKUP(REGEXREPLACE(BH373,""[?].*"",""""),ContentBuckets!A:C,3,FALSE)"),"#N/A")</f>
        <v>#N/A</v>
      </c>
    </row>
    <row r="374" ht="14.25" customHeight="1">
      <c r="A374" s="1">
        <v>153574.0</v>
      </c>
      <c r="B374" s="1" t="s">
        <v>1088</v>
      </c>
      <c r="C374" s="2">
        <v>46006.5597222222</v>
      </c>
      <c r="D374" s="2">
        <v>46008.4791666667</v>
      </c>
      <c r="E374" s="2"/>
      <c r="F374" s="1" t="b">
        <v>0</v>
      </c>
      <c r="G374" s="4" t="b">
        <v>0</v>
      </c>
      <c r="H374" s="1" t="b">
        <v>0</v>
      </c>
      <c r="I374" s="1" t="b">
        <v>0</v>
      </c>
      <c r="J374" s="1" t="s">
        <v>534</v>
      </c>
      <c r="K374" s="1" t="s">
        <v>553</v>
      </c>
      <c r="L374" s="1" t="s">
        <v>554</v>
      </c>
      <c r="M374" s="1" t="s">
        <v>537</v>
      </c>
      <c r="N374" s="1">
        <v>0.0</v>
      </c>
      <c r="O374" s="1">
        <v>44.25</v>
      </c>
      <c r="P374" s="1">
        <v>0.0</v>
      </c>
      <c r="Q374" s="1">
        <v>0.0</v>
      </c>
      <c r="R374" s="1">
        <v>0.0</v>
      </c>
      <c r="S374" s="1" t="s">
        <v>538</v>
      </c>
      <c r="T374" s="1" t="s">
        <v>539</v>
      </c>
      <c r="V374" s="4">
        <v>7352511.0</v>
      </c>
      <c r="W374" s="4" t="s">
        <v>540</v>
      </c>
      <c r="X374" s="4">
        <v>0.0</v>
      </c>
      <c r="Y374" s="1">
        <v>1.0</v>
      </c>
      <c r="Z374" s="1">
        <v>0.0</v>
      </c>
      <c r="AA374" s="1">
        <v>0.0</v>
      </c>
      <c r="AB374" s="1">
        <v>0.0</v>
      </c>
      <c r="AC374" s="1">
        <v>0.0</v>
      </c>
      <c r="AD374" s="1">
        <v>0.0</v>
      </c>
      <c r="AE374" s="1">
        <v>0.0</v>
      </c>
      <c r="AF374" s="1">
        <v>0.0</v>
      </c>
      <c r="AG374" s="1">
        <v>0.0</v>
      </c>
      <c r="AH374" s="1">
        <v>0.0</v>
      </c>
      <c r="AI374" s="1">
        <v>0.0</v>
      </c>
      <c r="AJ374" s="1">
        <v>0.0</v>
      </c>
      <c r="AK374" s="1">
        <v>0.0</v>
      </c>
      <c r="AL374" s="1">
        <v>0.0</v>
      </c>
      <c r="AM374" s="4">
        <v>0.0</v>
      </c>
      <c r="AN374" s="1">
        <v>0.0</v>
      </c>
      <c r="AO374" s="4">
        <v>0.0</v>
      </c>
      <c r="AP374" s="1">
        <f t="shared" si="1"/>
        <v>0</v>
      </c>
      <c r="AU374" s="2"/>
      <c r="AV374" s="2">
        <v>46008.0333333333</v>
      </c>
      <c r="AW374" s="1">
        <v>0.0</v>
      </c>
      <c r="AX374" s="1">
        <v>0.0</v>
      </c>
      <c r="AY374" s="1">
        <v>0.0</v>
      </c>
      <c r="AZ374" s="1">
        <v>1.0</v>
      </c>
      <c r="BA374" s="1">
        <v>0.0</v>
      </c>
      <c r="BB374" s="1">
        <v>0.0</v>
      </c>
      <c r="BC374" s="2">
        <v>46006.0</v>
      </c>
      <c r="BD374" s="1">
        <v>50.0</v>
      </c>
      <c r="BE374" s="1" t="s">
        <v>550</v>
      </c>
      <c r="BF374" s="1">
        <v>2025.0</v>
      </c>
      <c r="BG374" s="1" t="s">
        <v>558</v>
      </c>
      <c r="BH374" s="7" t="str">
        <f>VLOOKUP(B374,CookieClicks!D:O,12,FALSE)</f>
        <v>https://www.method.me/blog/lead-follow-up-system/</v>
      </c>
      <c r="BI374" s="8" t="str">
        <f>IFERROR(__xludf.DUMMYFUNCTION("VLOOKUP(REGEXREPLACE(BH374,""[?].*"",""""),ContentBuckets!A:C,2,FALSE)"),"Sales / Marketing / Lead gen")</f>
        <v>Sales / Marketing / Lead gen</v>
      </c>
      <c r="BJ374" s="8" t="str">
        <f>IFERROR(__xludf.DUMMYFUNCTION("VLOOKUP(REGEXREPLACE(BH374,""[?].*"",""""),ContentBuckets!A:C,3,FALSE)"),"Blog")</f>
        <v>Blog</v>
      </c>
    </row>
    <row r="375" ht="14.25" customHeight="1">
      <c r="A375" s="1">
        <v>153575.0</v>
      </c>
      <c r="B375" s="1" t="s">
        <v>1089</v>
      </c>
      <c r="C375" s="2">
        <v>46006.5680555556</v>
      </c>
      <c r="D375" s="2">
        <v>46007.5631944444</v>
      </c>
      <c r="E375" s="2"/>
      <c r="F375" s="1" t="b">
        <v>0</v>
      </c>
      <c r="G375" s="4" t="b">
        <v>1</v>
      </c>
      <c r="H375" s="1" t="b">
        <v>0</v>
      </c>
      <c r="I375" s="1" t="b">
        <v>0</v>
      </c>
      <c r="J375" s="1" t="s">
        <v>534</v>
      </c>
      <c r="K375" s="1" t="s">
        <v>566</v>
      </c>
      <c r="L375" s="1" t="s">
        <v>567</v>
      </c>
      <c r="M375" s="1" t="s">
        <v>537</v>
      </c>
      <c r="N375" s="1">
        <v>0.0</v>
      </c>
      <c r="O375" s="1">
        <v>53.25</v>
      </c>
      <c r="P375" s="1">
        <v>0.0</v>
      </c>
      <c r="Q375" s="1">
        <v>0.0</v>
      </c>
      <c r="R375" s="1">
        <v>28.0</v>
      </c>
      <c r="S375" s="1" t="s">
        <v>538</v>
      </c>
      <c r="T375" s="1" t="s">
        <v>539</v>
      </c>
      <c r="V375" s="4">
        <v>7352582.0</v>
      </c>
      <c r="W375" s="4"/>
      <c r="X375" s="4">
        <v>0.0</v>
      </c>
      <c r="Y375" s="1">
        <v>0.0</v>
      </c>
      <c r="Z375" s="1">
        <v>0.0</v>
      </c>
      <c r="AA375" s="1">
        <v>0.0</v>
      </c>
      <c r="AB375" s="1">
        <v>0.0</v>
      </c>
      <c r="AC375" s="1">
        <v>1.0</v>
      </c>
      <c r="AD375" s="1">
        <v>0.0</v>
      </c>
      <c r="AE375" s="1">
        <v>0.0</v>
      </c>
      <c r="AF375" s="1">
        <v>0.0</v>
      </c>
      <c r="AG375" s="1">
        <v>0.0</v>
      </c>
      <c r="AH375" s="1">
        <v>0.0</v>
      </c>
      <c r="AI375" s="1">
        <v>0.0</v>
      </c>
      <c r="AJ375" s="1">
        <v>0.0</v>
      </c>
      <c r="AK375" s="1">
        <v>0.0</v>
      </c>
      <c r="AL375" s="1">
        <v>0.0</v>
      </c>
      <c r="AM375" s="4">
        <v>0.0</v>
      </c>
      <c r="AN375" s="1">
        <v>0.0</v>
      </c>
      <c r="AO375" s="4">
        <v>0.0</v>
      </c>
      <c r="AP375" s="1">
        <f t="shared" si="1"/>
        <v>0</v>
      </c>
      <c r="AR375" s="1" t="s">
        <v>571</v>
      </c>
      <c r="AU375" s="2"/>
      <c r="AV375" s="2">
        <v>46007.0111111111</v>
      </c>
      <c r="AW375" s="1">
        <v>0.0</v>
      </c>
      <c r="AX375" s="1">
        <v>0.0</v>
      </c>
      <c r="AY375" s="1">
        <v>0.0</v>
      </c>
      <c r="AZ375" s="1">
        <v>1.0</v>
      </c>
      <c r="BA375" s="1">
        <v>0.0</v>
      </c>
      <c r="BB375" s="1">
        <v>0.0</v>
      </c>
      <c r="BC375" s="2">
        <v>46006.0</v>
      </c>
      <c r="BD375" s="1">
        <v>50.0</v>
      </c>
      <c r="BE375" s="1" t="s">
        <v>550</v>
      </c>
      <c r="BF375" s="1">
        <v>2025.0</v>
      </c>
      <c r="BG375" s="1" t="s">
        <v>558</v>
      </c>
      <c r="BH375" s="1" t="str">
        <f>VLOOKUP(B375,CookieClicks!D:O,12,FALSE)</f>
        <v>https://grow.method.me/method-proposals/?trc=549&amp;trk=partner-lead-nurture&amp;trs=invitation &amp;utm_source=ac&amp;utm_medium=email&amp;utm_campaign=549&amp;vgo_ee=%2FqDgvRvGYg5FUTnQqD7rNA%3D%3D%3AA2qFM1BTYSVwyZGrpczte24UJMYLlF6E</v>
      </c>
      <c r="BI375" s="8" t="str">
        <f>IFERROR(__xludf.DUMMYFUNCTION("VLOOKUP(REGEXREPLACE(BH375,""[?].*"",""""),ContentBuckets!A:C,2,FALSE)"),"#N/A")</f>
        <v>#N/A</v>
      </c>
      <c r="BJ375" s="8" t="str">
        <f>IFERROR(__xludf.DUMMYFUNCTION("VLOOKUP(REGEXREPLACE(BH375,""[?].*"",""""),ContentBuckets!A:C,3,FALSE)"),"#N/A")</f>
        <v>#N/A</v>
      </c>
    </row>
    <row r="376" ht="14.25" customHeight="1">
      <c r="A376" s="1">
        <v>153576.0</v>
      </c>
      <c r="B376" s="1" t="s">
        <v>1090</v>
      </c>
      <c r="C376" s="2">
        <v>46006.6027777778</v>
      </c>
      <c r="D376" s="2"/>
      <c r="E376" s="2"/>
      <c r="F376" s="1" t="b">
        <v>1</v>
      </c>
      <c r="G376" s="4" t="b">
        <v>0</v>
      </c>
      <c r="H376" s="1" t="b">
        <v>0</v>
      </c>
      <c r="I376" s="1" t="b">
        <v>0</v>
      </c>
      <c r="J376" s="1" t="s">
        <v>534</v>
      </c>
      <c r="K376" s="1" t="s">
        <v>535</v>
      </c>
      <c r="L376" s="1" t="s">
        <v>536</v>
      </c>
      <c r="M376" s="1" t="s">
        <v>537</v>
      </c>
      <c r="N376" s="1">
        <v>0.0</v>
      </c>
      <c r="O376" s="1">
        <v>72.75</v>
      </c>
      <c r="P376" s="1">
        <v>0.0</v>
      </c>
      <c r="Q376" s="1">
        <v>0.0</v>
      </c>
      <c r="R376" s="1">
        <v>0.0</v>
      </c>
      <c r="S376" s="1" t="s">
        <v>538</v>
      </c>
      <c r="T376" s="1" t="s">
        <v>539</v>
      </c>
      <c r="V376" s="4">
        <v>7352927.0</v>
      </c>
      <c r="W376" s="4"/>
      <c r="X376" s="4">
        <v>0.0</v>
      </c>
      <c r="Y376" s="1">
        <v>0.0</v>
      </c>
      <c r="Z376" s="1">
        <v>0.0</v>
      </c>
      <c r="AA376" s="1">
        <v>1.0</v>
      </c>
      <c r="AB376" s="1">
        <v>0.0</v>
      </c>
      <c r="AC376" s="1">
        <v>0.0</v>
      </c>
      <c r="AD376" s="1">
        <v>0.0</v>
      </c>
      <c r="AE376" s="1">
        <v>0.0</v>
      </c>
      <c r="AF376" s="1">
        <v>0.0</v>
      </c>
      <c r="AG376" s="1">
        <v>0.0</v>
      </c>
      <c r="AH376" s="1">
        <v>0.0</v>
      </c>
      <c r="AI376" s="1">
        <v>0.0</v>
      </c>
      <c r="AJ376" s="1">
        <v>0.0</v>
      </c>
      <c r="AK376" s="1">
        <v>0.0</v>
      </c>
      <c r="AL376" s="1">
        <v>0.0</v>
      </c>
      <c r="AM376" s="4">
        <v>0.0</v>
      </c>
      <c r="AN376" s="1">
        <v>0.0</v>
      </c>
      <c r="AO376" s="4">
        <v>0.0</v>
      </c>
      <c r="AP376" s="1">
        <f t="shared" si="1"/>
        <v>0</v>
      </c>
      <c r="AU376" s="2"/>
      <c r="AV376" s="2">
        <v>46024.0256944444</v>
      </c>
      <c r="AW376" s="1">
        <v>0.0</v>
      </c>
      <c r="AX376" s="1">
        <v>0.0</v>
      </c>
      <c r="AY376" s="1">
        <v>0.0</v>
      </c>
      <c r="AZ376" s="1">
        <v>1.0</v>
      </c>
      <c r="BA376" s="1">
        <v>0.0</v>
      </c>
      <c r="BB376" s="1">
        <v>0.0</v>
      </c>
      <c r="BC376" s="2">
        <v>46006.0</v>
      </c>
      <c r="BD376" s="1">
        <v>50.0</v>
      </c>
      <c r="BE376" s="1" t="s">
        <v>550</v>
      </c>
      <c r="BF376" s="1">
        <v>2025.0</v>
      </c>
      <c r="BG376" s="1" t="s">
        <v>558</v>
      </c>
      <c r="BH376" s="1" t="str">
        <f>VLOOKUP(B376,CookieClicks!D:O,12,FALSE)</f>
        <v>https://grow.method.me/crm-quickbooks/?trc=81&amp;trk=crm with quickbooks&amp;trs=USA-QB-G&amp;campaignid=1543381580&amp;adgroupid=61437797000&amp;adid=704678754673&amp;gad_source=1&amp;gad_campaignid=1543381580&amp;gbraid=0AAAAAD3ItnaCWDbEeqVIBGzQyuhhsZOsx&amp;gclid=Cj0KCQiAgP_JBhD-ARIsANpEMxzIkTUaQxRjffQ0JN13ZJy0RazkaIl6gs16j8ZIpB9jhaTMli4erwMaAjoJEALw_wcB</v>
      </c>
      <c r="BI376" s="8" t="str">
        <f>IFERROR(__xludf.DUMMYFUNCTION("VLOOKUP(REGEXREPLACE(BH376,""[?].*"",""""),ContentBuckets!A:C,2,FALSE)"),"#N/A")</f>
        <v>#N/A</v>
      </c>
      <c r="BJ376" s="8" t="str">
        <f>IFERROR(__xludf.DUMMYFUNCTION("VLOOKUP(REGEXREPLACE(BH376,""[?].*"",""""),ContentBuckets!A:C,3,FALSE)"),"#N/A")</f>
        <v>#N/A</v>
      </c>
    </row>
    <row r="377" ht="14.25" customHeight="1">
      <c r="A377" s="1">
        <v>153577.0</v>
      </c>
      <c r="B377" s="1" t="s">
        <v>1091</v>
      </c>
      <c r="C377" s="2">
        <v>46006.6131944444</v>
      </c>
      <c r="D377" s="2"/>
      <c r="E377" s="2"/>
      <c r="F377" s="1" t="b">
        <v>1</v>
      </c>
      <c r="G377" s="4" t="b">
        <v>0</v>
      </c>
      <c r="H377" s="1" t="b">
        <v>0</v>
      </c>
      <c r="I377" s="1" t="b">
        <v>0</v>
      </c>
      <c r="J377" s="1" t="s">
        <v>534</v>
      </c>
      <c r="K377" s="1" t="s">
        <v>535</v>
      </c>
      <c r="L377" s="1" t="s">
        <v>536</v>
      </c>
      <c r="M377" s="1" t="s">
        <v>537</v>
      </c>
      <c r="N377" s="1">
        <v>0.0</v>
      </c>
      <c r="O377" s="1">
        <v>70.5</v>
      </c>
      <c r="P377" s="1">
        <v>0.0</v>
      </c>
      <c r="Q377" s="1">
        <v>0.0</v>
      </c>
      <c r="R377" s="1">
        <v>28.0</v>
      </c>
      <c r="S377" s="1" t="s">
        <v>538</v>
      </c>
      <c r="T377" s="1" t="s">
        <v>725</v>
      </c>
      <c r="U377" s="1" t="s">
        <v>1092</v>
      </c>
      <c r="V377" s="4">
        <v>6431390.0</v>
      </c>
      <c r="W377" s="4" t="s">
        <v>540</v>
      </c>
      <c r="X377" s="4">
        <v>0.0</v>
      </c>
      <c r="Y377" s="1">
        <v>0.0071</v>
      </c>
      <c r="Z377" s="1">
        <v>0.0</v>
      </c>
      <c r="AA377" s="1">
        <v>0.0</v>
      </c>
      <c r="AB377" s="1">
        <v>0.9929</v>
      </c>
      <c r="AC377" s="1">
        <v>0.0</v>
      </c>
      <c r="AD377" s="1">
        <v>0.0</v>
      </c>
      <c r="AE377" s="1">
        <v>0.0</v>
      </c>
      <c r="AF377" s="1">
        <v>0.0</v>
      </c>
      <c r="AG377" s="1">
        <v>0.0</v>
      </c>
      <c r="AH377" s="1">
        <v>0.0</v>
      </c>
      <c r="AI377" s="1">
        <v>0.0</v>
      </c>
      <c r="AJ377" s="1">
        <v>0.0</v>
      </c>
      <c r="AK377" s="1">
        <v>0.0</v>
      </c>
      <c r="AL377" s="1">
        <v>0.0</v>
      </c>
      <c r="AM377" s="4">
        <v>0.0</v>
      </c>
      <c r="AN377" s="1">
        <v>0.0</v>
      </c>
      <c r="AO377" s="4">
        <v>0.0</v>
      </c>
      <c r="AP377" s="1">
        <f t="shared" si="1"/>
        <v>0</v>
      </c>
      <c r="AQ377" s="1" t="s">
        <v>557</v>
      </c>
      <c r="AR377" s="1" t="s">
        <v>542</v>
      </c>
      <c r="AT377" s="1" t="s">
        <v>1093</v>
      </c>
      <c r="AU377" s="2">
        <v>46006.0</v>
      </c>
      <c r="AV377" s="2">
        <v>46024.0159722222</v>
      </c>
      <c r="AW377" s="1">
        <v>0.0</v>
      </c>
      <c r="AX377" s="1">
        <v>2640.0</v>
      </c>
      <c r="AY377" s="1">
        <v>215.0</v>
      </c>
      <c r="AZ377" s="1">
        <v>2.0</v>
      </c>
      <c r="BA377" s="1">
        <v>0.0</v>
      </c>
      <c r="BB377" s="1">
        <v>2.0</v>
      </c>
      <c r="BC377" s="2">
        <v>46006.0</v>
      </c>
      <c r="BD377" s="1">
        <v>50.0</v>
      </c>
      <c r="BE377" s="1" t="s">
        <v>550</v>
      </c>
      <c r="BF377" s="1">
        <v>2025.0</v>
      </c>
      <c r="BG377" s="1" t="s">
        <v>558</v>
      </c>
      <c r="BH377" s="7" t="str">
        <f>VLOOKUP(B377,CookieClicks!D:O,12,FALSE)</f>
        <v>https://signin.method.me/?App=</v>
      </c>
      <c r="BI377" s="8" t="str">
        <f>IFERROR(__xludf.DUMMYFUNCTION("VLOOKUP(REGEXREPLACE(BH377,""[?].*"",""""),ContentBuckets!A:C,2,FALSE)"),"#N/A")</f>
        <v>#N/A</v>
      </c>
      <c r="BJ377" s="8" t="str">
        <f>IFERROR(__xludf.DUMMYFUNCTION("VLOOKUP(REGEXREPLACE(BH377,""[?].*"",""""),ContentBuckets!A:C,3,FALSE)"),"#N/A")</f>
        <v>#N/A</v>
      </c>
    </row>
    <row r="378" ht="14.25" customHeight="1">
      <c r="A378" s="1">
        <v>153578.0</v>
      </c>
      <c r="B378" s="1" t="s">
        <v>1094</v>
      </c>
      <c r="C378" s="2">
        <v>46006.6159722222</v>
      </c>
      <c r="D378" s="2"/>
      <c r="E378" s="2"/>
      <c r="F378" s="1" t="b">
        <v>1</v>
      </c>
      <c r="G378" s="4" t="b">
        <v>0</v>
      </c>
      <c r="H378" s="1" t="b">
        <v>0</v>
      </c>
      <c r="I378" s="1" t="b">
        <v>0</v>
      </c>
      <c r="J378" s="1" t="s">
        <v>534</v>
      </c>
      <c r="K378" s="1" t="s">
        <v>566</v>
      </c>
      <c r="L378" s="1" t="s">
        <v>567</v>
      </c>
      <c r="M378" s="1" t="s">
        <v>537</v>
      </c>
      <c r="N378" s="1">
        <v>0.0</v>
      </c>
      <c r="O378" s="1">
        <v>44.25</v>
      </c>
      <c r="P378" s="1">
        <v>0.0</v>
      </c>
      <c r="Q378" s="1">
        <v>0.0</v>
      </c>
      <c r="R378" s="1">
        <v>28.0</v>
      </c>
      <c r="S378" s="1" t="s">
        <v>538</v>
      </c>
      <c r="T378" s="1" t="s">
        <v>539</v>
      </c>
      <c r="V378" s="4">
        <v>7353060.0</v>
      </c>
      <c r="W378" s="4"/>
      <c r="X378" s="4">
        <v>0.0</v>
      </c>
      <c r="Y378" s="1">
        <v>0.0</v>
      </c>
      <c r="Z378" s="1">
        <v>0.0</v>
      </c>
      <c r="AA378" s="1">
        <v>1.0</v>
      </c>
      <c r="AB378" s="1">
        <v>0.0</v>
      </c>
      <c r="AC378" s="1">
        <v>0.0</v>
      </c>
      <c r="AD378" s="1">
        <v>0.0</v>
      </c>
      <c r="AE378" s="1">
        <v>0.0</v>
      </c>
      <c r="AF378" s="1">
        <v>0.0</v>
      </c>
      <c r="AG378" s="1">
        <v>0.0</v>
      </c>
      <c r="AH378" s="1">
        <v>0.0</v>
      </c>
      <c r="AI378" s="1">
        <v>0.0</v>
      </c>
      <c r="AJ378" s="1">
        <v>0.0</v>
      </c>
      <c r="AK378" s="1">
        <v>0.0</v>
      </c>
      <c r="AL378" s="1">
        <v>0.0</v>
      </c>
      <c r="AM378" s="4">
        <v>0.0</v>
      </c>
      <c r="AN378" s="1">
        <v>0.0</v>
      </c>
      <c r="AO378" s="4">
        <v>0.0</v>
      </c>
      <c r="AP378" s="1">
        <f t="shared" si="1"/>
        <v>0</v>
      </c>
      <c r="AR378" s="1" t="s">
        <v>578</v>
      </c>
      <c r="AU378" s="2"/>
      <c r="AV378" s="2">
        <v>46024.0263888889</v>
      </c>
      <c r="AW378" s="1">
        <v>0.0</v>
      </c>
      <c r="AX378" s="1">
        <v>0.0</v>
      </c>
      <c r="AY378" s="1">
        <v>0.0</v>
      </c>
      <c r="AZ378" s="1">
        <v>1.0</v>
      </c>
      <c r="BA378" s="1">
        <v>0.0</v>
      </c>
      <c r="BB378" s="1">
        <v>0.0</v>
      </c>
      <c r="BC378" s="2">
        <v>46006.0</v>
      </c>
      <c r="BD378" s="1">
        <v>50.0</v>
      </c>
      <c r="BE378" s="1" t="s">
        <v>550</v>
      </c>
      <c r="BF378" s="1">
        <v>2025.0</v>
      </c>
      <c r="BG378" s="1" t="s">
        <v>558</v>
      </c>
      <c r="BH378" s="1" t="str">
        <f>VLOOKUP(B378,CookieClicks!D:O,12,FALSE)</f>
        <v>https://grow.method.me/crm-quickbooks/?trc=86&amp;trk=crm that integrates with quickbooks&amp;trs=US-Bing-QB&amp;msclkid=27fe092f07eb1ae19b70606f62b87ab4&amp;utm_source=bing&amp;utm_medium=cpc&amp;utm_campaign=US - Bing QB Broad&amp;utm_term=crm that integrates with quickbooks&amp;utm_content=Ad Group 1</v>
      </c>
      <c r="BI378" s="8" t="str">
        <f>IFERROR(__xludf.DUMMYFUNCTION("VLOOKUP(REGEXREPLACE(BH378,""[?].*"",""""),ContentBuckets!A:C,2,FALSE)"),"#N/A")</f>
        <v>#N/A</v>
      </c>
      <c r="BJ378" s="8" t="str">
        <f>IFERROR(__xludf.DUMMYFUNCTION("VLOOKUP(REGEXREPLACE(BH378,""[?].*"",""""),ContentBuckets!A:C,3,FALSE)"),"#N/A")</f>
        <v>#N/A</v>
      </c>
    </row>
    <row r="379" ht="14.25" customHeight="1">
      <c r="A379" s="1">
        <v>153579.0</v>
      </c>
      <c r="B379" s="1" t="s">
        <v>1095</v>
      </c>
      <c r="C379" s="2">
        <v>46006.625</v>
      </c>
      <c r="D379" s="2"/>
      <c r="E379" s="2"/>
      <c r="F379" s="1" t="b">
        <v>1</v>
      </c>
      <c r="G379" s="4" t="b">
        <v>0</v>
      </c>
      <c r="H379" s="1" t="b">
        <v>0</v>
      </c>
      <c r="I379" s="1" t="b">
        <v>0</v>
      </c>
      <c r="J379" s="1" t="s">
        <v>534</v>
      </c>
      <c r="K379" s="1" t="s">
        <v>566</v>
      </c>
      <c r="L379" s="1" t="s">
        <v>567</v>
      </c>
      <c r="M379" s="1" t="s">
        <v>537</v>
      </c>
      <c r="N379" s="1">
        <v>0.0</v>
      </c>
      <c r="O379" s="1">
        <v>53.25</v>
      </c>
      <c r="P379" s="1">
        <v>0.0</v>
      </c>
      <c r="Q379" s="1">
        <v>0.0</v>
      </c>
      <c r="R379" s="1">
        <v>28.0</v>
      </c>
      <c r="S379" s="1" t="s">
        <v>538</v>
      </c>
      <c r="T379" s="1" t="s">
        <v>539</v>
      </c>
      <c r="V379" s="4">
        <v>7352666.0</v>
      </c>
      <c r="W379" s="4" t="s">
        <v>540</v>
      </c>
      <c r="X379" s="4">
        <v>0.0</v>
      </c>
      <c r="Y379" s="1">
        <v>1.0</v>
      </c>
      <c r="Z379" s="1">
        <v>0.0</v>
      </c>
      <c r="AA379" s="1">
        <v>0.0</v>
      </c>
      <c r="AB379" s="1">
        <v>0.0</v>
      </c>
      <c r="AC379" s="1">
        <v>0.0</v>
      </c>
      <c r="AD379" s="1">
        <v>0.0</v>
      </c>
      <c r="AE379" s="1">
        <v>0.0</v>
      </c>
      <c r="AF379" s="1">
        <v>0.0</v>
      </c>
      <c r="AG379" s="1">
        <v>0.0</v>
      </c>
      <c r="AH379" s="1">
        <v>0.0</v>
      </c>
      <c r="AI379" s="1">
        <v>0.0</v>
      </c>
      <c r="AJ379" s="1">
        <v>0.0</v>
      </c>
      <c r="AK379" s="1">
        <v>0.0</v>
      </c>
      <c r="AL379" s="1">
        <v>0.0</v>
      </c>
      <c r="AM379" s="4">
        <v>0.0</v>
      </c>
      <c r="AN379" s="1">
        <v>0.0</v>
      </c>
      <c r="AO379" s="4">
        <v>0.0</v>
      </c>
      <c r="AP379" s="1">
        <f t="shared" si="1"/>
        <v>0</v>
      </c>
      <c r="AR379" s="1" t="s">
        <v>681</v>
      </c>
      <c r="AU379" s="2"/>
      <c r="AV379" s="2">
        <v>46023.9875</v>
      </c>
      <c r="AW379" s="1">
        <v>0.0</v>
      </c>
      <c r="AX379" s="1">
        <v>0.0</v>
      </c>
      <c r="AY379" s="1">
        <v>0.0</v>
      </c>
      <c r="AZ379" s="1">
        <v>1.0</v>
      </c>
      <c r="BA379" s="1">
        <v>0.0</v>
      </c>
      <c r="BB379" s="1">
        <v>0.0</v>
      </c>
      <c r="BC379" s="2">
        <v>46006.0</v>
      </c>
      <c r="BD379" s="1">
        <v>50.0</v>
      </c>
      <c r="BE379" s="1" t="s">
        <v>550</v>
      </c>
      <c r="BF379" s="1">
        <v>2025.0</v>
      </c>
      <c r="BG379" s="1" t="s">
        <v>558</v>
      </c>
      <c r="BH379" s="7" t="str">
        <f>VLOOKUP(B379,CookieClicks!D:O,12,FALSE)</f>
        <v>https://www.method.me/crm-quickbooks/work-order-software/</v>
      </c>
      <c r="BI379" s="8" t="str">
        <f>IFERROR(__xludf.DUMMYFUNCTION("VLOOKUP(REGEXREPLACE(BH379,""[?].*"",""""),ContentBuckets!A:C,2,FALSE)"),"/crm-quickbooks/")</f>
        <v>/crm-quickbooks/</v>
      </c>
      <c r="BJ379" s="8" t="str">
        <f>IFERROR(__xludf.DUMMYFUNCTION("VLOOKUP(REGEXREPLACE(BH379,""[?].*"",""""),ContentBuckets!A:C,3,FALSE)"),"Other page")</f>
        <v>Other page</v>
      </c>
    </row>
    <row r="380" ht="14.25" customHeight="1">
      <c r="A380" s="1">
        <v>153580.0</v>
      </c>
      <c r="B380" s="1" t="s">
        <v>1096</v>
      </c>
      <c r="C380" s="2">
        <v>46006.6402777778</v>
      </c>
      <c r="D380" s="2">
        <v>46017.5548611111</v>
      </c>
      <c r="E380" s="2"/>
      <c r="F380" s="1" t="b">
        <v>0</v>
      </c>
      <c r="G380" s="4" t="b">
        <v>0</v>
      </c>
      <c r="H380" s="1" t="b">
        <v>0</v>
      </c>
      <c r="I380" s="1" t="b">
        <v>0</v>
      </c>
      <c r="J380" s="1" t="s">
        <v>534</v>
      </c>
      <c r="K380" s="1" t="s">
        <v>535</v>
      </c>
      <c r="L380" s="1" t="s">
        <v>536</v>
      </c>
      <c r="M380" s="1" t="s">
        <v>537</v>
      </c>
      <c r="N380" s="1">
        <v>0.0</v>
      </c>
      <c r="O380" s="1">
        <v>54.75</v>
      </c>
      <c r="P380" s="1">
        <v>0.0</v>
      </c>
      <c r="Q380" s="1">
        <v>0.0</v>
      </c>
      <c r="R380" s="1">
        <v>28.0</v>
      </c>
      <c r="S380" s="1" t="s">
        <v>538</v>
      </c>
      <c r="T380" s="1" t="s">
        <v>539</v>
      </c>
      <c r="V380" s="4">
        <v>7351404.0</v>
      </c>
      <c r="W380" s="4" t="s">
        <v>540</v>
      </c>
      <c r="X380" s="4">
        <v>0.0</v>
      </c>
      <c r="Y380" s="1">
        <v>1.0</v>
      </c>
      <c r="Z380" s="1">
        <v>0.0</v>
      </c>
      <c r="AA380" s="1">
        <v>0.0</v>
      </c>
      <c r="AB380" s="1">
        <v>0.0</v>
      </c>
      <c r="AC380" s="1">
        <v>0.0</v>
      </c>
      <c r="AD380" s="1">
        <v>0.0</v>
      </c>
      <c r="AE380" s="1">
        <v>0.0</v>
      </c>
      <c r="AF380" s="1">
        <v>0.0</v>
      </c>
      <c r="AG380" s="1">
        <v>0.0</v>
      </c>
      <c r="AH380" s="1">
        <v>0.0</v>
      </c>
      <c r="AI380" s="1">
        <v>0.0</v>
      </c>
      <c r="AJ380" s="1">
        <v>0.0</v>
      </c>
      <c r="AK380" s="1">
        <v>0.0</v>
      </c>
      <c r="AL380" s="1">
        <v>0.0</v>
      </c>
      <c r="AM380" s="4">
        <v>0.0</v>
      </c>
      <c r="AN380" s="1">
        <v>0.0</v>
      </c>
      <c r="AO380" s="4">
        <v>0.0</v>
      </c>
      <c r="AP380" s="1">
        <f t="shared" si="1"/>
        <v>0</v>
      </c>
      <c r="AQ380" s="1" t="s">
        <v>557</v>
      </c>
      <c r="AR380" s="1" t="s">
        <v>571</v>
      </c>
      <c r="AT380" s="1" t="s">
        <v>586</v>
      </c>
      <c r="AU380" s="2">
        <v>46006.0</v>
      </c>
      <c r="AV380" s="2">
        <v>46016.9979166667</v>
      </c>
      <c r="AW380" s="1">
        <v>3.0</v>
      </c>
      <c r="AX380" s="1">
        <v>1.26641478E7</v>
      </c>
      <c r="AY380" s="1">
        <v>141.0</v>
      </c>
      <c r="AZ380" s="1">
        <v>1.0</v>
      </c>
      <c r="BA380" s="1">
        <v>0.0</v>
      </c>
      <c r="BB380" s="1">
        <v>0.0</v>
      </c>
      <c r="BC380" s="2">
        <v>46006.0</v>
      </c>
      <c r="BD380" s="1">
        <v>50.0</v>
      </c>
      <c r="BE380" s="1" t="s">
        <v>550</v>
      </c>
      <c r="BF380" s="1">
        <v>2025.0</v>
      </c>
      <c r="BG380" s="1" t="s">
        <v>558</v>
      </c>
      <c r="BH380" s="7" t="str">
        <f>VLOOKUP(B380,CookieClicks!D:O,12,FALSE)</f>
        <v>https://www.method.me/</v>
      </c>
      <c r="BI380" s="8" t="str">
        <f>IFERROR(__xludf.DUMMYFUNCTION("VLOOKUP(REGEXREPLACE(BH380,""[?].*"",""""),ContentBuckets!A:C,2,FALSE)"),"Homepage")</f>
        <v>Homepage</v>
      </c>
      <c r="BJ380" s="8" t="str">
        <f>IFERROR(__xludf.DUMMYFUNCTION("VLOOKUP(REGEXREPLACE(BH380,""[?].*"",""""),ContentBuckets!A:C,3,FALSE)"),"Other page")</f>
        <v>Other page</v>
      </c>
    </row>
    <row r="381" ht="14.25" customHeight="1">
      <c r="A381" s="1">
        <v>153581.0</v>
      </c>
      <c r="B381" s="1" t="s">
        <v>1097</v>
      </c>
      <c r="C381" s="2">
        <v>46006.6493055556</v>
      </c>
      <c r="D381" s="2">
        <v>46007.3541666667</v>
      </c>
      <c r="E381" s="2"/>
      <c r="F381" s="1" t="b">
        <v>0</v>
      </c>
      <c r="G381" s="4" t="b">
        <v>1</v>
      </c>
      <c r="H381" s="1" t="b">
        <v>0</v>
      </c>
      <c r="I381" s="1" t="b">
        <v>0</v>
      </c>
      <c r="J381" s="1" t="s">
        <v>534</v>
      </c>
      <c r="K381" s="1" t="s">
        <v>612</v>
      </c>
      <c r="L381" s="1" t="s">
        <v>567</v>
      </c>
      <c r="M381" s="1" t="s">
        <v>537</v>
      </c>
      <c r="N381" s="1">
        <v>0.0</v>
      </c>
      <c r="O381" s="1">
        <v>44.25</v>
      </c>
      <c r="P381" s="1">
        <v>0.0</v>
      </c>
      <c r="Q381" s="1">
        <v>0.0</v>
      </c>
      <c r="R381" s="1">
        <v>28.0</v>
      </c>
      <c r="S381" s="1" t="s">
        <v>538</v>
      </c>
      <c r="T381" s="1" t="s">
        <v>539</v>
      </c>
      <c r="V381" s="4">
        <v>7353351.0</v>
      </c>
      <c r="W381" s="4"/>
      <c r="X381" s="4">
        <v>1.0</v>
      </c>
      <c r="Y381" s="1">
        <v>0.0</v>
      </c>
      <c r="Z381" s="1">
        <v>0.0</v>
      </c>
      <c r="AA381" s="1">
        <v>0.0</v>
      </c>
      <c r="AB381" s="1">
        <v>0.0</v>
      </c>
      <c r="AC381" s="1">
        <v>0.0</v>
      </c>
      <c r="AD381" s="1">
        <v>0.0</v>
      </c>
      <c r="AE381" s="1">
        <v>0.0</v>
      </c>
      <c r="AF381" s="1">
        <v>0.0</v>
      </c>
      <c r="AG381" s="1">
        <v>0.0</v>
      </c>
      <c r="AH381" s="1">
        <v>0.0</v>
      </c>
      <c r="AI381" s="1">
        <v>0.0</v>
      </c>
      <c r="AJ381" s="1">
        <v>0.0</v>
      </c>
      <c r="AK381" s="1">
        <v>0.0</v>
      </c>
      <c r="AL381" s="1">
        <v>0.0</v>
      </c>
      <c r="AM381" s="4">
        <v>0.0</v>
      </c>
      <c r="AN381" s="1">
        <v>0.0</v>
      </c>
      <c r="AO381" s="4">
        <v>0.0</v>
      </c>
      <c r="AP381" s="1">
        <f t="shared" si="1"/>
        <v>0</v>
      </c>
      <c r="AR381" s="1" t="s">
        <v>681</v>
      </c>
      <c r="AU381" s="2"/>
      <c r="AV381" s="2">
        <v>46006.9868055556</v>
      </c>
      <c r="AW381" s="1">
        <v>0.0</v>
      </c>
      <c r="AX381" s="1">
        <v>0.0</v>
      </c>
      <c r="AY381" s="1">
        <v>0.0</v>
      </c>
      <c r="AZ381" s="1">
        <v>1.0</v>
      </c>
      <c r="BA381" s="1">
        <v>0.0</v>
      </c>
      <c r="BB381" s="1">
        <v>0.0</v>
      </c>
      <c r="BC381" s="2">
        <v>46006.0</v>
      </c>
      <c r="BD381" s="1">
        <v>50.0</v>
      </c>
      <c r="BE381" s="1" t="s">
        <v>550</v>
      </c>
      <c r="BF381" s="1">
        <v>2025.0</v>
      </c>
      <c r="BG381" s="1" t="s">
        <v>558</v>
      </c>
      <c r="BH381" s="7" t="str">
        <f>VLOOKUP(B381,CookieClicks!D:O,12,FALSE)</f>
        <v>https://grow.method.me/method-fs-demo/</v>
      </c>
      <c r="BI381" s="8" t="str">
        <f>IFERROR(__xludf.DUMMYFUNCTION("VLOOKUP(REGEXREPLACE(BH381,""[?].*"",""""),ContentBuckets!A:C,2,FALSE)"),"#N/A")</f>
        <v>#N/A</v>
      </c>
      <c r="BJ381" s="8" t="str">
        <f>IFERROR(__xludf.DUMMYFUNCTION("VLOOKUP(REGEXREPLACE(BH381,""[?].*"",""""),ContentBuckets!A:C,3,FALSE)"),"#N/A")</f>
        <v>#N/A</v>
      </c>
    </row>
    <row r="382" ht="14.25" customHeight="1">
      <c r="A382" s="1">
        <v>153582.0</v>
      </c>
      <c r="B382" s="1" t="s">
        <v>1098</v>
      </c>
      <c r="C382" s="2">
        <v>46006.6604166667</v>
      </c>
      <c r="D382" s="2">
        <v>46010.5534722222</v>
      </c>
      <c r="E382" s="2"/>
      <c r="F382" s="1" t="b">
        <v>0</v>
      </c>
      <c r="G382" s="4" t="b">
        <v>1</v>
      </c>
      <c r="H382" s="1" t="b">
        <v>0</v>
      </c>
      <c r="I382" s="1" t="b">
        <v>0</v>
      </c>
      <c r="J382" s="1" t="s">
        <v>534</v>
      </c>
      <c r="K382" s="1" t="s">
        <v>566</v>
      </c>
      <c r="L382" s="1" t="s">
        <v>567</v>
      </c>
      <c r="M382" s="1" t="s">
        <v>537</v>
      </c>
      <c r="N382" s="1">
        <v>0.0</v>
      </c>
      <c r="O382" s="1">
        <v>44.25</v>
      </c>
      <c r="P382" s="1">
        <v>0.0</v>
      </c>
      <c r="Q382" s="1">
        <v>0.0</v>
      </c>
      <c r="R382" s="1">
        <v>28.0</v>
      </c>
      <c r="S382" s="1" t="s">
        <v>538</v>
      </c>
      <c r="T382" s="1" t="s">
        <v>539</v>
      </c>
      <c r="V382" s="4">
        <v>7012143.0</v>
      </c>
      <c r="W382" s="4" t="s">
        <v>653</v>
      </c>
      <c r="X382" s="4">
        <v>0.0</v>
      </c>
      <c r="Y382" s="1">
        <v>1.0</v>
      </c>
      <c r="Z382" s="1">
        <v>0.0</v>
      </c>
      <c r="AA382" s="1">
        <v>0.0</v>
      </c>
      <c r="AB382" s="1">
        <v>0.0</v>
      </c>
      <c r="AC382" s="1">
        <v>0.0</v>
      </c>
      <c r="AD382" s="1">
        <v>0.0</v>
      </c>
      <c r="AE382" s="1">
        <v>0.0</v>
      </c>
      <c r="AF382" s="1">
        <v>0.0</v>
      </c>
      <c r="AG382" s="1">
        <v>0.0</v>
      </c>
      <c r="AH382" s="1">
        <v>0.0</v>
      </c>
      <c r="AI382" s="1">
        <v>0.0</v>
      </c>
      <c r="AJ382" s="1">
        <v>0.0</v>
      </c>
      <c r="AK382" s="1">
        <v>0.0</v>
      </c>
      <c r="AL382" s="1">
        <v>0.0</v>
      </c>
      <c r="AM382" s="4">
        <v>0.0</v>
      </c>
      <c r="AN382" s="1">
        <v>0.0</v>
      </c>
      <c r="AO382" s="4">
        <v>0.0</v>
      </c>
      <c r="AP382" s="1">
        <f t="shared" si="1"/>
        <v>0</v>
      </c>
      <c r="AR382" s="1" t="s">
        <v>571</v>
      </c>
      <c r="AU382" s="2"/>
      <c r="AV382" s="2">
        <v>46010.0284722222</v>
      </c>
      <c r="AW382" s="1">
        <v>0.0</v>
      </c>
      <c r="AX382" s="1">
        <v>0.0</v>
      </c>
      <c r="AY382" s="1">
        <v>0.0</v>
      </c>
      <c r="AZ382" s="1">
        <v>1.0</v>
      </c>
      <c r="BA382" s="1">
        <v>0.0</v>
      </c>
      <c r="BB382" s="1">
        <v>0.0</v>
      </c>
      <c r="BC382" s="2">
        <v>46006.0</v>
      </c>
      <c r="BD382" s="1">
        <v>50.0</v>
      </c>
      <c r="BE382" s="1" t="s">
        <v>550</v>
      </c>
      <c r="BF382" s="1">
        <v>2025.0</v>
      </c>
      <c r="BG382" s="1" t="s">
        <v>558</v>
      </c>
      <c r="BH382" s="7" t="str">
        <f>VLOOKUP(B382,CookieClicks!D:O,12,FALSE)</f>
        <v>https://www.method.me/</v>
      </c>
      <c r="BI382" s="8" t="str">
        <f>IFERROR(__xludf.DUMMYFUNCTION("VLOOKUP(REGEXREPLACE(BH382,""[?].*"",""""),ContentBuckets!A:C,2,FALSE)"),"Homepage")</f>
        <v>Homepage</v>
      </c>
      <c r="BJ382" s="8" t="str">
        <f>IFERROR(__xludf.DUMMYFUNCTION("VLOOKUP(REGEXREPLACE(BH382,""[?].*"",""""),ContentBuckets!A:C,3,FALSE)"),"Other page")</f>
        <v>Other page</v>
      </c>
    </row>
    <row r="383" ht="14.25" customHeight="1">
      <c r="A383" s="1">
        <v>153584.0</v>
      </c>
      <c r="B383" s="1" t="s">
        <v>1099</v>
      </c>
      <c r="C383" s="2">
        <v>46006.6625</v>
      </c>
      <c r="D383" s="2"/>
      <c r="E383" s="2"/>
      <c r="F383" s="1" t="b">
        <v>1</v>
      </c>
      <c r="G383" s="4" t="b">
        <v>0</v>
      </c>
      <c r="H383" s="1" t="b">
        <v>0</v>
      </c>
      <c r="I383" s="1" t="b">
        <v>0</v>
      </c>
      <c r="J383" s="1" t="s">
        <v>534</v>
      </c>
      <c r="K383" s="1" t="s">
        <v>535</v>
      </c>
      <c r="L383" s="1" t="s">
        <v>536</v>
      </c>
      <c r="M383" s="1" t="s">
        <v>537</v>
      </c>
      <c r="N383" s="1">
        <v>0.0</v>
      </c>
      <c r="O383" s="1">
        <v>44.25</v>
      </c>
      <c r="P383" s="1">
        <v>0.0</v>
      </c>
      <c r="Q383" s="1">
        <v>0.0</v>
      </c>
      <c r="R383" s="1">
        <v>28.0</v>
      </c>
      <c r="S383" s="1" t="s">
        <v>538</v>
      </c>
      <c r="T383" s="1" t="s">
        <v>539</v>
      </c>
      <c r="V383" s="4">
        <v>7324557.0</v>
      </c>
      <c r="W383" s="4" t="s">
        <v>540</v>
      </c>
      <c r="X383" s="4">
        <v>0.0</v>
      </c>
      <c r="Y383" s="1">
        <v>1.0</v>
      </c>
      <c r="Z383" s="1">
        <v>0.0</v>
      </c>
      <c r="AA383" s="1">
        <v>0.0</v>
      </c>
      <c r="AB383" s="1">
        <v>0.0</v>
      </c>
      <c r="AC383" s="1">
        <v>0.0</v>
      </c>
      <c r="AD383" s="1">
        <v>0.0</v>
      </c>
      <c r="AE383" s="1">
        <v>0.0</v>
      </c>
      <c r="AF383" s="1">
        <v>0.0</v>
      </c>
      <c r="AG383" s="1">
        <v>0.0</v>
      </c>
      <c r="AH383" s="1">
        <v>0.0</v>
      </c>
      <c r="AI383" s="1">
        <v>0.0</v>
      </c>
      <c r="AJ383" s="1">
        <v>0.0</v>
      </c>
      <c r="AK383" s="1">
        <v>0.0</v>
      </c>
      <c r="AL383" s="1">
        <v>0.0</v>
      </c>
      <c r="AM383" s="4">
        <v>0.0</v>
      </c>
      <c r="AN383" s="1">
        <v>0.0</v>
      </c>
      <c r="AO383" s="4">
        <v>0.0</v>
      </c>
      <c r="AP383" s="1">
        <f t="shared" si="1"/>
        <v>0</v>
      </c>
      <c r="AQ383" s="1" t="s">
        <v>557</v>
      </c>
      <c r="AR383" s="1" t="s">
        <v>591</v>
      </c>
      <c r="AU383" s="2">
        <v>46006.0</v>
      </c>
      <c r="AV383" s="2">
        <v>46024.0326388889</v>
      </c>
      <c r="AW383" s="1">
        <v>0.0</v>
      </c>
      <c r="AX383" s="1">
        <v>0.0</v>
      </c>
      <c r="AY383" s="1">
        <v>0.0</v>
      </c>
      <c r="AZ383" s="1">
        <v>1.0</v>
      </c>
      <c r="BA383" s="1">
        <v>0.0</v>
      </c>
      <c r="BB383" s="1">
        <v>0.0</v>
      </c>
      <c r="BC383" s="2">
        <v>46006.0</v>
      </c>
      <c r="BD383" s="1">
        <v>50.0</v>
      </c>
      <c r="BE383" s="1" t="s">
        <v>550</v>
      </c>
      <c r="BF383" s="1">
        <v>2025.0</v>
      </c>
      <c r="BG383" s="1" t="s">
        <v>558</v>
      </c>
      <c r="BH383" s="7" t="str">
        <f>VLOOKUP(B383,CookieClicks!D:O,12,FALSE)</f>
        <v>https://www.method.me/</v>
      </c>
      <c r="BI383" s="8" t="str">
        <f>IFERROR(__xludf.DUMMYFUNCTION("VLOOKUP(REGEXREPLACE(BH383,""[?].*"",""""),ContentBuckets!A:C,2,FALSE)"),"Homepage")</f>
        <v>Homepage</v>
      </c>
      <c r="BJ383" s="8" t="str">
        <f>IFERROR(__xludf.DUMMYFUNCTION("VLOOKUP(REGEXREPLACE(BH383,""[?].*"",""""),ContentBuckets!A:C,3,FALSE)"),"Other page")</f>
        <v>Other page</v>
      </c>
    </row>
    <row r="384" ht="14.25" customHeight="1">
      <c r="A384" s="1">
        <v>153585.0</v>
      </c>
      <c r="B384" s="1" t="s">
        <v>1100</v>
      </c>
      <c r="C384" s="2">
        <v>46006.6972222222</v>
      </c>
      <c r="D384" s="2">
        <v>46021.0013888889</v>
      </c>
      <c r="E384" s="2"/>
      <c r="F384" s="1" t="b">
        <v>0</v>
      </c>
      <c r="G384" s="4" t="b">
        <v>0</v>
      </c>
      <c r="H384" s="1" t="b">
        <v>0</v>
      </c>
      <c r="I384" s="1" t="b">
        <v>0</v>
      </c>
      <c r="J384" s="1" t="s">
        <v>534</v>
      </c>
      <c r="K384" s="1" t="s">
        <v>535</v>
      </c>
      <c r="L384" s="1" t="s">
        <v>536</v>
      </c>
      <c r="M384" s="1" t="s">
        <v>537</v>
      </c>
      <c r="N384" s="1">
        <v>0.0</v>
      </c>
      <c r="O384" s="1">
        <v>53.25</v>
      </c>
      <c r="P384" s="1">
        <v>0.0</v>
      </c>
      <c r="Q384" s="1">
        <v>0.0</v>
      </c>
      <c r="R384" s="1">
        <v>28.0</v>
      </c>
      <c r="S384" s="1" t="s">
        <v>538</v>
      </c>
      <c r="T384" s="1" t="s">
        <v>539</v>
      </c>
      <c r="V384" s="4">
        <v>7226569.0</v>
      </c>
      <c r="W384" s="4" t="s">
        <v>588</v>
      </c>
      <c r="X384" s="4">
        <v>0.0</v>
      </c>
      <c r="Y384" s="1">
        <v>0.5</v>
      </c>
      <c r="Z384" s="1">
        <v>0.5</v>
      </c>
      <c r="AA384" s="1">
        <v>0.0</v>
      </c>
      <c r="AB384" s="1">
        <v>0.0</v>
      </c>
      <c r="AC384" s="1">
        <v>0.0</v>
      </c>
      <c r="AD384" s="1">
        <v>0.0</v>
      </c>
      <c r="AE384" s="1">
        <v>0.0</v>
      </c>
      <c r="AF384" s="1">
        <v>0.0</v>
      </c>
      <c r="AG384" s="1">
        <v>0.0</v>
      </c>
      <c r="AH384" s="1">
        <v>0.0</v>
      </c>
      <c r="AI384" s="1">
        <v>0.0</v>
      </c>
      <c r="AJ384" s="1">
        <v>0.0</v>
      </c>
      <c r="AK384" s="1">
        <v>0.0</v>
      </c>
      <c r="AL384" s="1">
        <v>0.0</v>
      </c>
      <c r="AM384" s="4">
        <v>0.0</v>
      </c>
      <c r="AN384" s="1">
        <v>0.0</v>
      </c>
      <c r="AO384" s="4">
        <v>0.0</v>
      </c>
      <c r="AP384" s="1">
        <f t="shared" si="1"/>
        <v>0</v>
      </c>
      <c r="AQ384" s="1" t="s">
        <v>557</v>
      </c>
      <c r="AR384" s="1" t="s">
        <v>542</v>
      </c>
      <c r="AU384" s="2">
        <v>46006.0</v>
      </c>
      <c r="AV384" s="2">
        <v>46020.0145833333</v>
      </c>
      <c r="AW384" s="1">
        <v>1.0</v>
      </c>
      <c r="AX384" s="1">
        <v>50186.28</v>
      </c>
      <c r="AY384" s="1">
        <v>266.0</v>
      </c>
      <c r="AZ384" s="1">
        <v>1.0</v>
      </c>
      <c r="BA384" s="1">
        <v>0.0</v>
      </c>
      <c r="BB384" s="1">
        <v>0.0</v>
      </c>
      <c r="BC384" s="2">
        <v>46006.0</v>
      </c>
      <c r="BD384" s="1">
        <v>50.0</v>
      </c>
      <c r="BE384" s="1" t="s">
        <v>550</v>
      </c>
      <c r="BF384" s="1">
        <v>2025.0</v>
      </c>
      <c r="BG384" s="1" t="s">
        <v>558</v>
      </c>
      <c r="BH384" s="7" t="str">
        <f>VLOOKUP(B384,CookieClicks!D:O,12,FALSE)</f>
        <v>https://www.method.me/quickbooks-crm/?utm_source=chatgpt.com</v>
      </c>
      <c r="BI384" s="8" t="str">
        <f>IFERROR(__xludf.DUMMYFUNCTION("VLOOKUP(REGEXREPLACE(BH384,""[?].*"",""""),ContentBuckets!A:C,2,FALSE)"),"/crm-quickbooks/")</f>
        <v>/crm-quickbooks/</v>
      </c>
      <c r="BJ384" s="8" t="str">
        <f>IFERROR(__xludf.DUMMYFUNCTION("VLOOKUP(REGEXREPLACE(BH384,""[?].*"",""""),ContentBuckets!A:C,3,FALSE)"),"Other page")</f>
        <v>Other page</v>
      </c>
    </row>
    <row r="385" ht="14.25" customHeight="1">
      <c r="A385" s="1">
        <v>153586.0</v>
      </c>
      <c r="B385" s="1" t="s">
        <v>1101</v>
      </c>
      <c r="C385" s="2">
        <v>46006.7013888889</v>
      </c>
      <c r="D385" s="2">
        <v>46008.4618055556</v>
      </c>
      <c r="E385" s="2"/>
      <c r="F385" s="1" t="b">
        <v>0</v>
      </c>
      <c r="G385" s="4" t="b">
        <v>1</v>
      </c>
      <c r="H385" s="1" t="b">
        <v>0</v>
      </c>
      <c r="I385" s="1" t="b">
        <v>0</v>
      </c>
      <c r="J385" s="1" t="s">
        <v>534</v>
      </c>
      <c r="K385" s="1" t="s">
        <v>553</v>
      </c>
      <c r="L385" s="1" t="s">
        <v>554</v>
      </c>
      <c r="M385" s="1" t="s">
        <v>537</v>
      </c>
      <c r="N385" s="1">
        <v>0.0</v>
      </c>
      <c r="O385" s="1">
        <v>44.25</v>
      </c>
      <c r="P385" s="1">
        <v>0.0</v>
      </c>
      <c r="Q385" s="1">
        <v>0.0</v>
      </c>
      <c r="R385" s="1">
        <v>0.0</v>
      </c>
      <c r="S385" s="1" t="s">
        <v>538</v>
      </c>
      <c r="T385" s="1" t="s">
        <v>539</v>
      </c>
      <c r="V385" s="4">
        <v>7353796.0</v>
      </c>
      <c r="W385" s="4"/>
      <c r="X385" s="4">
        <v>0.0</v>
      </c>
      <c r="Y385" s="1">
        <v>0.0</v>
      </c>
      <c r="Z385" s="1">
        <v>1.0</v>
      </c>
      <c r="AA385" s="1">
        <v>0.0</v>
      </c>
      <c r="AB385" s="1">
        <v>0.0</v>
      </c>
      <c r="AC385" s="1">
        <v>0.0</v>
      </c>
      <c r="AD385" s="1">
        <v>0.0</v>
      </c>
      <c r="AE385" s="1">
        <v>0.0</v>
      </c>
      <c r="AF385" s="1">
        <v>0.0</v>
      </c>
      <c r="AG385" s="1">
        <v>0.0</v>
      </c>
      <c r="AH385" s="1">
        <v>0.0</v>
      </c>
      <c r="AI385" s="1">
        <v>0.0</v>
      </c>
      <c r="AJ385" s="1">
        <v>0.0</v>
      </c>
      <c r="AK385" s="1">
        <v>0.0</v>
      </c>
      <c r="AL385" s="1">
        <v>0.0</v>
      </c>
      <c r="AM385" s="4">
        <v>0.0</v>
      </c>
      <c r="AN385" s="1">
        <v>0.0</v>
      </c>
      <c r="AO385" s="4">
        <v>0.0</v>
      </c>
      <c r="AP385" s="1">
        <f t="shared" si="1"/>
        <v>0</v>
      </c>
      <c r="AT385" s="1" t="s">
        <v>1102</v>
      </c>
      <c r="AU385" s="2"/>
      <c r="AV385" s="2">
        <v>46008.0395833333</v>
      </c>
      <c r="AW385" s="1">
        <v>1.0</v>
      </c>
      <c r="AX385" s="1">
        <v>85520.16</v>
      </c>
      <c r="AY385" s="1">
        <v>81.0</v>
      </c>
      <c r="AZ385" s="1">
        <v>1.0</v>
      </c>
      <c r="BA385" s="1">
        <v>0.0</v>
      </c>
      <c r="BB385" s="1">
        <v>0.0</v>
      </c>
      <c r="BC385" s="2">
        <v>46006.0</v>
      </c>
      <c r="BD385" s="1">
        <v>50.0</v>
      </c>
      <c r="BE385" s="1" t="s">
        <v>550</v>
      </c>
      <c r="BF385" s="1">
        <v>2025.0</v>
      </c>
      <c r="BG385" s="1" t="s">
        <v>558</v>
      </c>
      <c r="BH385" s="7" t="str">
        <f>VLOOKUP(B385,CookieClicks!D:O,12,FALSE)</f>
        <v>https://signup.method.me/QBOAppstoreSignup?offering=methodcrm</v>
      </c>
      <c r="BI385" s="8" t="str">
        <f>IFERROR(__xludf.DUMMYFUNCTION("VLOOKUP(REGEXREPLACE(BH385,""[?].*"",""""),ContentBuckets!A:C,2,FALSE)"),"#N/A")</f>
        <v>#N/A</v>
      </c>
      <c r="BJ385" s="8" t="str">
        <f>IFERROR(__xludf.DUMMYFUNCTION("VLOOKUP(REGEXREPLACE(BH385,""[?].*"",""""),ContentBuckets!A:C,3,FALSE)"),"#N/A")</f>
        <v>#N/A</v>
      </c>
    </row>
    <row r="386" ht="14.25" customHeight="1">
      <c r="A386" s="1">
        <v>153587.0</v>
      </c>
      <c r="B386" s="1" t="s">
        <v>1103</v>
      </c>
      <c r="C386" s="2">
        <v>46006.7048611111</v>
      </c>
      <c r="D386" s="2"/>
      <c r="E386" s="2">
        <v>46020.4375</v>
      </c>
      <c r="F386" s="1" t="b">
        <v>1</v>
      </c>
      <c r="G386" s="4" t="b">
        <v>0</v>
      </c>
      <c r="H386" s="1" t="b">
        <v>0</v>
      </c>
      <c r="I386" s="1" t="b">
        <v>0</v>
      </c>
      <c r="J386" s="1" t="s">
        <v>534</v>
      </c>
      <c r="K386" s="1" t="s">
        <v>535</v>
      </c>
      <c r="L386" s="1" t="s">
        <v>536</v>
      </c>
      <c r="M386" s="1" t="s">
        <v>537</v>
      </c>
      <c r="N386" s="1">
        <v>111.0</v>
      </c>
      <c r="O386" s="1">
        <v>111.0</v>
      </c>
      <c r="P386" s="1">
        <v>0.0</v>
      </c>
      <c r="Q386" s="1">
        <v>0.0</v>
      </c>
      <c r="R386" s="1">
        <v>28.0</v>
      </c>
      <c r="S386" s="1" t="s">
        <v>538</v>
      </c>
      <c r="T386" s="1" t="s">
        <v>539</v>
      </c>
      <c r="V386" s="4">
        <v>7353702.0</v>
      </c>
      <c r="W386" s="4" t="s">
        <v>540</v>
      </c>
      <c r="X386" s="4">
        <v>0.0</v>
      </c>
      <c r="Y386" s="1">
        <v>1.0</v>
      </c>
      <c r="Z386" s="1">
        <v>0.0</v>
      </c>
      <c r="AA386" s="1">
        <v>0.0</v>
      </c>
      <c r="AB386" s="1">
        <v>0.0</v>
      </c>
      <c r="AC386" s="1">
        <v>0.0</v>
      </c>
      <c r="AD386" s="1">
        <v>0.0</v>
      </c>
      <c r="AE386" s="1">
        <v>0.0</v>
      </c>
      <c r="AF386" s="1">
        <v>0.0</v>
      </c>
      <c r="AG386" s="1">
        <v>0.0</v>
      </c>
      <c r="AH386" s="1">
        <v>0.0</v>
      </c>
      <c r="AI386" s="1">
        <v>0.0</v>
      </c>
      <c r="AJ386" s="1">
        <v>0.0</v>
      </c>
      <c r="AK386" s="1">
        <v>0.0</v>
      </c>
      <c r="AL386" s="1">
        <v>0.0</v>
      </c>
      <c r="AM386" s="4">
        <v>0.0</v>
      </c>
      <c r="AN386" s="1">
        <v>0.0</v>
      </c>
      <c r="AO386" s="4">
        <v>0.0</v>
      </c>
      <c r="AP386" s="1">
        <f t="shared" si="1"/>
        <v>0</v>
      </c>
      <c r="AQ386" s="1" t="s">
        <v>557</v>
      </c>
      <c r="AR386" s="1" t="s">
        <v>542</v>
      </c>
      <c r="AU386" s="2">
        <v>46006.0</v>
      </c>
      <c r="AV386" s="2">
        <v>46023.9972222222</v>
      </c>
      <c r="AW386" s="1">
        <v>2.0</v>
      </c>
      <c r="AX386" s="1">
        <v>3725577.84</v>
      </c>
      <c r="AY386" s="1">
        <v>24.0</v>
      </c>
      <c r="AZ386" s="1">
        <v>2.0</v>
      </c>
      <c r="BA386" s="1">
        <v>0.0</v>
      </c>
      <c r="BB386" s="1">
        <v>9.0</v>
      </c>
      <c r="BC386" s="2">
        <v>46006.0</v>
      </c>
      <c r="BD386" s="1">
        <v>50.0</v>
      </c>
      <c r="BE386" s="1" t="s">
        <v>550</v>
      </c>
      <c r="BF386" s="1">
        <v>2025.0</v>
      </c>
      <c r="BG386" s="1" t="s">
        <v>558</v>
      </c>
      <c r="BH386" s="7" t="str">
        <f>VLOOKUP(B386,CookieClicks!D:O,12,FALSE)</f>
        <v>https://www.method.me/blog/revamp-vendor-relationship-management/</v>
      </c>
      <c r="BI386" s="8" t="str">
        <f>IFERROR(__xludf.DUMMYFUNCTION("VLOOKUP(REGEXREPLACE(BH386,""[?].*"",""""),ContentBuckets!A:C,2,FALSE)"),"Listicle - General")</f>
        <v>Listicle - General</v>
      </c>
      <c r="BJ386" s="8" t="str">
        <f>IFERROR(__xludf.DUMMYFUNCTION("VLOOKUP(REGEXREPLACE(BH386,""[?].*"",""""),ContentBuckets!A:C,3,FALSE)"),"Blog")</f>
        <v>Blog</v>
      </c>
    </row>
    <row r="387" ht="14.25" customHeight="1">
      <c r="A387" s="1">
        <v>153588.0</v>
      </c>
      <c r="B387" s="1" t="s">
        <v>1104</v>
      </c>
      <c r="C387" s="2">
        <v>46006.7118055556</v>
      </c>
      <c r="D387" s="2"/>
      <c r="E387" s="2"/>
      <c r="F387" s="1" t="b">
        <v>1</v>
      </c>
      <c r="G387" s="4" t="b">
        <v>0</v>
      </c>
      <c r="H387" s="1" t="b">
        <v>0</v>
      </c>
      <c r="I387" s="1" t="b">
        <v>0</v>
      </c>
      <c r="J387" s="1" t="s">
        <v>534</v>
      </c>
      <c r="K387" s="1" t="s">
        <v>566</v>
      </c>
      <c r="L387" s="1" t="s">
        <v>567</v>
      </c>
      <c r="M387" s="1" t="s">
        <v>537</v>
      </c>
      <c r="N387" s="1">
        <v>0.0</v>
      </c>
      <c r="O387" s="1">
        <v>44.25</v>
      </c>
      <c r="P387" s="1">
        <v>0.0</v>
      </c>
      <c r="Q387" s="1">
        <v>0.0</v>
      </c>
      <c r="R387" s="1">
        <v>0.0</v>
      </c>
      <c r="S387" s="1" t="s">
        <v>538</v>
      </c>
      <c r="T387" s="1" t="s">
        <v>539</v>
      </c>
      <c r="V387" s="4">
        <v>7353965.0</v>
      </c>
      <c r="W387" s="4" t="s">
        <v>588</v>
      </c>
      <c r="X387" s="4">
        <v>0.0</v>
      </c>
      <c r="Y387" s="1">
        <v>1.0</v>
      </c>
      <c r="Z387" s="1">
        <v>0.0</v>
      </c>
      <c r="AA387" s="1">
        <v>0.0</v>
      </c>
      <c r="AB387" s="1">
        <v>0.0</v>
      </c>
      <c r="AC387" s="1">
        <v>0.0</v>
      </c>
      <c r="AD387" s="1">
        <v>0.0</v>
      </c>
      <c r="AE387" s="1">
        <v>0.0</v>
      </c>
      <c r="AF387" s="1">
        <v>0.0</v>
      </c>
      <c r="AG387" s="1">
        <v>0.0</v>
      </c>
      <c r="AH387" s="1">
        <v>0.0</v>
      </c>
      <c r="AI387" s="1">
        <v>0.0</v>
      </c>
      <c r="AJ387" s="1">
        <v>0.0</v>
      </c>
      <c r="AK387" s="1">
        <v>0.0</v>
      </c>
      <c r="AL387" s="1">
        <v>0.0</v>
      </c>
      <c r="AM387" s="4">
        <v>0.0</v>
      </c>
      <c r="AN387" s="1">
        <v>0.0</v>
      </c>
      <c r="AO387" s="4">
        <v>0.0</v>
      </c>
      <c r="AP387" s="1">
        <f t="shared" si="1"/>
        <v>0</v>
      </c>
      <c r="AU387" s="2"/>
      <c r="AV387" s="2">
        <v>46024.0180555556</v>
      </c>
      <c r="AW387" s="1">
        <v>0.0</v>
      </c>
      <c r="AX387" s="1">
        <v>0.0</v>
      </c>
      <c r="AY387" s="1">
        <v>0.0</v>
      </c>
      <c r="AZ387" s="1">
        <v>1.0</v>
      </c>
      <c r="BA387" s="1">
        <v>0.0</v>
      </c>
      <c r="BB387" s="1">
        <v>0.0</v>
      </c>
      <c r="BC387" s="2">
        <v>46006.0</v>
      </c>
      <c r="BD387" s="1">
        <v>50.0</v>
      </c>
      <c r="BE387" s="1" t="s">
        <v>550</v>
      </c>
      <c r="BF387" s="1">
        <v>2025.0</v>
      </c>
      <c r="BG387" s="1" t="s">
        <v>558</v>
      </c>
      <c r="BH387" s="7" t="str">
        <f>VLOOKUP(B387,CookieClicks!D:O,12,FALSE)</f>
        <v>https://www.method.me/crm-quickbooks/invoice-software/?utm_source=chatgpt.com</v>
      </c>
      <c r="BI387" s="8" t="str">
        <f>IFERROR(__xludf.DUMMYFUNCTION("VLOOKUP(REGEXREPLACE(BH387,""[?].*"",""""),ContentBuckets!A:C,2,FALSE)"),"/crm-quickbooks/")</f>
        <v>/crm-quickbooks/</v>
      </c>
      <c r="BJ387" s="8" t="str">
        <f>IFERROR(__xludf.DUMMYFUNCTION("VLOOKUP(REGEXREPLACE(BH387,""[?].*"",""""),ContentBuckets!A:C,3,FALSE)"),"Other page")</f>
        <v>Other page</v>
      </c>
    </row>
    <row r="388" ht="14.25" customHeight="1">
      <c r="A388" s="1">
        <v>153589.0</v>
      </c>
      <c r="B388" s="1" t="s">
        <v>1105</v>
      </c>
      <c r="C388" s="2">
        <v>46006.7368055556</v>
      </c>
      <c r="D388" s="2"/>
      <c r="E388" s="2"/>
      <c r="F388" s="1" t="b">
        <v>1</v>
      </c>
      <c r="G388" s="4" t="b">
        <v>0</v>
      </c>
      <c r="H388" s="1" t="b">
        <v>0</v>
      </c>
      <c r="I388" s="1" t="b">
        <v>0</v>
      </c>
      <c r="J388" s="1" t="s">
        <v>534</v>
      </c>
      <c r="K388" s="1" t="s">
        <v>535</v>
      </c>
      <c r="L388" s="1" t="s">
        <v>536</v>
      </c>
      <c r="M388" s="1" t="s">
        <v>537</v>
      </c>
      <c r="N388" s="1">
        <v>0.0</v>
      </c>
      <c r="O388" s="1">
        <v>44.25</v>
      </c>
      <c r="P388" s="1">
        <v>0.0</v>
      </c>
      <c r="Q388" s="1">
        <v>0.0</v>
      </c>
      <c r="R388" s="1">
        <v>28.0</v>
      </c>
      <c r="S388" s="1" t="s">
        <v>538</v>
      </c>
      <c r="T388" s="1" t="s">
        <v>539</v>
      </c>
      <c r="V388" s="4">
        <v>7354154.0</v>
      </c>
      <c r="W388" s="4"/>
      <c r="X388" s="4">
        <v>0.0</v>
      </c>
      <c r="Y388" s="1">
        <v>0.0</v>
      </c>
      <c r="Z388" s="1">
        <v>1.0</v>
      </c>
      <c r="AA388" s="1">
        <v>0.0</v>
      </c>
      <c r="AB388" s="1">
        <v>0.0</v>
      </c>
      <c r="AC388" s="1">
        <v>0.0</v>
      </c>
      <c r="AD388" s="1">
        <v>0.0</v>
      </c>
      <c r="AE388" s="1">
        <v>0.0</v>
      </c>
      <c r="AF388" s="1">
        <v>0.0</v>
      </c>
      <c r="AG388" s="1">
        <v>0.0</v>
      </c>
      <c r="AH388" s="1">
        <v>0.0</v>
      </c>
      <c r="AI388" s="1">
        <v>0.0</v>
      </c>
      <c r="AJ388" s="1">
        <v>0.0</v>
      </c>
      <c r="AK388" s="1">
        <v>0.0</v>
      </c>
      <c r="AL388" s="1">
        <v>0.0</v>
      </c>
      <c r="AM388" s="4">
        <v>0.0</v>
      </c>
      <c r="AN388" s="1">
        <v>0.0</v>
      </c>
      <c r="AO388" s="4">
        <v>0.0</v>
      </c>
      <c r="AP388" s="1">
        <f t="shared" si="1"/>
        <v>0</v>
      </c>
      <c r="AQ388" s="1" t="s">
        <v>795</v>
      </c>
      <c r="AR388" s="1" t="s">
        <v>560</v>
      </c>
      <c r="AU388" s="2">
        <v>46006.0</v>
      </c>
      <c r="AV388" s="2">
        <v>46024.0145833333</v>
      </c>
      <c r="AW388" s="1">
        <v>4.0</v>
      </c>
      <c r="AX388" s="1">
        <v>785616.72</v>
      </c>
      <c r="AY388" s="1">
        <v>82.0</v>
      </c>
      <c r="AZ388" s="1">
        <v>2.0</v>
      </c>
      <c r="BA388" s="1">
        <v>0.0</v>
      </c>
      <c r="BB388" s="1">
        <v>0.0</v>
      </c>
      <c r="BC388" s="2">
        <v>46006.0</v>
      </c>
      <c r="BD388" s="1">
        <v>50.0</v>
      </c>
      <c r="BE388" s="1" t="s">
        <v>550</v>
      </c>
      <c r="BF388" s="1">
        <v>2025.0</v>
      </c>
      <c r="BG388" s="1" t="s">
        <v>649</v>
      </c>
      <c r="BH388" s="7" t="str">
        <f>VLOOKUP(B388,CookieClicks!D:O,12,FALSE)</f>
        <v>https://signup.method.me/QBOAppstoreSignup?offering=methodcrm</v>
      </c>
      <c r="BI388" s="8" t="str">
        <f>IFERROR(__xludf.DUMMYFUNCTION("VLOOKUP(REGEXREPLACE(BH388,""[?].*"",""""),ContentBuckets!A:C,2,FALSE)"),"#N/A")</f>
        <v>#N/A</v>
      </c>
      <c r="BJ388" s="8" t="str">
        <f>IFERROR(__xludf.DUMMYFUNCTION("VLOOKUP(REGEXREPLACE(BH388,""[?].*"",""""),ContentBuckets!A:C,3,FALSE)"),"#N/A")</f>
        <v>#N/A</v>
      </c>
    </row>
    <row r="389" ht="14.25" customHeight="1">
      <c r="A389" s="1">
        <v>153590.0</v>
      </c>
      <c r="B389" s="1" t="s">
        <v>1106</v>
      </c>
      <c r="C389" s="2">
        <v>46006.7430555556</v>
      </c>
      <c r="D389" s="2"/>
      <c r="E389" s="2">
        <v>46020.7041666667</v>
      </c>
      <c r="F389" s="1" t="b">
        <v>1</v>
      </c>
      <c r="G389" s="4" t="b">
        <v>0</v>
      </c>
      <c r="H389" s="1" t="b">
        <v>0</v>
      </c>
      <c r="I389" s="1" t="b">
        <v>0</v>
      </c>
      <c r="J389" s="1" t="s">
        <v>534</v>
      </c>
      <c r="K389" s="1" t="s">
        <v>535</v>
      </c>
      <c r="L389" s="1" t="s">
        <v>536</v>
      </c>
      <c r="M389" s="1" t="s">
        <v>537</v>
      </c>
      <c r="N389" s="1">
        <v>88.5</v>
      </c>
      <c r="O389" s="1">
        <v>88.5</v>
      </c>
      <c r="P389" s="1">
        <v>0.0</v>
      </c>
      <c r="Q389" s="1">
        <v>0.0</v>
      </c>
      <c r="R389" s="1">
        <v>0.0</v>
      </c>
      <c r="S389" s="1" t="s">
        <v>538</v>
      </c>
      <c r="T389" s="1" t="s">
        <v>539</v>
      </c>
      <c r="V389" s="4">
        <v>7354205.0</v>
      </c>
      <c r="W389" s="4"/>
      <c r="X389" s="4">
        <v>1.0</v>
      </c>
      <c r="Y389" s="1">
        <v>0.0</v>
      </c>
      <c r="Z389" s="1">
        <v>0.0</v>
      </c>
      <c r="AA389" s="1">
        <v>0.0</v>
      </c>
      <c r="AB389" s="1">
        <v>0.0</v>
      </c>
      <c r="AC389" s="1">
        <v>0.0</v>
      </c>
      <c r="AD389" s="1">
        <v>0.0</v>
      </c>
      <c r="AE389" s="1">
        <v>0.0</v>
      </c>
      <c r="AF389" s="1">
        <v>0.0</v>
      </c>
      <c r="AG389" s="1">
        <v>0.0</v>
      </c>
      <c r="AH389" s="1">
        <v>0.0</v>
      </c>
      <c r="AI389" s="1">
        <v>0.0</v>
      </c>
      <c r="AJ389" s="1">
        <v>0.0</v>
      </c>
      <c r="AK389" s="1">
        <v>0.0</v>
      </c>
      <c r="AL389" s="1">
        <v>0.0</v>
      </c>
      <c r="AM389" s="4">
        <v>0.0</v>
      </c>
      <c r="AN389" s="1">
        <v>0.0</v>
      </c>
      <c r="AO389" s="4">
        <v>0.0</v>
      </c>
      <c r="AP389" s="1">
        <f t="shared" si="1"/>
        <v>0</v>
      </c>
      <c r="AQ389" s="1" t="s">
        <v>557</v>
      </c>
      <c r="AU389" s="2">
        <v>46006.0</v>
      </c>
      <c r="AV389" s="2">
        <v>46024.0</v>
      </c>
      <c r="AW389" s="1">
        <v>21.0</v>
      </c>
      <c r="AX389" s="1">
        <v>1586548.68</v>
      </c>
      <c r="AY389" s="1">
        <v>247.0</v>
      </c>
      <c r="AZ389" s="1">
        <v>2.0</v>
      </c>
      <c r="BA389" s="1">
        <v>0.0</v>
      </c>
      <c r="BB389" s="1">
        <v>1.0</v>
      </c>
      <c r="BC389" s="2">
        <v>46006.0</v>
      </c>
      <c r="BD389" s="1">
        <v>50.0</v>
      </c>
      <c r="BE389" s="1" t="s">
        <v>550</v>
      </c>
      <c r="BF389" s="1">
        <v>2025.0</v>
      </c>
      <c r="BG389" s="1" t="s">
        <v>558</v>
      </c>
      <c r="BH389" s="7" t="str">
        <f>VLOOKUP(B389,CookieClicks!D:O,12,FALSE)</f>
        <v>http://signup.method.me/methodcrm</v>
      </c>
      <c r="BI389" s="8" t="str">
        <f>IFERROR(__xludf.DUMMYFUNCTION("VLOOKUP(REGEXREPLACE(BH389,""[?].*"",""""),ContentBuckets!A:C,2,FALSE)"),"#N/A")</f>
        <v>#N/A</v>
      </c>
      <c r="BJ389" s="8" t="str">
        <f>IFERROR(__xludf.DUMMYFUNCTION("VLOOKUP(REGEXREPLACE(BH389,""[?].*"",""""),ContentBuckets!A:C,3,FALSE)"),"#N/A")</f>
        <v>#N/A</v>
      </c>
    </row>
    <row r="390" ht="14.25" customHeight="1">
      <c r="A390" s="1">
        <v>153591.0</v>
      </c>
      <c r="B390" s="1" t="s">
        <v>1107</v>
      </c>
      <c r="C390" s="2">
        <v>46006.7444444444</v>
      </c>
      <c r="D390" s="2"/>
      <c r="E390" s="2"/>
      <c r="F390" s="1" t="b">
        <v>1</v>
      </c>
      <c r="G390" s="4" t="b">
        <v>0</v>
      </c>
      <c r="H390" s="1" t="b">
        <v>0</v>
      </c>
      <c r="I390" s="1" t="b">
        <v>0</v>
      </c>
      <c r="J390" s="1" t="s">
        <v>534</v>
      </c>
      <c r="K390" s="1" t="s">
        <v>1108</v>
      </c>
      <c r="L390" s="1" t="s">
        <v>536</v>
      </c>
      <c r="M390" s="1" t="s">
        <v>537</v>
      </c>
      <c r="N390" s="1">
        <v>0.0</v>
      </c>
      <c r="O390" s="1">
        <v>57.75</v>
      </c>
      <c r="P390" s="1">
        <v>0.0</v>
      </c>
      <c r="Q390" s="1">
        <v>0.0</v>
      </c>
      <c r="R390" s="1">
        <v>28.0</v>
      </c>
      <c r="S390" s="1" t="s">
        <v>538</v>
      </c>
      <c r="T390" s="1" t="s">
        <v>725</v>
      </c>
      <c r="U390" s="1" t="s">
        <v>1109</v>
      </c>
      <c r="V390" s="4">
        <v>7354221.0</v>
      </c>
      <c r="W390" s="4"/>
      <c r="X390" s="4">
        <v>0.0</v>
      </c>
      <c r="Y390" s="1">
        <v>0.0</v>
      </c>
      <c r="Z390" s="1">
        <v>0.0</v>
      </c>
      <c r="AA390" s="1">
        <v>0.0</v>
      </c>
      <c r="AB390" s="1">
        <v>1.0</v>
      </c>
      <c r="AC390" s="1">
        <v>0.0</v>
      </c>
      <c r="AD390" s="1">
        <v>0.0</v>
      </c>
      <c r="AE390" s="1">
        <v>0.0</v>
      </c>
      <c r="AF390" s="1">
        <v>0.0</v>
      </c>
      <c r="AG390" s="1">
        <v>0.0</v>
      </c>
      <c r="AH390" s="1">
        <v>0.0</v>
      </c>
      <c r="AI390" s="1">
        <v>0.0</v>
      </c>
      <c r="AJ390" s="1">
        <v>0.0</v>
      </c>
      <c r="AK390" s="1">
        <v>0.0</v>
      </c>
      <c r="AL390" s="1">
        <v>0.0</v>
      </c>
      <c r="AM390" s="4">
        <v>0.0</v>
      </c>
      <c r="AN390" s="1">
        <v>0.0</v>
      </c>
      <c r="AO390" s="4">
        <v>0.0</v>
      </c>
      <c r="AP390" s="1">
        <f t="shared" si="1"/>
        <v>0</v>
      </c>
      <c r="AR390" s="1" t="s">
        <v>560</v>
      </c>
      <c r="AU390" s="2"/>
      <c r="AV390" s="2">
        <v>46024.0354166667</v>
      </c>
      <c r="AW390" s="1">
        <v>0.0</v>
      </c>
      <c r="AX390" s="1">
        <v>0.0</v>
      </c>
      <c r="AY390" s="1">
        <v>0.0</v>
      </c>
      <c r="AZ390" s="1">
        <v>1.0</v>
      </c>
      <c r="BA390" s="1">
        <v>0.0</v>
      </c>
      <c r="BB390" s="1">
        <v>0.0</v>
      </c>
      <c r="BC390" s="2">
        <v>46006.0</v>
      </c>
      <c r="BD390" s="1">
        <v>50.0</v>
      </c>
      <c r="BE390" s="1" t="s">
        <v>550</v>
      </c>
      <c r="BF390" s="1">
        <v>2025.0</v>
      </c>
      <c r="BG390" s="1" t="s">
        <v>558</v>
      </c>
      <c r="BH390" s="7" t="str">
        <f>VLOOKUP(B390,CookieClicks!D:O,12,FALSE)</f>
        <v>http://signup.method.me/saasphalt?domain=qbo</v>
      </c>
      <c r="BI390" s="8" t="str">
        <f>IFERROR(__xludf.DUMMYFUNCTION("VLOOKUP(REGEXREPLACE(BH390,""[?].*"",""""),ContentBuckets!A:C,2,FALSE)"),"#N/A")</f>
        <v>#N/A</v>
      </c>
      <c r="BJ390" s="8" t="str">
        <f>IFERROR(__xludf.DUMMYFUNCTION("VLOOKUP(REGEXREPLACE(BH390,""[?].*"",""""),ContentBuckets!A:C,3,FALSE)"),"#N/A")</f>
        <v>#N/A</v>
      </c>
    </row>
    <row r="391" ht="14.25" customHeight="1">
      <c r="A391" s="1">
        <v>153592.0</v>
      </c>
      <c r="B391" s="1" t="s">
        <v>1110</v>
      </c>
      <c r="C391" s="2">
        <v>46006.7694444444</v>
      </c>
      <c r="D391" s="2"/>
      <c r="E391" s="2"/>
      <c r="F391" s="1" t="b">
        <v>1</v>
      </c>
      <c r="G391" s="4" t="b">
        <v>0</v>
      </c>
      <c r="H391" s="1" t="b">
        <v>0</v>
      </c>
      <c r="I391" s="1" t="b">
        <v>0</v>
      </c>
      <c r="J391" s="1" t="s">
        <v>534</v>
      </c>
      <c r="K391" s="1" t="s">
        <v>553</v>
      </c>
      <c r="L391" s="1" t="s">
        <v>554</v>
      </c>
      <c r="M391" s="1" t="s">
        <v>537</v>
      </c>
      <c r="N391" s="1">
        <v>0.0</v>
      </c>
      <c r="O391" s="1">
        <v>44.25</v>
      </c>
      <c r="P391" s="1">
        <v>0.0</v>
      </c>
      <c r="Q391" s="1">
        <v>0.0</v>
      </c>
      <c r="R391" s="1">
        <v>0.0</v>
      </c>
      <c r="S391" s="1" t="s">
        <v>538</v>
      </c>
      <c r="T391" s="1" t="s">
        <v>539</v>
      </c>
      <c r="V391" s="4">
        <v>7354416.0</v>
      </c>
      <c r="W391" s="4"/>
      <c r="X391" s="4">
        <v>0.0</v>
      </c>
      <c r="Y391" s="1">
        <v>0.0</v>
      </c>
      <c r="Z391" s="1">
        <v>0.0</v>
      </c>
      <c r="AA391" s="1">
        <v>1.0</v>
      </c>
      <c r="AB391" s="1">
        <v>0.0</v>
      </c>
      <c r="AC391" s="1">
        <v>0.0</v>
      </c>
      <c r="AD391" s="1">
        <v>0.0</v>
      </c>
      <c r="AE391" s="1">
        <v>0.0</v>
      </c>
      <c r="AF391" s="1">
        <v>0.0</v>
      </c>
      <c r="AG391" s="1">
        <v>0.0</v>
      </c>
      <c r="AH391" s="1">
        <v>0.0</v>
      </c>
      <c r="AI391" s="1">
        <v>0.0</v>
      </c>
      <c r="AJ391" s="1">
        <v>0.0</v>
      </c>
      <c r="AK391" s="1">
        <v>0.0</v>
      </c>
      <c r="AL391" s="1">
        <v>0.0</v>
      </c>
      <c r="AM391" s="4">
        <v>0.0</v>
      </c>
      <c r="AN391" s="1">
        <v>0.0</v>
      </c>
      <c r="AO391" s="4">
        <v>0.0</v>
      </c>
      <c r="AP391" s="1">
        <f t="shared" si="1"/>
        <v>0</v>
      </c>
      <c r="AU391" s="2"/>
      <c r="AV391" s="2">
        <v>46023.9965277778</v>
      </c>
      <c r="AW391" s="1">
        <v>0.0</v>
      </c>
      <c r="AX391" s="1">
        <v>0.0</v>
      </c>
      <c r="AY391" s="1">
        <v>0.0</v>
      </c>
      <c r="AZ391" s="1">
        <v>1.0</v>
      </c>
      <c r="BA391" s="1">
        <v>0.0</v>
      </c>
      <c r="BB391" s="1">
        <v>0.0</v>
      </c>
      <c r="BC391" s="2">
        <v>46006.0</v>
      </c>
      <c r="BD391" s="1">
        <v>50.0</v>
      </c>
      <c r="BE391" s="1" t="s">
        <v>550</v>
      </c>
      <c r="BF391" s="1">
        <v>2025.0</v>
      </c>
      <c r="BG391" s="1" t="s">
        <v>558</v>
      </c>
      <c r="BH391" s="7" t="str">
        <f>VLOOKUP(B391,CookieClicks!D:O,12,FALSE)</f>
        <v>https://www.method.me/crm-quickbooks/job-scheduling-software/?trc=81&amp;trk=&amp;trs=USA-DSA&amp;campaignid=13038312612&amp;adgroupid=127756898611&amp;adid=771467139249&amp;gad_source=1&amp;gad_campaignid=13038312612&amp;gbraid=0AAAAAD3ItnajvKh05Mp7yqNnDLGUdH42t&amp;gclid=Cj0KCQiAgP_JBhD-ARIsANpEMxwQGNmNKhm_eW5fMHlLX4chcqYUflDyOa3r_jKzobAK6BmrUpc-LQoaAnvDEALw_wcB</v>
      </c>
      <c r="BI391" s="8" t="str">
        <f>IFERROR(__xludf.DUMMYFUNCTION("VLOOKUP(REGEXREPLACE(BH391,""[?].*"",""""),ContentBuckets!A:C,2,FALSE)"),"/crm-quickbooks/")</f>
        <v>/crm-quickbooks/</v>
      </c>
      <c r="BJ391" s="8" t="str">
        <f>IFERROR(__xludf.DUMMYFUNCTION("VLOOKUP(REGEXREPLACE(BH391,""[?].*"",""""),ContentBuckets!A:C,3,FALSE)"),"Other page")</f>
        <v>Other page</v>
      </c>
    </row>
    <row r="392" ht="14.25" customHeight="1">
      <c r="A392" s="1">
        <v>153593.0</v>
      </c>
      <c r="B392" s="1" t="s">
        <v>1111</v>
      </c>
      <c r="C392" s="2">
        <v>46006.8715277778</v>
      </c>
      <c r="D392" s="2"/>
      <c r="E392" s="2"/>
      <c r="F392" s="1" t="b">
        <v>1</v>
      </c>
      <c r="G392" s="4" t="b">
        <v>0</v>
      </c>
      <c r="H392" s="1" t="b">
        <v>0</v>
      </c>
      <c r="I392" s="1" t="b">
        <v>0</v>
      </c>
      <c r="J392" s="1" t="s">
        <v>534</v>
      </c>
      <c r="K392" s="1" t="s">
        <v>553</v>
      </c>
      <c r="L392" s="1" t="s">
        <v>599</v>
      </c>
      <c r="M392" s="1" t="s">
        <v>537</v>
      </c>
      <c r="N392" s="1">
        <v>0.0</v>
      </c>
      <c r="O392" s="1">
        <v>44.25</v>
      </c>
      <c r="P392" s="1">
        <v>0.0</v>
      </c>
      <c r="Q392" s="1">
        <v>0.0</v>
      </c>
      <c r="R392" s="1">
        <v>0.0</v>
      </c>
      <c r="S392" s="1" t="s">
        <v>538</v>
      </c>
      <c r="T392" s="1" t="s">
        <v>539</v>
      </c>
      <c r="V392" s="4">
        <v>7355087.0</v>
      </c>
      <c r="W392" s="4"/>
      <c r="X392" s="4">
        <v>0.0</v>
      </c>
      <c r="Y392" s="1">
        <v>0.0</v>
      </c>
      <c r="Z392" s="1">
        <v>0.0</v>
      </c>
      <c r="AA392" s="1">
        <v>0.0</v>
      </c>
      <c r="AB392" s="1">
        <v>0.0</v>
      </c>
      <c r="AC392" s="1">
        <v>0.0</v>
      </c>
      <c r="AD392" s="1">
        <v>0.0</v>
      </c>
      <c r="AE392" s="1">
        <v>0.0</v>
      </c>
      <c r="AF392" s="1">
        <v>0.0</v>
      </c>
      <c r="AG392" s="1">
        <v>0.0</v>
      </c>
      <c r="AH392" s="1">
        <v>0.0</v>
      </c>
      <c r="AI392" s="1">
        <v>0.0</v>
      </c>
      <c r="AJ392" s="1">
        <v>0.0</v>
      </c>
      <c r="AK392" s="1">
        <v>0.0</v>
      </c>
      <c r="AL392" s="1">
        <v>0.0</v>
      </c>
      <c r="AM392" s="4">
        <v>0.0</v>
      </c>
      <c r="AN392" s="1">
        <v>0.0</v>
      </c>
      <c r="AO392" s="4">
        <v>0.0</v>
      </c>
      <c r="AP392" s="1">
        <f t="shared" si="1"/>
        <v>1</v>
      </c>
      <c r="AU392" s="2"/>
      <c r="AV392" s="2">
        <v>46023.9993055556</v>
      </c>
      <c r="AW392" s="1">
        <v>0.0</v>
      </c>
      <c r="AX392" s="1">
        <v>0.0</v>
      </c>
      <c r="AY392" s="1">
        <v>0.0</v>
      </c>
      <c r="AZ392" s="1">
        <v>1.0</v>
      </c>
      <c r="BA392" s="1">
        <v>0.0</v>
      </c>
      <c r="BB392" s="1">
        <v>0.0</v>
      </c>
      <c r="BC392" s="2">
        <v>46006.0</v>
      </c>
      <c r="BD392" s="1">
        <v>50.0</v>
      </c>
      <c r="BE392" s="1" t="s">
        <v>550</v>
      </c>
      <c r="BF392" s="1">
        <v>2025.0</v>
      </c>
      <c r="BG392" s="1" t="s">
        <v>786</v>
      </c>
      <c r="BH392" s="7" t="str">
        <f>VLOOKUP(B392,CookieClicks!D:O,12,FALSE)</f>
        <v>http://signup.method.me/methodcrm/?_gl=1*4l95nm*_gcl_au*MTAwOTE2OTk4NC4xNzY1ODUwMTE4*_ga*MTUxODA5NTAzNC4xNzY1ODUwMTE5*_ga_L2HEZNW53E*czE3NjU4NTAxMTkkbzEkZzAkdDE3NjU4NTAxMTkkajYwJGwwJGgyMzA3ODI2NTk.&amp;_ga=2.100648797.212022393.1765850119-1518095034.1765850119</v>
      </c>
      <c r="BI392" s="8" t="str">
        <f>IFERROR(__xludf.DUMMYFUNCTION("VLOOKUP(REGEXREPLACE(BH392,""[?].*"",""""),ContentBuckets!A:C,2,FALSE)"),"#N/A")</f>
        <v>#N/A</v>
      </c>
      <c r="BJ392" s="8" t="str">
        <f>IFERROR(__xludf.DUMMYFUNCTION("VLOOKUP(REGEXREPLACE(BH392,""[?].*"",""""),ContentBuckets!A:C,3,FALSE)"),"#N/A")</f>
        <v>#N/A</v>
      </c>
    </row>
    <row r="393" ht="14.25" customHeight="1">
      <c r="A393" s="1">
        <v>153594.0</v>
      </c>
      <c r="B393" s="1" t="s">
        <v>1112</v>
      </c>
      <c r="C393" s="2">
        <v>46006.8722222222</v>
      </c>
      <c r="D393" s="2"/>
      <c r="E393" s="2"/>
      <c r="F393" s="1" t="b">
        <v>1</v>
      </c>
      <c r="G393" s="4" t="b">
        <v>0</v>
      </c>
      <c r="H393" s="1" t="b">
        <v>0</v>
      </c>
      <c r="I393" s="1" t="b">
        <v>0</v>
      </c>
      <c r="J393" s="1" t="s">
        <v>534</v>
      </c>
      <c r="K393" s="1" t="s">
        <v>566</v>
      </c>
      <c r="L393" s="1" t="s">
        <v>567</v>
      </c>
      <c r="M393" s="1" t="s">
        <v>537</v>
      </c>
      <c r="N393" s="1">
        <v>0.0</v>
      </c>
      <c r="O393" s="1">
        <v>63.75</v>
      </c>
      <c r="P393" s="1">
        <v>0.0</v>
      </c>
      <c r="Q393" s="1">
        <v>0.0</v>
      </c>
      <c r="R393" s="1">
        <v>28.0</v>
      </c>
      <c r="S393" s="1" t="s">
        <v>538</v>
      </c>
      <c r="T393" s="1" t="s">
        <v>539</v>
      </c>
      <c r="V393" s="4">
        <v>7355084.0</v>
      </c>
      <c r="W393" s="4"/>
      <c r="X393" s="4">
        <v>0.0</v>
      </c>
      <c r="Y393" s="1">
        <v>0.0</v>
      </c>
      <c r="Z393" s="1">
        <v>0.0</v>
      </c>
      <c r="AA393" s="1">
        <v>1.0</v>
      </c>
      <c r="AB393" s="1">
        <v>0.0</v>
      </c>
      <c r="AC393" s="1">
        <v>0.0</v>
      </c>
      <c r="AD393" s="1">
        <v>0.0</v>
      </c>
      <c r="AE393" s="1">
        <v>0.0</v>
      </c>
      <c r="AF393" s="1">
        <v>0.0</v>
      </c>
      <c r="AG393" s="1">
        <v>0.0</v>
      </c>
      <c r="AH393" s="1">
        <v>0.0</v>
      </c>
      <c r="AI393" s="1">
        <v>0.0</v>
      </c>
      <c r="AJ393" s="1">
        <v>0.0</v>
      </c>
      <c r="AK393" s="1">
        <v>0.0</v>
      </c>
      <c r="AL393" s="1">
        <v>0.0</v>
      </c>
      <c r="AM393" s="4">
        <v>0.0</v>
      </c>
      <c r="AN393" s="1">
        <v>0.0</v>
      </c>
      <c r="AO393" s="4">
        <v>0.0</v>
      </c>
      <c r="AP393" s="1">
        <f t="shared" si="1"/>
        <v>0</v>
      </c>
      <c r="AR393" s="1" t="s">
        <v>560</v>
      </c>
      <c r="AU393" s="2"/>
      <c r="AV393" s="2">
        <v>46024.0201388889</v>
      </c>
      <c r="AW393" s="1">
        <v>0.0</v>
      </c>
      <c r="AX393" s="1">
        <v>0.0</v>
      </c>
      <c r="AY393" s="1">
        <v>0.0</v>
      </c>
      <c r="AZ393" s="1">
        <v>1.0</v>
      </c>
      <c r="BA393" s="1">
        <v>0.0</v>
      </c>
      <c r="BB393" s="1">
        <v>0.0</v>
      </c>
      <c r="BC393" s="2">
        <v>46006.0</v>
      </c>
      <c r="BD393" s="1">
        <v>50.0</v>
      </c>
      <c r="BE393" s="1" t="s">
        <v>550</v>
      </c>
      <c r="BF393" s="1">
        <v>2025.0</v>
      </c>
      <c r="BG393" s="1" t="s">
        <v>558</v>
      </c>
      <c r="BH393" s="7" t="str">
        <f>VLOOKUP(B393,CookieClicks!D:O,12,FALSE)</f>
        <v>https://www.method.me/features/estimates/?trc=81&amp;trk=&amp;trs=USA-DSA-QB&amp;campaignid=13038312612&amp;adgroupid=128764620688&amp;adid=776781070272&amp;gad_source=1&amp;gad_campaignid=13038312612&amp;gbraid=0AAAAAD3Itnaj9F545a06J7Utcs-HYQwUw&amp;gclid=EAIaIQobChMIneK6m4DBkQMVF6VaBR1Jrh7KEAAYASAAEgIR6PD_BwE</v>
      </c>
      <c r="BI393" s="8" t="str">
        <f>IFERROR(__xludf.DUMMYFUNCTION("VLOOKUP(REGEXREPLACE(BH393,""[?].*"",""""),ContentBuckets!A:C,2,FALSE)"),"Features page")</f>
        <v>Features page</v>
      </c>
      <c r="BJ393" s="8" t="str">
        <f>IFERROR(__xludf.DUMMYFUNCTION("VLOOKUP(REGEXREPLACE(BH393,""[?].*"",""""),ContentBuckets!A:C,3,FALSE)"),"Other page")</f>
        <v>Other page</v>
      </c>
    </row>
    <row r="394" ht="14.25" customHeight="1">
      <c r="A394" s="1">
        <v>153595.0</v>
      </c>
      <c r="B394" s="1" t="s">
        <v>1113</v>
      </c>
      <c r="C394" s="2">
        <v>46006.9006944444</v>
      </c>
      <c r="D394" s="2"/>
      <c r="E394" s="2"/>
      <c r="F394" s="1" t="b">
        <v>1</v>
      </c>
      <c r="G394" s="4" t="b">
        <v>1</v>
      </c>
      <c r="H394" s="1" t="b">
        <v>0</v>
      </c>
      <c r="I394" s="1" t="b">
        <v>0</v>
      </c>
      <c r="J394" s="1" t="s">
        <v>534</v>
      </c>
      <c r="K394" s="1" t="s">
        <v>535</v>
      </c>
      <c r="L394" s="1" t="s">
        <v>536</v>
      </c>
      <c r="M394" s="1" t="s">
        <v>537</v>
      </c>
      <c r="N394" s="1">
        <v>0.0</v>
      </c>
      <c r="O394" s="1">
        <v>44.25</v>
      </c>
      <c r="P394" s="1">
        <v>0.0</v>
      </c>
      <c r="Q394" s="1">
        <v>0.0</v>
      </c>
      <c r="R394" s="1">
        <v>28.0</v>
      </c>
      <c r="S394" s="1" t="s">
        <v>538</v>
      </c>
      <c r="T394" s="1" t="s">
        <v>539</v>
      </c>
      <c r="V394" s="4">
        <v>7355286.0</v>
      </c>
      <c r="W394" s="4"/>
      <c r="X394" s="4">
        <v>0.0</v>
      </c>
      <c r="Y394" s="1">
        <v>0.0</v>
      </c>
      <c r="Z394" s="1">
        <v>1.0</v>
      </c>
      <c r="AA394" s="1">
        <v>0.0</v>
      </c>
      <c r="AB394" s="1">
        <v>0.0</v>
      </c>
      <c r="AC394" s="1">
        <v>0.0</v>
      </c>
      <c r="AD394" s="1">
        <v>0.0</v>
      </c>
      <c r="AE394" s="1">
        <v>0.0</v>
      </c>
      <c r="AF394" s="1">
        <v>0.0</v>
      </c>
      <c r="AG394" s="1">
        <v>0.0</v>
      </c>
      <c r="AH394" s="1">
        <v>0.0</v>
      </c>
      <c r="AI394" s="1">
        <v>0.0</v>
      </c>
      <c r="AJ394" s="1">
        <v>0.0</v>
      </c>
      <c r="AK394" s="1">
        <v>0.0</v>
      </c>
      <c r="AL394" s="1">
        <v>0.0</v>
      </c>
      <c r="AM394" s="4">
        <v>0.0</v>
      </c>
      <c r="AN394" s="1">
        <v>0.0</v>
      </c>
      <c r="AO394" s="4">
        <v>0.0</v>
      </c>
      <c r="AP394" s="1">
        <f t="shared" si="1"/>
        <v>0</v>
      </c>
      <c r="AR394" s="1" t="s">
        <v>542</v>
      </c>
      <c r="AU394" s="2"/>
      <c r="AV394" s="2">
        <v>46024.0236111111</v>
      </c>
      <c r="AW394" s="1">
        <v>0.0</v>
      </c>
      <c r="AX394" s="1">
        <v>0.0</v>
      </c>
      <c r="AY394" s="1">
        <v>0.0</v>
      </c>
      <c r="AZ394" s="1">
        <v>1.0</v>
      </c>
      <c r="BA394" s="1">
        <v>0.0</v>
      </c>
      <c r="BB394" s="1">
        <v>0.0</v>
      </c>
      <c r="BC394" s="2">
        <v>46006.0</v>
      </c>
      <c r="BD394" s="1">
        <v>50.0</v>
      </c>
      <c r="BE394" s="1" t="s">
        <v>550</v>
      </c>
      <c r="BF394" s="1">
        <v>2025.0</v>
      </c>
      <c r="BG394" s="1" t="s">
        <v>792</v>
      </c>
      <c r="BH394" s="7" t="str">
        <f>VLOOKUP(B394,CookieClicks!D:O,12,FALSE)</f>
        <v>https://signin.method.me/accounts/identitynotfound?Code=3V1Z5rD2xcXNlfdtKWN%2BR5uHUhCrWiBle1Lx%2FCGnNQOtzx11WIB7Q7bOpLo2LRrueDgbjTSWjY5R%2BWQH4%2FSHQDr8wavjdtyenEocl8ovLIsnXDqv5zSahE6LeA39AAaEytdH%2BN%2FdfBvs2sVsgXnBZd3Bq6mpG13011mN9HauMdmzzl43t499gYBMF0jz4shCfjRIouE8a8Rsmb%2Bf6FKZioGjhaD2pBUbf08SBcOo6R3udqU9aKLWBijU00dsIQfUtzsTK3sMsj4P33bw032uBiGJxrcsguis3cQ9sv7ifXJfVdsfJ5st9JuDWu4RDhtfiTJbqj7Bogt%2FkjHlKV7P1w%3D%3D&amp;Email=salesas.pakarcctv%40gmail.com&amp;Provider=Intuit&amp;Offering=methodcrm</v>
      </c>
      <c r="BI394" s="8" t="str">
        <f>IFERROR(__xludf.DUMMYFUNCTION("VLOOKUP(REGEXREPLACE(BH394,""[?].*"",""""),ContentBuckets!A:C,2,FALSE)"),"#N/A")</f>
        <v>#N/A</v>
      </c>
      <c r="BJ394" s="8" t="str">
        <f>IFERROR(__xludf.DUMMYFUNCTION("VLOOKUP(REGEXREPLACE(BH394,""[?].*"",""""),ContentBuckets!A:C,3,FALSE)"),"#N/A")</f>
        <v>#N/A</v>
      </c>
    </row>
    <row r="395" ht="14.25" customHeight="1">
      <c r="A395" s="1">
        <v>153596.0</v>
      </c>
      <c r="B395" s="1" t="s">
        <v>1114</v>
      </c>
      <c r="C395" s="2">
        <v>46006.9319444444</v>
      </c>
      <c r="D395" s="2"/>
      <c r="E395" s="2"/>
      <c r="F395" s="1" t="b">
        <v>1</v>
      </c>
      <c r="G395" s="4" t="b">
        <v>0</v>
      </c>
      <c r="H395" s="1" t="b">
        <v>0</v>
      </c>
      <c r="I395" s="1" t="b">
        <v>0</v>
      </c>
      <c r="J395" s="1" t="s">
        <v>534</v>
      </c>
      <c r="K395" s="1" t="s">
        <v>553</v>
      </c>
      <c r="L395" s="1" t="s">
        <v>599</v>
      </c>
      <c r="M395" s="1" t="s">
        <v>537</v>
      </c>
      <c r="N395" s="1">
        <v>0.0</v>
      </c>
      <c r="O395" s="1">
        <v>44.25</v>
      </c>
      <c r="P395" s="1">
        <v>0.0</v>
      </c>
      <c r="Q395" s="1">
        <v>0.0</v>
      </c>
      <c r="R395" s="1">
        <v>0.0</v>
      </c>
      <c r="S395" s="1" t="s">
        <v>538</v>
      </c>
      <c r="T395" s="1" t="s">
        <v>539</v>
      </c>
      <c r="V395" s="4">
        <v>7355560.0</v>
      </c>
      <c r="W395" s="4"/>
      <c r="X395" s="4">
        <v>0.0</v>
      </c>
      <c r="Y395" s="1">
        <v>0.0</v>
      </c>
      <c r="Z395" s="1">
        <v>0.0</v>
      </c>
      <c r="AA395" s="1">
        <v>0.0</v>
      </c>
      <c r="AB395" s="1">
        <v>0.0</v>
      </c>
      <c r="AC395" s="1">
        <v>0.0</v>
      </c>
      <c r="AD395" s="1">
        <v>0.0</v>
      </c>
      <c r="AE395" s="1">
        <v>0.0</v>
      </c>
      <c r="AF395" s="1">
        <v>0.0</v>
      </c>
      <c r="AG395" s="1">
        <v>0.0</v>
      </c>
      <c r="AH395" s="1">
        <v>0.0</v>
      </c>
      <c r="AI395" s="1">
        <v>0.0</v>
      </c>
      <c r="AJ395" s="1">
        <v>0.0</v>
      </c>
      <c r="AK395" s="1">
        <v>0.0</v>
      </c>
      <c r="AL395" s="1">
        <v>0.0</v>
      </c>
      <c r="AM395" s="4">
        <v>0.0</v>
      </c>
      <c r="AN395" s="1">
        <v>1.0</v>
      </c>
      <c r="AO395" s="4">
        <v>0.0</v>
      </c>
      <c r="AP395" s="1">
        <f t="shared" si="1"/>
        <v>0</v>
      </c>
      <c r="AU395" s="2"/>
      <c r="AV395" s="2">
        <v>46024.0111111111</v>
      </c>
      <c r="AW395" s="1">
        <v>0.0</v>
      </c>
      <c r="AX395" s="1">
        <v>0.0</v>
      </c>
      <c r="AY395" s="1">
        <v>0.0</v>
      </c>
      <c r="AZ395" s="1">
        <v>1.0</v>
      </c>
      <c r="BA395" s="1">
        <v>0.0</v>
      </c>
      <c r="BB395" s="1">
        <v>0.0</v>
      </c>
      <c r="BC395" s="2">
        <v>46006.0</v>
      </c>
      <c r="BD395" s="1">
        <v>50.0</v>
      </c>
      <c r="BE395" s="1" t="s">
        <v>550</v>
      </c>
      <c r="BF395" s="1">
        <v>2025.0</v>
      </c>
      <c r="BG395" s="1" t="s">
        <v>558</v>
      </c>
      <c r="BH395" s="7" t="str">
        <f>VLOOKUP(B395,CookieClicks!D:O,12,FALSE)</f>
        <v>https://www.method.me/</v>
      </c>
      <c r="BI395" s="8" t="str">
        <f>IFERROR(__xludf.DUMMYFUNCTION("VLOOKUP(REGEXREPLACE(BH395,""[?].*"",""""),ContentBuckets!A:C,2,FALSE)"),"Homepage")</f>
        <v>Homepage</v>
      </c>
      <c r="BJ395" s="8" t="str">
        <f>IFERROR(__xludf.DUMMYFUNCTION("VLOOKUP(REGEXREPLACE(BH395,""[?].*"",""""),ContentBuckets!A:C,3,FALSE)"),"Other page")</f>
        <v>Other page</v>
      </c>
    </row>
    <row r="396" ht="14.25" customHeight="1">
      <c r="A396" s="1">
        <v>153597.0</v>
      </c>
      <c r="B396" s="1" t="s">
        <v>1115</v>
      </c>
      <c r="C396" s="2">
        <v>46006.9590277778</v>
      </c>
      <c r="D396" s="2"/>
      <c r="E396" s="2"/>
      <c r="F396" s="1" t="b">
        <v>1</v>
      </c>
      <c r="G396" s="4" t="b">
        <v>0</v>
      </c>
      <c r="H396" s="1" t="b">
        <v>0</v>
      </c>
      <c r="I396" s="1" t="b">
        <v>0</v>
      </c>
      <c r="J396" s="1" t="s">
        <v>534</v>
      </c>
      <c r="K396" s="1" t="s">
        <v>535</v>
      </c>
      <c r="L396" s="1" t="s">
        <v>536</v>
      </c>
      <c r="M396" s="1" t="s">
        <v>537</v>
      </c>
      <c r="N396" s="1">
        <v>0.0</v>
      </c>
      <c r="O396" s="1">
        <v>54.75</v>
      </c>
      <c r="P396" s="1">
        <v>0.0</v>
      </c>
      <c r="Q396" s="1">
        <v>0.0</v>
      </c>
      <c r="R396" s="1">
        <v>28.0</v>
      </c>
      <c r="S396" s="1" t="s">
        <v>538</v>
      </c>
      <c r="T396" s="1" t="s">
        <v>539</v>
      </c>
      <c r="V396" s="4">
        <v>7355771.0</v>
      </c>
      <c r="W396" s="4"/>
      <c r="X396" s="4">
        <v>0.0</v>
      </c>
      <c r="Y396" s="1">
        <v>0.0</v>
      </c>
      <c r="Z396" s="1">
        <v>1.0</v>
      </c>
      <c r="AA396" s="1">
        <v>0.0</v>
      </c>
      <c r="AB396" s="1">
        <v>0.0</v>
      </c>
      <c r="AC396" s="1">
        <v>0.0</v>
      </c>
      <c r="AD396" s="1">
        <v>0.0</v>
      </c>
      <c r="AE396" s="1">
        <v>0.0</v>
      </c>
      <c r="AF396" s="1">
        <v>0.0</v>
      </c>
      <c r="AG396" s="1">
        <v>0.0</v>
      </c>
      <c r="AH396" s="1">
        <v>0.0</v>
      </c>
      <c r="AI396" s="1">
        <v>0.0</v>
      </c>
      <c r="AJ396" s="1">
        <v>0.0</v>
      </c>
      <c r="AK396" s="1">
        <v>0.0</v>
      </c>
      <c r="AL396" s="1">
        <v>0.0</v>
      </c>
      <c r="AM396" s="4">
        <v>0.0</v>
      </c>
      <c r="AN396" s="1">
        <v>0.0</v>
      </c>
      <c r="AO396" s="4">
        <v>0.0</v>
      </c>
      <c r="AP396" s="1">
        <f t="shared" si="1"/>
        <v>0</v>
      </c>
      <c r="AQ396" s="1" t="s">
        <v>557</v>
      </c>
      <c r="AR396" s="1" t="s">
        <v>608</v>
      </c>
      <c r="AT396" s="1" t="s">
        <v>1116</v>
      </c>
      <c r="AU396" s="2">
        <v>46006.0</v>
      </c>
      <c r="AV396" s="2">
        <v>46024.0090277778</v>
      </c>
      <c r="AW396" s="1">
        <v>2.0</v>
      </c>
      <c r="AX396" s="1">
        <v>864000.0</v>
      </c>
      <c r="AY396" s="1">
        <v>10.0</v>
      </c>
      <c r="AZ396" s="1">
        <v>1.0</v>
      </c>
      <c r="BA396" s="1">
        <v>0.0</v>
      </c>
      <c r="BB396" s="1">
        <v>0.0</v>
      </c>
      <c r="BC396" s="2">
        <v>46006.0</v>
      </c>
      <c r="BD396" s="1">
        <v>50.0</v>
      </c>
      <c r="BE396" s="1" t="s">
        <v>550</v>
      </c>
      <c r="BF396" s="1">
        <v>2025.0</v>
      </c>
      <c r="BG396" s="1" t="s">
        <v>558</v>
      </c>
      <c r="BH396" s="7" t="str">
        <f>VLOOKUP(B396,CookieClicks!D:O,12,FALSE)</f>
        <v>https://signin.method.me/accounts/identitynotfound?Code=qXFA%2BtVtuaUH3SkMmaAEcyZfLuAO9YMh05O8S6AGlwILJzq9BZrAwkk3wbVDUWORZ9L2RhGyF36ewyapVnvUxuscOrLZy%2B6V83k%2BrpXK7EQ1Ql%2BAbHad7bnL0Gkscu1FUbt4yTcT47cF33FLngr%2BawK1mraSitJzeFpq4mFBHzShhv3FqfI1yCha5imdJndL8sQ%2BX9fdkuNfTqRPQJfRWnjDPILVczfPPA17Lik3A1bGapTvUNrCgMZED4wnC4uUPQRXas6gi6fc2tJBTxVM%2BuEYIXTRgObkB%2BpO%2F%2F0NQKl%2B9BpghdWHTObMMPzW%2Busr&amp;Email=geew310%40gmail.com&amp;Provider=Intuit&amp;Offering=methodcrm</v>
      </c>
      <c r="BI396" s="8" t="str">
        <f>IFERROR(__xludf.DUMMYFUNCTION("VLOOKUP(REGEXREPLACE(BH396,""[?].*"",""""),ContentBuckets!A:C,2,FALSE)"),"#N/A")</f>
        <v>#N/A</v>
      </c>
      <c r="BJ396" s="8" t="str">
        <f>IFERROR(__xludf.DUMMYFUNCTION("VLOOKUP(REGEXREPLACE(BH396,""[?].*"",""""),ContentBuckets!A:C,3,FALSE)"),"#N/A")</f>
        <v>#N/A</v>
      </c>
    </row>
    <row r="397" ht="14.25" customHeight="1">
      <c r="A397" s="1">
        <v>153598.0</v>
      </c>
      <c r="B397" s="1" t="s">
        <v>1117</v>
      </c>
      <c r="C397" s="2">
        <v>46006.9673611111</v>
      </c>
      <c r="D397" s="2"/>
      <c r="E397" s="2"/>
      <c r="F397" s="1" t="b">
        <v>1</v>
      </c>
      <c r="G397" s="4" t="b">
        <v>0</v>
      </c>
      <c r="H397" s="1" t="b">
        <v>0</v>
      </c>
      <c r="I397" s="1" t="b">
        <v>0</v>
      </c>
      <c r="J397" s="1" t="s">
        <v>534</v>
      </c>
      <c r="K397" s="1" t="s">
        <v>535</v>
      </c>
      <c r="L397" s="1" t="s">
        <v>536</v>
      </c>
      <c r="M397" s="1" t="s">
        <v>537</v>
      </c>
      <c r="N397" s="1">
        <v>0.0</v>
      </c>
      <c r="O397" s="1">
        <v>44.25</v>
      </c>
      <c r="P397" s="1">
        <v>0.0</v>
      </c>
      <c r="Q397" s="1">
        <v>0.0</v>
      </c>
      <c r="R397" s="1">
        <v>0.0</v>
      </c>
      <c r="S397" s="1" t="s">
        <v>538</v>
      </c>
      <c r="T397" s="1" t="s">
        <v>539</v>
      </c>
      <c r="V397" s="4">
        <v>7355873.0</v>
      </c>
      <c r="W397" s="4" t="s">
        <v>540</v>
      </c>
      <c r="X397" s="4">
        <v>0.0</v>
      </c>
      <c r="Y397" s="1">
        <v>1.0</v>
      </c>
      <c r="Z397" s="1">
        <v>0.0</v>
      </c>
      <c r="AA397" s="1">
        <v>0.0</v>
      </c>
      <c r="AB397" s="1">
        <v>0.0</v>
      </c>
      <c r="AC397" s="1">
        <v>0.0</v>
      </c>
      <c r="AD397" s="1">
        <v>0.0</v>
      </c>
      <c r="AE397" s="1">
        <v>0.0</v>
      </c>
      <c r="AF397" s="1">
        <v>0.0</v>
      </c>
      <c r="AG397" s="1">
        <v>0.0</v>
      </c>
      <c r="AH397" s="1">
        <v>0.0</v>
      </c>
      <c r="AI397" s="1">
        <v>0.0</v>
      </c>
      <c r="AJ397" s="1">
        <v>0.0</v>
      </c>
      <c r="AK397" s="1">
        <v>0.0</v>
      </c>
      <c r="AL397" s="1">
        <v>0.0</v>
      </c>
      <c r="AM397" s="4">
        <v>0.0</v>
      </c>
      <c r="AN397" s="1">
        <v>0.0</v>
      </c>
      <c r="AO397" s="4">
        <v>0.0</v>
      </c>
      <c r="AP397" s="1">
        <f t="shared" si="1"/>
        <v>0</v>
      </c>
      <c r="AQ397" s="1" t="s">
        <v>557</v>
      </c>
      <c r="AU397" s="2">
        <v>46006.0</v>
      </c>
      <c r="AV397" s="2">
        <v>46024.0402777778</v>
      </c>
      <c r="AW397" s="1">
        <v>15.0</v>
      </c>
      <c r="AX397" s="1">
        <v>190356.0</v>
      </c>
      <c r="AY397" s="1">
        <v>615.0</v>
      </c>
      <c r="AZ397" s="1">
        <v>1.0</v>
      </c>
      <c r="BA397" s="1">
        <v>0.0</v>
      </c>
      <c r="BB397" s="1">
        <v>0.0</v>
      </c>
      <c r="BC397" s="2">
        <v>46006.0</v>
      </c>
      <c r="BD397" s="1">
        <v>50.0</v>
      </c>
      <c r="BE397" s="1" t="s">
        <v>550</v>
      </c>
      <c r="BF397" s="1">
        <v>2025.0</v>
      </c>
      <c r="BG397" s="1" t="s">
        <v>558</v>
      </c>
      <c r="BH397" s="7" t="str">
        <f>VLOOKUP(B397,CookieClicks!D:O,12,FALSE)</f>
        <v>https://www.method.me/</v>
      </c>
      <c r="BI397" s="8" t="str">
        <f>IFERROR(__xludf.DUMMYFUNCTION("VLOOKUP(REGEXREPLACE(BH397,""[?].*"",""""),ContentBuckets!A:C,2,FALSE)"),"Homepage")</f>
        <v>Homepage</v>
      </c>
      <c r="BJ397" s="8" t="str">
        <f>IFERROR(__xludf.DUMMYFUNCTION("VLOOKUP(REGEXREPLACE(BH397,""[?].*"",""""),ContentBuckets!A:C,3,FALSE)"),"Other page")</f>
        <v>Other page</v>
      </c>
    </row>
    <row r="398" ht="14.25" customHeight="1">
      <c r="A398" s="1">
        <v>153599.0</v>
      </c>
      <c r="B398" s="1" t="s">
        <v>1118</v>
      </c>
      <c r="C398" s="2">
        <v>46007.0138888889</v>
      </c>
      <c r="D398" s="2"/>
      <c r="E398" s="2"/>
      <c r="F398" s="1" t="b">
        <v>1</v>
      </c>
      <c r="G398" s="4" t="b">
        <v>0</v>
      </c>
      <c r="H398" s="1" t="b">
        <v>0</v>
      </c>
      <c r="I398" s="1" t="b">
        <v>0</v>
      </c>
      <c r="J398" s="1" t="s">
        <v>534</v>
      </c>
      <c r="K398" s="1" t="s">
        <v>553</v>
      </c>
      <c r="L398" s="1" t="s">
        <v>554</v>
      </c>
      <c r="M398" s="1" t="s">
        <v>537</v>
      </c>
      <c r="N398" s="1">
        <v>0.0</v>
      </c>
      <c r="O398" s="1">
        <v>44.25</v>
      </c>
      <c r="P398" s="1">
        <v>0.0</v>
      </c>
      <c r="Q398" s="1">
        <v>0.0</v>
      </c>
      <c r="R398" s="1">
        <v>0.0</v>
      </c>
      <c r="S398" s="1" t="s">
        <v>538</v>
      </c>
      <c r="T398" s="1" t="s">
        <v>539</v>
      </c>
      <c r="V398" s="4">
        <v>7355995.0</v>
      </c>
      <c r="W398" s="4"/>
      <c r="X398" s="4">
        <v>1.0</v>
      </c>
      <c r="Y398" s="1">
        <v>0.0</v>
      </c>
      <c r="Z398" s="1">
        <v>0.0</v>
      </c>
      <c r="AA398" s="1">
        <v>0.0</v>
      </c>
      <c r="AB398" s="1">
        <v>0.0</v>
      </c>
      <c r="AC398" s="1">
        <v>0.0</v>
      </c>
      <c r="AD398" s="1">
        <v>0.0</v>
      </c>
      <c r="AE398" s="1">
        <v>0.0</v>
      </c>
      <c r="AF398" s="1">
        <v>0.0</v>
      </c>
      <c r="AG398" s="1">
        <v>0.0</v>
      </c>
      <c r="AH398" s="1">
        <v>0.0</v>
      </c>
      <c r="AI398" s="1">
        <v>0.0</v>
      </c>
      <c r="AJ398" s="1">
        <v>0.0</v>
      </c>
      <c r="AK398" s="1">
        <v>0.0</v>
      </c>
      <c r="AL398" s="1">
        <v>0.0</v>
      </c>
      <c r="AM398" s="4">
        <v>0.0</v>
      </c>
      <c r="AN398" s="1">
        <v>0.0</v>
      </c>
      <c r="AO398" s="4">
        <v>0.0</v>
      </c>
      <c r="AP398" s="1">
        <f t="shared" si="1"/>
        <v>0</v>
      </c>
      <c r="AU398" s="2"/>
      <c r="AV398" s="2">
        <v>46024.04375</v>
      </c>
      <c r="AW398" s="1">
        <v>0.0</v>
      </c>
      <c r="AX398" s="1">
        <v>0.0</v>
      </c>
      <c r="AY398" s="1">
        <v>0.0</v>
      </c>
      <c r="AZ398" s="1">
        <v>1.0</v>
      </c>
      <c r="BA398" s="1">
        <v>0.0</v>
      </c>
      <c r="BB398" s="1">
        <v>0.0</v>
      </c>
      <c r="BC398" s="2">
        <v>46007.0</v>
      </c>
      <c r="BD398" s="1">
        <v>50.0</v>
      </c>
      <c r="BE398" s="1" t="s">
        <v>550</v>
      </c>
      <c r="BF398" s="1">
        <v>2025.0</v>
      </c>
      <c r="BG398" s="1" t="s">
        <v>558</v>
      </c>
      <c r="BH398" s="7" t="str">
        <f>VLOOKUP(B398,CookieClicks!D:O,12,FALSE)</f>
        <v>https://www.method.me/</v>
      </c>
      <c r="BI398" s="8" t="str">
        <f>IFERROR(__xludf.DUMMYFUNCTION("VLOOKUP(REGEXREPLACE(BH398,""[?].*"",""""),ContentBuckets!A:C,2,FALSE)"),"Homepage")</f>
        <v>Homepage</v>
      </c>
      <c r="BJ398" s="8" t="str">
        <f>IFERROR(__xludf.DUMMYFUNCTION("VLOOKUP(REGEXREPLACE(BH398,""[?].*"",""""),ContentBuckets!A:C,3,FALSE)"),"Other page")</f>
        <v>Other page</v>
      </c>
    </row>
    <row r="399" ht="14.25" customHeight="1">
      <c r="A399" s="1">
        <v>153600.0</v>
      </c>
      <c r="B399" s="1" t="s">
        <v>1119</v>
      </c>
      <c r="C399" s="2">
        <v>46007.1555555556</v>
      </c>
      <c r="D399" s="2"/>
      <c r="E399" s="2"/>
      <c r="F399" s="1" t="b">
        <v>1</v>
      </c>
      <c r="G399" s="4" t="b">
        <v>0</v>
      </c>
      <c r="H399" s="1" t="b">
        <v>0</v>
      </c>
      <c r="I399" s="1" t="b">
        <v>0</v>
      </c>
      <c r="J399" s="1" t="s">
        <v>534</v>
      </c>
      <c r="K399" s="1" t="s">
        <v>535</v>
      </c>
      <c r="L399" s="1" t="s">
        <v>536</v>
      </c>
      <c r="M399" s="1" t="s">
        <v>537</v>
      </c>
      <c r="N399" s="1">
        <v>0.0</v>
      </c>
      <c r="O399" s="1">
        <v>213.0</v>
      </c>
      <c r="P399" s="1">
        <v>0.0</v>
      </c>
      <c r="Q399" s="1">
        <v>0.0</v>
      </c>
      <c r="R399" s="1">
        <v>28.0</v>
      </c>
      <c r="S399" s="1" t="s">
        <v>538</v>
      </c>
      <c r="T399" s="1" t="s">
        <v>539</v>
      </c>
      <c r="V399" s="4">
        <v>7349688.0</v>
      </c>
      <c r="W399" s="4" t="s">
        <v>540</v>
      </c>
      <c r="X399" s="4">
        <v>0.0</v>
      </c>
      <c r="Y399" s="1">
        <v>1.0</v>
      </c>
      <c r="Z399" s="1">
        <v>0.0</v>
      </c>
      <c r="AA399" s="1">
        <v>0.0</v>
      </c>
      <c r="AB399" s="1">
        <v>0.0</v>
      </c>
      <c r="AC399" s="1">
        <v>0.0</v>
      </c>
      <c r="AD399" s="1">
        <v>0.0</v>
      </c>
      <c r="AE399" s="1">
        <v>0.0</v>
      </c>
      <c r="AF399" s="1">
        <v>0.0</v>
      </c>
      <c r="AG399" s="1">
        <v>0.0</v>
      </c>
      <c r="AH399" s="1">
        <v>0.0</v>
      </c>
      <c r="AI399" s="1">
        <v>0.0</v>
      </c>
      <c r="AJ399" s="1">
        <v>0.0</v>
      </c>
      <c r="AK399" s="1">
        <v>0.0</v>
      </c>
      <c r="AL399" s="1">
        <v>0.0</v>
      </c>
      <c r="AM399" s="4">
        <v>0.0</v>
      </c>
      <c r="AN399" s="1">
        <v>0.0</v>
      </c>
      <c r="AO399" s="4">
        <v>0.0</v>
      </c>
      <c r="AP399" s="1">
        <f t="shared" si="1"/>
        <v>0</v>
      </c>
      <c r="AQ399" s="1" t="s">
        <v>984</v>
      </c>
      <c r="AR399" s="1" t="s">
        <v>578</v>
      </c>
      <c r="AT399" s="1" t="s">
        <v>1120</v>
      </c>
      <c r="AU399" s="2">
        <v>46007.0</v>
      </c>
      <c r="AV399" s="2">
        <v>46024.0270833333</v>
      </c>
      <c r="AW399" s="1">
        <v>5.0</v>
      </c>
      <c r="AX399" s="1">
        <v>125280.0</v>
      </c>
      <c r="AY399" s="1">
        <v>751.0</v>
      </c>
      <c r="AZ399" s="1">
        <v>4.0</v>
      </c>
      <c r="BA399" s="1">
        <v>0.0</v>
      </c>
      <c r="BB399" s="1">
        <v>0.0</v>
      </c>
      <c r="BC399" s="2">
        <v>46007.0</v>
      </c>
      <c r="BD399" s="1">
        <v>50.0</v>
      </c>
      <c r="BE399" s="1" t="s">
        <v>550</v>
      </c>
      <c r="BF399" s="1">
        <v>2025.0</v>
      </c>
      <c r="BG399" s="1" t="s">
        <v>985</v>
      </c>
      <c r="BH399" s="7" t="str">
        <f>VLOOKUP(B399,CookieClicks!D:O,12,FALSE)</f>
        <v>https://www.method.me/</v>
      </c>
      <c r="BI399" s="8" t="str">
        <f>IFERROR(__xludf.DUMMYFUNCTION("VLOOKUP(REGEXREPLACE(BH399,""[?].*"",""""),ContentBuckets!A:C,2,FALSE)"),"Homepage")</f>
        <v>Homepage</v>
      </c>
      <c r="BJ399" s="8" t="str">
        <f>IFERROR(__xludf.DUMMYFUNCTION("VLOOKUP(REGEXREPLACE(BH399,""[?].*"",""""),ContentBuckets!A:C,3,FALSE)"),"Other page")</f>
        <v>Other page</v>
      </c>
    </row>
    <row r="400" ht="14.25" customHeight="1">
      <c r="A400" s="1">
        <v>153601.0</v>
      </c>
      <c r="B400" s="1" t="s">
        <v>1121</v>
      </c>
      <c r="C400" s="2">
        <v>46007.1777777778</v>
      </c>
      <c r="D400" s="2"/>
      <c r="E400" s="2"/>
      <c r="F400" s="1" t="b">
        <v>1</v>
      </c>
      <c r="G400" s="4" t="b">
        <v>0</v>
      </c>
      <c r="H400" s="1" t="b">
        <v>0</v>
      </c>
      <c r="I400" s="1" t="b">
        <v>0</v>
      </c>
      <c r="J400" s="1" t="s">
        <v>534</v>
      </c>
      <c r="K400" s="1" t="s">
        <v>535</v>
      </c>
      <c r="L400" s="1" t="s">
        <v>536</v>
      </c>
      <c r="M400" s="1" t="s">
        <v>537</v>
      </c>
      <c r="N400" s="1">
        <v>0.0</v>
      </c>
      <c r="O400" s="1">
        <v>72.75</v>
      </c>
      <c r="P400" s="1">
        <v>0.0</v>
      </c>
      <c r="Q400" s="1">
        <v>0.0</v>
      </c>
      <c r="R400" s="1">
        <v>0.0</v>
      </c>
      <c r="S400" s="1" t="s">
        <v>538</v>
      </c>
      <c r="T400" s="1" t="s">
        <v>539</v>
      </c>
      <c r="V400" s="4">
        <v>7357104.0</v>
      </c>
      <c r="W400" s="4" t="s">
        <v>540</v>
      </c>
      <c r="X400" s="4">
        <v>0.0</v>
      </c>
      <c r="Y400" s="1">
        <v>1.0</v>
      </c>
      <c r="Z400" s="1">
        <v>0.0</v>
      </c>
      <c r="AA400" s="1">
        <v>0.0</v>
      </c>
      <c r="AB400" s="1">
        <v>0.0</v>
      </c>
      <c r="AC400" s="1">
        <v>0.0</v>
      </c>
      <c r="AD400" s="1">
        <v>0.0</v>
      </c>
      <c r="AE400" s="1">
        <v>0.0</v>
      </c>
      <c r="AF400" s="1">
        <v>0.0</v>
      </c>
      <c r="AG400" s="1">
        <v>0.0</v>
      </c>
      <c r="AH400" s="1">
        <v>0.0</v>
      </c>
      <c r="AI400" s="1">
        <v>0.0</v>
      </c>
      <c r="AJ400" s="1">
        <v>0.0</v>
      </c>
      <c r="AK400" s="1">
        <v>0.0</v>
      </c>
      <c r="AL400" s="1">
        <v>0.0</v>
      </c>
      <c r="AM400" s="4">
        <v>0.0</v>
      </c>
      <c r="AN400" s="1">
        <v>0.0</v>
      </c>
      <c r="AO400" s="4">
        <v>0.0</v>
      </c>
      <c r="AP400" s="1">
        <f t="shared" si="1"/>
        <v>0</v>
      </c>
      <c r="AU400" s="2"/>
      <c r="AV400" s="2">
        <v>46024.0111111111</v>
      </c>
      <c r="AW400" s="1">
        <v>0.0</v>
      </c>
      <c r="AX400" s="1">
        <v>0.0</v>
      </c>
      <c r="AY400" s="1">
        <v>0.0</v>
      </c>
      <c r="AZ400" s="1">
        <v>1.0</v>
      </c>
      <c r="BA400" s="1">
        <v>0.0</v>
      </c>
      <c r="BB400" s="1">
        <v>0.0</v>
      </c>
      <c r="BC400" s="2">
        <v>46007.0</v>
      </c>
      <c r="BD400" s="1">
        <v>50.0</v>
      </c>
      <c r="BE400" s="1" t="s">
        <v>550</v>
      </c>
      <c r="BF400" s="1">
        <v>2025.0</v>
      </c>
      <c r="BG400" s="1" t="s">
        <v>835</v>
      </c>
      <c r="BH400" s="7" t="str">
        <f>VLOOKUP(B400,CookieClicks!D:O,12,FALSE)</f>
        <v>https://www.method.me/</v>
      </c>
      <c r="BI400" s="8" t="str">
        <f>IFERROR(__xludf.DUMMYFUNCTION("VLOOKUP(REGEXREPLACE(BH400,""[?].*"",""""),ContentBuckets!A:C,2,FALSE)"),"Homepage")</f>
        <v>Homepage</v>
      </c>
      <c r="BJ400" s="8" t="str">
        <f>IFERROR(__xludf.DUMMYFUNCTION("VLOOKUP(REGEXREPLACE(BH400,""[?].*"",""""),ContentBuckets!A:C,3,FALSE)"),"Other page")</f>
        <v>Other page</v>
      </c>
    </row>
    <row r="401" ht="14.25" customHeight="1">
      <c r="A401" s="1">
        <v>153602.0</v>
      </c>
      <c r="B401" s="1" t="s">
        <v>1122</v>
      </c>
      <c r="C401" s="2">
        <v>46007.2666666667</v>
      </c>
      <c r="D401" s="2"/>
      <c r="E401" s="2"/>
      <c r="F401" s="1" t="b">
        <v>1</v>
      </c>
      <c r="G401" s="4" t="b">
        <v>0</v>
      </c>
      <c r="H401" s="1" t="b">
        <v>0</v>
      </c>
      <c r="I401" s="1" t="b">
        <v>0</v>
      </c>
      <c r="J401" s="1" t="s">
        <v>534</v>
      </c>
      <c r="K401" s="1" t="s">
        <v>535</v>
      </c>
      <c r="L401" s="1" t="s">
        <v>536</v>
      </c>
      <c r="M401" s="1" t="s">
        <v>537</v>
      </c>
      <c r="N401" s="1">
        <v>0.0</v>
      </c>
      <c r="O401" s="1">
        <v>63.75</v>
      </c>
      <c r="P401" s="1">
        <v>0.0</v>
      </c>
      <c r="Q401" s="1">
        <v>0.0</v>
      </c>
      <c r="R401" s="1">
        <v>28.0</v>
      </c>
      <c r="S401" s="1" t="s">
        <v>538</v>
      </c>
      <c r="T401" s="1" t="s">
        <v>539</v>
      </c>
      <c r="V401" s="4">
        <v>7357786.0</v>
      </c>
      <c r="W401" s="4"/>
      <c r="X401" s="4">
        <v>0.0</v>
      </c>
      <c r="Y401" s="1">
        <v>0.0</v>
      </c>
      <c r="Z401" s="1">
        <v>1.0</v>
      </c>
      <c r="AA401" s="1">
        <v>0.0</v>
      </c>
      <c r="AB401" s="1">
        <v>0.0</v>
      </c>
      <c r="AC401" s="1">
        <v>0.0</v>
      </c>
      <c r="AD401" s="1">
        <v>0.0</v>
      </c>
      <c r="AE401" s="1">
        <v>0.0</v>
      </c>
      <c r="AF401" s="1">
        <v>0.0</v>
      </c>
      <c r="AG401" s="1">
        <v>0.0</v>
      </c>
      <c r="AH401" s="1">
        <v>0.0</v>
      </c>
      <c r="AI401" s="1">
        <v>0.0</v>
      </c>
      <c r="AJ401" s="1">
        <v>0.0</v>
      </c>
      <c r="AK401" s="1">
        <v>0.0</v>
      </c>
      <c r="AL401" s="1">
        <v>0.0</v>
      </c>
      <c r="AM401" s="4">
        <v>0.0</v>
      </c>
      <c r="AN401" s="1">
        <v>0.0</v>
      </c>
      <c r="AO401" s="4">
        <v>0.0</v>
      </c>
      <c r="AP401" s="1">
        <f t="shared" si="1"/>
        <v>0</v>
      </c>
      <c r="AQ401" s="1" t="s">
        <v>1123</v>
      </c>
      <c r="AR401" s="1" t="s">
        <v>608</v>
      </c>
      <c r="AT401" s="1" t="s">
        <v>891</v>
      </c>
      <c r="AU401" s="2">
        <v>46007.0</v>
      </c>
      <c r="AV401" s="2">
        <v>46024.0111111111</v>
      </c>
      <c r="AW401" s="1">
        <v>12.0</v>
      </c>
      <c r="AX401" s="1">
        <v>406235.64</v>
      </c>
      <c r="AY401" s="1">
        <v>163.0</v>
      </c>
      <c r="AZ401" s="1">
        <v>1.0</v>
      </c>
      <c r="BA401" s="1">
        <v>0.0</v>
      </c>
      <c r="BB401" s="1">
        <v>0.0</v>
      </c>
      <c r="BC401" s="2">
        <v>46007.0</v>
      </c>
      <c r="BD401" s="1">
        <v>50.0</v>
      </c>
      <c r="BE401" s="1" t="s">
        <v>550</v>
      </c>
      <c r="BF401" s="1">
        <v>2025.0</v>
      </c>
      <c r="BG401" s="1" t="s">
        <v>594</v>
      </c>
      <c r="BH401" s="7" t="str">
        <f>VLOOKUP(B401,CookieClicks!D:O,12,FALSE)</f>
        <v>https://signin.method.me/error?Errorcode=166&amp;details=provider=Intuit</v>
      </c>
      <c r="BI401" s="8" t="str">
        <f>IFERROR(__xludf.DUMMYFUNCTION("VLOOKUP(REGEXREPLACE(BH401,""[?].*"",""""),ContentBuckets!A:C,2,FALSE)"),"#N/A")</f>
        <v>#N/A</v>
      </c>
      <c r="BJ401" s="8" t="str">
        <f>IFERROR(__xludf.DUMMYFUNCTION("VLOOKUP(REGEXREPLACE(BH401,""[?].*"",""""),ContentBuckets!A:C,3,FALSE)"),"#N/A")</f>
        <v>#N/A</v>
      </c>
    </row>
    <row r="402" ht="14.25" customHeight="1">
      <c r="A402" s="1">
        <v>153606.0</v>
      </c>
      <c r="B402" s="1" t="s">
        <v>1124</v>
      </c>
      <c r="C402" s="2">
        <v>46007.4118055556</v>
      </c>
      <c r="D402" s="2"/>
      <c r="E402" s="2"/>
      <c r="F402" s="1" t="b">
        <v>1</v>
      </c>
      <c r="G402" s="4" t="b">
        <v>0</v>
      </c>
      <c r="H402" s="1" t="b">
        <v>0</v>
      </c>
      <c r="I402" s="1" t="b">
        <v>0</v>
      </c>
      <c r="J402" s="1" t="s">
        <v>534</v>
      </c>
      <c r="K402" s="1" t="s">
        <v>566</v>
      </c>
      <c r="L402" s="1" t="s">
        <v>567</v>
      </c>
      <c r="M402" s="1" t="s">
        <v>537</v>
      </c>
      <c r="N402" s="1">
        <v>0.0</v>
      </c>
      <c r="O402" s="1">
        <v>44.25</v>
      </c>
      <c r="P402" s="1">
        <v>0.0</v>
      </c>
      <c r="Q402" s="1">
        <v>0.0</v>
      </c>
      <c r="R402" s="1">
        <v>28.0</v>
      </c>
      <c r="S402" s="1" t="s">
        <v>538</v>
      </c>
      <c r="T402" s="1" t="s">
        <v>539</v>
      </c>
      <c r="V402" s="4">
        <v>7359095.0</v>
      </c>
      <c r="W402" s="4"/>
      <c r="X402" s="4">
        <v>0.0</v>
      </c>
      <c r="Y402" s="1">
        <v>0.0</v>
      </c>
      <c r="Z402" s="1">
        <v>0.0</v>
      </c>
      <c r="AA402" s="1">
        <v>1.0</v>
      </c>
      <c r="AB402" s="1">
        <v>0.0</v>
      </c>
      <c r="AC402" s="1">
        <v>0.0</v>
      </c>
      <c r="AD402" s="1">
        <v>0.0</v>
      </c>
      <c r="AE402" s="1">
        <v>0.0</v>
      </c>
      <c r="AF402" s="1">
        <v>0.0</v>
      </c>
      <c r="AG402" s="1">
        <v>0.0</v>
      </c>
      <c r="AH402" s="1">
        <v>0.0</v>
      </c>
      <c r="AI402" s="1">
        <v>0.0</v>
      </c>
      <c r="AJ402" s="1">
        <v>0.0</v>
      </c>
      <c r="AK402" s="1">
        <v>0.0</v>
      </c>
      <c r="AL402" s="1">
        <v>0.0</v>
      </c>
      <c r="AM402" s="4">
        <v>0.0</v>
      </c>
      <c r="AN402" s="1">
        <v>0.0</v>
      </c>
      <c r="AO402" s="4">
        <v>0.0</v>
      </c>
      <c r="AP402" s="1">
        <f t="shared" si="1"/>
        <v>0</v>
      </c>
      <c r="AR402" s="1" t="s">
        <v>608</v>
      </c>
      <c r="AU402" s="2"/>
      <c r="AV402" s="2">
        <v>46024.0395833333</v>
      </c>
      <c r="AW402" s="1">
        <v>0.0</v>
      </c>
      <c r="AX402" s="1">
        <v>0.0</v>
      </c>
      <c r="AY402" s="1">
        <v>0.0</v>
      </c>
      <c r="AZ402" s="1">
        <v>1.0</v>
      </c>
      <c r="BA402" s="1">
        <v>0.0</v>
      </c>
      <c r="BB402" s="1">
        <v>0.0</v>
      </c>
      <c r="BC402" s="2">
        <v>46007.0</v>
      </c>
      <c r="BD402" s="1">
        <v>50.0</v>
      </c>
      <c r="BE402" s="1" t="s">
        <v>550</v>
      </c>
      <c r="BF402" s="1">
        <v>2025.0</v>
      </c>
      <c r="BG402" s="1" t="s">
        <v>558</v>
      </c>
      <c r="BH402" s="1" t="str">
        <f>VLOOKUP(B402,CookieClicks!D:O,12,FALSE)</f>
        <v>https://grow.method.me/crm-quickbooks/?trc=81&amp;trk=crm with quickbooks&amp;trs=USA-QB-G&amp;campaignid=1543381580&amp;adgroupid=61437797000&amp;adid=704678754673&amp;gad_source=1&amp;gad_campaignid=1543381580&amp;gbraid=0AAAAAD3ItnZpWdQbCLRR6WaxnjVMSQQW9&amp;gclid=Cj0KCQiAo4TKBhDRARIsAGW29be3NeF3jKXBLSlXBUqTZnPk0NEMwGU3fvu5NvqKl7KUlFlL5acGKn4aAp-KEALw_wcB</v>
      </c>
      <c r="BI402" s="8" t="str">
        <f>IFERROR(__xludf.DUMMYFUNCTION("VLOOKUP(REGEXREPLACE(BH402,""[?].*"",""""),ContentBuckets!A:C,2,FALSE)"),"#N/A")</f>
        <v>#N/A</v>
      </c>
      <c r="BJ402" s="8" t="str">
        <f>IFERROR(__xludf.DUMMYFUNCTION("VLOOKUP(REGEXREPLACE(BH402,""[?].*"",""""),ContentBuckets!A:C,3,FALSE)"),"#N/A")</f>
        <v>#N/A</v>
      </c>
    </row>
    <row r="403" ht="14.25" customHeight="1">
      <c r="A403" s="1">
        <v>153607.0</v>
      </c>
      <c r="B403" s="1" t="s">
        <v>1125</v>
      </c>
      <c r="C403" s="2">
        <v>46007.4416666667</v>
      </c>
      <c r="D403" s="2"/>
      <c r="E403" s="2">
        <v>46020.7875</v>
      </c>
      <c r="F403" s="1" t="b">
        <v>1</v>
      </c>
      <c r="G403" s="4" t="b">
        <v>0</v>
      </c>
      <c r="H403" s="1" t="b">
        <v>0</v>
      </c>
      <c r="I403" s="1" t="b">
        <v>0</v>
      </c>
      <c r="J403" s="1" t="s">
        <v>534</v>
      </c>
      <c r="K403" s="1" t="s">
        <v>566</v>
      </c>
      <c r="L403" s="1" t="s">
        <v>567</v>
      </c>
      <c r="M403" s="1" t="s">
        <v>537</v>
      </c>
      <c r="N403" s="1">
        <v>63.75</v>
      </c>
      <c r="O403" s="1">
        <v>63.75</v>
      </c>
      <c r="P403" s="1">
        <v>0.0</v>
      </c>
      <c r="Q403" s="1">
        <v>0.0</v>
      </c>
      <c r="R403" s="1">
        <v>28.0</v>
      </c>
      <c r="S403" s="1" t="s">
        <v>538</v>
      </c>
      <c r="T403" s="1" t="s">
        <v>539</v>
      </c>
      <c r="V403" s="4">
        <v>7146953.0</v>
      </c>
      <c r="W403" s="4" t="s">
        <v>540</v>
      </c>
      <c r="X403" s="4">
        <v>0.0</v>
      </c>
      <c r="Y403" s="1">
        <v>1.0</v>
      </c>
      <c r="Z403" s="1">
        <v>0.0</v>
      </c>
      <c r="AA403" s="1">
        <v>0.0</v>
      </c>
      <c r="AB403" s="1">
        <v>0.0</v>
      </c>
      <c r="AC403" s="1">
        <v>0.0</v>
      </c>
      <c r="AD403" s="1">
        <v>0.0</v>
      </c>
      <c r="AE403" s="1">
        <v>0.0</v>
      </c>
      <c r="AF403" s="1">
        <v>0.0</v>
      </c>
      <c r="AG403" s="1">
        <v>0.0</v>
      </c>
      <c r="AH403" s="1">
        <v>0.0</v>
      </c>
      <c r="AI403" s="1">
        <v>0.0</v>
      </c>
      <c r="AJ403" s="1">
        <v>0.0</v>
      </c>
      <c r="AK403" s="1">
        <v>0.0</v>
      </c>
      <c r="AL403" s="1">
        <v>0.0</v>
      </c>
      <c r="AM403" s="4">
        <v>0.0</v>
      </c>
      <c r="AN403" s="1">
        <v>0.0</v>
      </c>
      <c r="AO403" s="4">
        <v>0.0</v>
      </c>
      <c r="AP403" s="1">
        <f t="shared" si="1"/>
        <v>0</v>
      </c>
      <c r="AQ403" s="1" t="s">
        <v>557</v>
      </c>
      <c r="AR403" s="1" t="s">
        <v>571</v>
      </c>
      <c r="AT403" s="1" t="s">
        <v>1126</v>
      </c>
      <c r="AU403" s="2">
        <v>46007.0</v>
      </c>
      <c r="AV403" s="2">
        <v>46024.0180555556</v>
      </c>
      <c r="AW403" s="1">
        <v>12.0</v>
      </c>
      <c r="AX403" s="1">
        <v>3390876.96</v>
      </c>
      <c r="AY403" s="1">
        <v>611.0</v>
      </c>
      <c r="AZ403" s="1">
        <v>1.0</v>
      </c>
      <c r="BA403" s="1">
        <v>0.0</v>
      </c>
      <c r="BB403" s="1">
        <v>8.0</v>
      </c>
      <c r="BC403" s="2">
        <v>46007.0</v>
      </c>
      <c r="BD403" s="1">
        <v>50.0</v>
      </c>
      <c r="BE403" s="1" t="s">
        <v>550</v>
      </c>
      <c r="BF403" s="1">
        <v>2025.0</v>
      </c>
      <c r="BG403" s="1" t="s">
        <v>558</v>
      </c>
      <c r="BH403" s="7" t="str">
        <f>VLOOKUP(B403,CookieClicks!D:O,12,FALSE)</f>
        <v>https://www.method.me/</v>
      </c>
      <c r="BI403" s="8" t="str">
        <f>IFERROR(__xludf.DUMMYFUNCTION("VLOOKUP(REGEXREPLACE(BH403,""[?].*"",""""),ContentBuckets!A:C,2,FALSE)"),"Homepage")</f>
        <v>Homepage</v>
      </c>
      <c r="BJ403" s="8" t="str">
        <f>IFERROR(__xludf.DUMMYFUNCTION("VLOOKUP(REGEXREPLACE(BH403,""[?].*"",""""),ContentBuckets!A:C,3,FALSE)"),"Other page")</f>
        <v>Other page</v>
      </c>
    </row>
    <row r="404" ht="14.25" customHeight="1">
      <c r="A404" s="1">
        <v>153608.0</v>
      </c>
      <c r="B404" s="1" t="s">
        <v>1127</v>
      </c>
      <c r="C404" s="2">
        <v>46007.4715277778</v>
      </c>
      <c r="D404" s="2"/>
      <c r="E404" s="2"/>
      <c r="F404" s="1" t="b">
        <v>1</v>
      </c>
      <c r="G404" s="4" t="b">
        <v>0</v>
      </c>
      <c r="H404" s="1" t="b">
        <v>0</v>
      </c>
      <c r="I404" s="1" t="b">
        <v>0</v>
      </c>
      <c r="J404" s="1" t="s">
        <v>534</v>
      </c>
      <c r="K404" s="1" t="s">
        <v>553</v>
      </c>
      <c r="L404" s="1" t="s">
        <v>554</v>
      </c>
      <c r="M404" s="1" t="s">
        <v>537</v>
      </c>
      <c r="N404" s="1">
        <v>0.0</v>
      </c>
      <c r="O404" s="1">
        <v>44.25</v>
      </c>
      <c r="P404" s="1">
        <v>0.0</v>
      </c>
      <c r="Q404" s="1">
        <v>0.0</v>
      </c>
      <c r="R404" s="1">
        <v>0.0</v>
      </c>
      <c r="S404" s="1" t="s">
        <v>538</v>
      </c>
      <c r="T404" s="1" t="s">
        <v>539</v>
      </c>
      <c r="V404" s="4">
        <v>7359849.0</v>
      </c>
      <c r="W404" s="4"/>
      <c r="X404" s="4">
        <v>0.0</v>
      </c>
      <c r="Y404" s="1">
        <v>0.0</v>
      </c>
      <c r="Z404" s="1">
        <v>0.0</v>
      </c>
      <c r="AA404" s="1">
        <v>1.0</v>
      </c>
      <c r="AB404" s="1">
        <v>0.0</v>
      </c>
      <c r="AC404" s="1">
        <v>0.0</v>
      </c>
      <c r="AD404" s="1">
        <v>0.0</v>
      </c>
      <c r="AE404" s="1">
        <v>0.0</v>
      </c>
      <c r="AF404" s="1">
        <v>0.0</v>
      </c>
      <c r="AG404" s="1">
        <v>0.0</v>
      </c>
      <c r="AH404" s="1">
        <v>0.0</v>
      </c>
      <c r="AI404" s="1">
        <v>0.0</v>
      </c>
      <c r="AJ404" s="1">
        <v>0.0</v>
      </c>
      <c r="AK404" s="1">
        <v>0.0</v>
      </c>
      <c r="AL404" s="1">
        <v>0.0</v>
      </c>
      <c r="AM404" s="4">
        <v>0.0</v>
      </c>
      <c r="AN404" s="1">
        <v>0.0</v>
      </c>
      <c r="AO404" s="4">
        <v>0.0</v>
      </c>
      <c r="AP404" s="1">
        <f t="shared" si="1"/>
        <v>0</v>
      </c>
      <c r="AU404" s="2"/>
      <c r="AV404" s="2">
        <v>46024.0416666667</v>
      </c>
      <c r="AW404" s="1">
        <v>0.0</v>
      </c>
      <c r="AX404" s="1">
        <v>0.0</v>
      </c>
      <c r="AY404" s="1">
        <v>0.0</v>
      </c>
      <c r="AZ404" s="1">
        <v>1.0</v>
      </c>
      <c r="BA404" s="1">
        <v>0.0</v>
      </c>
      <c r="BB404" s="1">
        <v>0.0</v>
      </c>
      <c r="BC404" s="2">
        <v>46007.0</v>
      </c>
      <c r="BD404" s="1">
        <v>50.0</v>
      </c>
      <c r="BE404" s="1" t="s">
        <v>550</v>
      </c>
      <c r="BF404" s="1">
        <v>2025.0</v>
      </c>
      <c r="BG404" s="1" t="s">
        <v>558</v>
      </c>
      <c r="BH404" s="1" t="str">
        <f>VLOOKUP(B404,CookieClicks!D:O,12,FALSE)</f>
        <v>https://grow.method.me/crm-quickbooks/?trc=81&amp;trk=crm with quickbooks&amp;trs=USA-QB-G&amp;campaignid=1543381580&amp;adgroupid=61437797000&amp;adid=704678754673&amp;gad_source=1&amp;gad_campaignid=1543381580&amp;gbraid=0AAAAAD3ItnZpWdQbCLRR6WaxnjVMSQQW9&amp;gclid=EAIaIQobChMIvJLYh8HCkQMVrnR_AB32fDE6EAAYASAAEgInFvD_BwE</v>
      </c>
      <c r="BI404" s="8" t="str">
        <f>IFERROR(__xludf.DUMMYFUNCTION("VLOOKUP(REGEXREPLACE(BH404,""[?].*"",""""),ContentBuckets!A:C,2,FALSE)"),"#N/A")</f>
        <v>#N/A</v>
      </c>
      <c r="BJ404" s="8" t="str">
        <f>IFERROR(__xludf.DUMMYFUNCTION("VLOOKUP(REGEXREPLACE(BH404,""[?].*"",""""),ContentBuckets!A:C,3,FALSE)"),"#N/A")</f>
        <v>#N/A</v>
      </c>
    </row>
    <row r="405" ht="14.25" customHeight="1">
      <c r="A405" s="1">
        <v>153609.0</v>
      </c>
      <c r="B405" s="1" t="s">
        <v>1128</v>
      </c>
      <c r="C405" s="2">
        <v>46007.4979166667</v>
      </c>
      <c r="D405" s="2">
        <v>46007.5027777778</v>
      </c>
      <c r="E405" s="2"/>
      <c r="F405" s="1" t="b">
        <v>0</v>
      </c>
      <c r="G405" s="4" t="b">
        <v>0</v>
      </c>
      <c r="H405" s="1" t="b">
        <v>0</v>
      </c>
      <c r="I405" s="1" t="b">
        <v>0</v>
      </c>
      <c r="J405" s="1" t="s">
        <v>534</v>
      </c>
      <c r="K405" s="1" t="s">
        <v>553</v>
      </c>
      <c r="L405" s="1" t="s">
        <v>599</v>
      </c>
      <c r="M405" s="1" t="s">
        <v>537</v>
      </c>
      <c r="N405" s="1">
        <v>0.0</v>
      </c>
      <c r="O405" s="1">
        <v>0.0</v>
      </c>
      <c r="P405" s="1">
        <v>0.0</v>
      </c>
      <c r="Q405" s="1">
        <v>0.0</v>
      </c>
      <c r="R405" s="1">
        <v>0.0</v>
      </c>
      <c r="S405" s="1" t="s">
        <v>538</v>
      </c>
      <c r="T405" s="1" t="s">
        <v>539</v>
      </c>
      <c r="V405" s="4">
        <v>7360157.0</v>
      </c>
      <c r="W405" s="4" t="s">
        <v>540</v>
      </c>
      <c r="X405" s="4">
        <v>0.0</v>
      </c>
      <c r="Y405" s="1">
        <v>1.0</v>
      </c>
      <c r="Z405" s="1">
        <v>0.0</v>
      </c>
      <c r="AA405" s="1">
        <v>0.0</v>
      </c>
      <c r="AB405" s="1">
        <v>0.0</v>
      </c>
      <c r="AC405" s="1">
        <v>0.0</v>
      </c>
      <c r="AD405" s="1">
        <v>0.0</v>
      </c>
      <c r="AE405" s="1">
        <v>0.0</v>
      </c>
      <c r="AF405" s="1">
        <v>0.0</v>
      </c>
      <c r="AG405" s="1">
        <v>0.0</v>
      </c>
      <c r="AH405" s="1">
        <v>0.0</v>
      </c>
      <c r="AI405" s="1">
        <v>0.0</v>
      </c>
      <c r="AJ405" s="1">
        <v>0.0</v>
      </c>
      <c r="AK405" s="1">
        <v>0.0</v>
      </c>
      <c r="AL405" s="1">
        <v>0.0</v>
      </c>
      <c r="AM405" s="4">
        <v>0.0</v>
      </c>
      <c r="AN405" s="1">
        <v>0.0</v>
      </c>
      <c r="AO405" s="4">
        <v>0.0</v>
      </c>
      <c r="AP405" s="1">
        <f t="shared" si="1"/>
        <v>0</v>
      </c>
      <c r="AU405" s="2"/>
      <c r="AV405" s="2"/>
      <c r="AW405" s="1">
        <v>0.0</v>
      </c>
      <c r="AX405" s="1">
        <v>0.0</v>
      </c>
      <c r="AY405" s="1">
        <v>0.0</v>
      </c>
      <c r="AZ405" s="1">
        <v>1.0</v>
      </c>
      <c r="BA405" s="1">
        <v>0.0</v>
      </c>
      <c r="BB405" s="1">
        <v>0.0</v>
      </c>
      <c r="BC405" s="2">
        <v>46007.0</v>
      </c>
      <c r="BD405" s="1">
        <v>50.0</v>
      </c>
      <c r="BE405" s="1" t="s">
        <v>550</v>
      </c>
      <c r="BF405" s="1">
        <v>2025.0</v>
      </c>
      <c r="BG405" s="1" t="s">
        <v>558</v>
      </c>
      <c r="BH405" s="7" t="str">
        <f>VLOOKUP(B405,CookieClicks!D:O,12,FALSE)</f>
        <v>https://www.method.me/resources/mechanic-work-order-forms/</v>
      </c>
      <c r="BI405" s="8" t="str">
        <f>IFERROR(__xludf.DUMMYFUNCTION("VLOOKUP(REGEXREPLACE(BH405,""[?].*"",""""),ContentBuckets!A:C,2,FALSE)"),"Field services / Contractors")</f>
        <v>Field services / Contractors</v>
      </c>
      <c r="BJ405" s="8" t="str">
        <f>IFERROR(__xludf.DUMMYFUNCTION("VLOOKUP(REGEXREPLACE(BH405,""[?].*"",""""),ContentBuckets!A:C,3,FALSE)"),"Guide")</f>
        <v>Guide</v>
      </c>
    </row>
    <row r="406" ht="14.25" customHeight="1">
      <c r="A406" s="1">
        <v>153610.0</v>
      </c>
      <c r="B406" s="1" t="s">
        <v>1129</v>
      </c>
      <c r="C406" s="2">
        <v>46007.5270833333</v>
      </c>
      <c r="D406" s="2"/>
      <c r="E406" s="2"/>
      <c r="F406" s="1" t="b">
        <v>1</v>
      </c>
      <c r="G406" s="4" t="b">
        <v>0</v>
      </c>
      <c r="H406" s="1" t="b">
        <v>0</v>
      </c>
      <c r="I406" s="1" t="b">
        <v>0</v>
      </c>
      <c r="J406" s="1" t="s">
        <v>534</v>
      </c>
      <c r="K406" s="1" t="s">
        <v>535</v>
      </c>
      <c r="L406" s="1" t="s">
        <v>536</v>
      </c>
      <c r="M406" s="1" t="s">
        <v>537</v>
      </c>
      <c r="N406" s="1">
        <v>0.0</v>
      </c>
      <c r="O406" s="1">
        <v>44.25</v>
      </c>
      <c r="P406" s="1">
        <v>0.0</v>
      </c>
      <c r="Q406" s="1">
        <v>0.0</v>
      </c>
      <c r="R406" s="1">
        <v>28.0</v>
      </c>
      <c r="S406" s="1" t="s">
        <v>538</v>
      </c>
      <c r="T406" s="1" t="s">
        <v>539</v>
      </c>
      <c r="V406" s="4">
        <v>7360566.0</v>
      </c>
      <c r="W406" s="4"/>
      <c r="X406" s="4">
        <v>1.0</v>
      </c>
      <c r="Y406" s="1">
        <v>0.0</v>
      </c>
      <c r="Z406" s="1">
        <v>0.0</v>
      </c>
      <c r="AA406" s="1">
        <v>0.0</v>
      </c>
      <c r="AB406" s="1">
        <v>0.0</v>
      </c>
      <c r="AC406" s="1">
        <v>0.0</v>
      </c>
      <c r="AD406" s="1">
        <v>0.0</v>
      </c>
      <c r="AE406" s="1">
        <v>0.0</v>
      </c>
      <c r="AF406" s="1">
        <v>0.0</v>
      </c>
      <c r="AG406" s="1">
        <v>0.0</v>
      </c>
      <c r="AH406" s="1">
        <v>0.0</v>
      </c>
      <c r="AI406" s="1">
        <v>0.0</v>
      </c>
      <c r="AJ406" s="1">
        <v>0.0</v>
      </c>
      <c r="AK406" s="1">
        <v>0.0</v>
      </c>
      <c r="AL406" s="1">
        <v>0.0</v>
      </c>
      <c r="AM406" s="4">
        <v>0.0</v>
      </c>
      <c r="AN406" s="1">
        <v>0.0</v>
      </c>
      <c r="AO406" s="4">
        <v>0.0</v>
      </c>
      <c r="AP406" s="1">
        <f t="shared" si="1"/>
        <v>0</v>
      </c>
      <c r="AQ406" s="1" t="s">
        <v>557</v>
      </c>
      <c r="AR406" s="1" t="s">
        <v>578</v>
      </c>
      <c r="AT406" s="1" t="s">
        <v>1130</v>
      </c>
      <c r="AU406" s="2">
        <v>46007.0</v>
      </c>
      <c r="AV406" s="2">
        <v>46023.9895833333</v>
      </c>
      <c r="AW406" s="1">
        <v>28.0</v>
      </c>
      <c r="AX406" s="1">
        <v>1726936.56</v>
      </c>
      <c r="AY406" s="1">
        <v>477.0</v>
      </c>
      <c r="AZ406" s="1">
        <v>1.0</v>
      </c>
      <c r="BA406" s="1">
        <v>0.0</v>
      </c>
      <c r="BB406" s="1">
        <v>0.0</v>
      </c>
      <c r="BC406" s="2">
        <v>46007.0</v>
      </c>
      <c r="BD406" s="1">
        <v>50.0</v>
      </c>
      <c r="BE406" s="1" t="s">
        <v>550</v>
      </c>
      <c r="BF406" s="1">
        <v>2025.0</v>
      </c>
      <c r="BG406" s="1" t="s">
        <v>558</v>
      </c>
      <c r="BH406" s="7" t="str">
        <f>VLOOKUP(B406,CookieClicks!D:O,12,FALSE)</f>
        <v>https://www.method.me/</v>
      </c>
      <c r="BI406" s="8" t="str">
        <f>IFERROR(__xludf.DUMMYFUNCTION("VLOOKUP(REGEXREPLACE(BH406,""[?].*"",""""),ContentBuckets!A:C,2,FALSE)"),"Homepage")</f>
        <v>Homepage</v>
      </c>
      <c r="BJ406" s="8" t="str">
        <f>IFERROR(__xludf.DUMMYFUNCTION("VLOOKUP(REGEXREPLACE(BH406,""[?].*"",""""),ContentBuckets!A:C,3,FALSE)"),"Other page")</f>
        <v>Other page</v>
      </c>
    </row>
    <row r="407" ht="14.25" customHeight="1">
      <c r="A407" s="1">
        <v>153612.0</v>
      </c>
      <c r="B407" s="1" t="s">
        <v>1131</v>
      </c>
      <c r="C407" s="2">
        <v>46007.5548611111</v>
      </c>
      <c r="D407" s="2">
        <v>46020.5180555556</v>
      </c>
      <c r="E407" s="2"/>
      <c r="F407" s="1" t="b">
        <v>0</v>
      </c>
      <c r="G407" s="4" t="b">
        <v>1</v>
      </c>
      <c r="H407" s="1" t="b">
        <v>0</v>
      </c>
      <c r="I407" s="1" t="b">
        <v>0</v>
      </c>
      <c r="J407" s="1" t="s">
        <v>534</v>
      </c>
      <c r="K407" s="1" t="s">
        <v>535</v>
      </c>
      <c r="L407" s="1" t="s">
        <v>536</v>
      </c>
      <c r="M407" s="1" t="s">
        <v>537</v>
      </c>
      <c r="N407" s="1">
        <v>0.0</v>
      </c>
      <c r="O407" s="1">
        <v>54.75</v>
      </c>
      <c r="P407" s="1">
        <v>0.0</v>
      </c>
      <c r="Q407" s="1">
        <v>0.0</v>
      </c>
      <c r="R407" s="1">
        <v>28.0</v>
      </c>
      <c r="S407" s="1" t="s">
        <v>538</v>
      </c>
      <c r="T407" s="1" t="s">
        <v>539</v>
      </c>
      <c r="V407" s="4">
        <v>7360844.0</v>
      </c>
      <c r="W407" s="4"/>
      <c r="X407" s="4">
        <v>0.0</v>
      </c>
      <c r="Y407" s="1">
        <v>0.0</v>
      </c>
      <c r="Z407" s="1">
        <v>0.0</v>
      </c>
      <c r="AA407" s="1">
        <v>0.0</v>
      </c>
      <c r="AB407" s="1">
        <v>0.0</v>
      </c>
      <c r="AC407" s="1">
        <v>0.0</v>
      </c>
      <c r="AD407" s="1">
        <v>0.0</v>
      </c>
      <c r="AE407" s="1">
        <v>0.0</v>
      </c>
      <c r="AF407" s="1">
        <v>0.0</v>
      </c>
      <c r="AG407" s="1">
        <v>0.0</v>
      </c>
      <c r="AH407" s="1">
        <v>0.0</v>
      </c>
      <c r="AI407" s="1">
        <v>0.0</v>
      </c>
      <c r="AJ407" s="1">
        <v>0.0</v>
      </c>
      <c r="AK407" s="1">
        <v>0.0</v>
      </c>
      <c r="AL407" s="1">
        <v>0.0</v>
      </c>
      <c r="AM407" s="4">
        <v>0.0</v>
      </c>
      <c r="AN407" s="1">
        <v>0.0</v>
      </c>
      <c r="AO407" s="4">
        <v>0.0</v>
      </c>
      <c r="AP407" s="1">
        <f t="shared" si="1"/>
        <v>1</v>
      </c>
      <c r="AQ407" s="1" t="s">
        <v>557</v>
      </c>
      <c r="AR407" s="1" t="s">
        <v>681</v>
      </c>
      <c r="AT407" s="1" t="s">
        <v>1132</v>
      </c>
      <c r="AU407" s="2">
        <v>46007.0</v>
      </c>
      <c r="AV407" s="2">
        <v>46020.0381944444</v>
      </c>
      <c r="AW407" s="1">
        <v>4.0</v>
      </c>
      <c r="AX407" s="1">
        <v>142272.0</v>
      </c>
      <c r="AY407" s="1">
        <v>426.0</v>
      </c>
      <c r="AZ407" s="1">
        <v>1.0</v>
      </c>
      <c r="BA407" s="1">
        <v>0.0</v>
      </c>
      <c r="BB407" s="1">
        <v>1.0</v>
      </c>
      <c r="BC407" s="2">
        <v>46007.0</v>
      </c>
      <c r="BD407" s="1">
        <v>50.0</v>
      </c>
      <c r="BE407" s="1" t="s">
        <v>550</v>
      </c>
      <c r="BF407" s="1">
        <v>2025.0</v>
      </c>
      <c r="BG407" s="1" t="s">
        <v>558</v>
      </c>
      <c r="BH407" s="7" t="str">
        <f>VLOOKUP(B407,CookieClicks!D:O,12,FALSE)</f>
        <v>https://signin.method.me/?_gl=1*18rune6*_gcl_au*MTM2MzI2MTczMC4xNzY1OTA4ODYy*_ga*MTQwMTU3ODg3Ny4xNzY1OTA4ODYy*_ga_L2HEZNW53E*czE3NjU5MDg4NjEkbzEkZzAkdDE3NjU5MDg4NjEkajYwJGwwJGgxODM3NTQxMTI4&amp;_ga=2.4847155.1877664154.1765908862-1401578877.1765908862</v>
      </c>
      <c r="BI407" s="8" t="str">
        <f>IFERROR(__xludf.DUMMYFUNCTION("VLOOKUP(REGEXREPLACE(BH407,""[?].*"",""""),ContentBuckets!A:C,2,FALSE)"),"#N/A")</f>
        <v>#N/A</v>
      </c>
      <c r="BJ407" s="8" t="str">
        <f>IFERROR(__xludf.DUMMYFUNCTION("VLOOKUP(REGEXREPLACE(BH407,""[?].*"",""""),ContentBuckets!A:C,3,FALSE)"),"#N/A")</f>
        <v>#N/A</v>
      </c>
    </row>
    <row r="408" ht="14.25" customHeight="1">
      <c r="A408" s="1">
        <v>153613.0</v>
      </c>
      <c r="B408" s="1" t="s">
        <v>1133</v>
      </c>
      <c r="C408" s="2">
        <v>46007.5569444444</v>
      </c>
      <c r="D408" s="2">
        <v>46022.1631944444</v>
      </c>
      <c r="E408" s="2"/>
      <c r="F408" s="1" t="b">
        <v>0</v>
      </c>
      <c r="G408" s="4" t="b">
        <v>0</v>
      </c>
      <c r="H408" s="1" t="b">
        <v>0</v>
      </c>
      <c r="I408" s="1" t="b">
        <v>0</v>
      </c>
      <c r="J408" s="1" t="s">
        <v>534</v>
      </c>
      <c r="K408" s="1" t="s">
        <v>535</v>
      </c>
      <c r="L408" s="1" t="s">
        <v>536</v>
      </c>
      <c r="M408" s="1" t="s">
        <v>537</v>
      </c>
      <c r="N408" s="1">
        <v>0.0</v>
      </c>
      <c r="O408" s="1">
        <v>219.0</v>
      </c>
      <c r="P408" s="1">
        <v>0.0</v>
      </c>
      <c r="Q408" s="1">
        <v>0.0</v>
      </c>
      <c r="R408" s="1">
        <v>0.0</v>
      </c>
      <c r="S408" s="1" t="s">
        <v>538</v>
      </c>
      <c r="T408" s="1" t="s">
        <v>539</v>
      </c>
      <c r="V408" s="4">
        <v>7360911.0</v>
      </c>
      <c r="W408" s="4"/>
      <c r="X408" s="4">
        <v>1.0</v>
      </c>
      <c r="Y408" s="1">
        <v>0.0</v>
      </c>
      <c r="Z408" s="1">
        <v>0.0</v>
      </c>
      <c r="AA408" s="1">
        <v>0.0</v>
      </c>
      <c r="AB408" s="1">
        <v>0.0</v>
      </c>
      <c r="AC408" s="1">
        <v>0.0</v>
      </c>
      <c r="AD408" s="1">
        <v>0.0</v>
      </c>
      <c r="AE408" s="1">
        <v>0.0</v>
      </c>
      <c r="AF408" s="1">
        <v>0.0</v>
      </c>
      <c r="AG408" s="1">
        <v>0.0</v>
      </c>
      <c r="AH408" s="1">
        <v>0.0</v>
      </c>
      <c r="AI408" s="1">
        <v>0.0</v>
      </c>
      <c r="AJ408" s="1">
        <v>0.0</v>
      </c>
      <c r="AK408" s="1">
        <v>0.0</v>
      </c>
      <c r="AL408" s="1">
        <v>0.0</v>
      </c>
      <c r="AM408" s="4">
        <v>0.0</v>
      </c>
      <c r="AN408" s="1">
        <v>0.0</v>
      </c>
      <c r="AO408" s="4">
        <v>0.0</v>
      </c>
      <c r="AP408" s="1">
        <f t="shared" si="1"/>
        <v>0</v>
      </c>
      <c r="AQ408" s="1" t="s">
        <v>557</v>
      </c>
      <c r="AT408" s="1" t="s">
        <v>1134</v>
      </c>
      <c r="AU408" s="2">
        <v>46007.0</v>
      </c>
      <c r="AV408" s="2">
        <v>46022.0166666667</v>
      </c>
      <c r="AW408" s="1">
        <v>34.0</v>
      </c>
      <c r="AX408" s="1">
        <v>392012.4</v>
      </c>
      <c r="AY408" s="1">
        <v>131.0</v>
      </c>
      <c r="AZ408" s="1">
        <v>4.0</v>
      </c>
      <c r="BA408" s="1">
        <v>0.0</v>
      </c>
      <c r="BB408" s="1">
        <v>0.0</v>
      </c>
      <c r="BC408" s="2">
        <v>46007.0</v>
      </c>
      <c r="BD408" s="1">
        <v>50.0</v>
      </c>
      <c r="BE408" s="1" t="s">
        <v>550</v>
      </c>
      <c r="BF408" s="1">
        <v>2025.0</v>
      </c>
      <c r="BG408" s="1" t="s">
        <v>558</v>
      </c>
      <c r="BH408" s="7" t="str">
        <f>VLOOKUP(B408,CookieClicks!D:O,12,FALSE)</f>
        <v>https://signup.method.me/QBOAppstoreSignup?offering=methodcrm</v>
      </c>
      <c r="BI408" s="8" t="str">
        <f>IFERROR(__xludf.DUMMYFUNCTION("VLOOKUP(REGEXREPLACE(BH408,""[?].*"",""""),ContentBuckets!A:C,2,FALSE)"),"#N/A")</f>
        <v>#N/A</v>
      </c>
      <c r="BJ408" s="8" t="str">
        <f>IFERROR(__xludf.DUMMYFUNCTION("VLOOKUP(REGEXREPLACE(BH408,""[?].*"",""""),ContentBuckets!A:C,3,FALSE)"),"#N/A")</f>
        <v>#N/A</v>
      </c>
    </row>
    <row r="409" ht="14.25" customHeight="1">
      <c r="A409" s="1">
        <v>153614.0</v>
      </c>
      <c r="B409" s="1" t="s">
        <v>1135</v>
      </c>
      <c r="C409" s="2">
        <v>46007.5875</v>
      </c>
      <c r="D409" s="2"/>
      <c r="E409" s="2"/>
      <c r="F409" s="1" t="b">
        <v>1</v>
      </c>
      <c r="G409" s="4" t="b">
        <v>0</v>
      </c>
      <c r="H409" s="1" t="b">
        <v>0</v>
      </c>
      <c r="I409" s="1" t="b">
        <v>0</v>
      </c>
      <c r="J409" s="1" t="s">
        <v>534</v>
      </c>
      <c r="K409" s="1" t="s">
        <v>535</v>
      </c>
      <c r="L409" s="1" t="s">
        <v>536</v>
      </c>
      <c r="M409" s="1" t="s">
        <v>537</v>
      </c>
      <c r="N409" s="1">
        <v>0.0</v>
      </c>
      <c r="O409" s="1">
        <v>0.0</v>
      </c>
      <c r="P409" s="1">
        <v>0.0</v>
      </c>
      <c r="Q409" s="1">
        <v>0.0</v>
      </c>
      <c r="R409" s="1">
        <v>28.0</v>
      </c>
      <c r="S409" s="1" t="s">
        <v>1136</v>
      </c>
      <c r="T409" s="1" t="s">
        <v>539</v>
      </c>
      <c r="V409" s="4">
        <v>7277373.0</v>
      </c>
      <c r="W409" s="4"/>
      <c r="X409" s="4">
        <v>0.0</v>
      </c>
      <c r="Y409" s="1">
        <v>0.0</v>
      </c>
      <c r="Z409" s="1">
        <v>0.0</v>
      </c>
      <c r="AA409" s="1">
        <v>0.5</v>
      </c>
      <c r="AB409" s="1">
        <v>0.4</v>
      </c>
      <c r="AC409" s="1">
        <v>0.1</v>
      </c>
      <c r="AD409" s="1">
        <v>0.0</v>
      </c>
      <c r="AE409" s="1">
        <v>0.0</v>
      </c>
      <c r="AF409" s="1">
        <v>0.0</v>
      </c>
      <c r="AG409" s="1">
        <v>0.0</v>
      </c>
      <c r="AH409" s="1">
        <v>0.0</v>
      </c>
      <c r="AI409" s="1">
        <v>0.0</v>
      </c>
      <c r="AJ409" s="1">
        <v>0.0</v>
      </c>
      <c r="AK409" s="1">
        <v>0.0</v>
      </c>
      <c r="AL409" s="1">
        <v>0.0</v>
      </c>
      <c r="AM409" s="4">
        <v>0.0</v>
      </c>
      <c r="AN409" s="1">
        <v>0.0</v>
      </c>
      <c r="AO409" s="4">
        <v>0.0</v>
      </c>
      <c r="AP409" s="1">
        <f t="shared" si="1"/>
        <v>0</v>
      </c>
      <c r="AQ409" s="1" t="s">
        <v>557</v>
      </c>
      <c r="AR409" s="1" t="s">
        <v>578</v>
      </c>
      <c r="AU409" s="2">
        <v>46007.0</v>
      </c>
      <c r="AV409" s="2">
        <v>46023.9979166667</v>
      </c>
      <c r="AW409" s="1">
        <v>2.0</v>
      </c>
      <c r="AX409" s="1">
        <v>0.0</v>
      </c>
      <c r="AY409" s="1">
        <v>36.0</v>
      </c>
      <c r="AZ409" s="1">
        <v>1.0</v>
      </c>
      <c r="BA409" s="1">
        <v>0.0</v>
      </c>
      <c r="BB409" s="1">
        <v>0.0</v>
      </c>
      <c r="BC409" s="2">
        <v>46007.0</v>
      </c>
      <c r="BD409" s="1">
        <v>50.0</v>
      </c>
      <c r="BE409" s="1" t="s">
        <v>550</v>
      </c>
      <c r="BF409" s="1">
        <v>2025.0</v>
      </c>
      <c r="BG409" s="1" t="s">
        <v>558</v>
      </c>
      <c r="BH409" s="1" t="str">
        <f>VLOOKUP(B409,CookieClicks!D:O,12,FALSE)</f>
        <v>https://grow.method.me/best-quickbooks-crm/?trc=86&amp;trk=grow.method.me&amp;trs=Bing-PMax&amp;msclkid=06e945540d7313589d582c633672bc12&amp;utm_source=bing&amp;utm_medium=cpc&amp;utm_campaign=Bing - PMAX&amp;utm_term=grow.method.me&amp;utm_content=US - retargeting</v>
      </c>
      <c r="BI409" s="8" t="str">
        <f>IFERROR(__xludf.DUMMYFUNCTION("VLOOKUP(REGEXREPLACE(BH409,""[?].*"",""""),ContentBuckets!A:C,2,FALSE)"),"#N/A")</f>
        <v>#N/A</v>
      </c>
      <c r="BJ409" s="8" t="str">
        <f>IFERROR(__xludf.DUMMYFUNCTION("VLOOKUP(REGEXREPLACE(BH409,""[?].*"",""""),ContentBuckets!A:C,3,FALSE)"),"#N/A")</f>
        <v>#N/A</v>
      </c>
    </row>
    <row r="410" ht="14.25" customHeight="1">
      <c r="A410" s="1">
        <v>153615.0</v>
      </c>
      <c r="B410" s="1" t="s">
        <v>1137</v>
      </c>
      <c r="C410" s="2">
        <v>46007.5958333333</v>
      </c>
      <c r="D410" s="2">
        <v>46007.7194444444</v>
      </c>
      <c r="E410" s="2"/>
      <c r="F410" s="1" t="b">
        <v>0</v>
      </c>
      <c r="G410" s="4" t="b">
        <v>1</v>
      </c>
      <c r="H410" s="1" t="b">
        <v>0</v>
      </c>
      <c r="I410" s="1" t="b">
        <v>0</v>
      </c>
      <c r="J410" s="1" t="s">
        <v>534</v>
      </c>
      <c r="K410" s="1" t="s">
        <v>566</v>
      </c>
      <c r="L410" s="1" t="s">
        <v>567</v>
      </c>
      <c r="M410" s="1" t="s">
        <v>537</v>
      </c>
      <c r="N410" s="1">
        <v>0.0</v>
      </c>
      <c r="O410" s="1">
        <v>0.0</v>
      </c>
      <c r="P410" s="1">
        <v>0.0</v>
      </c>
      <c r="Q410" s="1">
        <v>0.0</v>
      </c>
      <c r="R410" s="1">
        <v>28.0</v>
      </c>
      <c r="S410" s="1" t="s">
        <v>538</v>
      </c>
      <c r="T410" s="1" t="s">
        <v>725</v>
      </c>
      <c r="U410" s="1" t="s">
        <v>1089</v>
      </c>
      <c r="V410" s="4">
        <v>7360089.0</v>
      </c>
      <c r="W410" s="4"/>
      <c r="X410" s="4">
        <v>0.0</v>
      </c>
      <c r="Y410" s="1">
        <v>0.0</v>
      </c>
      <c r="Z410" s="1">
        <v>0.0</v>
      </c>
      <c r="AA410" s="1">
        <v>0.0</v>
      </c>
      <c r="AB410" s="1">
        <v>1.0</v>
      </c>
      <c r="AC410" s="1">
        <v>0.0</v>
      </c>
      <c r="AD410" s="1">
        <v>0.0</v>
      </c>
      <c r="AE410" s="1">
        <v>0.0</v>
      </c>
      <c r="AF410" s="1">
        <v>0.0</v>
      </c>
      <c r="AG410" s="1">
        <v>0.0</v>
      </c>
      <c r="AH410" s="1">
        <v>0.0</v>
      </c>
      <c r="AI410" s="1">
        <v>0.0</v>
      </c>
      <c r="AJ410" s="1">
        <v>0.0</v>
      </c>
      <c r="AK410" s="1">
        <v>0.0</v>
      </c>
      <c r="AL410" s="1">
        <v>0.0</v>
      </c>
      <c r="AM410" s="4">
        <v>0.0</v>
      </c>
      <c r="AN410" s="1">
        <v>0.0</v>
      </c>
      <c r="AO410" s="4">
        <v>0.0</v>
      </c>
      <c r="AP410" s="1">
        <f t="shared" si="1"/>
        <v>0</v>
      </c>
      <c r="AR410" s="1" t="s">
        <v>571</v>
      </c>
      <c r="AU410" s="2"/>
      <c r="AV410" s="2"/>
      <c r="AW410" s="1">
        <v>0.0</v>
      </c>
      <c r="AX410" s="1">
        <v>0.0</v>
      </c>
      <c r="AY410" s="1">
        <v>0.0</v>
      </c>
      <c r="AZ410" s="1">
        <v>1.0</v>
      </c>
      <c r="BA410" s="1">
        <v>0.0</v>
      </c>
      <c r="BB410" s="1">
        <v>0.0</v>
      </c>
      <c r="BC410" s="2">
        <v>46007.0</v>
      </c>
      <c r="BD410" s="1">
        <v>50.0</v>
      </c>
      <c r="BE410" s="1" t="s">
        <v>550</v>
      </c>
      <c r="BF410" s="1">
        <v>2025.0</v>
      </c>
      <c r="BG410" s="1" t="s">
        <v>558</v>
      </c>
      <c r="BH410" s="7" t="str">
        <f>VLOOKUP(B410,CookieClicks!D:O,12,FALSE)</f>
        <v>https://signin.method.me/?returnUrl=https%3A%2F%2Fercsolutionsinc.method.me%2Fapps%2FDefault.aspx%23%2F</v>
      </c>
      <c r="BI410" s="8" t="str">
        <f>IFERROR(__xludf.DUMMYFUNCTION("VLOOKUP(REGEXREPLACE(BH410,""[?].*"",""""),ContentBuckets!A:C,2,FALSE)"),"#N/A")</f>
        <v>#N/A</v>
      </c>
      <c r="BJ410" s="8" t="str">
        <f>IFERROR(__xludf.DUMMYFUNCTION("VLOOKUP(REGEXREPLACE(BH410,""[?].*"",""""),ContentBuckets!A:C,3,FALSE)"),"#N/A")</f>
        <v>#N/A</v>
      </c>
    </row>
    <row r="411" ht="14.25" customHeight="1">
      <c r="A411" s="1">
        <v>153616.0</v>
      </c>
      <c r="B411" s="1" t="s">
        <v>1138</v>
      </c>
      <c r="C411" s="2">
        <v>46007.6055555556</v>
      </c>
      <c r="D411" s="2">
        <v>46013.4659722222</v>
      </c>
      <c r="E411" s="2"/>
      <c r="F411" s="1" t="b">
        <v>0</v>
      </c>
      <c r="G411" s="4" t="b">
        <v>0</v>
      </c>
      <c r="H411" s="1" t="b">
        <v>0</v>
      </c>
      <c r="I411" s="1" t="b">
        <v>0</v>
      </c>
      <c r="J411" s="1" t="s">
        <v>534</v>
      </c>
      <c r="K411" s="1" t="s">
        <v>622</v>
      </c>
      <c r="L411" s="1" t="s">
        <v>623</v>
      </c>
      <c r="M411" s="1" t="s">
        <v>537</v>
      </c>
      <c r="N411" s="1">
        <v>0.0</v>
      </c>
      <c r="O411" s="1">
        <v>44.25</v>
      </c>
      <c r="P411" s="1">
        <v>0.0</v>
      </c>
      <c r="Q411" s="1">
        <v>0.0</v>
      </c>
      <c r="R411" s="1">
        <v>0.0</v>
      </c>
      <c r="S411" s="1" t="s">
        <v>538</v>
      </c>
      <c r="T411" s="1" t="s">
        <v>539</v>
      </c>
      <c r="V411" s="4">
        <v>7311650.0</v>
      </c>
      <c r="W411" s="4"/>
      <c r="X411" s="4">
        <v>1.0</v>
      </c>
      <c r="Y411" s="1">
        <v>0.0</v>
      </c>
      <c r="Z411" s="1">
        <v>0.0</v>
      </c>
      <c r="AA411" s="1">
        <v>0.0</v>
      </c>
      <c r="AB411" s="1">
        <v>0.0</v>
      </c>
      <c r="AC411" s="1">
        <v>0.0</v>
      </c>
      <c r="AD411" s="1">
        <v>0.0</v>
      </c>
      <c r="AE411" s="1">
        <v>0.0</v>
      </c>
      <c r="AF411" s="1">
        <v>0.0</v>
      </c>
      <c r="AG411" s="1">
        <v>0.0</v>
      </c>
      <c r="AH411" s="1">
        <v>0.0</v>
      </c>
      <c r="AI411" s="1">
        <v>0.0</v>
      </c>
      <c r="AJ411" s="1">
        <v>0.0</v>
      </c>
      <c r="AK411" s="1">
        <v>0.0</v>
      </c>
      <c r="AL411" s="1">
        <v>0.0</v>
      </c>
      <c r="AM411" s="4">
        <v>0.0</v>
      </c>
      <c r="AN411" s="1">
        <v>0.0</v>
      </c>
      <c r="AO411" s="4">
        <v>0.0</v>
      </c>
      <c r="AP411" s="1">
        <f t="shared" si="1"/>
        <v>0</v>
      </c>
      <c r="AU411" s="2"/>
      <c r="AV411" s="2">
        <v>46013.0055555556</v>
      </c>
      <c r="AW411" s="1">
        <v>0.0</v>
      </c>
      <c r="AX411" s="1">
        <v>0.0</v>
      </c>
      <c r="AY411" s="1">
        <v>0.0</v>
      </c>
      <c r="AZ411" s="1">
        <v>1.0</v>
      </c>
      <c r="BA411" s="1">
        <v>0.0</v>
      </c>
      <c r="BB411" s="1">
        <v>0.0</v>
      </c>
      <c r="BC411" s="2">
        <v>46007.0</v>
      </c>
      <c r="BD411" s="1">
        <v>50.0</v>
      </c>
      <c r="BE411" s="1" t="s">
        <v>550</v>
      </c>
      <c r="BF411" s="1">
        <v>2025.0</v>
      </c>
      <c r="BG411" s="1" t="s">
        <v>624</v>
      </c>
      <c r="BH411" s="7" t="str">
        <f>VLOOKUP(B411,CookieClicks!D:O,12,FALSE)</f>
        <v>http://signup.method.me/methodcrm/</v>
      </c>
      <c r="BI411" s="8" t="str">
        <f>IFERROR(__xludf.DUMMYFUNCTION("VLOOKUP(REGEXREPLACE(BH411,""[?].*"",""""),ContentBuckets!A:C,2,FALSE)"),"#N/A")</f>
        <v>#N/A</v>
      </c>
      <c r="BJ411" s="8" t="str">
        <f>IFERROR(__xludf.DUMMYFUNCTION("VLOOKUP(REGEXREPLACE(BH411,""[?].*"",""""),ContentBuckets!A:C,3,FALSE)"),"#N/A")</f>
        <v>#N/A</v>
      </c>
    </row>
    <row r="412" ht="14.25" customHeight="1">
      <c r="A412" s="1">
        <v>153617.0</v>
      </c>
      <c r="B412" s="1" t="s">
        <v>1139</v>
      </c>
      <c r="C412" s="2">
        <v>46007.6513888889</v>
      </c>
      <c r="D412" s="2"/>
      <c r="E412" s="2"/>
      <c r="F412" s="1" t="b">
        <v>1</v>
      </c>
      <c r="G412" s="4" t="b">
        <v>0</v>
      </c>
      <c r="H412" s="1" t="b">
        <v>0</v>
      </c>
      <c r="I412" s="1" t="b">
        <v>0</v>
      </c>
      <c r="J412" s="1" t="s">
        <v>534</v>
      </c>
      <c r="K412" s="1" t="s">
        <v>566</v>
      </c>
      <c r="L412" s="1" t="s">
        <v>567</v>
      </c>
      <c r="M412" s="1" t="s">
        <v>537</v>
      </c>
      <c r="N412" s="1">
        <v>0.0</v>
      </c>
      <c r="O412" s="1">
        <v>44.25</v>
      </c>
      <c r="P412" s="1">
        <v>0.0</v>
      </c>
      <c r="Q412" s="1">
        <v>0.0</v>
      </c>
      <c r="R412" s="1">
        <v>28.0</v>
      </c>
      <c r="S412" s="1" t="s">
        <v>538</v>
      </c>
      <c r="T412" s="1" t="s">
        <v>539</v>
      </c>
      <c r="V412" s="4">
        <v>7361997.0</v>
      </c>
      <c r="W412" s="4"/>
      <c r="X412" s="4">
        <v>1.0</v>
      </c>
      <c r="Y412" s="1">
        <v>0.0</v>
      </c>
      <c r="Z412" s="1">
        <v>0.0</v>
      </c>
      <c r="AA412" s="1">
        <v>0.0</v>
      </c>
      <c r="AB412" s="1">
        <v>0.0</v>
      </c>
      <c r="AC412" s="1">
        <v>0.0</v>
      </c>
      <c r="AD412" s="1">
        <v>0.0</v>
      </c>
      <c r="AE412" s="1">
        <v>0.0</v>
      </c>
      <c r="AF412" s="1">
        <v>0.0</v>
      </c>
      <c r="AG412" s="1">
        <v>0.0</v>
      </c>
      <c r="AH412" s="1">
        <v>0.0</v>
      </c>
      <c r="AI412" s="1">
        <v>0.0</v>
      </c>
      <c r="AJ412" s="1">
        <v>0.0</v>
      </c>
      <c r="AK412" s="1">
        <v>0.0</v>
      </c>
      <c r="AL412" s="1">
        <v>0.0</v>
      </c>
      <c r="AM412" s="4">
        <v>0.0</v>
      </c>
      <c r="AN412" s="1">
        <v>0.0</v>
      </c>
      <c r="AO412" s="4">
        <v>0.0</v>
      </c>
      <c r="AP412" s="1">
        <f t="shared" si="1"/>
        <v>0</v>
      </c>
      <c r="AR412" s="1" t="s">
        <v>560</v>
      </c>
      <c r="AU412" s="2"/>
      <c r="AV412" s="2">
        <v>46023.9833333333</v>
      </c>
      <c r="AW412" s="1">
        <v>0.0</v>
      </c>
      <c r="AX412" s="1">
        <v>0.0</v>
      </c>
      <c r="AY412" s="1">
        <v>0.0</v>
      </c>
      <c r="AZ412" s="1">
        <v>1.0</v>
      </c>
      <c r="BA412" s="1">
        <v>0.0</v>
      </c>
      <c r="BB412" s="1">
        <v>0.0</v>
      </c>
      <c r="BC412" s="2">
        <v>46007.0</v>
      </c>
      <c r="BD412" s="1">
        <v>50.0</v>
      </c>
      <c r="BE412" s="1" t="s">
        <v>550</v>
      </c>
      <c r="BF412" s="1">
        <v>2025.0</v>
      </c>
      <c r="BG412" s="1" t="s">
        <v>558</v>
      </c>
      <c r="BH412" s="7" t="str">
        <f>VLOOKUP(B412,CookieClicks!D:O,12,FALSE)</f>
        <v>https://www.method.me/</v>
      </c>
      <c r="BI412" s="8" t="str">
        <f>IFERROR(__xludf.DUMMYFUNCTION("VLOOKUP(REGEXREPLACE(BH412,""[?].*"",""""),ContentBuckets!A:C,2,FALSE)"),"Homepage")</f>
        <v>Homepage</v>
      </c>
      <c r="BJ412" s="8" t="str">
        <f>IFERROR(__xludf.DUMMYFUNCTION("VLOOKUP(REGEXREPLACE(BH412,""[?].*"",""""),ContentBuckets!A:C,3,FALSE)"),"Other page")</f>
        <v>Other page</v>
      </c>
    </row>
    <row r="413" ht="14.25" customHeight="1">
      <c r="A413" s="1">
        <v>153618.0</v>
      </c>
      <c r="B413" s="1" t="s">
        <v>1140</v>
      </c>
      <c r="C413" s="2">
        <v>46007.6736111111</v>
      </c>
      <c r="D413" s="2"/>
      <c r="E413" s="2">
        <v>46020.5256944444</v>
      </c>
      <c r="F413" s="1" t="b">
        <v>1</v>
      </c>
      <c r="G413" s="4" t="b">
        <v>0</v>
      </c>
      <c r="H413" s="1" t="b">
        <v>0</v>
      </c>
      <c r="I413" s="1" t="b">
        <v>0</v>
      </c>
      <c r="J413" s="1" t="s">
        <v>534</v>
      </c>
      <c r="K413" s="1" t="s">
        <v>535</v>
      </c>
      <c r="L413" s="1" t="s">
        <v>536</v>
      </c>
      <c r="M413" s="1" t="s">
        <v>537</v>
      </c>
      <c r="N413" s="1">
        <v>53.25</v>
      </c>
      <c r="O413" s="1">
        <v>53.25</v>
      </c>
      <c r="P413" s="1">
        <v>0.0</v>
      </c>
      <c r="Q413" s="1">
        <v>0.0</v>
      </c>
      <c r="R413" s="1">
        <v>28.0</v>
      </c>
      <c r="S413" s="1" t="s">
        <v>538</v>
      </c>
      <c r="T413" s="1" t="s">
        <v>539</v>
      </c>
      <c r="V413" s="4">
        <v>7362434.0</v>
      </c>
      <c r="W413" s="4" t="s">
        <v>653</v>
      </c>
      <c r="X413" s="4">
        <v>0.0</v>
      </c>
      <c r="Y413" s="1">
        <v>1.0</v>
      </c>
      <c r="Z413" s="1">
        <v>0.0</v>
      </c>
      <c r="AA413" s="1">
        <v>0.0</v>
      </c>
      <c r="AB413" s="1">
        <v>0.0</v>
      </c>
      <c r="AC413" s="1">
        <v>0.0</v>
      </c>
      <c r="AD413" s="1">
        <v>0.0</v>
      </c>
      <c r="AE413" s="1">
        <v>0.0</v>
      </c>
      <c r="AF413" s="1">
        <v>0.0</v>
      </c>
      <c r="AG413" s="1">
        <v>0.0</v>
      </c>
      <c r="AH413" s="1">
        <v>0.0</v>
      </c>
      <c r="AI413" s="1">
        <v>0.0</v>
      </c>
      <c r="AJ413" s="1">
        <v>0.0</v>
      </c>
      <c r="AK413" s="1">
        <v>0.0</v>
      </c>
      <c r="AL413" s="1">
        <v>0.0</v>
      </c>
      <c r="AM413" s="4">
        <v>0.0</v>
      </c>
      <c r="AN413" s="1">
        <v>0.0</v>
      </c>
      <c r="AO413" s="4">
        <v>0.0</v>
      </c>
      <c r="AP413" s="1">
        <f t="shared" si="1"/>
        <v>0</v>
      </c>
      <c r="AQ413" s="1" t="s">
        <v>557</v>
      </c>
      <c r="AR413" s="1" t="s">
        <v>560</v>
      </c>
      <c r="AT413" s="1" t="s">
        <v>560</v>
      </c>
      <c r="AU413" s="2">
        <v>46007.0</v>
      </c>
      <c r="AV413" s="2">
        <v>46024.0236111111</v>
      </c>
      <c r="AW413" s="1">
        <v>2.0</v>
      </c>
      <c r="AX413" s="1">
        <v>918519.6</v>
      </c>
      <c r="AY413" s="1">
        <v>358.0</v>
      </c>
      <c r="AZ413" s="1">
        <v>1.0</v>
      </c>
      <c r="BA413" s="1">
        <v>0.0</v>
      </c>
      <c r="BB413" s="1">
        <v>0.0</v>
      </c>
      <c r="BC413" s="2">
        <v>46007.0</v>
      </c>
      <c r="BD413" s="1">
        <v>50.0</v>
      </c>
      <c r="BE413" s="1" t="s">
        <v>550</v>
      </c>
      <c r="BF413" s="1">
        <v>2025.0</v>
      </c>
      <c r="BG413" s="1" t="s">
        <v>558</v>
      </c>
      <c r="BH413" s="7" t="str">
        <f>VLOOKUP(B413,CookieClicks!D:O,12,FALSE)</f>
        <v>https://www.method.me/</v>
      </c>
      <c r="BI413" s="8" t="str">
        <f>IFERROR(__xludf.DUMMYFUNCTION("VLOOKUP(REGEXREPLACE(BH413,""[?].*"",""""),ContentBuckets!A:C,2,FALSE)"),"Homepage")</f>
        <v>Homepage</v>
      </c>
      <c r="BJ413" s="8" t="str">
        <f>IFERROR(__xludf.DUMMYFUNCTION("VLOOKUP(REGEXREPLACE(BH413,""[?].*"",""""),ContentBuckets!A:C,3,FALSE)"),"Other page")</f>
        <v>Other page</v>
      </c>
    </row>
    <row r="414" ht="14.25" customHeight="1">
      <c r="A414" s="1">
        <v>153619.0</v>
      </c>
      <c r="B414" s="1" t="s">
        <v>1141</v>
      </c>
      <c r="C414" s="2">
        <v>46007.6986111111</v>
      </c>
      <c r="D414" s="2"/>
      <c r="E414" s="2"/>
      <c r="F414" s="1" t="b">
        <v>1</v>
      </c>
      <c r="G414" s="4" t="b">
        <v>0</v>
      </c>
      <c r="H414" s="1" t="b">
        <v>0</v>
      </c>
      <c r="I414" s="1" t="b">
        <v>0</v>
      </c>
      <c r="J414" s="1" t="s">
        <v>534</v>
      </c>
      <c r="K414" s="1" t="s">
        <v>535</v>
      </c>
      <c r="L414" s="1" t="s">
        <v>536</v>
      </c>
      <c r="M414" s="1" t="s">
        <v>537</v>
      </c>
      <c r="N414" s="1">
        <v>0.0</v>
      </c>
      <c r="O414" s="1">
        <v>44.25</v>
      </c>
      <c r="P414" s="1">
        <v>0.0</v>
      </c>
      <c r="Q414" s="1">
        <v>0.0</v>
      </c>
      <c r="R414" s="1">
        <v>28.0</v>
      </c>
      <c r="S414" s="1" t="s">
        <v>538</v>
      </c>
      <c r="T414" s="1" t="s">
        <v>539</v>
      </c>
      <c r="V414" s="4">
        <v>7353796.0</v>
      </c>
      <c r="W414" s="4"/>
      <c r="X414" s="4">
        <v>0.0</v>
      </c>
      <c r="Y414" s="1">
        <v>0.0</v>
      </c>
      <c r="Z414" s="1">
        <v>0.8</v>
      </c>
      <c r="AA414" s="1">
        <v>0.2</v>
      </c>
      <c r="AB414" s="1">
        <v>0.0</v>
      </c>
      <c r="AC414" s="1">
        <v>0.0</v>
      </c>
      <c r="AD414" s="1">
        <v>0.0</v>
      </c>
      <c r="AE414" s="1">
        <v>0.0</v>
      </c>
      <c r="AF414" s="1">
        <v>0.0</v>
      </c>
      <c r="AG414" s="1">
        <v>0.0</v>
      </c>
      <c r="AH414" s="1">
        <v>0.0</v>
      </c>
      <c r="AI414" s="1">
        <v>0.0</v>
      </c>
      <c r="AJ414" s="1">
        <v>0.0</v>
      </c>
      <c r="AK414" s="1">
        <v>0.0</v>
      </c>
      <c r="AL414" s="1">
        <v>0.0</v>
      </c>
      <c r="AM414" s="4">
        <v>0.0</v>
      </c>
      <c r="AN414" s="1">
        <v>0.0</v>
      </c>
      <c r="AO414" s="4">
        <v>0.0</v>
      </c>
      <c r="AP414" s="1">
        <f t="shared" si="1"/>
        <v>0</v>
      </c>
      <c r="AQ414" s="1" t="s">
        <v>557</v>
      </c>
      <c r="AR414" s="1" t="s">
        <v>564</v>
      </c>
      <c r="AT414" s="1" t="s">
        <v>1102</v>
      </c>
      <c r="AU414" s="2">
        <v>46007.0</v>
      </c>
      <c r="AV414" s="2">
        <v>46024.0243055556</v>
      </c>
      <c r="AW414" s="1">
        <v>1.0</v>
      </c>
      <c r="AX414" s="1">
        <v>22328.16</v>
      </c>
      <c r="AY414" s="1">
        <v>81.0</v>
      </c>
      <c r="AZ414" s="1">
        <v>1.0</v>
      </c>
      <c r="BA414" s="1">
        <v>0.0</v>
      </c>
      <c r="BB414" s="1">
        <v>1.0</v>
      </c>
      <c r="BC414" s="2">
        <v>46007.0</v>
      </c>
      <c r="BD414" s="1">
        <v>50.0</v>
      </c>
      <c r="BE414" s="1" t="s">
        <v>550</v>
      </c>
      <c r="BF414" s="1">
        <v>2025.0</v>
      </c>
      <c r="BG414" s="1" t="s">
        <v>558</v>
      </c>
      <c r="BH414" s="7" t="str">
        <f>VLOOKUP(B414,CookieClicks!D:O,12,FALSE)</f>
        <v>https://signup.method.me/QBOAppstoreSignup?offering=methodcrm</v>
      </c>
      <c r="BI414" s="8" t="str">
        <f>IFERROR(__xludf.DUMMYFUNCTION("VLOOKUP(REGEXREPLACE(BH414,""[?].*"",""""),ContentBuckets!A:C,2,FALSE)"),"#N/A")</f>
        <v>#N/A</v>
      </c>
      <c r="BJ414" s="8" t="str">
        <f>IFERROR(__xludf.DUMMYFUNCTION("VLOOKUP(REGEXREPLACE(BH414,""[?].*"",""""),ContentBuckets!A:C,3,FALSE)"),"#N/A")</f>
        <v>#N/A</v>
      </c>
    </row>
    <row r="415" ht="14.25" customHeight="1">
      <c r="A415" s="1">
        <v>153620.0</v>
      </c>
      <c r="B415" s="1" t="s">
        <v>1142</v>
      </c>
      <c r="C415" s="2">
        <v>46007.7027777778</v>
      </c>
      <c r="D415" s="2"/>
      <c r="E415" s="2">
        <v>46008.4993055556</v>
      </c>
      <c r="F415" s="1" t="b">
        <v>1</v>
      </c>
      <c r="G415" s="4" t="b">
        <v>0</v>
      </c>
      <c r="H415" s="1" t="b">
        <v>0</v>
      </c>
      <c r="I415" s="1" t="b">
        <v>0</v>
      </c>
      <c r="J415" s="1" t="s">
        <v>534</v>
      </c>
      <c r="K415" s="1" t="s">
        <v>566</v>
      </c>
      <c r="L415" s="1" t="s">
        <v>567</v>
      </c>
      <c r="M415" s="1" t="s">
        <v>537</v>
      </c>
      <c r="N415" s="1">
        <v>221.25</v>
      </c>
      <c r="O415" s="1">
        <v>221.25</v>
      </c>
      <c r="P415" s="1">
        <v>0.0</v>
      </c>
      <c r="Q415" s="1">
        <v>0.0</v>
      </c>
      <c r="R415" s="1">
        <v>28.0</v>
      </c>
      <c r="S415" s="1" t="s">
        <v>538</v>
      </c>
      <c r="T415" s="1" t="s">
        <v>725</v>
      </c>
      <c r="U415" s="1" t="s">
        <v>1089</v>
      </c>
      <c r="V415" s="4">
        <v>7360089.0</v>
      </c>
      <c r="W415" s="4"/>
      <c r="X415" s="4">
        <v>0.0</v>
      </c>
      <c r="Y415" s="1">
        <v>0.0</v>
      </c>
      <c r="Z415" s="1">
        <v>0.0</v>
      </c>
      <c r="AA415" s="1">
        <v>0.0</v>
      </c>
      <c r="AB415" s="1">
        <v>1.0</v>
      </c>
      <c r="AC415" s="1">
        <v>0.0</v>
      </c>
      <c r="AD415" s="1">
        <v>0.0</v>
      </c>
      <c r="AE415" s="1">
        <v>0.0</v>
      </c>
      <c r="AF415" s="1">
        <v>0.0</v>
      </c>
      <c r="AG415" s="1">
        <v>0.0</v>
      </c>
      <c r="AH415" s="1">
        <v>0.0</v>
      </c>
      <c r="AI415" s="1">
        <v>0.0</v>
      </c>
      <c r="AJ415" s="1">
        <v>0.0</v>
      </c>
      <c r="AK415" s="1">
        <v>0.0</v>
      </c>
      <c r="AL415" s="1">
        <v>0.0</v>
      </c>
      <c r="AM415" s="4">
        <v>0.0</v>
      </c>
      <c r="AN415" s="1">
        <v>0.0</v>
      </c>
      <c r="AO415" s="4">
        <v>0.0</v>
      </c>
      <c r="AP415" s="1">
        <f t="shared" si="1"/>
        <v>0</v>
      </c>
      <c r="AQ415" s="1" t="s">
        <v>557</v>
      </c>
      <c r="AR415" s="1" t="s">
        <v>571</v>
      </c>
      <c r="AU415" s="2">
        <v>46007.0</v>
      </c>
      <c r="AV415" s="2">
        <v>46024.0090277778</v>
      </c>
      <c r="AW415" s="1">
        <v>11.0</v>
      </c>
      <c r="AX415" s="1">
        <v>2611672.2</v>
      </c>
      <c r="AY415" s="1">
        <v>4120.0</v>
      </c>
      <c r="AZ415" s="1">
        <v>5.0</v>
      </c>
      <c r="BA415" s="1">
        <v>0.0</v>
      </c>
      <c r="BB415" s="1">
        <v>2.0</v>
      </c>
      <c r="BC415" s="2">
        <v>46007.0</v>
      </c>
      <c r="BD415" s="1">
        <v>50.0</v>
      </c>
      <c r="BE415" s="1" t="s">
        <v>550</v>
      </c>
      <c r="BF415" s="1">
        <v>2025.0</v>
      </c>
      <c r="BG415" s="1" t="s">
        <v>558</v>
      </c>
      <c r="BH415" s="7" t="str">
        <f>VLOOKUP(B415,CookieClicks!D:O,12,FALSE)</f>
        <v>https://signin.method.me/?returnUrl=https%3A%2F%2Fercsolutionsinc.method.me%2Fapps%2FDefault.aspx%23%2F</v>
      </c>
      <c r="BI415" s="8" t="str">
        <f>IFERROR(__xludf.DUMMYFUNCTION("VLOOKUP(REGEXREPLACE(BH415,""[?].*"",""""),ContentBuckets!A:C,2,FALSE)"),"#N/A")</f>
        <v>#N/A</v>
      </c>
      <c r="BJ415" s="8" t="str">
        <f>IFERROR(__xludf.DUMMYFUNCTION("VLOOKUP(REGEXREPLACE(BH415,""[?].*"",""""),ContentBuckets!A:C,3,FALSE)"),"#N/A")</f>
        <v>#N/A</v>
      </c>
    </row>
    <row r="416" ht="14.25" customHeight="1">
      <c r="A416" s="1">
        <v>153621.0</v>
      </c>
      <c r="B416" s="1" t="s">
        <v>1143</v>
      </c>
      <c r="C416" s="2">
        <v>46007.7201388889</v>
      </c>
      <c r="D416" s="2"/>
      <c r="E416" s="2"/>
      <c r="F416" s="1" t="b">
        <v>1</v>
      </c>
      <c r="G416" s="4" t="b">
        <v>0</v>
      </c>
      <c r="H416" s="1" t="b">
        <v>0</v>
      </c>
      <c r="I416" s="1" t="b">
        <v>0</v>
      </c>
      <c r="J416" s="1" t="s">
        <v>534</v>
      </c>
      <c r="K416" s="1" t="s">
        <v>535</v>
      </c>
      <c r="L416" s="1" t="s">
        <v>536</v>
      </c>
      <c r="M416" s="1" t="s">
        <v>537</v>
      </c>
      <c r="N416" s="1">
        <v>0.0</v>
      </c>
      <c r="O416" s="1">
        <v>53.25</v>
      </c>
      <c r="P416" s="1">
        <v>0.0</v>
      </c>
      <c r="Q416" s="1">
        <v>0.0</v>
      </c>
      <c r="R416" s="1">
        <v>28.0</v>
      </c>
      <c r="S416" s="1" t="s">
        <v>538</v>
      </c>
      <c r="T416" s="1" t="s">
        <v>725</v>
      </c>
      <c r="U416" s="1" t="s">
        <v>1089</v>
      </c>
      <c r="V416" s="4">
        <v>7277373.0</v>
      </c>
      <c r="W416" s="4"/>
      <c r="X416" s="4">
        <v>0.0</v>
      </c>
      <c r="Y416" s="1">
        <v>0.0</v>
      </c>
      <c r="Z416" s="1">
        <v>0.0</v>
      </c>
      <c r="AA416" s="1">
        <v>0.45</v>
      </c>
      <c r="AB416" s="1">
        <v>0.5</v>
      </c>
      <c r="AC416" s="1">
        <v>0.05</v>
      </c>
      <c r="AD416" s="1">
        <v>0.0</v>
      </c>
      <c r="AE416" s="1">
        <v>0.0</v>
      </c>
      <c r="AF416" s="1">
        <v>0.0</v>
      </c>
      <c r="AG416" s="1">
        <v>0.0</v>
      </c>
      <c r="AH416" s="1">
        <v>0.0</v>
      </c>
      <c r="AI416" s="1">
        <v>0.0</v>
      </c>
      <c r="AJ416" s="1">
        <v>0.0</v>
      </c>
      <c r="AK416" s="1">
        <v>0.0</v>
      </c>
      <c r="AL416" s="1">
        <v>0.0</v>
      </c>
      <c r="AM416" s="4">
        <v>0.0</v>
      </c>
      <c r="AN416" s="1">
        <v>0.0</v>
      </c>
      <c r="AO416" s="4">
        <v>0.0</v>
      </c>
      <c r="AP416" s="1">
        <f t="shared" si="1"/>
        <v>0</v>
      </c>
      <c r="AR416" s="1" t="s">
        <v>578</v>
      </c>
      <c r="AU416" s="2"/>
      <c r="AV416" s="2">
        <v>46024.01875</v>
      </c>
      <c r="AW416" s="1">
        <v>0.0</v>
      </c>
      <c r="AX416" s="1">
        <v>0.0</v>
      </c>
      <c r="AY416" s="1">
        <v>0.0</v>
      </c>
      <c r="AZ416" s="1">
        <v>1.0</v>
      </c>
      <c r="BA416" s="1">
        <v>0.0</v>
      </c>
      <c r="BB416" s="1">
        <v>0.0</v>
      </c>
      <c r="BC416" s="2">
        <v>46007.0</v>
      </c>
      <c r="BD416" s="1">
        <v>50.0</v>
      </c>
      <c r="BE416" s="1" t="s">
        <v>550</v>
      </c>
      <c r="BF416" s="1">
        <v>2025.0</v>
      </c>
      <c r="BG416" s="1" t="s">
        <v>558</v>
      </c>
      <c r="BH416" s="1" t="str">
        <f>VLOOKUP(B416,CookieClicks!D:O,12,FALSE)</f>
        <v>https://grow.method.me/best-quickbooks-crm/?trc=86&amp;trk=grow.method.me&amp;trs=Bing-PMax&amp;msclkid=06e945540d7313589d582c633672bc12&amp;utm_source=bing&amp;utm_medium=cpc&amp;utm_campaign=Bing - PMAX&amp;utm_term=grow.method.me&amp;utm_content=US - retargeting</v>
      </c>
      <c r="BI416" s="8" t="str">
        <f>IFERROR(__xludf.DUMMYFUNCTION("VLOOKUP(REGEXREPLACE(BH416,""[?].*"",""""),ContentBuckets!A:C,2,FALSE)"),"#N/A")</f>
        <v>#N/A</v>
      </c>
      <c r="BJ416" s="8" t="str">
        <f>IFERROR(__xludf.DUMMYFUNCTION("VLOOKUP(REGEXREPLACE(BH416,""[?].*"",""""),ContentBuckets!A:C,3,FALSE)"),"#N/A")</f>
        <v>#N/A</v>
      </c>
    </row>
    <row r="417" ht="14.25" customHeight="1">
      <c r="A417" s="1">
        <v>153622.0</v>
      </c>
      <c r="B417" s="1" t="s">
        <v>1144</v>
      </c>
      <c r="C417" s="2">
        <v>46007.73125</v>
      </c>
      <c r="D417" s="2"/>
      <c r="E417" s="2"/>
      <c r="F417" s="1" t="b">
        <v>1</v>
      </c>
      <c r="G417" s="4" t="b">
        <v>0</v>
      </c>
      <c r="H417" s="1" t="b">
        <v>0</v>
      </c>
      <c r="I417" s="1" t="b">
        <v>0</v>
      </c>
      <c r="J417" s="1" t="s">
        <v>534</v>
      </c>
      <c r="K417" s="1" t="s">
        <v>535</v>
      </c>
      <c r="L417" s="1" t="s">
        <v>536</v>
      </c>
      <c r="M417" s="1" t="s">
        <v>537</v>
      </c>
      <c r="N417" s="1">
        <v>0.0</v>
      </c>
      <c r="O417" s="1">
        <v>88.5</v>
      </c>
      <c r="P417" s="1">
        <v>0.0</v>
      </c>
      <c r="Q417" s="1">
        <v>0.0</v>
      </c>
      <c r="R417" s="1">
        <v>28.0</v>
      </c>
      <c r="S417" s="1" t="s">
        <v>538</v>
      </c>
      <c r="T417" s="1" t="s">
        <v>539</v>
      </c>
      <c r="V417" s="4">
        <v>7363111.0</v>
      </c>
      <c r="W417" s="4"/>
      <c r="X417" s="4">
        <v>0.0</v>
      </c>
      <c r="Y417" s="1">
        <v>0.0</v>
      </c>
      <c r="Z417" s="1">
        <v>0.0</v>
      </c>
      <c r="AA417" s="1">
        <v>1.0</v>
      </c>
      <c r="AB417" s="1">
        <v>0.0</v>
      </c>
      <c r="AC417" s="1">
        <v>0.0</v>
      </c>
      <c r="AD417" s="1">
        <v>0.0</v>
      </c>
      <c r="AE417" s="1">
        <v>0.0</v>
      </c>
      <c r="AF417" s="1">
        <v>0.0</v>
      </c>
      <c r="AG417" s="1">
        <v>0.0</v>
      </c>
      <c r="AH417" s="1">
        <v>0.0</v>
      </c>
      <c r="AI417" s="1">
        <v>0.0</v>
      </c>
      <c r="AJ417" s="1">
        <v>0.0</v>
      </c>
      <c r="AK417" s="1">
        <v>0.0</v>
      </c>
      <c r="AL417" s="1">
        <v>0.0</v>
      </c>
      <c r="AM417" s="4">
        <v>0.0</v>
      </c>
      <c r="AN417" s="1">
        <v>0.0</v>
      </c>
      <c r="AO417" s="4">
        <v>0.0</v>
      </c>
      <c r="AP417" s="1">
        <f t="shared" si="1"/>
        <v>0</v>
      </c>
      <c r="AQ417" s="1" t="s">
        <v>557</v>
      </c>
      <c r="AR417" s="1" t="s">
        <v>578</v>
      </c>
      <c r="AU417" s="2">
        <v>46007.0</v>
      </c>
      <c r="AV417" s="2">
        <v>46024.0166666667</v>
      </c>
      <c r="AW417" s="1">
        <v>0.0</v>
      </c>
      <c r="AX417" s="1">
        <v>1320600.0</v>
      </c>
      <c r="AY417" s="1">
        <v>2.0</v>
      </c>
      <c r="AZ417" s="1">
        <v>2.0</v>
      </c>
      <c r="BA417" s="1">
        <v>0.0</v>
      </c>
      <c r="BB417" s="1">
        <v>0.0</v>
      </c>
      <c r="BC417" s="2">
        <v>46007.0</v>
      </c>
      <c r="BD417" s="1">
        <v>50.0</v>
      </c>
      <c r="BE417" s="1" t="s">
        <v>550</v>
      </c>
      <c r="BF417" s="1">
        <v>2025.0</v>
      </c>
      <c r="BG417" s="1" t="s">
        <v>558</v>
      </c>
      <c r="BH417" s="1" t="str">
        <f>VLOOKUP(B417,CookieClicks!D:O,12,FALSE)</f>
        <v>https://grow.method.me/qb-payment/?trc=81&amp;trk=quickbooks online payment processing&amp;trs=US-payment&amp;campaignid=19733246298&amp;adgroupid=146278163933&amp;adid=649435146420&amp;gad_source=1&amp;gad_campaignid=19733246298&amp;gclid=Cj0KCQiAo4TKBhDRARIsAGW29bcHUqcHf7Lf1-doaGgCBuELD2YZcoJ6KGciaZXkPsuWyykQBhYUXOcaAtytEALw_wcB</v>
      </c>
      <c r="BI417" s="8" t="str">
        <f>IFERROR(__xludf.DUMMYFUNCTION("VLOOKUP(REGEXREPLACE(BH417,""[?].*"",""""),ContentBuckets!A:C,2,FALSE)"),"#N/A")</f>
        <v>#N/A</v>
      </c>
      <c r="BJ417" s="8" t="str">
        <f>IFERROR(__xludf.DUMMYFUNCTION("VLOOKUP(REGEXREPLACE(BH417,""[?].*"",""""),ContentBuckets!A:C,3,FALSE)"),"#N/A")</f>
        <v>#N/A</v>
      </c>
    </row>
    <row r="418" ht="14.25" customHeight="1">
      <c r="A418" s="1">
        <v>153623.0</v>
      </c>
      <c r="B418" s="1" t="s">
        <v>1145</v>
      </c>
      <c r="C418" s="2">
        <v>46007.8055555556</v>
      </c>
      <c r="D418" s="2"/>
      <c r="E418" s="2">
        <v>46022.5458333333</v>
      </c>
      <c r="F418" s="1" t="b">
        <v>1</v>
      </c>
      <c r="G418" s="4" t="b">
        <v>0</v>
      </c>
      <c r="H418" s="1" t="b">
        <v>0</v>
      </c>
      <c r="I418" s="1" t="b">
        <v>0</v>
      </c>
      <c r="J418" s="1" t="s">
        <v>534</v>
      </c>
      <c r="K418" s="1" t="s">
        <v>535</v>
      </c>
      <c r="L418" s="1" t="s">
        <v>536</v>
      </c>
      <c r="M418" s="1" t="s">
        <v>537</v>
      </c>
      <c r="N418" s="1">
        <v>53.25</v>
      </c>
      <c r="O418" s="1">
        <v>53.25</v>
      </c>
      <c r="P418" s="1">
        <v>0.0</v>
      </c>
      <c r="Q418" s="1">
        <v>0.0</v>
      </c>
      <c r="R418" s="1">
        <v>28.0</v>
      </c>
      <c r="S418" s="1" t="s">
        <v>538</v>
      </c>
      <c r="T418" s="1" t="s">
        <v>539</v>
      </c>
      <c r="V418" s="4">
        <v>7363938.0</v>
      </c>
      <c r="W418" s="4"/>
      <c r="X418" s="4">
        <v>1.0</v>
      </c>
      <c r="Y418" s="1">
        <v>0.0</v>
      </c>
      <c r="Z418" s="1">
        <v>0.0</v>
      </c>
      <c r="AA418" s="1">
        <v>0.0</v>
      </c>
      <c r="AB418" s="1">
        <v>0.0</v>
      </c>
      <c r="AC418" s="1">
        <v>0.0</v>
      </c>
      <c r="AD418" s="1">
        <v>0.0</v>
      </c>
      <c r="AE418" s="1">
        <v>0.0</v>
      </c>
      <c r="AF418" s="1">
        <v>0.0</v>
      </c>
      <c r="AG418" s="1">
        <v>0.0</v>
      </c>
      <c r="AH418" s="1">
        <v>0.0</v>
      </c>
      <c r="AI418" s="1">
        <v>0.0</v>
      </c>
      <c r="AJ418" s="1">
        <v>0.0</v>
      </c>
      <c r="AK418" s="1">
        <v>0.0</v>
      </c>
      <c r="AL418" s="1">
        <v>0.0</v>
      </c>
      <c r="AM418" s="4">
        <v>0.0</v>
      </c>
      <c r="AN418" s="1">
        <v>0.0</v>
      </c>
      <c r="AO418" s="4">
        <v>0.0</v>
      </c>
      <c r="AP418" s="1">
        <f t="shared" si="1"/>
        <v>0</v>
      </c>
      <c r="AQ418" s="1" t="s">
        <v>557</v>
      </c>
      <c r="AR418" s="1" t="s">
        <v>542</v>
      </c>
      <c r="AT418" s="1" t="s">
        <v>1146</v>
      </c>
      <c r="AU418" s="2">
        <v>46007.0</v>
      </c>
      <c r="AV418" s="2">
        <v>46024.0111111111</v>
      </c>
      <c r="AW418" s="1">
        <v>0.0</v>
      </c>
      <c r="AX418" s="1">
        <v>0.0</v>
      </c>
      <c r="AY418" s="1">
        <v>1352.0</v>
      </c>
      <c r="AZ418" s="1">
        <v>1.0</v>
      </c>
      <c r="BA418" s="1">
        <v>0.0</v>
      </c>
      <c r="BB418" s="1">
        <v>0.0</v>
      </c>
      <c r="BC418" s="2">
        <v>46007.0</v>
      </c>
      <c r="BD418" s="1">
        <v>50.0</v>
      </c>
      <c r="BE418" s="1" t="s">
        <v>550</v>
      </c>
      <c r="BF418" s="1">
        <v>2025.0</v>
      </c>
      <c r="BG418" s="1" t="s">
        <v>558</v>
      </c>
      <c r="BH418" s="7" t="str">
        <f>VLOOKUP(B418,CookieClicks!D:O,12,FALSE)</f>
        <v>http://signup.method.me/methodcrm</v>
      </c>
      <c r="BI418" s="8" t="str">
        <f>IFERROR(__xludf.DUMMYFUNCTION("VLOOKUP(REGEXREPLACE(BH418,""[?].*"",""""),ContentBuckets!A:C,2,FALSE)"),"#N/A")</f>
        <v>#N/A</v>
      </c>
      <c r="BJ418" s="8" t="str">
        <f>IFERROR(__xludf.DUMMYFUNCTION("VLOOKUP(REGEXREPLACE(BH418,""[?].*"",""""),ContentBuckets!A:C,3,FALSE)"),"#N/A")</f>
        <v>#N/A</v>
      </c>
    </row>
    <row r="419" ht="14.25" customHeight="1">
      <c r="A419" s="1">
        <v>153624.0</v>
      </c>
      <c r="B419" s="1" t="s">
        <v>1147</v>
      </c>
      <c r="C419" s="2">
        <v>46007.8284722222</v>
      </c>
      <c r="D419" s="2"/>
      <c r="E419" s="2"/>
      <c r="F419" s="1" t="b">
        <v>1</v>
      </c>
      <c r="G419" s="4" t="b">
        <v>0</v>
      </c>
      <c r="H419" s="1" t="b">
        <v>0</v>
      </c>
      <c r="I419" s="1" t="b">
        <v>0</v>
      </c>
      <c r="J419" s="1" t="s">
        <v>534</v>
      </c>
      <c r="K419" s="1" t="s">
        <v>535</v>
      </c>
      <c r="L419" s="1" t="s">
        <v>536</v>
      </c>
      <c r="M419" s="1" t="s">
        <v>537</v>
      </c>
      <c r="N419" s="1">
        <v>0.0</v>
      </c>
      <c r="O419" s="1">
        <v>44.25</v>
      </c>
      <c r="P419" s="1">
        <v>0.0</v>
      </c>
      <c r="Q419" s="1">
        <v>0.0</v>
      </c>
      <c r="R419" s="1">
        <v>0.0</v>
      </c>
      <c r="S419" s="1" t="s">
        <v>538</v>
      </c>
      <c r="T419" s="1" t="s">
        <v>539</v>
      </c>
      <c r="V419" s="4">
        <v>7364206.0</v>
      </c>
      <c r="W419" s="4"/>
      <c r="X419" s="4">
        <v>0.0</v>
      </c>
      <c r="Y419" s="1">
        <v>0.0</v>
      </c>
      <c r="Z419" s="1">
        <v>0.0</v>
      </c>
      <c r="AA419" s="1">
        <v>0.0</v>
      </c>
      <c r="AB419" s="1">
        <v>0.0</v>
      </c>
      <c r="AC419" s="1">
        <v>0.0</v>
      </c>
      <c r="AD419" s="1">
        <v>0.0</v>
      </c>
      <c r="AE419" s="1">
        <v>0.0</v>
      </c>
      <c r="AF419" s="1">
        <v>0.0</v>
      </c>
      <c r="AG419" s="1">
        <v>0.0</v>
      </c>
      <c r="AH419" s="1">
        <v>0.0</v>
      </c>
      <c r="AI419" s="1">
        <v>0.0</v>
      </c>
      <c r="AJ419" s="1">
        <v>0.0</v>
      </c>
      <c r="AK419" s="1">
        <v>0.0</v>
      </c>
      <c r="AL419" s="1">
        <v>0.0</v>
      </c>
      <c r="AM419" s="4">
        <v>0.0</v>
      </c>
      <c r="AN419" s="1">
        <v>0.0</v>
      </c>
      <c r="AO419" s="4">
        <v>0.0</v>
      </c>
      <c r="AP419" s="1">
        <f t="shared" si="1"/>
        <v>1</v>
      </c>
      <c r="AU419" s="2"/>
      <c r="AV419" s="2">
        <v>46023.99375</v>
      </c>
      <c r="AW419" s="1">
        <v>0.0</v>
      </c>
      <c r="AX419" s="1">
        <v>0.0</v>
      </c>
      <c r="AY419" s="1">
        <v>0.0</v>
      </c>
      <c r="AZ419" s="1">
        <v>1.0</v>
      </c>
      <c r="BA419" s="1">
        <v>0.0</v>
      </c>
      <c r="BB419" s="1">
        <v>0.0</v>
      </c>
      <c r="BC419" s="2">
        <v>46007.0</v>
      </c>
      <c r="BD419" s="1">
        <v>50.0</v>
      </c>
      <c r="BE419" s="1" t="s">
        <v>550</v>
      </c>
      <c r="BF419" s="1">
        <v>2025.0</v>
      </c>
      <c r="BG419" s="1" t="s">
        <v>1148</v>
      </c>
      <c r="BH419" s="7" t="str">
        <f>VLOOKUP(B419,CookieClicks!D:O,12,FALSE)</f>
        <v>http://signup.method.me/methodcrm?_gl=1*3bfdok*_gcl_au*ODQ2NTk4NjY2LjE3NjU5MzI3NzQ.*_ga*NzI2NjAwODYzLjE3NjU5MzI3NzU.*_ga_L2HEZNW53E*czE3NjU5MzI3NzQkbzEkZzAkdDE3NjU5MzI3NzQkajYwJGwwJGgyMTk0MTk1OTk.&amp;_ga=2.114474181.391558479.1765932775-726600863.1765932775</v>
      </c>
      <c r="BI419" s="8" t="str">
        <f>IFERROR(__xludf.DUMMYFUNCTION("VLOOKUP(REGEXREPLACE(BH419,""[?].*"",""""),ContentBuckets!A:C,2,FALSE)"),"#N/A")</f>
        <v>#N/A</v>
      </c>
      <c r="BJ419" s="8" t="str">
        <f>IFERROR(__xludf.DUMMYFUNCTION("VLOOKUP(REGEXREPLACE(BH419,""[?].*"",""""),ContentBuckets!A:C,3,FALSE)"),"#N/A")</f>
        <v>#N/A</v>
      </c>
    </row>
    <row r="420" ht="14.25" customHeight="1">
      <c r="A420" s="1">
        <v>153625.0</v>
      </c>
      <c r="B420" s="1" t="s">
        <v>1149</v>
      </c>
      <c r="C420" s="2">
        <v>46007.9020833333</v>
      </c>
      <c r="D420" s="2"/>
      <c r="E420" s="2"/>
      <c r="F420" s="1" t="b">
        <v>1</v>
      </c>
      <c r="G420" s="4" t="b">
        <v>0</v>
      </c>
      <c r="H420" s="1" t="b">
        <v>0</v>
      </c>
      <c r="I420" s="1" t="b">
        <v>0</v>
      </c>
      <c r="J420" s="1" t="s">
        <v>534</v>
      </c>
      <c r="K420" s="1" t="s">
        <v>535</v>
      </c>
      <c r="L420" s="1" t="s">
        <v>536</v>
      </c>
      <c r="M420" s="1" t="s">
        <v>537</v>
      </c>
      <c r="N420" s="1">
        <v>0.0</v>
      </c>
      <c r="O420" s="1">
        <v>44.25</v>
      </c>
      <c r="P420" s="1">
        <v>0.0</v>
      </c>
      <c r="Q420" s="1">
        <v>0.0</v>
      </c>
      <c r="R420" s="1">
        <v>0.0</v>
      </c>
      <c r="S420" s="1" t="s">
        <v>538</v>
      </c>
      <c r="T420" s="1" t="s">
        <v>539</v>
      </c>
      <c r="V420" s="4">
        <v>7364506.0</v>
      </c>
      <c r="W420" s="4"/>
      <c r="X420" s="4">
        <v>0.0</v>
      </c>
      <c r="Y420" s="1">
        <v>0.0</v>
      </c>
      <c r="Z420" s="1">
        <v>0.0</v>
      </c>
      <c r="AA420" s="1">
        <v>1.0</v>
      </c>
      <c r="AB420" s="1">
        <v>0.0</v>
      </c>
      <c r="AC420" s="1">
        <v>0.0</v>
      </c>
      <c r="AD420" s="1">
        <v>0.0</v>
      </c>
      <c r="AE420" s="1">
        <v>0.0</v>
      </c>
      <c r="AF420" s="1">
        <v>0.0</v>
      </c>
      <c r="AG420" s="1">
        <v>0.0</v>
      </c>
      <c r="AH420" s="1">
        <v>0.0</v>
      </c>
      <c r="AI420" s="1">
        <v>0.0</v>
      </c>
      <c r="AJ420" s="1">
        <v>0.0</v>
      </c>
      <c r="AK420" s="1">
        <v>0.0</v>
      </c>
      <c r="AL420" s="1">
        <v>0.0</v>
      </c>
      <c r="AM420" s="4">
        <v>0.0</v>
      </c>
      <c r="AN420" s="1">
        <v>0.0</v>
      </c>
      <c r="AO420" s="4">
        <v>0.0</v>
      </c>
      <c r="AP420" s="1">
        <f t="shared" si="1"/>
        <v>0</v>
      </c>
      <c r="AU420" s="2">
        <v>46007.0</v>
      </c>
      <c r="AV420" s="2">
        <v>46023.9958333333</v>
      </c>
      <c r="AW420" s="1">
        <v>0.0</v>
      </c>
      <c r="AX420" s="1">
        <v>0.0</v>
      </c>
      <c r="AY420" s="1">
        <v>2.0</v>
      </c>
      <c r="AZ420" s="1">
        <v>1.0</v>
      </c>
      <c r="BA420" s="1">
        <v>0.0</v>
      </c>
      <c r="BB420" s="1">
        <v>0.0</v>
      </c>
      <c r="BC420" s="2">
        <v>46007.0</v>
      </c>
      <c r="BD420" s="1">
        <v>50.0</v>
      </c>
      <c r="BE420" s="1" t="s">
        <v>550</v>
      </c>
      <c r="BF420" s="1">
        <v>2025.0</v>
      </c>
      <c r="BG420" s="1" t="s">
        <v>546</v>
      </c>
      <c r="BH420" s="1" t="str">
        <f>VLOOKUP(B420,CookieClicks!D:O,12,FALSE)</f>
        <v>https://grow.method.me/quickbooks-customization/?trc=81&amp;trk=invoice template in quickbooks online&amp;trs=CA-Customization&amp;campaignid=1543604353&amp;adgroupid=187747789113&amp;adid=776764616790&amp;gad_source=1&amp;gad_campaignid=1543604353&amp;gbraid=0AAAAAD3Itnb_oqKE1dRFyJua9Yk-b7AxO&amp;gclid=Cj0KCQiAo4TKBhDRARIsAGW29bdyt5oKKvcxqOcguhUFi7h9etfJXJCXRq8XSIJJniG7M_o9g1-R1UoaAp2fEALw_wcB</v>
      </c>
      <c r="BI420" s="8" t="str">
        <f>IFERROR(__xludf.DUMMYFUNCTION("VLOOKUP(REGEXREPLACE(BH420,""[?].*"",""""),ContentBuckets!A:C,2,FALSE)"),"#N/A")</f>
        <v>#N/A</v>
      </c>
      <c r="BJ420" s="8" t="str">
        <f>IFERROR(__xludf.DUMMYFUNCTION("VLOOKUP(REGEXREPLACE(BH420,""[?].*"",""""),ContentBuckets!A:C,3,FALSE)"),"#N/A")</f>
        <v>#N/A</v>
      </c>
    </row>
    <row r="421" ht="14.25" customHeight="1">
      <c r="A421" s="1">
        <v>153626.0</v>
      </c>
      <c r="B421" s="1" t="s">
        <v>1150</v>
      </c>
      <c r="C421" s="2">
        <v>46007.9979166667</v>
      </c>
      <c r="D421" s="2"/>
      <c r="E421" s="2"/>
      <c r="F421" s="1" t="b">
        <v>1</v>
      </c>
      <c r="G421" s="4" t="b">
        <v>0</v>
      </c>
      <c r="H421" s="1" t="b">
        <v>0</v>
      </c>
      <c r="I421" s="1" t="b">
        <v>0</v>
      </c>
      <c r="J421" s="1" t="s">
        <v>534</v>
      </c>
      <c r="K421" s="1" t="s">
        <v>703</v>
      </c>
      <c r="L421" s="1" t="s">
        <v>536</v>
      </c>
      <c r="M421" s="1" t="s">
        <v>537</v>
      </c>
      <c r="N421" s="1">
        <v>0.0</v>
      </c>
      <c r="O421" s="1">
        <v>53.25</v>
      </c>
      <c r="P421" s="1">
        <v>0.0</v>
      </c>
      <c r="Q421" s="1">
        <v>0.0</v>
      </c>
      <c r="R421" s="1">
        <v>28.0</v>
      </c>
      <c r="S421" s="1" t="s">
        <v>538</v>
      </c>
      <c r="T421" s="1" t="s">
        <v>539</v>
      </c>
      <c r="V421" s="4">
        <v>6829553.0</v>
      </c>
      <c r="W421" s="4" t="s">
        <v>540</v>
      </c>
      <c r="X421" s="4">
        <v>0.0</v>
      </c>
      <c r="Y421" s="1">
        <v>1.0</v>
      </c>
      <c r="Z421" s="1">
        <v>0.0</v>
      </c>
      <c r="AA421" s="1">
        <v>0.0</v>
      </c>
      <c r="AB421" s="1">
        <v>0.0</v>
      </c>
      <c r="AC421" s="1">
        <v>0.0</v>
      </c>
      <c r="AD421" s="1">
        <v>0.0</v>
      </c>
      <c r="AE421" s="1">
        <v>0.0</v>
      </c>
      <c r="AF421" s="1">
        <v>0.0</v>
      </c>
      <c r="AG421" s="1">
        <v>0.0</v>
      </c>
      <c r="AH421" s="1">
        <v>0.0</v>
      </c>
      <c r="AI421" s="1">
        <v>0.0</v>
      </c>
      <c r="AJ421" s="1">
        <v>0.0</v>
      </c>
      <c r="AK421" s="1">
        <v>0.0</v>
      </c>
      <c r="AL421" s="1">
        <v>0.0</v>
      </c>
      <c r="AM421" s="4">
        <v>0.0</v>
      </c>
      <c r="AN421" s="1">
        <v>0.0</v>
      </c>
      <c r="AO421" s="4">
        <v>0.0</v>
      </c>
      <c r="AP421" s="1">
        <f t="shared" si="1"/>
        <v>0</v>
      </c>
      <c r="AQ421" s="1" t="s">
        <v>557</v>
      </c>
      <c r="AR421" s="1" t="s">
        <v>857</v>
      </c>
      <c r="AU421" s="2">
        <v>46008.0</v>
      </c>
      <c r="AV421" s="2">
        <v>46024.0298611111</v>
      </c>
      <c r="AW421" s="1">
        <v>0.0</v>
      </c>
      <c r="AX421" s="1">
        <v>0.0</v>
      </c>
      <c r="AY421" s="1">
        <v>2.0</v>
      </c>
      <c r="AZ421" s="1">
        <v>1.0</v>
      </c>
      <c r="BA421" s="1">
        <v>0.0</v>
      </c>
      <c r="BB421" s="1">
        <v>0.0</v>
      </c>
      <c r="BC421" s="2">
        <v>46007.0</v>
      </c>
      <c r="BD421" s="1">
        <v>50.0</v>
      </c>
      <c r="BE421" s="1" t="s">
        <v>550</v>
      </c>
      <c r="BF421" s="1">
        <v>2025.0</v>
      </c>
      <c r="BG421" s="1" t="s">
        <v>558</v>
      </c>
      <c r="BH421" s="7" t="str">
        <f>VLOOKUP(B421,CookieClicks!D:O,12,FALSE)</f>
        <v>https://www.method.me/</v>
      </c>
      <c r="BI421" s="8" t="str">
        <f>IFERROR(__xludf.DUMMYFUNCTION("VLOOKUP(REGEXREPLACE(BH421,""[?].*"",""""),ContentBuckets!A:C,2,FALSE)"),"Homepage")</f>
        <v>Homepage</v>
      </c>
      <c r="BJ421" s="8" t="str">
        <f>IFERROR(__xludf.DUMMYFUNCTION("VLOOKUP(REGEXREPLACE(BH421,""[?].*"",""""),ContentBuckets!A:C,3,FALSE)"),"Other page")</f>
        <v>Other page</v>
      </c>
    </row>
    <row r="422" ht="14.25" customHeight="1">
      <c r="A422" s="1">
        <v>153627.0</v>
      </c>
      <c r="B422" s="1" t="s">
        <v>1151</v>
      </c>
      <c r="C422" s="2">
        <v>46008.1916666667</v>
      </c>
      <c r="D422" s="2"/>
      <c r="E422" s="2"/>
      <c r="F422" s="1" t="b">
        <v>1</v>
      </c>
      <c r="G422" s="4" t="b">
        <v>0</v>
      </c>
      <c r="H422" s="1" t="b">
        <v>0</v>
      </c>
      <c r="I422" s="1" t="b">
        <v>0</v>
      </c>
      <c r="J422" s="1" t="s">
        <v>534</v>
      </c>
      <c r="K422" s="1" t="s">
        <v>622</v>
      </c>
      <c r="L422" s="1" t="s">
        <v>623</v>
      </c>
      <c r="M422" s="1" t="s">
        <v>537</v>
      </c>
      <c r="N422" s="1">
        <v>0.0</v>
      </c>
      <c r="O422" s="1">
        <v>62.25</v>
      </c>
      <c r="P422" s="1">
        <v>0.0</v>
      </c>
      <c r="Q422" s="1">
        <v>0.0</v>
      </c>
      <c r="R422" s="1">
        <v>0.0</v>
      </c>
      <c r="S422" s="1" t="s">
        <v>538</v>
      </c>
      <c r="T422" s="1" t="s">
        <v>539</v>
      </c>
      <c r="V422" s="4">
        <v>7367947.0</v>
      </c>
      <c r="W422" s="4" t="s">
        <v>540</v>
      </c>
      <c r="X422" s="4">
        <v>0.0</v>
      </c>
      <c r="Y422" s="1">
        <v>1.0</v>
      </c>
      <c r="Z422" s="1">
        <v>0.0</v>
      </c>
      <c r="AA422" s="1">
        <v>0.0</v>
      </c>
      <c r="AB422" s="1">
        <v>0.0</v>
      </c>
      <c r="AC422" s="1">
        <v>0.0</v>
      </c>
      <c r="AD422" s="1">
        <v>0.0</v>
      </c>
      <c r="AE422" s="1">
        <v>0.0</v>
      </c>
      <c r="AF422" s="1">
        <v>0.0</v>
      </c>
      <c r="AG422" s="1">
        <v>0.0</v>
      </c>
      <c r="AH422" s="1">
        <v>0.0</v>
      </c>
      <c r="AI422" s="1">
        <v>0.0</v>
      </c>
      <c r="AJ422" s="1">
        <v>0.0</v>
      </c>
      <c r="AK422" s="1">
        <v>0.0</v>
      </c>
      <c r="AL422" s="1">
        <v>0.0</v>
      </c>
      <c r="AM422" s="4">
        <v>0.0</v>
      </c>
      <c r="AN422" s="1">
        <v>0.0</v>
      </c>
      <c r="AO422" s="4">
        <v>0.0</v>
      </c>
      <c r="AP422" s="1">
        <f t="shared" si="1"/>
        <v>0</v>
      </c>
      <c r="AU422" s="2"/>
      <c r="AV422" s="2">
        <v>46024.0020833333</v>
      </c>
      <c r="AW422" s="1">
        <v>0.0</v>
      </c>
      <c r="AX422" s="1">
        <v>0.0</v>
      </c>
      <c r="AY422" s="1">
        <v>0.0</v>
      </c>
      <c r="AZ422" s="1">
        <v>1.0</v>
      </c>
      <c r="BA422" s="1">
        <v>0.0</v>
      </c>
      <c r="BB422" s="1">
        <v>0.0</v>
      </c>
      <c r="BC422" s="2">
        <v>46008.0</v>
      </c>
      <c r="BD422" s="1">
        <v>50.0</v>
      </c>
      <c r="BE422" s="1" t="s">
        <v>550</v>
      </c>
      <c r="BF422" s="1">
        <v>2025.0</v>
      </c>
      <c r="BG422" s="1" t="s">
        <v>657</v>
      </c>
      <c r="BH422" s="7" t="str">
        <f>VLOOKUP(B422,CookieClicks!D:O,12,FALSE)</f>
        <v>https://www.method.me/blog/what-is-opportunity-in-crm/</v>
      </c>
      <c r="BI422" s="8" t="str">
        <f>IFERROR(__xludf.DUMMYFUNCTION("VLOOKUP(REGEXREPLACE(BH422,""[?].*"",""""),ContentBuckets!A:C,2,FALSE)"),"CRM")</f>
        <v>CRM</v>
      </c>
      <c r="BJ422" s="8" t="str">
        <f>IFERROR(__xludf.DUMMYFUNCTION("VLOOKUP(REGEXREPLACE(BH422,""[?].*"",""""),ContentBuckets!A:C,3,FALSE)"),"Blog")</f>
        <v>Blog</v>
      </c>
    </row>
    <row r="423" ht="14.25" customHeight="1">
      <c r="A423" s="1">
        <v>153628.0</v>
      </c>
      <c r="B423" s="1" t="s">
        <v>1152</v>
      </c>
      <c r="C423" s="2">
        <v>46008.1951388889</v>
      </c>
      <c r="D423" s="2"/>
      <c r="E423" s="2"/>
      <c r="F423" s="1" t="b">
        <v>1</v>
      </c>
      <c r="G423" s="4" t="b">
        <v>0</v>
      </c>
      <c r="H423" s="1" t="b">
        <v>0</v>
      </c>
      <c r="I423" s="1" t="b">
        <v>0</v>
      </c>
      <c r="J423" s="1" t="s">
        <v>534</v>
      </c>
      <c r="K423" s="1" t="s">
        <v>622</v>
      </c>
      <c r="L423" s="1" t="s">
        <v>623</v>
      </c>
      <c r="M423" s="1" t="s">
        <v>537</v>
      </c>
      <c r="N423" s="1">
        <v>0.0</v>
      </c>
      <c r="O423" s="1">
        <v>53.25</v>
      </c>
      <c r="P423" s="1">
        <v>0.0</v>
      </c>
      <c r="Q423" s="1">
        <v>0.0</v>
      </c>
      <c r="R423" s="1">
        <v>28.0</v>
      </c>
      <c r="S423" s="1" t="s">
        <v>538</v>
      </c>
      <c r="T423" s="1" t="s">
        <v>539</v>
      </c>
      <c r="V423" s="4">
        <v>7332943.0</v>
      </c>
      <c r="W423" s="4"/>
      <c r="X423" s="4">
        <v>1.0</v>
      </c>
      <c r="Y423" s="1">
        <v>0.0</v>
      </c>
      <c r="Z423" s="1">
        <v>0.0</v>
      </c>
      <c r="AA423" s="1">
        <v>0.0</v>
      </c>
      <c r="AB423" s="1">
        <v>0.0</v>
      </c>
      <c r="AC423" s="1">
        <v>0.0</v>
      </c>
      <c r="AD423" s="1">
        <v>0.0</v>
      </c>
      <c r="AE423" s="1">
        <v>0.0</v>
      </c>
      <c r="AF423" s="1">
        <v>0.0</v>
      </c>
      <c r="AG423" s="1">
        <v>0.0</v>
      </c>
      <c r="AH423" s="1">
        <v>0.0</v>
      </c>
      <c r="AI423" s="1">
        <v>0.0</v>
      </c>
      <c r="AJ423" s="1">
        <v>0.0</v>
      </c>
      <c r="AK423" s="1">
        <v>0.0</v>
      </c>
      <c r="AL423" s="1">
        <v>0.0</v>
      </c>
      <c r="AM423" s="4">
        <v>0.0</v>
      </c>
      <c r="AN423" s="1">
        <v>0.0</v>
      </c>
      <c r="AO423" s="4">
        <v>0.0</v>
      </c>
      <c r="AP423" s="1">
        <f t="shared" si="1"/>
        <v>0</v>
      </c>
      <c r="AR423" s="1" t="s">
        <v>578</v>
      </c>
      <c r="AU423" s="2"/>
      <c r="AV423" s="2">
        <v>46024.0055555556</v>
      </c>
      <c r="AW423" s="1">
        <v>0.0</v>
      </c>
      <c r="AX423" s="1">
        <v>0.0</v>
      </c>
      <c r="AY423" s="1">
        <v>0.0</v>
      </c>
      <c r="AZ423" s="1">
        <v>1.0</v>
      </c>
      <c r="BA423" s="1">
        <v>0.0</v>
      </c>
      <c r="BB423" s="1">
        <v>0.0</v>
      </c>
      <c r="BC423" s="2">
        <v>46008.0</v>
      </c>
      <c r="BD423" s="1">
        <v>50.0</v>
      </c>
      <c r="BE423" s="1" t="s">
        <v>550</v>
      </c>
      <c r="BF423" s="1">
        <v>2025.0</v>
      </c>
      <c r="BG423" s="1" t="s">
        <v>624</v>
      </c>
      <c r="BH423" s="7" t="str">
        <f>VLOOKUP(B423,CookieClicks!D:O,12,FALSE)</f>
        <v>https://www.method.me/blog/how-much-does-crm-cost/</v>
      </c>
      <c r="BI423" s="8" t="str">
        <f>IFERROR(__xludf.DUMMYFUNCTION("VLOOKUP(REGEXREPLACE(BH423,""[?].*"",""""),ContentBuckets!A:C,2,FALSE)"),"CRM")</f>
        <v>CRM</v>
      </c>
      <c r="BJ423" s="8" t="str">
        <f>IFERROR(__xludf.DUMMYFUNCTION("VLOOKUP(REGEXREPLACE(BH423,""[?].*"",""""),ContentBuckets!A:C,3,FALSE)"),"Blog")</f>
        <v>Blog</v>
      </c>
    </row>
    <row r="424" ht="14.25" customHeight="1">
      <c r="A424" s="1">
        <v>153629.0</v>
      </c>
      <c r="B424" s="1" t="s">
        <v>1153</v>
      </c>
      <c r="C424" s="2">
        <v>46008.3416666667</v>
      </c>
      <c r="D424" s="2"/>
      <c r="E424" s="2"/>
      <c r="F424" s="1" t="b">
        <v>1</v>
      </c>
      <c r="G424" s="4" t="b">
        <v>0</v>
      </c>
      <c r="H424" s="1" t="b">
        <v>0</v>
      </c>
      <c r="I424" s="1" t="b">
        <v>0</v>
      </c>
      <c r="J424" s="1" t="s">
        <v>534</v>
      </c>
      <c r="K424" s="1" t="s">
        <v>535</v>
      </c>
      <c r="L424" s="1" t="s">
        <v>536</v>
      </c>
      <c r="M424" s="1" t="s">
        <v>537</v>
      </c>
      <c r="N424" s="1">
        <v>0.0</v>
      </c>
      <c r="O424" s="1">
        <v>44.25</v>
      </c>
      <c r="P424" s="1">
        <v>0.0</v>
      </c>
      <c r="Q424" s="1">
        <v>0.0</v>
      </c>
      <c r="R424" s="1">
        <v>28.0</v>
      </c>
      <c r="S424" s="1" t="s">
        <v>538</v>
      </c>
      <c r="T424" s="1" t="s">
        <v>539</v>
      </c>
      <c r="V424" s="4">
        <v>7369644.0</v>
      </c>
      <c r="W424" s="4" t="s">
        <v>540</v>
      </c>
      <c r="X424" s="4">
        <v>0.0</v>
      </c>
      <c r="Y424" s="1">
        <v>1.0</v>
      </c>
      <c r="Z424" s="1">
        <v>0.0</v>
      </c>
      <c r="AA424" s="1">
        <v>0.0</v>
      </c>
      <c r="AB424" s="1">
        <v>0.0</v>
      </c>
      <c r="AC424" s="1">
        <v>0.0</v>
      </c>
      <c r="AD424" s="1">
        <v>0.0</v>
      </c>
      <c r="AE424" s="1">
        <v>0.0</v>
      </c>
      <c r="AF424" s="1">
        <v>0.0</v>
      </c>
      <c r="AG424" s="1">
        <v>0.0</v>
      </c>
      <c r="AH424" s="1">
        <v>0.0</v>
      </c>
      <c r="AI424" s="1">
        <v>0.0</v>
      </c>
      <c r="AJ424" s="1">
        <v>0.0</v>
      </c>
      <c r="AK424" s="1">
        <v>0.0</v>
      </c>
      <c r="AL424" s="1">
        <v>0.0</v>
      </c>
      <c r="AM424" s="4">
        <v>0.0</v>
      </c>
      <c r="AN424" s="1">
        <v>0.0</v>
      </c>
      <c r="AO424" s="4">
        <v>0.0</v>
      </c>
      <c r="AP424" s="1">
        <f t="shared" si="1"/>
        <v>0</v>
      </c>
      <c r="AR424" s="1" t="s">
        <v>608</v>
      </c>
      <c r="AU424" s="2"/>
      <c r="AV424" s="2">
        <v>46024.04375</v>
      </c>
      <c r="AW424" s="1">
        <v>0.0</v>
      </c>
      <c r="AX424" s="1">
        <v>0.0</v>
      </c>
      <c r="AY424" s="1">
        <v>0.0</v>
      </c>
      <c r="AZ424" s="1">
        <v>1.0</v>
      </c>
      <c r="BA424" s="1">
        <v>0.0</v>
      </c>
      <c r="BB424" s="1">
        <v>0.0</v>
      </c>
      <c r="BC424" s="2">
        <v>46008.0</v>
      </c>
      <c r="BD424" s="1">
        <v>50.0</v>
      </c>
      <c r="BE424" s="1" t="s">
        <v>550</v>
      </c>
      <c r="BF424" s="1">
        <v>2025.0</v>
      </c>
      <c r="BG424" s="1" t="s">
        <v>624</v>
      </c>
      <c r="BH424" s="7" t="str">
        <f>VLOOKUP(B424,CookieClicks!D:O,12,FALSE)</f>
        <v>https://signin.method.me/</v>
      </c>
      <c r="BI424" s="8" t="str">
        <f>IFERROR(__xludf.DUMMYFUNCTION("VLOOKUP(REGEXREPLACE(BH424,""[?].*"",""""),ContentBuckets!A:C,2,FALSE)"),"#N/A")</f>
        <v>#N/A</v>
      </c>
      <c r="BJ424" s="8" t="str">
        <f>IFERROR(__xludf.DUMMYFUNCTION("VLOOKUP(REGEXREPLACE(BH424,""[?].*"",""""),ContentBuckets!A:C,3,FALSE)"),"#N/A")</f>
        <v>#N/A</v>
      </c>
    </row>
    <row r="425" ht="14.25" customHeight="1">
      <c r="A425" s="1">
        <v>153633.0</v>
      </c>
      <c r="B425" s="1" t="s">
        <v>1154</v>
      </c>
      <c r="C425" s="2">
        <v>46008.4076388889</v>
      </c>
      <c r="D425" s="2"/>
      <c r="E425" s="2"/>
      <c r="F425" s="1" t="b">
        <v>1</v>
      </c>
      <c r="G425" s="4" t="b">
        <v>0</v>
      </c>
      <c r="H425" s="1" t="b">
        <v>0</v>
      </c>
      <c r="I425" s="1" t="b">
        <v>0</v>
      </c>
      <c r="J425" s="1" t="s">
        <v>534</v>
      </c>
      <c r="K425" s="1" t="s">
        <v>612</v>
      </c>
      <c r="L425" s="1" t="s">
        <v>567</v>
      </c>
      <c r="M425" s="1" t="s">
        <v>537</v>
      </c>
      <c r="N425" s="1">
        <v>0.0</v>
      </c>
      <c r="O425" s="1">
        <v>44.25</v>
      </c>
      <c r="P425" s="1">
        <v>0.0</v>
      </c>
      <c r="Q425" s="1">
        <v>0.0</v>
      </c>
      <c r="R425" s="1">
        <v>28.0</v>
      </c>
      <c r="S425" s="1" t="s">
        <v>538</v>
      </c>
      <c r="T425" s="1" t="s">
        <v>539</v>
      </c>
      <c r="V425" s="4">
        <v>7361653.0</v>
      </c>
      <c r="W425" s="4"/>
      <c r="X425" s="4">
        <v>0.0</v>
      </c>
      <c r="Y425" s="1">
        <v>0.0</v>
      </c>
      <c r="Z425" s="1">
        <v>0.0</v>
      </c>
      <c r="AA425" s="1">
        <v>1.0</v>
      </c>
      <c r="AB425" s="1">
        <v>0.0</v>
      </c>
      <c r="AC425" s="1">
        <v>0.0</v>
      </c>
      <c r="AD425" s="1">
        <v>0.0</v>
      </c>
      <c r="AE425" s="1">
        <v>0.0</v>
      </c>
      <c r="AF425" s="1">
        <v>0.0</v>
      </c>
      <c r="AG425" s="1">
        <v>0.0</v>
      </c>
      <c r="AH425" s="1">
        <v>0.0</v>
      </c>
      <c r="AI425" s="1">
        <v>0.0</v>
      </c>
      <c r="AJ425" s="1">
        <v>0.0</v>
      </c>
      <c r="AK425" s="1">
        <v>0.0</v>
      </c>
      <c r="AL425" s="1">
        <v>0.0</v>
      </c>
      <c r="AM425" s="4">
        <v>0.0</v>
      </c>
      <c r="AN425" s="1">
        <v>0.0</v>
      </c>
      <c r="AO425" s="4">
        <v>0.0</v>
      </c>
      <c r="AP425" s="1">
        <f t="shared" si="1"/>
        <v>0</v>
      </c>
      <c r="AR425" s="1" t="s">
        <v>564</v>
      </c>
      <c r="AU425" s="2"/>
      <c r="AV425" s="2">
        <v>46024.0395833333</v>
      </c>
      <c r="AW425" s="1">
        <v>0.0</v>
      </c>
      <c r="AX425" s="1">
        <v>0.0</v>
      </c>
      <c r="AY425" s="1">
        <v>0.0</v>
      </c>
      <c r="AZ425" s="1">
        <v>1.0</v>
      </c>
      <c r="BA425" s="1">
        <v>0.0</v>
      </c>
      <c r="BB425" s="1">
        <v>0.0</v>
      </c>
      <c r="BC425" s="2">
        <v>46008.0</v>
      </c>
      <c r="BD425" s="1">
        <v>50.0</v>
      </c>
      <c r="BE425" s="1" t="s">
        <v>550</v>
      </c>
      <c r="BF425" s="1">
        <v>2025.0</v>
      </c>
      <c r="BG425" s="1" t="s">
        <v>558</v>
      </c>
      <c r="BH425" s="1" t="str">
        <f>VLOOKUP(B425,CookieClicks!D:O,12,FALSE)</f>
        <v>https://grow.method.me/crm-quickbooks/?trc=81&amp;trk=best crm for quickbooks&amp;trs=USA-QB-G_Ex&amp;campaignid=22265826203&amp;adgroupid=176758613473&amp;adid=734012603510&amp;gad_source=1&amp;gad_campaignid=22265826203&amp;gbraid=0AAAAAD3ItnYQZjcjYjdvFEQbM1ZMSWN42&amp;gclid=Cj0KCQiAo4TKBhDRARIsAGW29bcxqchDUOnIqLtlXSaiL7aPgD8FY6GYRWQv1Cuf-vAreyJmHxGAcyYaAoTCEALw_wcB</v>
      </c>
      <c r="BI425" s="8" t="str">
        <f>IFERROR(__xludf.DUMMYFUNCTION("VLOOKUP(REGEXREPLACE(BH425,""[?].*"",""""),ContentBuckets!A:C,2,FALSE)"),"#N/A")</f>
        <v>#N/A</v>
      </c>
      <c r="BJ425" s="8" t="str">
        <f>IFERROR(__xludf.DUMMYFUNCTION("VLOOKUP(REGEXREPLACE(BH425,""[?].*"",""""),ContentBuckets!A:C,3,FALSE)"),"#N/A")</f>
        <v>#N/A</v>
      </c>
    </row>
    <row r="426" ht="14.25" customHeight="1">
      <c r="A426" s="1">
        <v>153634.0</v>
      </c>
      <c r="B426" s="1" t="s">
        <v>1155</v>
      </c>
      <c r="C426" s="2">
        <v>46008.4229166667</v>
      </c>
      <c r="D426" s="2"/>
      <c r="E426" s="2">
        <v>46022.35</v>
      </c>
      <c r="F426" s="1" t="b">
        <v>1</v>
      </c>
      <c r="G426" s="4" t="b">
        <v>0</v>
      </c>
      <c r="H426" s="1" t="b">
        <v>0</v>
      </c>
      <c r="I426" s="1" t="b">
        <v>0</v>
      </c>
      <c r="J426" s="1" t="s">
        <v>534</v>
      </c>
      <c r="K426" s="1" t="s">
        <v>535</v>
      </c>
      <c r="L426" s="1" t="s">
        <v>536</v>
      </c>
      <c r="M426" s="1" t="s">
        <v>537</v>
      </c>
      <c r="N426" s="1">
        <v>88.5</v>
      </c>
      <c r="O426" s="1">
        <v>88.5</v>
      </c>
      <c r="P426" s="1">
        <v>0.0</v>
      </c>
      <c r="Q426" s="1">
        <v>0.0</v>
      </c>
      <c r="R426" s="1">
        <v>28.0</v>
      </c>
      <c r="S426" s="1" t="s">
        <v>538</v>
      </c>
      <c r="T426" s="1" t="s">
        <v>539</v>
      </c>
      <c r="V426" s="4">
        <v>7370578.0</v>
      </c>
      <c r="W426" s="4" t="s">
        <v>540</v>
      </c>
      <c r="X426" s="4">
        <v>0.0</v>
      </c>
      <c r="Y426" s="1">
        <v>1.0</v>
      </c>
      <c r="Z426" s="1">
        <v>0.0</v>
      </c>
      <c r="AA426" s="1">
        <v>0.0</v>
      </c>
      <c r="AB426" s="1">
        <v>0.0</v>
      </c>
      <c r="AC426" s="1">
        <v>0.0</v>
      </c>
      <c r="AD426" s="1">
        <v>0.0</v>
      </c>
      <c r="AE426" s="1">
        <v>0.0</v>
      </c>
      <c r="AF426" s="1">
        <v>0.0</v>
      </c>
      <c r="AG426" s="1">
        <v>0.0</v>
      </c>
      <c r="AH426" s="1">
        <v>0.0</v>
      </c>
      <c r="AI426" s="1">
        <v>0.0</v>
      </c>
      <c r="AJ426" s="1">
        <v>0.0</v>
      </c>
      <c r="AK426" s="1">
        <v>0.0</v>
      </c>
      <c r="AL426" s="1">
        <v>0.0</v>
      </c>
      <c r="AM426" s="4">
        <v>0.0</v>
      </c>
      <c r="AN426" s="1">
        <v>0.0</v>
      </c>
      <c r="AO426" s="4">
        <v>0.0</v>
      </c>
      <c r="AP426" s="1">
        <f t="shared" si="1"/>
        <v>0</v>
      </c>
      <c r="AQ426" s="1" t="s">
        <v>557</v>
      </c>
      <c r="AR426" s="1" t="s">
        <v>560</v>
      </c>
      <c r="AT426" s="1" t="s">
        <v>1156</v>
      </c>
      <c r="AU426" s="2">
        <v>46008.0</v>
      </c>
      <c r="AV426" s="2">
        <v>46024.0256944444</v>
      </c>
      <c r="AW426" s="1">
        <v>3.0</v>
      </c>
      <c r="AX426" s="1">
        <v>739415.64</v>
      </c>
      <c r="AY426" s="1">
        <v>315.0</v>
      </c>
      <c r="AZ426" s="1">
        <v>2.0</v>
      </c>
      <c r="BA426" s="1">
        <v>0.0</v>
      </c>
      <c r="BB426" s="1">
        <v>0.0</v>
      </c>
      <c r="BC426" s="2">
        <v>46008.0</v>
      </c>
      <c r="BD426" s="1">
        <v>50.0</v>
      </c>
      <c r="BE426" s="1" t="s">
        <v>550</v>
      </c>
      <c r="BF426" s="1">
        <v>2025.0</v>
      </c>
      <c r="BG426" s="1" t="s">
        <v>558</v>
      </c>
      <c r="BH426" s="7" t="str">
        <f>VLOOKUP(B426,CookieClicks!D:O,12,FALSE)</f>
        <v>https://www.method.me/</v>
      </c>
      <c r="BI426" s="8" t="str">
        <f>IFERROR(__xludf.DUMMYFUNCTION("VLOOKUP(REGEXREPLACE(BH426,""[?].*"",""""),ContentBuckets!A:C,2,FALSE)"),"Homepage")</f>
        <v>Homepage</v>
      </c>
      <c r="BJ426" s="8" t="str">
        <f>IFERROR(__xludf.DUMMYFUNCTION("VLOOKUP(REGEXREPLACE(BH426,""[?].*"",""""),ContentBuckets!A:C,3,FALSE)"),"Other page")</f>
        <v>Other page</v>
      </c>
    </row>
    <row r="427" ht="14.25" customHeight="1">
      <c r="A427" s="1">
        <v>153635.0</v>
      </c>
      <c r="B427" s="1" t="s">
        <v>1157</v>
      </c>
      <c r="C427" s="2">
        <v>46008.4513888889</v>
      </c>
      <c r="D427" s="2"/>
      <c r="E427" s="2"/>
      <c r="F427" s="1" t="b">
        <v>1</v>
      </c>
      <c r="G427" s="4" t="b">
        <v>0</v>
      </c>
      <c r="H427" s="1" t="b">
        <v>0</v>
      </c>
      <c r="I427" s="1" t="b">
        <v>0</v>
      </c>
      <c r="J427" s="1" t="s">
        <v>534</v>
      </c>
      <c r="K427" s="1" t="s">
        <v>535</v>
      </c>
      <c r="L427" s="1" t="s">
        <v>536</v>
      </c>
      <c r="M427" s="1" t="s">
        <v>537</v>
      </c>
      <c r="N427" s="1">
        <v>0.0</v>
      </c>
      <c r="O427" s="1">
        <v>44.25</v>
      </c>
      <c r="P427" s="1">
        <v>0.0</v>
      </c>
      <c r="Q427" s="1">
        <v>0.0</v>
      </c>
      <c r="R427" s="1">
        <v>0.0</v>
      </c>
      <c r="S427" s="1" t="s">
        <v>538</v>
      </c>
      <c r="T427" s="1" t="s">
        <v>539</v>
      </c>
      <c r="V427" s="4">
        <v>7370940.0</v>
      </c>
      <c r="W427" s="4"/>
      <c r="X427" s="4">
        <v>0.0</v>
      </c>
      <c r="Y427" s="1">
        <v>0.0</v>
      </c>
      <c r="Z427" s="1">
        <v>1.0</v>
      </c>
      <c r="AA427" s="1">
        <v>0.0</v>
      </c>
      <c r="AB427" s="1">
        <v>0.0</v>
      </c>
      <c r="AC427" s="1">
        <v>0.0</v>
      </c>
      <c r="AD427" s="1">
        <v>0.0</v>
      </c>
      <c r="AE427" s="1">
        <v>0.0</v>
      </c>
      <c r="AF427" s="1">
        <v>0.0</v>
      </c>
      <c r="AG427" s="1">
        <v>0.0</v>
      </c>
      <c r="AH427" s="1">
        <v>0.0</v>
      </c>
      <c r="AI427" s="1">
        <v>0.0</v>
      </c>
      <c r="AJ427" s="1">
        <v>0.0</v>
      </c>
      <c r="AK427" s="1">
        <v>0.0</v>
      </c>
      <c r="AL427" s="1">
        <v>0.0</v>
      </c>
      <c r="AM427" s="4">
        <v>0.0</v>
      </c>
      <c r="AN427" s="1">
        <v>0.0</v>
      </c>
      <c r="AO427" s="4">
        <v>0.0</v>
      </c>
      <c r="AP427" s="1">
        <f t="shared" si="1"/>
        <v>0</v>
      </c>
      <c r="AQ427" s="1" t="s">
        <v>557</v>
      </c>
      <c r="AT427" s="1" t="s">
        <v>543</v>
      </c>
      <c r="AU427" s="2">
        <v>46008.0</v>
      </c>
      <c r="AV427" s="2">
        <v>46024.0069444444</v>
      </c>
      <c r="AW427" s="1">
        <v>2.0</v>
      </c>
      <c r="AX427" s="1">
        <v>701180.04</v>
      </c>
      <c r="AY427" s="1">
        <v>3.0</v>
      </c>
      <c r="AZ427" s="1">
        <v>1.0</v>
      </c>
      <c r="BA427" s="1">
        <v>0.0</v>
      </c>
      <c r="BB427" s="1">
        <v>0.0</v>
      </c>
      <c r="BC427" s="2">
        <v>46008.0</v>
      </c>
      <c r="BD427" s="1">
        <v>50.0</v>
      </c>
      <c r="BE427" s="1" t="s">
        <v>550</v>
      </c>
      <c r="BF427" s="1">
        <v>2025.0</v>
      </c>
      <c r="BG427" s="1" t="s">
        <v>558</v>
      </c>
      <c r="BH427" s="7" t="str">
        <f>VLOOKUP(B427,CookieClicks!D:O,12,FALSE)</f>
        <v>https://signup.method.me/QBOAppstoreSignup?offering=methodcrm</v>
      </c>
      <c r="BI427" s="8" t="str">
        <f>IFERROR(__xludf.DUMMYFUNCTION("VLOOKUP(REGEXREPLACE(BH427,""[?].*"",""""),ContentBuckets!A:C,2,FALSE)"),"#N/A")</f>
        <v>#N/A</v>
      </c>
      <c r="BJ427" s="8" t="str">
        <f>IFERROR(__xludf.DUMMYFUNCTION("VLOOKUP(REGEXREPLACE(BH427,""[?].*"",""""),ContentBuckets!A:C,3,FALSE)"),"#N/A")</f>
        <v>#N/A</v>
      </c>
    </row>
    <row r="428" ht="14.25" customHeight="1">
      <c r="A428" s="1">
        <v>153637.0</v>
      </c>
      <c r="B428" s="1" t="s">
        <v>1158</v>
      </c>
      <c r="C428" s="2">
        <v>46008.4548611111</v>
      </c>
      <c r="D428" s="2"/>
      <c r="E428" s="2"/>
      <c r="F428" s="1" t="b">
        <v>1</v>
      </c>
      <c r="G428" s="4" t="b">
        <v>0</v>
      </c>
      <c r="H428" s="1" t="b">
        <v>0</v>
      </c>
      <c r="I428" s="1" t="b">
        <v>0</v>
      </c>
      <c r="J428" s="1" t="s">
        <v>534</v>
      </c>
      <c r="K428" s="1" t="s">
        <v>535</v>
      </c>
      <c r="L428" s="1" t="s">
        <v>536</v>
      </c>
      <c r="M428" s="1" t="s">
        <v>537</v>
      </c>
      <c r="N428" s="1">
        <v>0.0</v>
      </c>
      <c r="O428" s="1">
        <v>106.5</v>
      </c>
      <c r="P428" s="1">
        <v>0.0</v>
      </c>
      <c r="Q428" s="1">
        <v>0.0</v>
      </c>
      <c r="R428" s="1">
        <v>28.0</v>
      </c>
      <c r="S428" s="1" t="s">
        <v>538</v>
      </c>
      <c r="T428" s="1" t="s">
        <v>539</v>
      </c>
      <c r="V428" s="4">
        <v>7370986.0</v>
      </c>
      <c r="W428" s="4"/>
      <c r="X428" s="4">
        <v>0.0</v>
      </c>
      <c r="Y428" s="1">
        <v>0.0</v>
      </c>
      <c r="Z428" s="1">
        <v>1.0</v>
      </c>
      <c r="AA428" s="1">
        <v>0.0</v>
      </c>
      <c r="AB428" s="1">
        <v>0.0</v>
      </c>
      <c r="AC428" s="1">
        <v>0.0</v>
      </c>
      <c r="AD428" s="1">
        <v>0.0</v>
      </c>
      <c r="AE428" s="1">
        <v>0.0</v>
      </c>
      <c r="AF428" s="1">
        <v>0.0</v>
      </c>
      <c r="AG428" s="1">
        <v>0.0</v>
      </c>
      <c r="AH428" s="1">
        <v>0.0</v>
      </c>
      <c r="AI428" s="1">
        <v>0.0</v>
      </c>
      <c r="AJ428" s="1">
        <v>0.0</v>
      </c>
      <c r="AK428" s="1">
        <v>0.0</v>
      </c>
      <c r="AL428" s="1">
        <v>0.0</v>
      </c>
      <c r="AM428" s="4">
        <v>0.0</v>
      </c>
      <c r="AN428" s="1">
        <v>0.0</v>
      </c>
      <c r="AO428" s="4">
        <v>0.0</v>
      </c>
      <c r="AP428" s="1">
        <f t="shared" si="1"/>
        <v>0</v>
      </c>
      <c r="AQ428" s="1" t="s">
        <v>557</v>
      </c>
      <c r="AR428" s="1" t="s">
        <v>560</v>
      </c>
      <c r="AU428" s="2">
        <v>46008.0</v>
      </c>
      <c r="AV428" s="2">
        <v>46024.0208333333</v>
      </c>
      <c r="AW428" s="1">
        <v>5.0</v>
      </c>
      <c r="AX428" s="1">
        <v>1594336.8</v>
      </c>
      <c r="AY428" s="1">
        <v>387.0</v>
      </c>
      <c r="AZ428" s="1">
        <v>2.0</v>
      </c>
      <c r="BA428" s="1">
        <v>0.0</v>
      </c>
      <c r="BB428" s="1">
        <v>0.0</v>
      </c>
      <c r="BC428" s="2">
        <v>46008.0</v>
      </c>
      <c r="BD428" s="1">
        <v>50.0</v>
      </c>
      <c r="BE428" s="1" t="s">
        <v>550</v>
      </c>
      <c r="BF428" s="1">
        <v>2025.0</v>
      </c>
      <c r="BG428" s="1" t="s">
        <v>558</v>
      </c>
      <c r="BH428" s="7" t="str">
        <f>VLOOKUP(B428,CookieClicks!D:O,12,FALSE)</f>
        <v>https://signup.method.me/QBOAppstoreSignup?offering=methodcrm</v>
      </c>
      <c r="BI428" s="8" t="str">
        <f>IFERROR(__xludf.DUMMYFUNCTION("VLOOKUP(REGEXREPLACE(BH428,""[?].*"",""""),ContentBuckets!A:C,2,FALSE)"),"#N/A")</f>
        <v>#N/A</v>
      </c>
      <c r="BJ428" s="8" t="str">
        <f>IFERROR(__xludf.DUMMYFUNCTION("VLOOKUP(REGEXREPLACE(BH428,""[?].*"",""""),ContentBuckets!A:C,3,FALSE)"),"#N/A")</f>
        <v>#N/A</v>
      </c>
    </row>
    <row r="429" ht="14.25" customHeight="1">
      <c r="A429" s="1">
        <v>153639.0</v>
      </c>
      <c r="B429" s="1" t="s">
        <v>1159</v>
      </c>
      <c r="C429" s="2">
        <v>46008.4611111111</v>
      </c>
      <c r="D429" s="2"/>
      <c r="E429" s="2">
        <v>46021.6555555556</v>
      </c>
      <c r="F429" s="1" t="b">
        <v>1</v>
      </c>
      <c r="G429" s="4" t="b">
        <v>0</v>
      </c>
      <c r="H429" s="1" t="b">
        <v>0</v>
      </c>
      <c r="I429" s="1" t="b">
        <v>0</v>
      </c>
      <c r="J429" s="1" t="s">
        <v>601</v>
      </c>
      <c r="K429" s="1" t="s">
        <v>535</v>
      </c>
      <c r="L429" s="1" t="s">
        <v>536</v>
      </c>
      <c r="M429" s="1" t="s">
        <v>537</v>
      </c>
      <c r="N429" s="1">
        <v>704.0</v>
      </c>
      <c r="O429" s="1">
        <v>704.0</v>
      </c>
      <c r="P429" s="1">
        <v>0.0</v>
      </c>
      <c r="Q429" s="1">
        <v>0.0</v>
      </c>
      <c r="R429" s="1">
        <v>28.0</v>
      </c>
      <c r="T429" s="1" t="s">
        <v>539</v>
      </c>
      <c r="V429" s="4">
        <v>7371073.0</v>
      </c>
      <c r="W429" s="4"/>
      <c r="X429" s="4">
        <v>1.0</v>
      </c>
      <c r="Y429" s="1">
        <v>0.0</v>
      </c>
      <c r="Z429" s="1">
        <v>0.0</v>
      </c>
      <c r="AA429" s="1">
        <v>0.0</v>
      </c>
      <c r="AB429" s="1">
        <v>0.0</v>
      </c>
      <c r="AC429" s="1">
        <v>0.0</v>
      </c>
      <c r="AD429" s="1">
        <v>0.0</v>
      </c>
      <c r="AE429" s="1">
        <v>0.0</v>
      </c>
      <c r="AF429" s="1">
        <v>0.0</v>
      </c>
      <c r="AG429" s="1">
        <v>0.0</v>
      </c>
      <c r="AH429" s="1">
        <v>0.0</v>
      </c>
      <c r="AI429" s="1">
        <v>0.0</v>
      </c>
      <c r="AJ429" s="1">
        <v>0.0</v>
      </c>
      <c r="AK429" s="1">
        <v>0.0</v>
      </c>
      <c r="AL429" s="1">
        <v>0.0</v>
      </c>
      <c r="AM429" s="4">
        <v>0.0</v>
      </c>
      <c r="AN429" s="1">
        <v>0.0</v>
      </c>
      <c r="AO429" s="4">
        <v>0.0</v>
      </c>
      <c r="AP429" s="1">
        <f t="shared" si="1"/>
        <v>0</v>
      </c>
      <c r="AQ429" s="1" t="s">
        <v>557</v>
      </c>
      <c r="AR429" s="1" t="s">
        <v>564</v>
      </c>
      <c r="AU429" s="2">
        <v>46008.0</v>
      </c>
      <c r="AV429" s="2">
        <v>46023.9833333333</v>
      </c>
      <c r="AW429" s="1">
        <v>138.0</v>
      </c>
      <c r="AX429" s="1">
        <v>7428134.28</v>
      </c>
      <c r="AY429" s="1">
        <v>1714.0</v>
      </c>
      <c r="AZ429" s="1">
        <v>16.0</v>
      </c>
      <c r="BA429" s="1">
        <v>0.0</v>
      </c>
      <c r="BB429" s="1">
        <v>3.0</v>
      </c>
      <c r="BC429" s="2">
        <v>46008.0</v>
      </c>
      <c r="BD429" s="1">
        <v>50.0</v>
      </c>
      <c r="BE429" s="1" t="s">
        <v>550</v>
      </c>
      <c r="BF429" s="1">
        <v>2025.0</v>
      </c>
      <c r="BG429" s="1" t="s">
        <v>558</v>
      </c>
      <c r="BH429" s="7" t="str">
        <f>VLOOKUP(B429,CookieClicks!D:O,12,FALSE)</f>
        <v>http://signup.method.me/methodcrm</v>
      </c>
      <c r="BI429" s="8" t="str">
        <f>IFERROR(__xludf.DUMMYFUNCTION("VLOOKUP(REGEXREPLACE(BH429,""[?].*"",""""),ContentBuckets!A:C,2,FALSE)"),"#N/A")</f>
        <v>#N/A</v>
      </c>
      <c r="BJ429" s="8" t="str">
        <f>IFERROR(__xludf.DUMMYFUNCTION("VLOOKUP(REGEXREPLACE(BH429,""[?].*"",""""),ContentBuckets!A:C,3,FALSE)"),"#N/A")</f>
        <v>#N/A</v>
      </c>
    </row>
    <row r="430" ht="14.25" customHeight="1">
      <c r="A430" s="1">
        <v>153640.0</v>
      </c>
      <c r="B430" s="1" t="s">
        <v>1160</v>
      </c>
      <c r="C430" s="2">
        <v>46008.4694444444</v>
      </c>
      <c r="D430" s="2"/>
      <c r="E430" s="2"/>
      <c r="F430" s="1" t="b">
        <v>1</v>
      </c>
      <c r="G430" s="4" t="b">
        <v>0</v>
      </c>
      <c r="H430" s="1" t="b">
        <v>0</v>
      </c>
      <c r="I430" s="1" t="b">
        <v>0</v>
      </c>
      <c r="J430" s="1" t="s">
        <v>534</v>
      </c>
      <c r="K430" s="1" t="s">
        <v>535</v>
      </c>
      <c r="L430" s="1" t="s">
        <v>536</v>
      </c>
      <c r="M430" s="1" t="s">
        <v>537</v>
      </c>
      <c r="N430" s="1">
        <v>0.0</v>
      </c>
      <c r="O430" s="1">
        <v>53.25</v>
      </c>
      <c r="P430" s="1">
        <v>0.0</v>
      </c>
      <c r="Q430" s="1">
        <v>0.0</v>
      </c>
      <c r="R430" s="1">
        <v>28.0</v>
      </c>
      <c r="S430" s="1" t="s">
        <v>538</v>
      </c>
      <c r="T430" s="1" t="s">
        <v>539</v>
      </c>
      <c r="V430" s="4">
        <v>7370730.0</v>
      </c>
      <c r="W430" s="4" t="s">
        <v>540</v>
      </c>
      <c r="X430" s="4">
        <v>0.0</v>
      </c>
      <c r="Y430" s="1">
        <v>1.0</v>
      </c>
      <c r="Z430" s="1">
        <v>0.0</v>
      </c>
      <c r="AA430" s="1">
        <v>0.0</v>
      </c>
      <c r="AB430" s="1">
        <v>0.0</v>
      </c>
      <c r="AC430" s="1">
        <v>0.0</v>
      </c>
      <c r="AD430" s="1">
        <v>0.0</v>
      </c>
      <c r="AE430" s="1">
        <v>0.0</v>
      </c>
      <c r="AF430" s="1">
        <v>0.0</v>
      </c>
      <c r="AG430" s="1">
        <v>0.0</v>
      </c>
      <c r="AH430" s="1">
        <v>0.0</v>
      </c>
      <c r="AI430" s="1">
        <v>0.0</v>
      </c>
      <c r="AJ430" s="1">
        <v>0.0</v>
      </c>
      <c r="AK430" s="1">
        <v>0.0</v>
      </c>
      <c r="AL430" s="1">
        <v>0.0</v>
      </c>
      <c r="AM430" s="4">
        <v>0.0</v>
      </c>
      <c r="AN430" s="1">
        <v>0.0</v>
      </c>
      <c r="AO430" s="4">
        <v>0.0</v>
      </c>
      <c r="AP430" s="1">
        <f t="shared" si="1"/>
        <v>0</v>
      </c>
      <c r="AQ430" s="1" t="s">
        <v>557</v>
      </c>
      <c r="AR430" s="1" t="s">
        <v>542</v>
      </c>
      <c r="AT430" s="1" t="s">
        <v>1161</v>
      </c>
      <c r="AU430" s="2">
        <v>46008.0</v>
      </c>
      <c r="AV430" s="2">
        <v>46024.0229166667</v>
      </c>
      <c r="AW430" s="1">
        <v>0.0</v>
      </c>
      <c r="AX430" s="1">
        <v>0.0</v>
      </c>
      <c r="AY430" s="1">
        <v>40.0</v>
      </c>
      <c r="AZ430" s="1">
        <v>1.0</v>
      </c>
      <c r="BA430" s="1">
        <v>0.0</v>
      </c>
      <c r="BB430" s="1">
        <v>0.0</v>
      </c>
      <c r="BC430" s="2">
        <v>46008.0</v>
      </c>
      <c r="BD430" s="1">
        <v>50.0</v>
      </c>
      <c r="BE430" s="1" t="s">
        <v>550</v>
      </c>
      <c r="BF430" s="1">
        <v>2025.0</v>
      </c>
      <c r="BG430" s="1" t="s">
        <v>558</v>
      </c>
      <c r="BH430" s="7" t="str">
        <f>VLOOKUP(B430,CookieClicks!D:O,12,FALSE)</f>
        <v>https://www.method.me/</v>
      </c>
      <c r="BI430" s="8" t="str">
        <f>IFERROR(__xludf.DUMMYFUNCTION("VLOOKUP(REGEXREPLACE(BH430,""[?].*"",""""),ContentBuckets!A:C,2,FALSE)"),"Homepage")</f>
        <v>Homepage</v>
      </c>
      <c r="BJ430" s="8" t="str">
        <f>IFERROR(__xludf.DUMMYFUNCTION("VLOOKUP(REGEXREPLACE(BH430,""[?].*"",""""),ContentBuckets!A:C,3,FALSE)"),"Other page")</f>
        <v>Other page</v>
      </c>
    </row>
    <row r="431" ht="14.25" customHeight="1">
      <c r="A431" s="1">
        <v>153641.0</v>
      </c>
      <c r="B431" s="1" t="s">
        <v>1162</v>
      </c>
      <c r="C431" s="2">
        <v>46008.4708333333</v>
      </c>
      <c r="D431" s="2">
        <v>46022.7777777778</v>
      </c>
      <c r="E431" s="2"/>
      <c r="F431" s="1" t="b">
        <v>0</v>
      </c>
      <c r="G431" s="4" t="b">
        <v>0</v>
      </c>
      <c r="H431" s="1" t="b">
        <v>0</v>
      </c>
      <c r="I431" s="1" t="b">
        <v>0</v>
      </c>
      <c r="J431" s="1" t="s">
        <v>534</v>
      </c>
      <c r="K431" s="1" t="s">
        <v>535</v>
      </c>
      <c r="L431" s="1" t="s">
        <v>536</v>
      </c>
      <c r="M431" s="1" t="s">
        <v>537</v>
      </c>
      <c r="N431" s="1">
        <v>0.0</v>
      </c>
      <c r="O431" s="1">
        <v>88.5</v>
      </c>
      <c r="P431" s="1">
        <v>0.0</v>
      </c>
      <c r="Q431" s="1">
        <v>0.0</v>
      </c>
      <c r="R431" s="1">
        <v>28.0</v>
      </c>
      <c r="S431" s="1" t="s">
        <v>538</v>
      </c>
      <c r="T431" s="1" t="s">
        <v>539</v>
      </c>
      <c r="V431" s="4">
        <v>7370544.0</v>
      </c>
      <c r="W431" s="4" t="s">
        <v>831</v>
      </c>
      <c r="X431" s="4">
        <v>0.0</v>
      </c>
      <c r="Y431" s="1">
        <v>1.0</v>
      </c>
      <c r="Z431" s="1">
        <v>0.0</v>
      </c>
      <c r="AA431" s="1">
        <v>0.0</v>
      </c>
      <c r="AB431" s="1">
        <v>0.0</v>
      </c>
      <c r="AC431" s="1">
        <v>0.0</v>
      </c>
      <c r="AD431" s="1">
        <v>0.0</v>
      </c>
      <c r="AE431" s="1">
        <v>0.0</v>
      </c>
      <c r="AF431" s="1">
        <v>0.0</v>
      </c>
      <c r="AG431" s="1">
        <v>0.0</v>
      </c>
      <c r="AH431" s="1">
        <v>0.0</v>
      </c>
      <c r="AI431" s="1">
        <v>0.0</v>
      </c>
      <c r="AJ431" s="1">
        <v>0.0</v>
      </c>
      <c r="AK431" s="1">
        <v>0.0</v>
      </c>
      <c r="AL431" s="1">
        <v>0.0</v>
      </c>
      <c r="AM431" s="4">
        <v>0.0</v>
      </c>
      <c r="AN431" s="1">
        <v>0.0</v>
      </c>
      <c r="AO431" s="4">
        <v>0.0</v>
      </c>
      <c r="AP431" s="1">
        <f t="shared" si="1"/>
        <v>0</v>
      </c>
      <c r="AQ431" s="1" t="s">
        <v>557</v>
      </c>
      <c r="AR431" s="1" t="s">
        <v>560</v>
      </c>
      <c r="AT431" s="1" t="s">
        <v>1163</v>
      </c>
      <c r="AU431" s="2">
        <v>46008.0</v>
      </c>
      <c r="AV431" s="2">
        <v>46022.0069444444</v>
      </c>
      <c r="AW431" s="1">
        <v>13.0</v>
      </c>
      <c r="AX431" s="1">
        <v>3206208.24</v>
      </c>
      <c r="AY431" s="1">
        <v>1524.0</v>
      </c>
      <c r="AZ431" s="1">
        <v>2.0</v>
      </c>
      <c r="BA431" s="1">
        <v>0.0</v>
      </c>
      <c r="BB431" s="1">
        <v>0.0</v>
      </c>
      <c r="BC431" s="2">
        <v>46008.0</v>
      </c>
      <c r="BD431" s="1">
        <v>50.0</v>
      </c>
      <c r="BE431" s="1" t="s">
        <v>550</v>
      </c>
      <c r="BF431" s="1">
        <v>2025.0</v>
      </c>
      <c r="BG431" s="1" t="s">
        <v>558</v>
      </c>
      <c r="BH431" s="7" t="str">
        <f>VLOOKUP(B431,CookieClicks!D:O,12,FALSE)</f>
        <v>https://www.method.me/</v>
      </c>
      <c r="BI431" s="8" t="str">
        <f>IFERROR(__xludf.DUMMYFUNCTION("VLOOKUP(REGEXREPLACE(BH431,""[?].*"",""""),ContentBuckets!A:C,2,FALSE)"),"Homepage")</f>
        <v>Homepage</v>
      </c>
      <c r="BJ431" s="8" t="str">
        <f>IFERROR(__xludf.DUMMYFUNCTION("VLOOKUP(REGEXREPLACE(BH431,""[?].*"",""""),ContentBuckets!A:C,3,FALSE)"),"Other page")</f>
        <v>Other page</v>
      </c>
    </row>
    <row r="432" ht="14.25" customHeight="1">
      <c r="A432" s="1">
        <v>153642.0</v>
      </c>
      <c r="B432" s="1" t="s">
        <v>1164</v>
      </c>
      <c r="C432" s="2">
        <v>46008.4784722222</v>
      </c>
      <c r="D432" s="2"/>
      <c r="E432" s="2"/>
      <c r="F432" s="1" t="b">
        <v>1</v>
      </c>
      <c r="G432" s="4" t="b">
        <v>0</v>
      </c>
      <c r="H432" s="1" t="b">
        <v>0</v>
      </c>
      <c r="I432" s="1" t="b">
        <v>0</v>
      </c>
      <c r="J432" s="1" t="s">
        <v>534</v>
      </c>
      <c r="K432" s="1" t="s">
        <v>535</v>
      </c>
      <c r="L432" s="1" t="s">
        <v>536</v>
      </c>
      <c r="M432" s="1" t="s">
        <v>537</v>
      </c>
      <c r="N432" s="1">
        <v>0.0</v>
      </c>
      <c r="O432" s="1">
        <v>26.25</v>
      </c>
      <c r="P432" s="1">
        <v>0.0</v>
      </c>
      <c r="Q432" s="1">
        <v>0.0</v>
      </c>
      <c r="R432" s="1">
        <v>28.0</v>
      </c>
      <c r="S432" s="1" t="s">
        <v>538</v>
      </c>
      <c r="T432" s="1" t="s">
        <v>539</v>
      </c>
      <c r="V432" s="4">
        <v>7371208.0</v>
      </c>
      <c r="W432" s="4" t="s">
        <v>653</v>
      </c>
      <c r="X432" s="4">
        <v>0.0</v>
      </c>
      <c r="Y432" s="1">
        <v>1.0</v>
      </c>
      <c r="Z432" s="1">
        <v>0.0</v>
      </c>
      <c r="AA432" s="1">
        <v>0.0</v>
      </c>
      <c r="AB432" s="1">
        <v>0.0</v>
      </c>
      <c r="AC432" s="1">
        <v>0.0</v>
      </c>
      <c r="AD432" s="1">
        <v>0.0</v>
      </c>
      <c r="AE432" s="1">
        <v>0.0</v>
      </c>
      <c r="AF432" s="1">
        <v>0.0</v>
      </c>
      <c r="AG432" s="1">
        <v>0.0</v>
      </c>
      <c r="AH432" s="1">
        <v>0.0</v>
      </c>
      <c r="AI432" s="1">
        <v>0.0</v>
      </c>
      <c r="AJ432" s="1">
        <v>0.0</v>
      </c>
      <c r="AK432" s="1">
        <v>0.0</v>
      </c>
      <c r="AL432" s="1">
        <v>0.0</v>
      </c>
      <c r="AM432" s="4">
        <v>0.0</v>
      </c>
      <c r="AN432" s="1">
        <v>0.0</v>
      </c>
      <c r="AO432" s="4">
        <v>0.0</v>
      </c>
      <c r="AP432" s="1">
        <f t="shared" si="1"/>
        <v>0</v>
      </c>
      <c r="AQ432" s="1" t="s">
        <v>557</v>
      </c>
      <c r="AR432" s="1" t="s">
        <v>542</v>
      </c>
      <c r="AT432" s="1" t="s">
        <v>1165</v>
      </c>
      <c r="AU432" s="2">
        <v>46008.0</v>
      </c>
      <c r="AV432" s="2">
        <v>46024.0118055556</v>
      </c>
      <c r="AW432" s="1">
        <v>0.0</v>
      </c>
      <c r="AX432" s="1">
        <v>0.0</v>
      </c>
      <c r="AY432" s="1">
        <v>653.0</v>
      </c>
      <c r="AZ432" s="1">
        <v>3.0</v>
      </c>
      <c r="BA432" s="1">
        <v>0.0</v>
      </c>
      <c r="BB432" s="1">
        <v>0.0</v>
      </c>
      <c r="BC432" s="2">
        <v>46008.0</v>
      </c>
      <c r="BD432" s="1">
        <v>50.0</v>
      </c>
      <c r="BE432" s="1" t="s">
        <v>550</v>
      </c>
      <c r="BF432" s="1">
        <v>2025.0</v>
      </c>
      <c r="BG432" s="1" t="s">
        <v>558</v>
      </c>
      <c r="BH432" s="7" t="str">
        <f>VLOOKUP(B432,CookieClicks!D:O,12,FALSE)</f>
        <v>https://www.method.me/</v>
      </c>
      <c r="BI432" s="8" t="str">
        <f>IFERROR(__xludf.DUMMYFUNCTION("VLOOKUP(REGEXREPLACE(BH432,""[?].*"",""""),ContentBuckets!A:C,2,FALSE)"),"Homepage")</f>
        <v>Homepage</v>
      </c>
      <c r="BJ432" s="8" t="str">
        <f>IFERROR(__xludf.DUMMYFUNCTION("VLOOKUP(REGEXREPLACE(BH432,""[?].*"",""""),ContentBuckets!A:C,3,FALSE)"),"Other page")</f>
        <v>Other page</v>
      </c>
    </row>
    <row r="433" ht="14.25" customHeight="1">
      <c r="A433" s="1">
        <v>153643.0</v>
      </c>
      <c r="B433" s="1" t="s">
        <v>1166</v>
      </c>
      <c r="C433" s="2">
        <v>46008.4993055556</v>
      </c>
      <c r="D433" s="2">
        <v>46008.5055555556</v>
      </c>
      <c r="E433" s="2"/>
      <c r="F433" s="1" t="b">
        <v>0</v>
      </c>
      <c r="G433" s="4" t="b">
        <v>0</v>
      </c>
      <c r="H433" s="1" t="b">
        <v>0</v>
      </c>
      <c r="I433" s="1" t="b">
        <v>0</v>
      </c>
      <c r="J433" s="1" t="s">
        <v>534</v>
      </c>
      <c r="K433" s="1" t="s">
        <v>535</v>
      </c>
      <c r="L433" s="1" t="s">
        <v>536</v>
      </c>
      <c r="M433" s="1" t="s">
        <v>537</v>
      </c>
      <c r="N433" s="1">
        <v>0.0</v>
      </c>
      <c r="O433" s="1">
        <v>0.0</v>
      </c>
      <c r="P433" s="1">
        <v>0.0</v>
      </c>
      <c r="Q433" s="1">
        <v>0.0</v>
      </c>
      <c r="R433" s="1">
        <v>28.0</v>
      </c>
      <c r="S433" s="1" t="s">
        <v>538</v>
      </c>
      <c r="T433" s="1" t="s">
        <v>539</v>
      </c>
      <c r="V433" s="4">
        <v>7371618.0</v>
      </c>
      <c r="W433" s="4"/>
      <c r="X433" s="4">
        <v>0.0</v>
      </c>
      <c r="Y433" s="1">
        <v>0.0</v>
      </c>
      <c r="Z433" s="1">
        <v>0.0</v>
      </c>
      <c r="AA433" s="1">
        <v>1.0</v>
      </c>
      <c r="AB433" s="1">
        <v>0.0</v>
      </c>
      <c r="AC433" s="1">
        <v>0.0</v>
      </c>
      <c r="AD433" s="1">
        <v>0.0</v>
      </c>
      <c r="AE433" s="1">
        <v>0.0</v>
      </c>
      <c r="AF433" s="1">
        <v>0.0</v>
      </c>
      <c r="AG433" s="1">
        <v>0.0</v>
      </c>
      <c r="AH433" s="1">
        <v>0.0</v>
      </c>
      <c r="AI433" s="1">
        <v>0.0</v>
      </c>
      <c r="AJ433" s="1">
        <v>0.0</v>
      </c>
      <c r="AK433" s="1">
        <v>0.0</v>
      </c>
      <c r="AL433" s="1">
        <v>0.0</v>
      </c>
      <c r="AM433" s="4">
        <v>0.0</v>
      </c>
      <c r="AN433" s="1">
        <v>0.0</v>
      </c>
      <c r="AO433" s="4">
        <v>0.0</v>
      </c>
      <c r="AP433" s="1">
        <f t="shared" si="1"/>
        <v>0</v>
      </c>
      <c r="AQ433" s="1" t="s">
        <v>557</v>
      </c>
      <c r="AR433" s="1" t="s">
        <v>560</v>
      </c>
      <c r="AU433" s="2"/>
      <c r="AV433" s="2"/>
      <c r="AW433" s="1">
        <v>0.0</v>
      </c>
      <c r="AX433" s="1">
        <v>0.0</v>
      </c>
      <c r="AY433" s="1">
        <v>0.0</v>
      </c>
      <c r="AZ433" s="1">
        <v>1.0</v>
      </c>
      <c r="BA433" s="1">
        <v>0.0</v>
      </c>
      <c r="BB433" s="1">
        <v>0.0</v>
      </c>
      <c r="BC433" s="2">
        <v>46008.0</v>
      </c>
      <c r="BD433" s="1">
        <v>50.0</v>
      </c>
      <c r="BE433" s="1" t="s">
        <v>550</v>
      </c>
      <c r="BF433" s="1">
        <v>2025.0</v>
      </c>
      <c r="BG433" s="1" t="s">
        <v>558</v>
      </c>
      <c r="BH433" s="1" t="str">
        <f>VLOOKUP(B433,CookieClicks!D:O,12,FALSE)</f>
        <v>https://grow.method.me/qb-payment/?trc=81&amp;trk=quickbooks online payment&amp;trs=US-payment&amp;campaignid=19733246298&amp;adgroupid=146278163933&amp;adid=649435146420&amp;gad_source=1&amp;gad_campaignid=19733246298&amp;gbraid=0AAAAAD3ItnYJHlNFwX_7CWRCRbGG6cPlr&amp;gclid=Cj0KCQiAxonKBhC1ARIsAIHq_ltNiGpVouNi88xXMrMtkX19XxtZC9GBogdZ_Xs4nGEusXiqzbwd0VAaApZkEALw_wcB</v>
      </c>
      <c r="BI433" s="8" t="str">
        <f>IFERROR(__xludf.DUMMYFUNCTION("VLOOKUP(REGEXREPLACE(BH433,""[?].*"",""""),ContentBuckets!A:C,2,FALSE)"),"#N/A")</f>
        <v>#N/A</v>
      </c>
      <c r="BJ433" s="8" t="str">
        <f>IFERROR(__xludf.DUMMYFUNCTION("VLOOKUP(REGEXREPLACE(BH433,""[?].*"",""""),ContentBuckets!A:C,3,FALSE)"),"#N/A")</f>
        <v>#N/A</v>
      </c>
    </row>
    <row r="434" ht="14.25" customHeight="1">
      <c r="A434" s="1">
        <v>153644.0</v>
      </c>
      <c r="B434" s="1" t="s">
        <v>1167</v>
      </c>
      <c r="C434" s="2">
        <v>46008.5125</v>
      </c>
      <c r="D434" s="2"/>
      <c r="E434" s="2"/>
      <c r="F434" s="1" t="b">
        <v>1</v>
      </c>
      <c r="G434" s="4" t="b">
        <v>0</v>
      </c>
      <c r="H434" s="1" t="b">
        <v>0</v>
      </c>
      <c r="I434" s="1" t="b">
        <v>0</v>
      </c>
      <c r="J434" s="1" t="s">
        <v>534</v>
      </c>
      <c r="K434" s="1" t="s">
        <v>535</v>
      </c>
      <c r="L434" s="1" t="s">
        <v>536</v>
      </c>
      <c r="M434" s="1" t="s">
        <v>537</v>
      </c>
      <c r="N434" s="1">
        <v>0.0</v>
      </c>
      <c r="O434" s="1">
        <v>54.75</v>
      </c>
      <c r="P434" s="1">
        <v>0.0</v>
      </c>
      <c r="Q434" s="1">
        <v>0.0</v>
      </c>
      <c r="R434" s="1">
        <v>28.0</v>
      </c>
      <c r="S434" s="1" t="s">
        <v>538</v>
      </c>
      <c r="T434" s="1" t="s">
        <v>539</v>
      </c>
      <c r="V434" s="4">
        <v>7044370.0</v>
      </c>
      <c r="W434" s="4" t="s">
        <v>540</v>
      </c>
      <c r="X434" s="4">
        <v>0.0</v>
      </c>
      <c r="Y434" s="1">
        <v>1.0</v>
      </c>
      <c r="Z434" s="1">
        <v>0.0</v>
      </c>
      <c r="AA434" s="1">
        <v>0.0</v>
      </c>
      <c r="AB434" s="1">
        <v>0.0</v>
      </c>
      <c r="AC434" s="1">
        <v>0.0</v>
      </c>
      <c r="AD434" s="1">
        <v>0.0</v>
      </c>
      <c r="AE434" s="1">
        <v>0.0</v>
      </c>
      <c r="AF434" s="1">
        <v>0.0</v>
      </c>
      <c r="AG434" s="1">
        <v>0.0</v>
      </c>
      <c r="AH434" s="1">
        <v>0.0</v>
      </c>
      <c r="AI434" s="1">
        <v>0.0</v>
      </c>
      <c r="AJ434" s="1">
        <v>0.0</v>
      </c>
      <c r="AK434" s="1">
        <v>0.0</v>
      </c>
      <c r="AL434" s="1">
        <v>0.0</v>
      </c>
      <c r="AM434" s="4">
        <v>0.0</v>
      </c>
      <c r="AN434" s="1">
        <v>0.0</v>
      </c>
      <c r="AO434" s="4">
        <v>0.0</v>
      </c>
      <c r="AP434" s="1">
        <f t="shared" si="1"/>
        <v>0</v>
      </c>
      <c r="AQ434" s="1" t="s">
        <v>1168</v>
      </c>
      <c r="AR434" s="1" t="s">
        <v>560</v>
      </c>
      <c r="AT434" s="1" t="s">
        <v>1169</v>
      </c>
      <c r="AU434" s="2">
        <v>46008.0</v>
      </c>
      <c r="AV434" s="2">
        <v>46023.99375</v>
      </c>
      <c r="AW434" s="1">
        <v>0.0</v>
      </c>
      <c r="AX434" s="1">
        <v>3342000.0</v>
      </c>
      <c r="AY434" s="1">
        <v>3.0</v>
      </c>
      <c r="AZ434" s="1">
        <v>1.0</v>
      </c>
      <c r="BA434" s="1">
        <v>0.0</v>
      </c>
      <c r="BB434" s="1">
        <v>0.0</v>
      </c>
      <c r="BC434" s="2">
        <v>46008.0</v>
      </c>
      <c r="BD434" s="1">
        <v>50.0</v>
      </c>
      <c r="BE434" s="1" t="s">
        <v>550</v>
      </c>
      <c r="BF434" s="1">
        <v>2025.0</v>
      </c>
      <c r="BG434" s="1" t="s">
        <v>1170</v>
      </c>
      <c r="BH434" s="7" t="str">
        <f>VLOOKUP(B434,CookieClicks!D:O,12,FALSE)</f>
        <v>https://signin.method.me/</v>
      </c>
      <c r="BI434" s="8" t="str">
        <f>IFERROR(__xludf.DUMMYFUNCTION("VLOOKUP(REGEXREPLACE(BH434,""[?].*"",""""),ContentBuckets!A:C,2,FALSE)"),"#N/A")</f>
        <v>#N/A</v>
      </c>
      <c r="BJ434" s="8" t="str">
        <f>IFERROR(__xludf.DUMMYFUNCTION("VLOOKUP(REGEXREPLACE(BH434,""[?].*"",""""),ContentBuckets!A:C,3,FALSE)"),"#N/A")</f>
        <v>#N/A</v>
      </c>
    </row>
    <row r="435" ht="14.25" customHeight="1">
      <c r="A435" s="1">
        <v>153645.0</v>
      </c>
      <c r="B435" s="1" t="s">
        <v>1171</v>
      </c>
      <c r="C435" s="2">
        <v>46008.5145833333</v>
      </c>
      <c r="D435" s="2"/>
      <c r="E435" s="2">
        <v>46013.3875</v>
      </c>
      <c r="F435" s="1" t="b">
        <v>1</v>
      </c>
      <c r="G435" s="4" t="b">
        <v>0</v>
      </c>
      <c r="H435" s="1" t="b">
        <v>0</v>
      </c>
      <c r="I435" s="1" t="b">
        <v>0</v>
      </c>
      <c r="J435" s="1" t="s">
        <v>534</v>
      </c>
      <c r="K435" s="1" t="s">
        <v>905</v>
      </c>
      <c r="L435" s="1" t="s">
        <v>536</v>
      </c>
      <c r="M435" s="1" t="s">
        <v>537</v>
      </c>
      <c r="N435" s="1">
        <v>0.0</v>
      </c>
      <c r="O435" s="1">
        <v>0.0</v>
      </c>
      <c r="P435" s="1">
        <v>0.0</v>
      </c>
      <c r="Q435" s="1">
        <v>0.0</v>
      </c>
      <c r="R435" s="1">
        <v>28.0</v>
      </c>
      <c r="S435" s="1" t="s">
        <v>1136</v>
      </c>
      <c r="T435" s="1" t="s">
        <v>539</v>
      </c>
      <c r="V435" s="4">
        <v>7371443.0</v>
      </c>
      <c r="W435" s="4"/>
      <c r="X435" s="4">
        <v>1.0</v>
      </c>
      <c r="Y435" s="1">
        <v>0.0</v>
      </c>
      <c r="Z435" s="1">
        <v>0.0</v>
      </c>
      <c r="AA435" s="1">
        <v>0.0</v>
      </c>
      <c r="AB435" s="1">
        <v>0.0</v>
      </c>
      <c r="AC435" s="1">
        <v>0.0</v>
      </c>
      <c r="AD435" s="1">
        <v>0.0</v>
      </c>
      <c r="AE435" s="1">
        <v>0.0</v>
      </c>
      <c r="AF435" s="1">
        <v>0.0</v>
      </c>
      <c r="AG435" s="1">
        <v>0.0</v>
      </c>
      <c r="AH435" s="1">
        <v>0.0</v>
      </c>
      <c r="AI435" s="1">
        <v>0.0</v>
      </c>
      <c r="AJ435" s="1">
        <v>0.0</v>
      </c>
      <c r="AK435" s="1">
        <v>0.0</v>
      </c>
      <c r="AL435" s="1">
        <v>0.0</v>
      </c>
      <c r="AM435" s="4">
        <v>0.0</v>
      </c>
      <c r="AN435" s="1">
        <v>0.0</v>
      </c>
      <c r="AO435" s="4">
        <v>0.0</v>
      </c>
      <c r="AP435" s="1">
        <f t="shared" si="1"/>
        <v>0</v>
      </c>
      <c r="AQ435" s="1" t="s">
        <v>557</v>
      </c>
      <c r="AR435" s="1" t="s">
        <v>608</v>
      </c>
      <c r="AU435" s="2">
        <v>46008.0</v>
      </c>
      <c r="AV435" s="2">
        <v>46023.9916666667</v>
      </c>
      <c r="AW435" s="1">
        <v>1.0</v>
      </c>
      <c r="AX435" s="1">
        <v>384586.2</v>
      </c>
      <c r="AY435" s="1">
        <v>60.0</v>
      </c>
      <c r="AZ435" s="1">
        <v>1.0</v>
      </c>
      <c r="BA435" s="1">
        <v>0.0</v>
      </c>
      <c r="BB435" s="1">
        <v>0.0</v>
      </c>
      <c r="BC435" s="2">
        <v>46008.0</v>
      </c>
      <c r="BD435" s="1">
        <v>50.0</v>
      </c>
      <c r="BE435" s="1" t="s">
        <v>550</v>
      </c>
      <c r="BF435" s="1">
        <v>2025.0</v>
      </c>
      <c r="BG435" s="1" t="s">
        <v>558</v>
      </c>
      <c r="BH435" s="7" t="str">
        <f>VLOOKUP(B435,CookieClicks!D:O,12,FALSE)</f>
        <v>https://www.method.me/</v>
      </c>
      <c r="BI435" s="8" t="str">
        <f>IFERROR(__xludf.DUMMYFUNCTION("VLOOKUP(REGEXREPLACE(BH435,""[?].*"",""""),ContentBuckets!A:C,2,FALSE)"),"Homepage")</f>
        <v>Homepage</v>
      </c>
      <c r="BJ435" s="8" t="str">
        <f>IFERROR(__xludf.DUMMYFUNCTION("VLOOKUP(REGEXREPLACE(BH435,""[?].*"",""""),ContentBuckets!A:C,3,FALSE)"),"Other page")</f>
        <v>Other page</v>
      </c>
    </row>
    <row r="436" ht="14.25" customHeight="1">
      <c r="A436" s="1">
        <v>153646.0</v>
      </c>
      <c r="B436" s="1" t="s">
        <v>1172</v>
      </c>
      <c r="C436" s="2">
        <v>46008.5166666667</v>
      </c>
      <c r="D436" s="2"/>
      <c r="E436" s="2"/>
      <c r="F436" s="1" t="b">
        <v>1</v>
      </c>
      <c r="G436" s="4" t="b">
        <v>0</v>
      </c>
      <c r="H436" s="1" t="b">
        <v>0</v>
      </c>
      <c r="I436" s="1" t="b">
        <v>0</v>
      </c>
      <c r="J436" s="1" t="s">
        <v>534</v>
      </c>
      <c r="K436" s="1" t="s">
        <v>535</v>
      </c>
      <c r="L436" s="1" t="s">
        <v>536</v>
      </c>
      <c r="M436" s="1" t="s">
        <v>537</v>
      </c>
      <c r="N436" s="1">
        <v>0.0</v>
      </c>
      <c r="O436" s="1">
        <v>44.25</v>
      </c>
      <c r="P436" s="1">
        <v>0.0</v>
      </c>
      <c r="Q436" s="1">
        <v>0.0</v>
      </c>
      <c r="R436" s="1">
        <v>28.0</v>
      </c>
      <c r="S436" s="1" t="s">
        <v>538</v>
      </c>
      <c r="T436" s="1" t="s">
        <v>539</v>
      </c>
      <c r="V436" s="4">
        <v>7371953.0</v>
      </c>
      <c r="W436" s="4" t="s">
        <v>540</v>
      </c>
      <c r="X436" s="4">
        <v>0.0</v>
      </c>
      <c r="Y436" s="1">
        <v>1.0</v>
      </c>
      <c r="Z436" s="1">
        <v>0.0</v>
      </c>
      <c r="AA436" s="1">
        <v>0.0</v>
      </c>
      <c r="AB436" s="1">
        <v>0.0</v>
      </c>
      <c r="AC436" s="1">
        <v>0.0</v>
      </c>
      <c r="AD436" s="1">
        <v>0.0</v>
      </c>
      <c r="AE436" s="1">
        <v>0.0</v>
      </c>
      <c r="AF436" s="1">
        <v>0.0</v>
      </c>
      <c r="AG436" s="1">
        <v>0.0</v>
      </c>
      <c r="AH436" s="1">
        <v>0.0</v>
      </c>
      <c r="AI436" s="1">
        <v>0.0</v>
      </c>
      <c r="AJ436" s="1">
        <v>0.0</v>
      </c>
      <c r="AK436" s="1">
        <v>0.0</v>
      </c>
      <c r="AL436" s="1">
        <v>0.0</v>
      </c>
      <c r="AM436" s="4">
        <v>0.0</v>
      </c>
      <c r="AN436" s="1">
        <v>0.0</v>
      </c>
      <c r="AO436" s="4">
        <v>0.0</v>
      </c>
      <c r="AP436" s="1">
        <f t="shared" si="1"/>
        <v>0</v>
      </c>
      <c r="AQ436" s="1" t="s">
        <v>604</v>
      </c>
      <c r="AR436" s="1" t="s">
        <v>560</v>
      </c>
      <c r="AU436" s="2">
        <v>46008.0</v>
      </c>
      <c r="AV436" s="2">
        <v>46024.0118055556</v>
      </c>
      <c r="AW436" s="1">
        <v>5.0</v>
      </c>
      <c r="AX436" s="1">
        <v>189520.08</v>
      </c>
      <c r="AY436" s="1">
        <v>61.0</v>
      </c>
      <c r="AZ436" s="1">
        <v>1.0</v>
      </c>
      <c r="BA436" s="1">
        <v>0.0</v>
      </c>
      <c r="BB436" s="1">
        <v>0.0</v>
      </c>
      <c r="BC436" s="2">
        <v>46008.0</v>
      </c>
      <c r="BD436" s="1">
        <v>50.0</v>
      </c>
      <c r="BE436" s="1" t="s">
        <v>550</v>
      </c>
      <c r="BF436" s="1">
        <v>2025.0</v>
      </c>
      <c r="BG436" s="1" t="s">
        <v>605</v>
      </c>
      <c r="BH436" s="7" t="str">
        <f>VLOOKUP(B436,CookieClicks!D:O,12,FALSE)</f>
        <v>https://www.method.me/</v>
      </c>
      <c r="BI436" s="8" t="str">
        <f>IFERROR(__xludf.DUMMYFUNCTION("VLOOKUP(REGEXREPLACE(BH436,""[?].*"",""""),ContentBuckets!A:C,2,FALSE)"),"Homepage")</f>
        <v>Homepage</v>
      </c>
      <c r="BJ436" s="8" t="str">
        <f>IFERROR(__xludf.DUMMYFUNCTION("VLOOKUP(REGEXREPLACE(BH436,""[?].*"",""""),ContentBuckets!A:C,3,FALSE)"),"Other page")</f>
        <v>Other page</v>
      </c>
    </row>
    <row r="437" ht="14.25" customHeight="1">
      <c r="A437" s="1">
        <v>153648.0</v>
      </c>
      <c r="B437" s="1" t="s">
        <v>1173</v>
      </c>
      <c r="C437" s="2">
        <v>46008.5423611111</v>
      </c>
      <c r="D437" s="2">
        <v>46008.6111111111</v>
      </c>
      <c r="E437" s="2"/>
      <c r="F437" s="1" t="b">
        <v>0</v>
      </c>
      <c r="G437" s="4" t="b">
        <v>1</v>
      </c>
      <c r="H437" s="1" t="b">
        <v>0</v>
      </c>
      <c r="I437" s="1" t="b">
        <v>0</v>
      </c>
      <c r="J437" s="1" t="s">
        <v>534</v>
      </c>
      <c r="K437" s="1" t="s">
        <v>622</v>
      </c>
      <c r="L437" s="1" t="s">
        <v>623</v>
      </c>
      <c r="M437" s="1" t="s">
        <v>537</v>
      </c>
      <c r="N437" s="1">
        <v>0.0</v>
      </c>
      <c r="O437" s="1">
        <v>0.0</v>
      </c>
      <c r="P437" s="1">
        <v>0.0</v>
      </c>
      <c r="Q437" s="1">
        <v>0.0</v>
      </c>
      <c r="R437" s="1">
        <v>0.0</v>
      </c>
      <c r="S437" s="1" t="s">
        <v>538</v>
      </c>
      <c r="T437" s="1" t="s">
        <v>539</v>
      </c>
      <c r="V437" s="4">
        <v>7372371.0</v>
      </c>
      <c r="W437" s="4"/>
      <c r="X437" s="4">
        <v>1.0</v>
      </c>
      <c r="Y437" s="1">
        <v>0.0</v>
      </c>
      <c r="Z437" s="1">
        <v>0.0</v>
      </c>
      <c r="AA437" s="1">
        <v>0.0</v>
      </c>
      <c r="AB437" s="1">
        <v>0.0</v>
      </c>
      <c r="AC437" s="1">
        <v>0.0</v>
      </c>
      <c r="AD437" s="1">
        <v>0.0</v>
      </c>
      <c r="AE437" s="1">
        <v>0.0</v>
      </c>
      <c r="AF437" s="1">
        <v>0.0</v>
      </c>
      <c r="AG437" s="1">
        <v>0.0</v>
      </c>
      <c r="AH437" s="1">
        <v>0.0</v>
      </c>
      <c r="AI437" s="1">
        <v>0.0</v>
      </c>
      <c r="AJ437" s="1">
        <v>0.0</v>
      </c>
      <c r="AK437" s="1">
        <v>0.0</v>
      </c>
      <c r="AL437" s="1">
        <v>0.0</v>
      </c>
      <c r="AM437" s="4">
        <v>0.0</v>
      </c>
      <c r="AN437" s="1">
        <v>0.0</v>
      </c>
      <c r="AO437" s="4">
        <v>0.0</v>
      </c>
      <c r="AP437" s="1">
        <f t="shared" si="1"/>
        <v>0</v>
      </c>
      <c r="AQ437" s="1" t="s">
        <v>541</v>
      </c>
      <c r="AU437" s="2"/>
      <c r="AV437" s="2"/>
      <c r="AW437" s="1">
        <v>0.0</v>
      </c>
      <c r="AX437" s="1">
        <v>0.0</v>
      </c>
      <c r="AY437" s="1">
        <v>0.0</v>
      </c>
      <c r="AZ437" s="1">
        <v>1.0</v>
      </c>
      <c r="BA437" s="1">
        <v>0.0</v>
      </c>
      <c r="BB437" s="1">
        <v>0.0</v>
      </c>
      <c r="BC437" s="2">
        <v>46008.0</v>
      </c>
      <c r="BD437" s="1">
        <v>50.0</v>
      </c>
      <c r="BE437" s="1" t="s">
        <v>550</v>
      </c>
      <c r="BF437" s="1">
        <v>2025.0</v>
      </c>
      <c r="BG437" s="1" t="s">
        <v>546</v>
      </c>
      <c r="BH437" s="7" t="str">
        <f>VLOOKUP(B437,CookieClicks!D:O,12,FALSE)</f>
        <v>https://signin.method.me/</v>
      </c>
      <c r="BI437" s="8" t="str">
        <f>IFERROR(__xludf.DUMMYFUNCTION("VLOOKUP(REGEXREPLACE(BH437,""[?].*"",""""),ContentBuckets!A:C,2,FALSE)"),"#N/A")</f>
        <v>#N/A</v>
      </c>
      <c r="BJ437" s="8" t="str">
        <f>IFERROR(__xludf.DUMMYFUNCTION("VLOOKUP(REGEXREPLACE(BH437,""[?].*"",""""),ContentBuckets!A:C,3,FALSE)"),"#N/A")</f>
        <v>#N/A</v>
      </c>
    </row>
    <row r="438" ht="14.25" customHeight="1">
      <c r="A438" s="1">
        <v>153649.0</v>
      </c>
      <c r="B438" s="1" t="s">
        <v>1174</v>
      </c>
      <c r="C438" s="2">
        <v>46008.54375</v>
      </c>
      <c r="D438" s="2"/>
      <c r="E438" s="2"/>
      <c r="F438" s="1" t="b">
        <v>1</v>
      </c>
      <c r="G438" s="4" t="b">
        <v>0</v>
      </c>
      <c r="H438" s="1" t="b">
        <v>0</v>
      </c>
      <c r="I438" s="1" t="b">
        <v>0</v>
      </c>
      <c r="J438" s="1" t="s">
        <v>534</v>
      </c>
      <c r="K438" s="1" t="s">
        <v>553</v>
      </c>
      <c r="L438" s="1" t="s">
        <v>554</v>
      </c>
      <c r="M438" s="1" t="s">
        <v>537</v>
      </c>
      <c r="N438" s="1">
        <v>0.0</v>
      </c>
      <c r="O438" s="1">
        <v>44.25</v>
      </c>
      <c r="P438" s="1">
        <v>0.0</v>
      </c>
      <c r="Q438" s="1">
        <v>0.0</v>
      </c>
      <c r="R438" s="1">
        <v>28.0</v>
      </c>
      <c r="S438" s="1" t="s">
        <v>538</v>
      </c>
      <c r="T438" s="1" t="s">
        <v>539</v>
      </c>
      <c r="V438" s="4">
        <v>7372387.0</v>
      </c>
      <c r="W438" s="4"/>
      <c r="X438" s="4">
        <v>0.0</v>
      </c>
      <c r="Y438" s="1">
        <v>0.0</v>
      </c>
      <c r="Z438" s="1">
        <v>0.0</v>
      </c>
      <c r="AA438" s="1">
        <v>1.0</v>
      </c>
      <c r="AB438" s="1">
        <v>0.0</v>
      </c>
      <c r="AC438" s="1">
        <v>0.0</v>
      </c>
      <c r="AD438" s="1">
        <v>0.0</v>
      </c>
      <c r="AE438" s="1">
        <v>0.0</v>
      </c>
      <c r="AF438" s="1">
        <v>0.0</v>
      </c>
      <c r="AG438" s="1">
        <v>0.0</v>
      </c>
      <c r="AH438" s="1">
        <v>0.0</v>
      </c>
      <c r="AI438" s="1">
        <v>0.0</v>
      </c>
      <c r="AJ438" s="1">
        <v>0.0</v>
      </c>
      <c r="AK438" s="1">
        <v>0.0</v>
      </c>
      <c r="AL438" s="1">
        <v>0.0</v>
      </c>
      <c r="AM438" s="4">
        <v>0.0</v>
      </c>
      <c r="AN438" s="1">
        <v>0.0</v>
      </c>
      <c r="AO438" s="4">
        <v>0.0</v>
      </c>
      <c r="AP438" s="1">
        <f t="shared" si="1"/>
        <v>0</v>
      </c>
      <c r="AR438" s="1" t="s">
        <v>564</v>
      </c>
      <c r="AU438" s="2"/>
      <c r="AV438" s="2">
        <v>46023.9965277778</v>
      </c>
      <c r="AW438" s="1">
        <v>0.0</v>
      </c>
      <c r="AX438" s="1">
        <v>0.0</v>
      </c>
      <c r="AY438" s="1">
        <v>0.0</v>
      </c>
      <c r="AZ438" s="1">
        <v>1.0</v>
      </c>
      <c r="BA438" s="1">
        <v>0.0</v>
      </c>
      <c r="BB438" s="1">
        <v>0.0</v>
      </c>
      <c r="BC438" s="2">
        <v>46008.0</v>
      </c>
      <c r="BD438" s="1">
        <v>50.0</v>
      </c>
      <c r="BE438" s="1" t="s">
        <v>550</v>
      </c>
      <c r="BF438" s="1">
        <v>2025.0</v>
      </c>
      <c r="BG438" s="1" t="s">
        <v>558</v>
      </c>
      <c r="BH438" s="7" t="str">
        <f>VLOOKUP(B438,CookieClicks!D:O,12,FALSE)</f>
        <v>https://www.method.me/crm-quickbooks/job-scheduling-software/?trc=81&amp;trk=&amp;trs=USA-DSA&amp;campaignid=13038312612&amp;adgroupid=127756898611&amp;adid=771467139249&amp;gad_source=1&amp;gad_campaignid=13038312612&amp;gbraid=0AAAAAD3ItnaXlWclXbbm93lGIheIZ32W_&amp;gclid=Cj0KCQiAxonKBhC1ARIsAIHq_lunHA3L52ir3TuPA_T2klhZrDkzSeoWMXRUET2v14p90ImNoNBfXnsaAj1uEALw_wcB</v>
      </c>
      <c r="BI438" s="8" t="str">
        <f>IFERROR(__xludf.DUMMYFUNCTION("VLOOKUP(REGEXREPLACE(BH438,""[?].*"",""""),ContentBuckets!A:C,2,FALSE)"),"/crm-quickbooks/")</f>
        <v>/crm-quickbooks/</v>
      </c>
      <c r="BJ438" s="8" t="str">
        <f>IFERROR(__xludf.DUMMYFUNCTION("VLOOKUP(REGEXREPLACE(BH438,""[?].*"",""""),ContentBuckets!A:C,3,FALSE)"),"Other page")</f>
        <v>Other page</v>
      </c>
    </row>
    <row r="439" ht="14.25" customHeight="1">
      <c r="A439" s="1">
        <v>153651.0</v>
      </c>
      <c r="B439" s="1" t="s">
        <v>1175</v>
      </c>
      <c r="C439" s="2">
        <v>46008.5541666667</v>
      </c>
      <c r="D439" s="2">
        <v>46009.3263888889</v>
      </c>
      <c r="E439" s="2"/>
      <c r="F439" s="1" t="b">
        <v>0</v>
      </c>
      <c r="G439" s="4" t="b">
        <v>1</v>
      </c>
      <c r="H439" s="1" t="b">
        <v>0</v>
      </c>
      <c r="I439" s="1" t="b">
        <v>0</v>
      </c>
      <c r="J439" s="1" t="s">
        <v>534</v>
      </c>
      <c r="K439" s="1" t="s">
        <v>566</v>
      </c>
      <c r="L439" s="1" t="s">
        <v>567</v>
      </c>
      <c r="M439" s="1" t="s">
        <v>537</v>
      </c>
      <c r="N439" s="1">
        <v>0.0</v>
      </c>
      <c r="O439" s="1">
        <v>44.25</v>
      </c>
      <c r="P439" s="1">
        <v>0.0</v>
      </c>
      <c r="Q439" s="1">
        <v>0.0</v>
      </c>
      <c r="R439" s="1">
        <v>28.0</v>
      </c>
      <c r="S439" s="1" t="s">
        <v>538</v>
      </c>
      <c r="T439" s="1" t="s">
        <v>539</v>
      </c>
      <c r="V439" s="4">
        <v>7372387.0</v>
      </c>
      <c r="W439" s="4"/>
      <c r="X439" s="4">
        <v>0.0</v>
      </c>
      <c r="Y439" s="1">
        <v>0.0</v>
      </c>
      <c r="Z439" s="1">
        <v>0.0</v>
      </c>
      <c r="AA439" s="1">
        <v>1.0</v>
      </c>
      <c r="AB439" s="1">
        <v>0.0</v>
      </c>
      <c r="AC439" s="1">
        <v>0.0</v>
      </c>
      <c r="AD439" s="1">
        <v>0.0</v>
      </c>
      <c r="AE439" s="1">
        <v>0.0</v>
      </c>
      <c r="AF439" s="1">
        <v>0.0</v>
      </c>
      <c r="AG439" s="1">
        <v>0.0</v>
      </c>
      <c r="AH439" s="1">
        <v>0.0</v>
      </c>
      <c r="AI439" s="1">
        <v>0.0</v>
      </c>
      <c r="AJ439" s="1">
        <v>0.0</v>
      </c>
      <c r="AK439" s="1">
        <v>0.0</v>
      </c>
      <c r="AL439" s="1">
        <v>0.0</v>
      </c>
      <c r="AM439" s="4">
        <v>0.0</v>
      </c>
      <c r="AN439" s="1">
        <v>0.0</v>
      </c>
      <c r="AO439" s="4">
        <v>0.0</v>
      </c>
      <c r="AP439" s="1">
        <f t="shared" si="1"/>
        <v>0</v>
      </c>
      <c r="AR439" s="1" t="s">
        <v>564</v>
      </c>
      <c r="AU439" s="2"/>
      <c r="AV439" s="2">
        <v>46008.9930555556</v>
      </c>
      <c r="AW439" s="1">
        <v>0.0</v>
      </c>
      <c r="AX439" s="1">
        <v>0.0</v>
      </c>
      <c r="AY439" s="1">
        <v>0.0</v>
      </c>
      <c r="AZ439" s="1">
        <v>1.0</v>
      </c>
      <c r="BA439" s="1">
        <v>0.0</v>
      </c>
      <c r="BB439" s="1">
        <v>0.0</v>
      </c>
      <c r="BC439" s="2">
        <v>46008.0</v>
      </c>
      <c r="BD439" s="1">
        <v>50.0</v>
      </c>
      <c r="BE439" s="1" t="s">
        <v>550</v>
      </c>
      <c r="BF439" s="1">
        <v>2025.0</v>
      </c>
      <c r="BG439" s="1" t="s">
        <v>558</v>
      </c>
      <c r="BH439" s="7" t="str">
        <f>VLOOKUP(B439,CookieClicks!D:O,12,FALSE)</f>
        <v>https://www.method.me/crm-quickbooks/job-scheduling-software/?trc=81&amp;trk=&amp;trs=USA-DSA&amp;campaignid=13038312612&amp;adgroupid=127756898611&amp;adid=771467139249&amp;gad_source=1&amp;gad_campaignid=13038312612&amp;gbraid=0AAAAAD3ItnaXlWclXbbm93lGIheIZ32W_&amp;gclid=Cj0KCQiAxonKBhC1ARIsAIHq_lunHA3L52ir3TuPA_T2klhZrDkzSeoWMXRUET2v14p90ImNoNBfXnsaAj1uEALw_wcB</v>
      </c>
      <c r="BI439" s="8" t="str">
        <f>IFERROR(__xludf.DUMMYFUNCTION("VLOOKUP(REGEXREPLACE(BH439,""[?].*"",""""),ContentBuckets!A:C,2,FALSE)"),"/crm-quickbooks/")</f>
        <v>/crm-quickbooks/</v>
      </c>
      <c r="BJ439" s="8" t="str">
        <f>IFERROR(__xludf.DUMMYFUNCTION("VLOOKUP(REGEXREPLACE(BH439,""[?].*"",""""),ContentBuckets!A:C,3,FALSE)"),"Other page")</f>
        <v>Other page</v>
      </c>
    </row>
    <row r="440" ht="14.25" customHeight="1">
      <c r="A440" s="1">
        <v>153655.0</v>
      </c>
      <c r="B440" s="1" t="s">
        <v>1176</v>
      </c>
      <c r="C440" s="2">
        <v>46008.5861111111</v>
      </c>
      <c r="D440" s="2"/>
      <c r="E440" s="2"/>
      <c r="F440" s="1" t="b">
        <v>1</v>
      </c>
      <c r="G440" s="4" t="b">
        <v>0</v>
      </c>
      <c r="H440" s="1" t="b">
        <v>0</v>
      </c>
      <c r="I440" s="1" t="b">
        <v>0</v>
      </c>
      <c r="J440" s="1" t="s">
        <v>534</v>
      </c>
      <c r="K440" s="1" t="s">
        <v>535</v>
      </c>
      <c r="L440" s="1" t="s">
        <v>536</v>
      </c>
      <c r="M440" s="1" t="s">
        <v>537</v>
      </c>
      <c r="N440" s="1">
        <v>0.0</v>
      </c>
      <c r="O440" s="1">
        <v>44.25</v>
      </c>
      <c r="P440" s="1">
        <v>0.0</v>
      </c>
      <c r="Q440" s="1">
        <v>0.0</v>
      </c>
      <c r="R440" s="1">
        <v>28.0</v>
      </c>
      <c r="S440" s="1" t="s">
        <v>538</v>
      </c>
      <c r="T440" s="1" t="s">
        <v>539</v>
      </c>
      <c r="V440" s="4">
        <v>7372832.0</v>
      </c>
      <c r="W440" s="4"/>
      <c r="X440" s="4">
        <v>0.0</v>
      </c>
      <c r="Y440" s="1">
        <v>0.0</v>
      </c>
      <c r="Z440" s="1">
        <v>1.0</v>
      </c>
      <c r="AA440" s="1">
        <v>0.0</v>
      </c>
      <c r="AB440" s="1">
        <v>0.0</v>
      </c>
      <c r="AC440" s="1">
        <v>0.0</v>
      </c>
      <c r="AD440" s="1">
        <v>0.0</v>
      </c>
      <c r="AE440" s="1">
        <v>0.0</v>
      </c>
      <c r="AF440" s="1">
        <v>0.0</v>
      </c>
      <c r="AG440" s="1">
        <v>0.0</v>
      </c>
      <c r="AH440" s="1">
        <v>0.0</v>
      </c>
      <c r="AI440" s="1">
        <v>0.0</v>
      </c>
      <c r="AJ440" s="1">
        <v>0.0</v>
      </c>
      <c r="AK440" s="1">
        <v>0.0</v>
      </c>
      <c r="AL440" s="1">
        <v>0.0</v>
      </c>
      <c r="AM440" s="4">
        <v>0.0</v>
      </c>
      <c r="AN440" s="1">
        <v>0.0</v>
      </c>
      <c r="AO440" s="4">
        <v>0.0</v>
      </c>
      <c r="AP440" s="1">
        <f t="shared" si="1"/>
        <v>0</v>
      </c>
      <c r="AQ440" s="1" t="s">
        <v>541</v>
      </c>
      <c r="AR440" s="1" t="s">
        <v>560</v>
      </c>
      <c r="AU440" s="2">
        <v>46008.0</v>
      </c>
      <c r="AV440" s="2">
        <v>46023.9909722222</v>
      </c>
      <c r="AW440" s="1">
        <v>4.0</v>
      </c>
      <c r="AX440" s="1">
        <v>64614.24</v>
      </c>
      <c r="AY440" s="1">
        <v>132.0</v>
      </c>
      <c r="AZ440" s="1">
        <v>1.0</v>
      </c>
      <c r="BA440" s="1">
        <v>0.0</v>
      </c>
      <c r="BB440" s="1">
        <v>2.0</v>
      </c>
      <c r="BC440" s="2">
        <v>46008.0</v>
      </c>
      <c r="BD440" s="1">
        <v>50.0</v>
      </c>
      <c r="BE440" s="1" t="s">
        <v>550</v>
      </c>
      <c r="BF440" s="1">
        <v>2025.0</v>
      </c>
      <c r="BG440" s="1" t="s">
        <v>546</v>
      </c>
      <c r="BH440" s="7" t="str">
        <f>VLOOKUP(B440,CookieClicks!D:O,12,FALSE)</f>
        <v>https://signup.method.me/QBOAppstoreSignup?offering=methodcrm</v>
      </c>
      <c r="BI440" s="8" t="str">
        <f>IFERROR(__xludf.DUMMYFUNCTION("VLOOKUP(REGEXREPLACE(BH440,""[?].*"",""""),ContentBuckets!A:C,2,FALSE)"),"#N/A")</f>
        <v>#N/A</v>
      </c>
      <c r="BJ440" s="8" t="str">
        <f>IFERROR(__xludf.DUMMYFUNCTION("VLOOKUP(REGEXREPLACE(BH440,""[?].*"",""""),ContentBuckets!A:C,3,FALSE)"),"#N/A")</f>
        <v>#N/A</v>
      </c>
    </row>
    <row r="441" ht="14.25" customHeight="1">
      <c r="A441" s="1">
        <v>153657.0</v>
      </c>
      <c r="B441" s="1" t="s">
        <v>1177</v>
      </c>
      <c r="C441" s="2">
        <v>46008.6111111111</v>
      </c>
      <c r="D441" s="2"/>
      <c r="E441" s="2"/>
      <c r="F441" s="1" t="b">
        <v>1</v>
      </c>
      <c r="G441" s="4" t="b">
        <v>0</v>
      </c>
      <c r="H441" s="1" t="b">
        <v>0</v>
      </c>
      <c r="I441" s="1" t="b">
        <v>0</v>
      </c>
      <c r="J441" s="1" t="s">
        <v>534</v>
      </c>
      <c r="K441" s="1" t="s">
        <v>535</v>
      </c>
      <c r="L441" s="1" t="s">
        <v>536</v>
      </c>
      <c r="M441" s="1" t="s">
        <v>537</v>
      </c>
      <c r="N441" s="1">
        <v>0.0</v>
      </c>
      <c r="O441" s="1">
        <v>72.75</v>
      </c>
      <c r="P441" s="1">
        <v>0.0</v>
      </c>
      <c r="Q441" s="1">
        <v>0.0</v>
      </c>
      <c r="R441" s="1">
        <v>28.0</v>
      </c>
      <c r="S441" s="1" t="s">
        <v>538</v>
      </c>
      <c r="T441" s="1" t="s">
        <v>539</v>
      </c>
      <c r="V441" s="4">
        <v>0.0</v>
      </c>
      <c r="W441" s="4"/>
      <c r="X441" s="4">
        <v>0.0</v>
      </c>
      <c r="Y441" s="1">
        <v>0.0</v>
      </c>
      <c r="Z441" s="1">
        <v>0.0</v>
      </c>
      <c r="AA441" s="1">
        <v>0.0</v>
      </c>
      <c r="AB441" s="1">
        <v>0.0</v>
      </c>
      <c r="AC441" s="1">
        <v>0.0</v>
      </c>
      <c r="AD441" s="1">
        <v>0.0</v>
      </c>
      <c r="AE441" s="1">
        <v>0.0</v>
      </c>
      <c r="AF441" s="1">
        <v>0.0</v>
      </c>
      <c r="AG441" s="1">
        <v>0.0</v>
      </c>
      <c r="AH441" s="1">
        <v>0.0</v>
      </c>
      <c r="AI441" s="1">
        <v>0.0</v>
      </c>
      <c r="AJ441" s="1">
        <v>0.0</v>
      </c>
      <c r="AK441" s="1">
        <v>0.0</v>
      </c>
      <c r="AL441" s="1">
        <v>0.0</v>
      </c>
      <c r="AM441" s="4">
        <v>0.0</v>
      </c>
      <c r="AN441" s="1">
        <v>0.0</v>
      </c>
      <c r="AO441" s="4">
        <v>0.0</v>
      </c>
      <c r="AP441" s="1">
        <f t="shared" si="1"/>
        <v>1</v>
      </c>
      <c r="AQ441" s="1" t="s">
        <v>557</v>
      </c>
      <c r="AR441" s="1" t="s">
        <v>542</v>
      </c>
      <c r="AU441" s="2">
        <v>46008.0</v>
      </c>
      <c r="AV441" s="2">
        <v>46023.98125</v>
      </c>
      <c r="AW441" s="1">
        <v>4.0</v>
      </c>
      <c r="AX441" s="1">
        <v>62880.0</v>
      </c>
      <c r="AY441" s="1">
        <v>1.0</v>
      </c>
      <c r="AZ441" s="1">
        <v>1.0</v>
      </c>
      <c r="BA441" s="1">
        <v>0.0</v>
      </c>
      <c r="BB441" s="1">
        <v>0.0</v>
      </c>
      <c r="BC441" s="2">
        <v>46008.0</v>
      </c>
      <c r="BD441" s="1">
        <v>50.0</v>
      </c>
      <c r="BE441" s="1" t="s">
        <v>550</v>
      </c>
      <c r="BF441" s="1">
        <v>2025.0</v>
      </c>
      <c r="BG441" s="1" t="s">
        <v>558</v>
      </c>
      <c r="BH441" s="1" t="str">
        <f>VLOOKUP(B441,CookieClicks!D:O,12,FALSE)</f>
        <v>#N/A</v>
      </c>
      <c r="BI441" s="8" t="str">
        <f>IFERROR(__xludf.DUMMYFUNCTION("VLOOKUP(REGEXREPLACE(BH441,""[?].*"",""""),ContentBuckets!A:C,2,FALSE)"),"#N/A")</f>
        <v>#N/A</v>
      </c>
      <c r="BJ441" s="8" t="str">
        <f>IFERROR(__xludf.DUMMYFUNCTION("VLOOKUP(REGEXREPLACE(BH441,""[?].*"",""""),ContentBuckets!A:C,3,FALSE)"),"#N/A")</f>
        <v>#N/A</v>
      </c>
    </row>
    <row r="442" ht="14.25" customHeight="1">
      <c r="A442" s="1">
        <v>153658.0</v>
      </c>
      <c r="B442" s="1" t="s">
        <v>1178</v>
      </c>
      <c r="C442" s="2">
        <v>46008.6305555556</v>
      </c>
      <c r="D442" s="2"/>
      <c r="E442" s="2"/>
      <c r="F442" s="1" t="b">
        <v>1</v>
      </c>
      <c r="G442" s="4" t="b">
        <v>0</v>
      </c>
      <c r="H442" s="1" t="b">
        <v>0</v>
      </c>
      <c r="I442" s="1" t="b">
        <v>0</v>
      </c>
      <c r="J442" s="1" t="s">
        <v>534</v>
      </c>
      <c r="K442" s="1" t="s">
        <v>535</v>
      </c>
      <c r="L442" s="1" t="s">
        <v>536</v>
      </c>
      <c r="M442" s="1" t="s">
        <v>537</v>
      </c>
      <c r="N442" s="1">
        <v>0.0</v>
      </c>
      <c r="O442" s="1">
        <v>53.25</v>
      </c>
      <c r="P442" s="1">
        <v>0.0</v>
      </c>
      <c r="Q442" s="1">
        <v>0.0</v>
      </c>
      <c r="R442" s="1">
        <v>28.0</v>
      </c>
      <c r="S442" s="1" t="s">
        <v>538</v>
      </c>
      <c r="T442" s="1" t="s">
        <v>539</v>
      </c>
      <c r="V442" s="4">
        <v>7373529.0</v>
      </c>
      <c r="W442" s="4" t="s">
        <v>540</v>
      </c>
      <c r="X442" s="4">
        <v>0.0</v>
      </c>
      <c r="Y442" s="1">
        <v>1.0</v>
      </c>
      <c r="Z442" s="1">
        <v>0.0</v>
      </c>
      <c r="AA442" s="1">
        <v>0.0</v>
      </c>
      <c r="AB442" s="1">
        <v>0.0</v>
      </c>
      <c r="AC442" s="1">
        <v>0.0</v>
      </c>
      <c r="AD442" s="1">
        <v>0.0</v>
      </c>
      <c r="AE442" s="1">
        <v>0.0</v>
      </c>
      <c r="AF442" s="1">
        <v>0.0</v>
      </c>
      <c r="AG442" s="1">
        <v>0.0</v>
      </c>
      <c r="AH442" s="1">
        <v>0.0</v>
      </c>
      <c r="AI442" s="1">
        <v>0.0</v>
      </c>
      <c r="AJ442" s="1">
        <v>0.0</v>
      </c>
      <c r="AK442" s="1">
        <v>0.0</v>
      </c>
      <c r="AL442" s="1">
        <v>0.0</v>
      </c>
      <c r="AM442" s="4">
        <v>0.0</v>
      </c>
      <c r="AN442" s="1">
        <v>0.0</v>
      </c>
      <c r="AO442" s="4">
        <v>0.0</v>
      </c>
      <c r="AP442" s="1">
        <f t="shared" si="1"/>
        <v>0</v>
      </c>
      <c r="AQ442" s="1" t="s">
        <v>1179</v>
      </c>
      <c r="AR442" s="1" t="s">
        <v>578</v>
      </c>
      <c r="AU442" s="2">
        <v>46008.0</v>
      </c>
      <c r="AV442" s="2">
        <v>46024.0368055556</v>
      </c>
      <c r="AW442" s="1">
        <v>1.0</v>
      </c>
      <c r="AX442" s="1">
        <v>12000.0</v>
      </c>
      <c r="AY442" s="1">
        <v>10.0</v>
      </c>
      <c r="AZ442" s="1">
        <v>1.0</v>
      </c>
      <c r="BA442" s="1">
        <v>0.0</v>
      </c>
      <c r="BB442" s="1">
        <v>0.0</v>
      </c>
      <c r="BC442" s="2">
        <v>46008.0</v>
      </c>
      <c r="BD442" s="1">
        <v>50.0</v>
      </c>
      <c r="BE442" s="1" t="s">
        <v>550</v>
      </c>
      <c r="BF442" s="1">
        <v>2025.0</v>
      </c>
      <c r="BG442" s="1" t="s">
        <v>1180</v>
      </c>
      <c r="BH442" s="7" t="str">
        <f>VLOOKUP(B442,CookieClicks!D:O,12,FALSE)</f>
        <v>https://www.method.me/blog/quickbooks-online-invoice-templates/</v>
      </c>
      <c r="BI442" s="8" t="str">
        <f>IFERROR(__xludf.DUMMYFUNCTION("VLOOKUP(REGEXREPLACE(BH442,""[?].*"",""""),ContentBuckets!A:C,2,FALSE)"),"QuickBooks - How-to")</f>
        <v>QuickBooks - How-to</v>
      </c>
      <c r="BJ442" s="8" t="str">
        <f>IFERROR(__xludf.DUMMYFUNCTION("VLOOKUP(REGEXREPLACE(BH442,""[?].*"",""""),ContentBuckets!A:C,3,FALSE)"),"Blog")</f>
        <v>Blog</v>
      </c>
    </row>
    <row r="443" ht="14.25" customHeight="1">
      <c r="A443" s="1">
        <v>153662.0</v>
      </c>
      <c r="B443" s="1" t="s">
        <v>1181</v>
      </c>
      <c r="C443" s="2">
        <v>46008.6576388889</v>
      </c>
      <c r="D443" s="2"/>
      <c r="E443" s="2"/>
      <c r="F443" s="1" t="b">
        <v>1</v>
      </c>
      <c r="G443" s="4" t="b">
        <v>0</v>
      </c>
      <c r="H443" s="1" t="b">
        <v>0</v>
      </c>
      <c r="I443" s="1" t="b">
        <v>0</v>
      </c>
      <c r="J443" s="1" t="s">
        <v>534</v>
      </c>
      <c r="K443" s="1" t="s">
        <v>535</v>
      </c>
      <c r="L443" s="1" t="s">
        <v>536</v>
      </c>
      <c r="M443" s="1" t="s">
        <v>537</v>
      </c>
      <c r="N443" s="1">
        <v>0.0</v>
      </c>
      <c r="O443" s="1">
        <v>63.75</v>
      </c>
      <c r="P443" s="1">
        <v>0.0</v>
      </c>
      <c r="Q443" s="1">
        <v>0.0</v>
      </c>
      <c r="R443" s="1">
        <v>28.0</v>
      </c>
      <c r="S443" s="1" t="s">
        <v>538</v>
      </c>
      <c r="T443" s="1" t="s">
        <v>539</v>
      </c>
      <c r="V443" s="4">
        <v>7373827.0</v>
      </c>
      <c r="W443" s="4" t="s">
        <v>540</v>
      </c>
      <c r="X443" s="4">
        <v>0.0</v>
      </c>
      <c r="Y443" s="1">
        <v>1.0</v>
      </c>
      <c r="Z443" s="1">
        <v>0.0</v>
      </c>
      <c r="AA443" s="1">
        <v>0.0</v>
      </c>
      <c r="AB443" s="1">
        <v>0.0</v>
      </c>
      <c r="AC443" s="1">
        <v>0.0</v>
      </c>
      <c r="AD443" s="1">
        <v>0.0</v>
      </c>
      <c r="AE443" s="1">
        <v>0.0</v>
      </c>
      <c r="AF443" s="1">
        <v>0.0</v>
      </c>
      <c r="AG443" s="1">
        <v>0.0</v>
      </c>
      <c r="AH443" s="1">
        <v>0.0</v>
      </c>
      <c r="AI443" s="1">
        <v>0.0</v>
      </c>
      <c r="AJ443" s="1">
        <v>0.0</v>
      </c>
      <c r="AK443" s="1">
        <v>0.0</v>
      </c>
      <c r="AL443" s="1">
        <v>0.0</v>
      </c>
      <c r="AM443" s="4">
        <v>0.0</v>
      </c>
      <c r="AN443" s="1">
        <v>0.0</v>
      </c>
      <c r="AO443" s="4">
        <v>0.0</v>
      </c>
      <c r="AP443" s="1">
        <f t="shared" si="1"/>
        <v>0</v>
      </c>
      <c r="AQ443" s="1" t="s">
        <v>557</v>
      </c>
      <c r="AR443" s="1" t="s">
        <v>560</v>
      </c>
      <c r="AU443" s="2">
        <v>46008.0</v>
      </c>
      <c r="AV443" s="2">
        <v>46024.0368055556</v>
      </c>
      <c r="AW443" s="1">
        <v>0.0</v>
      </c>
      <c r="AX443" s="1">
        <v>5659800.0</v>
      </c>
      <c r="AY443" s="1">
        <v>2006.0</v>
      </c>
      <c r="AZ443" s="1">
        <v>1.0</v>
      </c>
      <c r="BA443" s="1">
        <v>0.0</v>
      </c>
      <c r="BB443" s="1">
        <v>0.0</v>
      </c>
      <c r="BC443" s="2">
        <v>46008.0</v>
      </c>
      <c r="BD443" s="1">
        <v>50.0</v>
      </c>
      <c r="BE443" s="1" t="s">
        <v>550</v>
      </c>
      <c r="BF443" s="1">
        <v>2025.0</v>
      </c>
      <c r="BG443" s="1" t="s">
        <v>558</v>
      </c>
      <c r="BH443" s="7" t="str">
        <f>VLOOKUP(B443,CookieClicks!D:O,12,FALSE)</f>
        <v>https://www.method.me/</v>
      </c>
      <c r="BI443" s="8" t="str">
        <f>IFERROR(__xludf.DUMMYFUNCTION("VLOOKUP(REGEXREPLACE(BH443,""[?].*"",""""),ContentBuckets!A:C,2,FALSE)"),"Homepage")</f>
        <v>Homepage</v>
      </c>
      <c r="BJ443" s="8" t="str">
        <f>IFERROR(__xludf.DUMMYFUNCTION("VLOOKUP(REGEXREPLACE(BH443,""[?].*"",""""),ContentBuckets!A:C,3,FALSE)"),"Other page")</f>
        <v>Other page</v>
      </c>
    </row>
    <row r="444" ht="14.25" customHeight="1">
      <c r="A444" s="1">
        <v>153663.0</v>
      </c>
      <c r="B444" s="1" t="s">
        <v>1182</v>
      </c>
      <c r="C444" s="2">
        <v>46008.6916666667</v>
      </c>
      <c r="D444" s="2"/>
      <c r="E444" s="2"/>
      <c r="F444" s="1" t="b">
        <v>1</v>
      </c>
      <c r="G444" s="4" t="b">
        <v>0</v>
      </c>
      <c r="H444" s="1" t="b">
        <v>0</v>
      </c>
      <c r="I444" s="1" t="b">
        <v>0</v>
      </c>
      <c r="J444" s="1" t="s">
        <v>534</v>
      </c>
      <c r="K444" s="1" t="s">
        <v>566</v>
      </c>
      <c r="L444" s="1" t="s">
        <v>567</v>
      </c>
      <c r="M444" s="1" t="s">
        <v>537</v>
      </c>
      <c r="N444" s="1">
        <v>0.0</v>
      </c>
      <c r="O444" s="1">
        <v>44.25</v>
      </c>
      <c r="P444" s="1">
        <v>0.0</v>
      </c>
      <c r="Q444" s="1">
        <v>0.0</v>
      </c>
      <c r="R444" s="1">
        <v>0.0</v>
      </c>
      <c r="S444" s="1" t="s">
        <v>538</v>
      </c>
      <c r="T444" s="1" t="s">
        <v>539</v>
      </c>
      <c r="V444" s="4">
        <v>7374439.0</v>
      </c>
      <c r="W444" s="4" t="s">
        <v>653</v>
      </c>
      <c r="X444" s="4">
        <v>0.0</v>
      </c>
      <c r="Y444" s="1">
        <v>1.0</v>
      </c>
      <c r="Z444" s="1">
        <v>0.0</v>
      </c>
      <c r="AA444" s="1">
        <v>0.0</v>
      </c>
      <c r="AB444" s="1">
        <v>0.0</v>
      </c>
      <c r="AC444" s="1">
        <v>0.0</v>
      </c>
      <c r="AD444" s="1">
        <v>0.0</v>
      </c>
      <c r="AE444" s="1">
        <v>0.0</v>
      </c>
      <c r="AF444" s="1">
        <v>0.0</v>
      </c>
      <c r="AG444" s="1">
        <v>0.0</v>
      </c>
      <c r="AH444" s="1">
        <v>0.0</v>
      </c>
      <c r="AI444" s="1">
        <v>0.0</v>
      </c>
      <c r="AJ444" s="1">
        <v>0.0</v>
      </c>
      <c r="AK444" s="1">
        <v>0.0</v>
      </c>
      <c r="AL444" s="1">
        <v>0.0</v>
      </c>
      <c r="AM444" s="4">
        <v>0.0</v>
      </c>
      <c r="AN444" s="1">
        <v>0.0</v>
      </c>
      <c r="AO444" s="4">
        <v>0.0</v>
      </c>
      <c r="AP444" s="1">
        <f t="shared" si="1"/>
        <v>0</v>
      </c>
      <c r="AU444" s="2"/>
      <c r="AV444" s="2">
        <v>46024.0027777778</v>
      </c>
      <c r="AW444" s="1">
        <v>0.0</v>
      </c>
      <c r="AX444" s="1">
        <v>0.0</v>
      </c>
      <c r="AY444" s="1">
        <v>0.0</v>
      </c>
      <c r="AZ444" s="1">
        <v>1.0</v>
      </c>
      <c r="BA444" s="1">
        <v>0.0</v>
      </c>
      <c r="BB444" s="1">
        <v>0.0</v>
      </c>
      <c r="BC444" s="2">
        <v>46008.0</v>
      </c>
      <c r="BD444" s="1">
        <v>50.0</v>
      </c>
      <c r="BE444" s="1" t="s">
        <v>550</v>
      </c>
      <c r="BF444" s="1">
        <v>2025.0</v>
      </c>
      <c r="BG444" s="1" t="s">
        <v>558</v>
      </c>
      <c r="BH444" s="7" t="str">
        <f>VLOOKUP(B444,CookieClicks!D:O,12,FALSE)</f>
        <v>https://www.method.me/crm-quickbooks/desktop/</v>
      </c>
      <c r="BI444" s="8" t="str">
        <f>IFERROR(__xludf.DUMMYFUNCTION("VLOOKUP(REGEXREPLACE(BH444,""[?].*"",""""),ContentBuckets!A:C,2,FALSE)"),"/crm-quickbooks/")</f>
        <v>/crm-quickbooks/</v>
      </c>
      <c r="BJ444" s="8" t="str">
        <f>IFERROR(__xludf.DUMMYFUNCTION("VLOOKUP(REGEXREPLACE(BH444,""[?].*"",""""),ContentBuckets!A:C,3,FALSE)"),"Other page")</f>
        <v>Other page</v>
      </c>
    </row>
    <row r="445" ht="14.25" customHeight="1">
      <c r="A445" s="1">
        <v>153664.0</v>
      </c>
      <c r="B445" s="1" t="s">
        <v>1183</v>
      </c>
      <c r="C445" s="2">
        <v>46008.69375</v>
      </c>
      <c r="D445" s="2">
        <v>46013.4909722222</v>
      </c>
      <c r="E445" s="2"/>
      <c r="F445" s="1" t="b">
        <v>0</v>
      </c>
      <c r="G445" s="4" t="b">
        <v>0</v>
      </c>
      <c r="H445" s="1" t="b">
        <v>0</v>
      </c>
      <c r="I445" s="1" t="b">
        <v>0</v>
      </c>
      <c r="J445" s="1" t="s">
        <v>534</v>
      </c>
      <c r="K445" s="1" t="s">
        <v>535</v>
      </c>
      <c r="L445" s="1" t="s">
        <v>536</v>
      </c>
      <c r="M445" s="1" t="s">
        <v>537</v>
      </c>
      <c r="N445" s="1">
        <v>0.0</v>
      </c>
      <c r="O445" s="1">
        <v>44.25</v>
      </c>
      <c r="P445" s="1">
        <v>0.0</v>
      </c>
      <c r="Q445" s="1">
        <v>0.0</v>
      </c>
      <c r="R445" s="1">
        <v>28.0</v>
      </c>
      <c r="S445" s="1" t="s">
        <v>538</v>
      </c>
      <c r="T445" s="1" t="s">
        <v>539</v>
      </c>
      <c r="V445" s="4">
        <v>7374507.0</v>
      </c>
      <c r="W445" s="4" t="s">
        <v>540</v>
      </c>
      <c r="X445" s="4">
        <v>0.0</v>
      </c>
      <c r="Y445" s="1">
        <v>1.0</v>
      </c>
      <c r="Z445" s="1">
        <v>0.0</v>
      </c>
      <c r="AA445" s="1">
        <v>0.0</v>
      </c>
      <c r="AB445" s="1">
        <v>0.0</v>
      </c>
      <c r="AC445" s="1">
        <v>0.0</v>
      </c>
      <c r="AD445" s="1">
        <v>0.0</v>
      </c>
      <c r="AE445" s="1">
        <v>0.0</v>
      </c>
      <c r="AF445" s="1">
        <v>0.0</v>
      </c>
      <c r="AG445" s="1">
        <v>0.0</v>
      </c>
      <c r="AH445" s="1">
        <v>0.0</v>
      </c>
      <c r="AI445" s="1">
        <v>0.0</v>
      </c>
      <c r="AJ445" s="1">
        <v>0.0</v>
      </c>
      <c r="AK445" s="1">
        <v>0.0</v>
      </c>
      <c r="AL445" s="1">
        <v>0.0</v>
      </c>
      <c r="AM445" s="4">
        <v>0.0</v>
      </c>
      <c r="AN445" s="1">
        <v>0.0</v>
      </c>
      <c r="AO445" s="4">
        <v>0.0</v>
      </c>
      <c r="AP445" s="1">
        <f t="shared" si="1"/>
        <v>0</v>
      </c>
      <c r="AQ445" s="1" t="s">
        <v>557</v>
      </c>
      <c r="AR445" s="1" t="s">
        <v>560</v>
      </c>
      <c r="AT445" s="1" t="s">
        <v>1184</v>
      </c>
      <c r="AU445" s="2">
        <v>46008.0</v>
      </c>
      <c r="AV445" s="2">
        <v>46012.9881944444</v>
      </c>
      <c r="AW445" s="1">
        <v>0.0</v>
      </c>
      <c r="AX445" s="1">
        <v>0.0</v>
      </c>
      <c r="AY445" s="1">
        <v>0.0</v>
      </c>
      <c r="AZ445" s="1">
        <v>1.0</v>
      </c>
      <c r="BA445" s="1">
        <v>0.0</v>
      </c>
      <c r="BB445" s="1">
        <v>0.0</v>
      </c>
      <c r="BC445" s="2">
        <v>46008.0</v>
      </c>
      <c r="BD445" s="1">
        <v>50.0</v>
      </c>
      <c r="BE445" s="1" t="s">
        <v>550</v>
      </c>
      <c r="BF445" s="1">
        <v>2025.0</v>
      </c>
      <c r="BG445" s="1" t="s">
        <v>558</v>
      </c>
      <c r="BH445" s="7" t="str">
        <f>VLOOKUP(B445,CookieClicks!D:O,12,FALSE)</f>
        <v>https://www.method.me/proposals/</v>
      </c>
      <c r="BI445" s="8" t="str">
        <f>IFERROR(__xludf.DUMMYFUNCTION("VLOOKUP(REGEXREPLACE(BH445,""[?].*"",""""),ContentBuckets!A:C,2,FALSE)"),"Features page")</f>
        <v>Features page</v>
      </c>
      <c r="BJ445" s="8" t="str">
        <f>IFERROR(__xludf.DUMMYFUNCTION("VLOOKUP(REGEXREPLACE(BH445,""[?].*"",""""),ContentBuckets!A:C,3,FALSE)"),"Other page")</f>
        <v>Other page</v>
      </c>
    </row>
    <row r="446" ht="14.25" customHeight="1">
      <c r="A446" s="1">
        <v>153665.0</v>
      </c>
      <c r="B446" s="1" t="s">
        <v>1185</v>
      </c>
      <c r="C446" s="2">
        <v>46008.7395833333</v>
      </c>
      <c r="D446" s="2"/>
      <c r="E446" s="2"/>
      <c r="F446" s="1" t="b">
        <v>1</v>
      </c>
      <c r="G446" s="4" t="b">
        <v>0</v>
      </c>
      <c r="H446" s="1" t="b">
        <v>0</v>
      </c>
      <c r="I446" s="1" t="b">
        <v>0</v>
      </c>
      <c r="J446" s="1" t="s">
        <v>534</v>
      </c>
      <c r="K446" s="1" t="s">
        <v>535</v>
      </c>
      <c r="L446" s="1" t="s">
        <v>536</v>
      </c>
      <c r="M446" s="1" t="s">
        <v>537</v>
      </c>
      <c r="N446" s="1">
        <v>0.0</v>
      </c>
      <c r="O446" s="1">
        <v>63.75</v>
      </c>
      <c r="P446" s="1">
        <v>0.0</v>
      </c>
      <c r="Q446" s="1">
        <v>0.0</v>
      </c>
      <c r="R446" s="1">
        <v>28.0</v>
      </c>
      <c r="S446" s="1" t="s">
        <v>538</v>
      </c>
      <c r="T446" s="1" t="s">
        <v>539</v>
      </c>
      <c r="V446" s="4">
        <v>7375196.0</v>
      </c>
      <c r="W446" s="4"/>
      <c r="X446" s="4">
        <v>1.0</v>
      </c>
      <c r="Y446" s="1">
        <v>0.0</v>
      </c>
      <c r="Z446" s="1">
        <v>0.0</v>
      </c>
      <c r="AA446" s="1">
        <v>0.0</v>
      </c>
      <c r="AB446" s="1">
        <v>0.0</v>
      </c>
      <c r="AC446" s="1">
        <v>0.0</v>
      </c>
      <c r="AD446" s="1">
        <v>0.0</v>
      </c>
      <c r="AE446" s="1">
        <v>0.0</v>
      </c>
      <c r="AF446" s="1">
        <v>0.0</v>
      </c>
      <c r="AG446" s="1">
        <v>0.0</v>
      </c>
      <c r="AH446" s="1">
        <v>0.0</v>
      </c>
      <c r="AI446" s="1">
        <v>0.0</v>
      </c>
      <c r="AJ446" s="1">
        <v>0.0</v>
      </c>
      <c r="AK446" s="1">
        <v>0.0</v>
      </c>
      <c r="AL446" s="1">
        <v>0.0</v>
      </c>
      <c r="AM446" s="4">
        <v>0.0</v>
      </c>
      <c r="AN446" s="1">
        <v>0.0</v>
      </c>
      <c r="AO446" s="4">
        <v>0.0</v>
      </c>
      <c r="AP446" s="1">
        <f t="shared" si="1"/>
        <v>0</v>
      </c>
      <c r="AQ446" s="1" t="s">
        <v>541</v>
      </c>
      <c r="AR446" s="1" t="s">
        <v>560</v>
      </c>
      <c r="AT446" s="1" t="s">
        <v>1169</v>
      </c>
      <c r="AU446" s="2">
        <v>46008.0</v>
      </c>
      <c r="AV446" s="2">
        <v>46024.0222222222</v>
      </c>
      <c r="AW446" s="1">
        <v>0.0</v>
      </c>
      <c r="AX446" s="1">
        <v>223505.28</v>
      </c>
      <c r="AY446" s="1">
        <v>900.0</v>
      </c>
      <c r="AZ446" s="1">
        <v>1.0</v>
      </c>
      <c r="BA446" s="1">
        <v>0.0</v>
      </c>
      <c r="BB446" s="1">
        <v>0.0</v>
      </c>
      <c r="BC446" s="2">
        <v>46008.0</v>
      </c>
      <c r="BD446" s="1">
        <v>50.0</v>
      </c>
      <c r="BE446" s="1" t="s">
        <v>550</v>
      </c>
      <c r="BF446" s="1">
        <v>2025.0</v>
      </c>
      <c r="BG446" s="1" t="s">
        <v>546</v>
      </c>
      <c r="BH446" s="7" t="str">
        <f>VLOOKUP(B446,CookieClicks!D:O,12,FALSE)</f>
        <v>https://www.method.me/</v>
      </c>
      <c r="BI446" s="8" t="str">
        <f>IFERROR(__xludf.DUMMYFUNCTION("VLOOKUP(REGEXREPLACE(BH446,""[?].*"",""""),ContentBuckets!A:C,2,FALSE)"),"Homepage")</f>
        <v>Homepage</v>
      </c>
      <c r="BJ446" s="8" t="str">
        <f>IFERROR(__xludf.DUMMYFUNCTION("VLOOKUP(REGEXREPLACE(BH446,""[?].*"",""""),ContentBuckets!A:C,3,FALSE)"),"Other page")</f>
        <v>Other page</v>
      </c>
    </row>
    <row r="447" ht="14.25" customHeight="1">
      <c r="A447" s="1">
        <v>153666.0</v>
      </c>
      <c r="B447" s="1" t="s">
        <v>1186</v>
      </c>
      <c r="C447" s="2">
        <v>46008.78125</v>
      </c>
      <c r="D447" s="2"/>
      <c r="E447" s="2"/>
      <c r="F447" s="1" t="b">
        <v>1</v>
      </c>
      <c r="G447" s="4" t="b">
        <v>0</v>
      </c>
      <c r="H447" s="1" t="b">
        <v>0</v>
      </c>
      <c r="I447" s="1" t="b">
        <v>0</v>
      </c>
      <c r="J447" s="1" t="s">
        <v>534</v>
      </c>
      <c r="K447" s="1" t="s">
        <v>553</v>
      </c>
      <c r="L447" s="1" t="s">
        <v>599</v>
      </c>
      <c r="M447" s="1" t="s">
        <v>537</v>
      </c>
      <c r="N447" s="1">
        <v>0.0</v>
      </c>
      <c r="O447" s="1">
        <v>44.25</v>
      </c>
      <c r="P447" s="1">
        <v>0.0</v>
      </c>
      <c r="Q447" s="1">
        <v>0.0</v>
      </c>
      <c r="R447" s="1">
        <v>0.0</v>
      </c>
      <c r="S447" s="1" t="s">
        <v>538</v>
      </c>
      <c r="T447" s="1" t="s">
        <v>539</v>
      </c>
      <c r="V447" s="4">
        <v>7375678.0</v>
      </c>
      <c r="W447" s="4"/>
      <c r="X447" s="4">
        <v>0.0</v>
      </c>
      <c r="Y447" s="1">
        <v>0.0</v>
      </c>
      <c r="Z447" s="1">
        <v>0.0</v>
      </c>
      <c r="AA447" s="1">
        <v>1.0</v>
      </c>
      <c r="AB447" s="1">
        <v>0.0</v>
      </c>
      <c r="AC447" s="1">
        <v>0.0</v>
      </c>
      <c r="AD447" s="1">
        <v>0.0</v>
      </c>
      <c r="AE447" s="1">
        <v>0.0</v>
      </c>
      <c r="AF447" s="1">
        <v>0.0</v>
      </c>
      <c r="AG447" s="1">
        <v>0.0</v>
      </c>
      <c r="AH447" s="1">
        <v>0.0</v>
      </c>
      <c r="AI447" s="1">
        <v>0.0</v>
      </c>
      <c r="AJ447" s="1">
        <v>0.0</v>
      </c>
      <c r="AK447" s="1">
        <v>0.0</v>
      </c>
      <c r="AL447" s="1">
        <v>0.0</v>
      </c>
      <c r="AM447" s="4">
        <v>0.0</v>
      </c>
      <c r="AN447" s="1">
        <v>0.0</v>
      </c>
      <c r="AO447" s="4">
        <v>0.0</v>
      </c>
      <c r="AP447" s="1">
        <f t="shared" si="1"/>
        <v>0</v>
      </c>
      <c r="AU447" s="2"/>
      <c r="AV447" s="2">
        <v>46024.04375</v>
      </c>
      <c r="AW447" s="1">
        <v>0.0</v>
      </c>
      <c r="AX447" s="1">
        <v>0.0</v>
      </c>
      <c r="AY447" s="1">
        <v>0.0</v>
      </c>
      <c r="AZ447" s="1">
        <v>1.0</v>
      </c>
      <c r="BA447" s="1">
        <v>0.0</v>
      </c>
      <c r="BB447" s="1">
        <v>0.0</v>
      </c>
      <c r="BC447" s="2">
        <v>46008.0</v>
      </c>
      <c r="BD447" s="1">
        <v>50.0</v>
      </c>
      <c r="BE447" s="1" t="s">
        <v>550</v>
      </c>
      <c r="BF447" s="1">
        <v>2025.0</v>
      </c>
      <c r="BG447" s="1" t="s">
        <v>558</v>
      </c>
      <c r="BH447" s="7" t="str">
        <f>VLOOKUP(B447,CookieClicks!D:O,12,FALSE)</f>
        <v>https://www.method.me/crm-quickbooks/customer-management-software/?trc=81&amp;trk=&amp;trs=CA-PMax-SL&amp;campaignid=20681425566&amp;adgroupid=&amp;adid=&amp;gad_source=5&amp;gad_campaignid=20687584292&amp;gclid=EAIaIQobChMInuucpObFkQMVqgitBh1YmiXwEAAYASABEgIf5fD_BwE</v>
      </c>
      <c r="BI447" s="8" t="str">
        <f>IFERROR(__xludf.DUMMYFUNCTION("VLOOKUP(REGEXREPLACE(BH447,""[?].*"",""""),ContentBuckets!A:C,2,FALSE)"),"/crm-quickbooks/")</f>
        <v>/crm-quickbooks/</v>
      </c>
      <c r="BJ447" s="8" t="str">
        <f>IFERROR(__xludf.DUMMYFUNCTION("VLOOKUP(REGEXREPLACE(BH447,""[?].*"",""""),ContentBuckets!A:C,3,FALSE)"),"Other page")</f>
        <v>Other page</v>
      </c>
    </row>
    <row r="448" ht="14.25" customHeight="1">
      <c r="A448" s="1">
        <v>153667.0</v>
      </c>
      <c r="B448" s="1" t="s">
        <v>1187</v>
      </c>
      <c r="C448" s="2">
        <v>46008.7965277778</v>
      </c>
      <c r="D448" s="2"/>
      <c r="E448" s="2"/>
      <c r="F448" s="1" t="b">
        <v>1</v>
      </c>
      <c r="G448" s="4" t="b">
        <v>0</v>
      </c>
      <c r="H448" s="1" t="b">
        <v>0</v>
      </c>
      <c r="I448" s="1" t="b">
        <v>0</v>
      </c>
      <c r="J448" s="1" t="s">
        <v>534</v>
      </c>
      <c r="K448" s="1" t="s">
        <v>553</v>
      </c>
      <c r="L448" s="1" t="s">
        <v>599</v>
      </c>
      <c r="M448" s="1" t="s">
        <v>537</v>
      </c>
      <c r="N448" s="1">
        <v>0.0</v>
      </c>
      <c r="O448" s="1">
        <v>44.25</v>
      </c>
      <c r="P448" s="1">
        <v>0.0</v>
      </c>
      <c r="Q448" s="1">
        <v>0.0</v>
      </c>
      <c r="R448" s="1">
        <v>0.0</v>
      </c>
      <c r="S448" s="1" t="s">
        <v>538</v>
      </c>
      <c r="T448" s="1" t="s">
        <v>539</v>
      </c>
      <c r="V448" s="4">
        <v>7375898.0</v>
      </c>
      <c r="W448" s="4"/>
      <c r="X448" s="4">
        <v>0.0</v>
      </c>
      <c r="Y448" s="1">
        <v>0.0</v>
      </c>
      <c r="Z448" s="1">
        <v>0.0</v>
      </c>
      <c r="AA448" s="1">
        <v>1.0</v>
      </c>
      <c r="AB448" s="1">
        <v>0.0</v>
      </c>
      <c r="AC448" s="1">
        <v>0.0</v>
      </c>
      <c r="AD448" s="1">
        <v>0.0</v>
      </c>
      <c r="AE448" s="1">
        <v>0.0</v>
      </c>
      <c r="AF448" s="1">
        <v>0.0</v>
      </c>
      <c r="AG448" s="1">
        <v>0.0</v>
      </c>
      <c r="AH448" s="1">
        <v>0.0</v>
      </c>
      <c r="AI448" s="1">
        <v>0.0</v>
      </c>
      <c r="AJ448" s="1">
        <v>0.0</v>
      </c>
      <c r="AK448" s="1">
        <v>0.0</v>
      </c>
      <c r="AL448" s="1">
        <v>0.0</v>
      </c>
      <c r="AM448" s="4">
        <v>0.0</v>
      </c>
      <c r="AN448" s="1">
        <v>0.0</v>
      </c>
      <c r="AO448" s="4">
        <v>0.0</v>
      </c>
      <c r="AP448" s="1">
        <f t="shared" si="1"/>
        <v>0</v>
      </c>
      <c r="AU448" s="2"/>
      <c r="AV448" s="2">
        <v>46023.9861111111</v>
      </c>
      <c r="AW448" s="1">
        <v>0.0</v>
      </c>
      <c r="AX448" s="1">
        <v>0.0</v>
      </c>
      <c r="AY448" s="1">
        <v>0.0</v>
      </c>
      <c r="AZ448" s="1">
        <v>1.0</v>
      </c>
      <c r="BA448" s="1">
        <v>0.0</v>
      </c>
      <c r="BB448" s="1">
        <v>0.0</v>
      </c>
      <c r="BC448" s="2">
        <v>46008.0</v>
      </c>
      <c r="BD448" s="1">
        <v>50.0</v>
      </c>
      <c r="BE448" s="1" t="s">
        <v>550</v>
      </c>
      <c r="BF448" s="1">
        <v>2025.0</v>
      </c>
      <c r="BG448" s="1" t="s">
        <v>558</v>
      </c>
      <c r="BH448" s="7" t="str">
        <f>VLOOKUP(B448,CookieClicks!D:O,12,FALSE)</f>
        <v>https://www.method.me/features/google-calendar/?trc=81&amp;trk=&amp;trs=USA-DSA-QB&amp;campaignid=13038312612&amp;adgroupid=128764620688&amp;adid=776781070272&amp;gad_source=1&amp;gad_campaignid=13038312612&amp;gbraid=0AAAAAD3ItnZBnzYQ6A4kpiU2ymM25jMc5&amp;gclid=Cj0KCQiAxonKBhC1ARIsAIHq_lv5h7ocPoMNismBO7TvXt3J2PYUUHKtJQRlZo-CRPtjiajTsrUyk0QaAsIcEALw_wcB</v>
      </c>
      <c r="BI448" s="8" t="str">
        <f>IFERROR(__xludf.DUMMYFUNCTION("VLOOKUP(REGEXREPLACE(BH448,""[?].*"",""""),ContentBuckets!A:C,2,FALSE)"),"Features page")</f>
        <v>Features page</v>
      </c>
      <c r="BJ448" s="8" t="str">
        <f>IFERROR(__xludf.DUMMYFUNCTION("VLOOKUP(REGEXREPLACE(BH448,""[?].*"",""""),ContentBuckets!A:C,3,FALSE)"),"Other page")</f>
        <v>Other page</v>
      </c>
    </row>
    <row r="449" ht="14.25" customHeight="1">
      <c r="A449" s="1">
        <v>153668.0</v>
      </c>
      <c r="B449" s="1" t="s">
        <v>1188</v>
      </c>
      <c r="C449" s="2">
        <v>46008.8152777778</v>
      </c>
      <c r="D449" s="2"/>
      <c r="E449" s="2"/>
      <c r="F449" s="1" t="b">
        <v>1</v>
      </c>
      <c r="G449" s="4" t="b">
        <v>0</v>
      </c>
      <c r="H449" s="1" t="b">
        <v>0</v>
      </c>
      <c r="I449" s="1" t="b">
        <v>0</v>
      </c>
      <c r="J449" s="1" t="s">
        <v>534</v>
      </c>
      <c r="K449" s="1" t="s">
        <v>535</v>
      </c>
      <c r="L449" s="1" t="s">
        <v>536</v>
      </c>
      <c r="M449" s="1" t="s">
        <v>537</v>
      </c>
      <c r="N449" s="1">
        <v>0.0</v>
      </c>
      <c r="O449" s="1">
        <v>44.25</v>
      </c>
      <c r="P449" s="1">
        <v>0.0</v>
      </c>
      <c r="Q449" s="1">
        <v>0.0</v>
      </c>
      <c r="R449" s="1">
        <v>0.0</v>
      </c>
      <c r="S449" s="1" t="s">
        <v>538</v>
      </c>
      <c r="T449" s="1" t="s">
        <v>539</v>
      </c>
      <c r="V449" s="4">
        <v>7376116.0</v>
      </c>
      <c r="W449" s="4"/>
      <c r="X449" s="4">
        <v>0.0</v>
      </c>
      <c r="Y449" s="1">
        <v>0.0</v>
      </c>
      <c r="Z449" s="1">
        <v>0.0</v>
      </c>
      <c r="AA449" s="1">
        <v>1.0</v>
      </c>
      <c r="AB449" s="1">
        <v>0.0</v>
      </c>
      <c r="AC449" s="1">
        <v>0.0</v>
      </c>
      <c r="AD449" s="1">
        <v>0.0</v>
      </c>
      <c r="AE449" s="1">
        <v>0.0</v>
      </c>
      <c r="AF449" s="1">
        <v>0.0</v>
      </c>
      <c r="AG449" s="1">
        <v>0.0</v>
      </c>
      <c r="AH449" s="1">
        <v>0.0</v>
      </c>
      <c r="AI449" s="1">
        <v>0.0</v>
      </c>
      <c r="AJ449" s="1">
        <v>0.0</v>
      </c>
      <c r="AK449" s="1">
        <v>0.0</v>
      </c>
      <c r="AL449" s="1">
        <v>0.0</v>
      </c>
      <c r="AM449" s="4">
        <v>0.0</v>
      </c>
      <c r="AN449" s="1">
        <v>0.0</v>
      </c>
      <c r="AO449" s="4">
        <v>0.0</v>
      </c>
      <c r="AP449" s="1">
        <f t="shared" si="1"/>
        <v>0</v>
      </c>
      <c r="AU449" s="2">
        <v>46008.0</v>
      </c>
      <c r="AV449" s="2">
        <v>46023.9819444444</v>
      </c>
      <c r="AW449" s="1">
        <v>0.0</v>
      </c>
      <c r="AX449" s="1">
        <v>15100.2</v>
      </c>
      <c r="AY449" s="1">
        <v>39.0</v>
      </c>
      <c r="AZ449" s="1">
        <v>1.0</v>
      </c>
      <c r="BA449" s="1">
        <v>0.0</v>
      </c>
      <c r="BB449" s="1">
        <v>0.0</v>
      </c>
      <c r="BC449" s="2">
        <v>46008.0</v>
      </c>
      <c r="BD449" s="1">
        <v>50.0</v>
      </c>
      <c r="BE449" s="1" t="s">
        <v>550</v>
      </c>
      <c r="BF449" s="1">
        <v>2025.0</v>
      </c>
      <c r="BG449" s="1" t="s">
        <v>558</v>
      </c>
      <c r="BH449" s="1" t="str">
        <f>VLOOKUP(B449,CookieClicks!D:O,12,FALSE)</f>
        <v>https://grow.method.me/crm-quickbooks/?trc=81&amp;trk=quickbooks crm&amp;trs=USA-QB-G_Ex&amp;campaignid=22265826203&amp;adgroupid=176758613473&amp;adid=734012603510&amp;gad_source=1&amp;gad_campaignid=22265826203&amp;gbraid=0AAAAAD3ItnZQsUvPlwtZ5suS68TE6UKZh&amp;gclid=Cj0KCQiAxonKBhC1ARIsAIHq_ltttcGPiFY870CiyGlR-yud42w0AGjawVGEqdo-1Z__w9b4Tr7dDtIaAkJvEALw_wcB</v>
      </c>
      <c r="BI449" s="8" t="str">
        <f>IFERROR(__xludf.DUMMYFUNCTION("VLOOKUP(REGEXREPLACE(BH449,""[?].*"",""""),ContentBuckets!A:C,2,FALSE)"),"#N/A")</f>
        <v>#N/A</v>
      </c>
      <c r="BJ449" s="8" t="str">
        <f>IFERROR(__xludf.DUMMYFUNCTION("VLOOKUP(REGEXREPLACE(BH449,""[?].*"",""""),ContentBuckets!A:C,3,FALSE)"),"#N/A")</f>
        <v>#N/A</v>
      </c>
    </row>
    <row r="450" ht="14.25" customHeight="1">
      <c r="A450" s="1">
        <v>153669.0</v>
      </c>
      <c r="B450" s="1" t="s">
        <v>1189</v>
      </c>
      <c r="C450" s="2">
        <v>46008.8472222222</v>
      </c>
      <c r="D450" s="2"/>
      <c r="E450" s="2"/>
      <c r="F450" s="1" t="b">
        <v>1</v>
      </c>
      <c r="G450" s="4" t="b">
        <v>0</v>
      </c>
      <c r="H450" s="1" t="b">
        <v>0</v>
      </c>
      <c r="I450" s="1" t="b">
        <v>0</v>
      </c>
      <c r="J450" s="1" t="s">
        <v>534</v>
      </c>
      <c r="K450" s="1" t="s">
        <v>553</v>
      </c>
      <c r="L450" s="1" t="s">
        <v>554</v>
      </c>
      <c r="M450" s="1" t="s">
        <v>537</v>
      </c>
      <c r="N450" s="1">
        <v>0.0</v>
      </c>
      <c r="O450" s="1">
        <v>44.25</v>
      </c>
      <c r="P450" s="1">
        <v>0.0</v>
      </c>
      <c r="Q450" s="1">
        <v>0.0</v>
      </c>
      <c r="R450" s="1">
        <v>28.0</v>
      </c>
      <c r="S450" s="1" t="s">
        <v>538</v>
      </c>
      <c r="T450" s="1" t="s">
        <v>539</v>
      </c>
      <c r="V450" s="4">
        <v>7376541.0</v>
      </c>
      <c r="W450" s="4"/>
      <c r="X450" s="4">
        <v>0.0</v>
      </c>
      <c r="Y450" s="1">
        <v>0.0</v>
      </c>
      <c r="Z450" s="1">
        <v>0.0</v>
      </c>
      <c r="AA450" s="1">
        <v>1.0</v>
      </c>
      <c r="AB450" s="1">
        <v>0.0</v>
      </c>
      <c r="AC450" s="1">
        <v>0.0</v>
      </c>
      <c r="AD450" s="1">
        <v>0.0</v>
      </c>
      <c r="AE450" s="1">
        <v>0.0</v>
      </c>
      <c r="AF450" s="1">
        <v>0.0</v>
      </c>
      <c r="AG450" s="1">
        <v>0.0</v>
      </c>
      <c r="AH450" s="1">
        <v>0.0</v>
      </c>
      <c r="AI450" s="1">
        <v>0.0</v>
      </c>
      <c r="AJ450" s="1">
        <v>0.0</v>
      </c>
      <c r="AK450" s="1">
        <v>0.0</v>
      </c>
      <c r="AL450" s="1">
        <v>0.0</v>
      </c>
      <c r="AM450" s="4">
        <v>0.0</v>
      </c>
      <c r="AN450" s="1">
        <v>0.0</v>
      </c>
      <c r="AO450" s="4">
        <v>0.0</v>
      </c>
      <c r="AP450" s="1">
        <f t="shared" si="1"/>
        <v>0</v>
      </c>
      <c r="AR450" s="1" t="s">
        <v>571</v>
      </c>
      <c r="AU450" s="2"/>
      <c r="AV450" s="2">
        <v>46023.9888888889</v>
      </c>
      <c r="AW450" s="1">
        <v>0.0</v>
      </c>
      <c r="AX450" s="1">
        <v>0.0</v>
      </c>
      <c r="AY450" s="1">
        <v>0.0</v>
      </c>
      <c r="AZ450" s="1">
        <v>1.0</v>
      </c>
      <c r="BA450" s="1">
        <v>0.0</v>
      </c>
      <c r="BB450" s="1">
        <v>0.0</v>
      </c>
      <c r="BC450" s="2">
        <v>46008.0</v>
      </c>
      <c r="BD450" s="1">
        <v>50.0</v>
      </c>
      <c r="BE450" s="1" t="s">
        <v>550</v>
      </c>
      <c r="BF450" s="1">
        <v>2025.0</v>
      </c>
      <c r="BG450" s="1" t="s">
        <v>558</v>
      </c>
      <c r="BH450" s="1" t="str">
        <f>VLOOKUP(B450,CookieClicks!D:O,12,FALSE)</f>
        <v>https://grow.method.me/qb-payment/?trc=81&amp;trk=quickbooks online payment processing&amp;trs=US-payment&amp;campaignid=19733246298&amp;adgroupid=146278163933&amp;adid=649435146420&amp;gad_source=1&amp;gad_campaignid=19733246298&amp;gbraid=0AAAAAD3Itna-xtqaCkwxRg0ug2grdLT-S&amp;gclid=EAIaIQobChMIn7nJ2PvFkQMVJIVaBR3vnCnTEAAYASAAEgIokPD_BwE</v>
      </c>
      <c r="BI450" s="8" t="str">
        <f>IFERROR(__xludf.DUMMYFUNCTION("VLOOKUP(REGEXREPLACE(BH450,""[?].*"",""""),ContentBuckets!A:C,2,FALSE)"),"#N/A")</f>
        <v>#N/A</v>
      </c>
      <c r="BJ450" s="8" t="str">
        <f>IFERROR(__xludf.DUMMYFUNCTION("VLOOKUP(REGEXREPLACE(BH450,""[?].*"",""""),ContentBuckets!A:C,3,FALSE)"),"#N/A")</f>
        <v>#N/A</v>
      </c>
    </row>
    <row r="451" ht="14.25" customHeight="1">
      <c r="A451" s="1">
        <v>153671.0</v>
      </c>
      <c r="B451" s="1" t="s">
        <v>1190</v>
      </c>
      <c r="C451" s="2">
        <v>46008.8701388889</v>
      </c>
      <c r="D451" s="2"/>
      <c r="E451" s="2"/>
      <c r="F451" s="1" t="b">
        <v>1</v>
      </c>
      <c r="G451" s="4" t="b">
        <v>0</v>
      </c>
      <c r="H451" s="1" t="b">
        <v>0</v>
      </c>
      <c r="I451" s="1" t="b">
        <v>0</v>
      </c>
      <c r="J451" s="1" t="s">
        <v>534</v>
      </c>
      <c r="K451" s="1" t="s">
        <v>535</v>
      </c>
      <c r="L451" s="1" t="s">
        <v>536</v>
      </c>
      <c r="M451" s="1" t="s">
        <v>537</v>
      </c>
      <c r="N451" s="1">
        <v>0.0</v>
      </c>
      <c r="O451" s="1">
        <v>44.25</v>
      </c>
      <c r="P451" s="1">
        <v>0.0</v>
      </c>
      <c r="Q451" s="1">
        <v>0.0</v>
      </c>
      <c r="R451" s="1">
        <v>0.0</v>
      </c>
      <c r="S451" s="1" t="s">
        <v>538</v>
      </c>
      <c r="T451" s="1" t="s">
        <v>539</v>
      </c>
      <c r="V451" s="4">
        <v>7376841.0</v>
      </c>
      <c r="W451" s="4"/>
      <c r="X451" s="4">
        <v>0.0</v>
      </c>
      <c r="Y451" s="1">
        <v>0.0</v>
      </c>
      <c r="Z451" s="1">
        <v>0.0</v>
      </c>
      <c r="AA451" s="1">
        <v>1.0</v>
      </c>
      <c r="AB451" s="1">
        <v>0.0</v>
      </c>
      <c r="AC451" s="1">
        <v>0.0</v>
      </c>
      <c r="AD451" s="1">
        <v>0.0</v>
      </c>
      <c r="AE451" s="1">
        <v>0.0</v>
      </c>
      <c r="AF451" s="1">
        <v>0.0</v>
      </c>
      <c r="AG451" s="1">
        <v>0.0</v>
      </c>
      <c r="AH451" s="1">
        <v>0.0</v>
      </c>
      <c r="AI451" s="1">
        <v>0.0</v>
      </c>
      <c r="AJ451" s="1">
        <v>0.0</v>
      </c>
      <c r="AK451" s="1">
        <v>0.0</v>
      </c>
      <c r="AL451" s="1">
        <v>0.0</v>
      </c>
      <c r="AM451" s="4">
        <v>0.0</v>
      </c>
      <c r="AN451" s="1">
        <v>0.0</v>
      </c>
      <c r="AO451" s="4">
        <v>0.0</v>
      </c>
      <c r="AP451" s="1">
        <f t="shared" si="1"/>
        <v>0</v>
      </c>
      <c r="AU451" s="2"/>
      <c r="AV451" s="2">
        <v>46024.0270833333</v>
      </c>
      <c r="AW451" s="1">
        <v>0.0</v>
      </c>
      <c r="AX451" s="1">
        <v>0.0</v>
      </c>
      <c r="AY451" s="1">
        <v>0.0</v>
      </c>
      <c r="AZ451" s="1">
        <v>1.0</v>
      </c>
      <c r="BA451" s="1">
        <v>0.0</v>
      </c>
      <c r="BB451" s="1">
        <v>0.0</v>
      </c>
      <c r="BC451" s="2">
        <v>46008.0</v>
      </c>
      <c r="BD451" s="1">
        <v>50.0</v>
      </c>
      <c r="BE451" s="1" t="s">
        <v>550</v>
      </c>
      <c r="BF451" s="1">
        <v>2025.0</v>
      </c>
      <c r="BG451" s="1" t="s">
        <v>558</v>
      </c>
      <c r="BH451" s="7" t="str">
        <f>VLOOKUP(B451,CookieClicks!D:O,12,FALSE)</f>
        <v>https://www.method.me/features/google-calendar/?trc=81&amp;trk=&amp;trs=USA-DSA-QB&amp;campaignid=13038312612&amp;adgroupid=128764620688&amp;adid=776781070272&amp;gad_source=1&amp;gad_campaignid=13038312612&amp;gbraid=0AAAAAD3ItnZBnzYQ6A4kpiU2ymM25jMc5&amp;gclid=Cj0KCQiAxonKBhC1ARIsAIHq_lsIrTqLPes-8Ja98ZBHszf8z4irV69VhNXYbbKeKzyIDggG-QtS1pgaArROEALw_wcB</v>
      </c>
      <c r="BI451" s="8" t="str">
        <f>IFERROR(__xludf.DUMMYFUNCTION("VLOOKUP(REGEXREPLACE(BH451,""[?].*"",""""),ContentBuckets!A:C,2,FALSE)"),"Features page")</f>
        <v>Features page</v>
      </c>
      <c r="BJ451" s="8" t="str">
        <f>IFERROR(__xludf.DUMMYFUNCTION("VLOOKUP(REGEXREPLACE(BH451,""[?].*"",""""),ContentBuckets!A:C,3,FALSE)"),"Other page")</f>
        <v>Other page</v>
      </c>
    </row>
    <row r="452" ht="14.25" customHeight="1">
      <c r="A452" s="1">
        <v>153672.0</v>
      </c>
      <c r="B452" s="1" t="s">
        <v>1191</v>
      </c>
      <c r="C452" s="2">
        <v>46008.8708333333</v>
      </c>
      <c r="D452" s="2"/>
      <c r="E452" s="2"/>
      <c r="F452" s="1" t="b">
        <v>1</v>
      </c>
      <c r="G452" s="4" t="b">
        <v>0</v>
      </c>
      <c r="H452" s="1" t="b">
        <v>0</v>
      </c>
      <c r="I452" s="1" t="b">
        <v>0</v>
      </c>
      <c r="J452" s="1" t="s">
        <v>534</v>
      </c>
      <c r="K452" s="1" t="s">
        <v>535</v>
      </c>
      <c r="L452" s="1" t="s">
        <v>536</v>
      </c>
      <c r="M452" s="1" t="s">
        <v>537</v>
      </c>
      <c r="N452" s="1">
        <v>0.0</v>
      </c>
      <c r="O452" s="1">
        <v>44.25</v>
      </c>
      <c r="P452" s="1">
        <v>0.0</v>
      </c>
      <c r="Q452" s="1">
        <v>0.0</v>
      </c>
      <c r="R452" s="1">
        <v>28.0</v>
      </c>
      <c r="S452" s="1" t="s">
        <v>538</v>
      </c>
      <c r="T452" s="1" t="s">
        <v>539</v>
      </c>
      <c r="V452" s="4">
        <v>7376760.0</v>
      </c>
      <c r="W452" s="4"/>
      <c r="X452" s="4">
        <v>0.0</v>
      </c>
      <c r="Y452" s="1">
        <v>0.0</v>
      </c>
      <c r="Z452" s="1">
        <v>0.0</v>
      </c>
      <c r="AA452" s="1">
        <v>1.0</v>
      </c>
      <c r="AB452" s="1">
        <v>0.0</v>
      </c>
      <c r="AC452" s="1">
        <v>0.0</v>
      </c>
      <c r="AD452" s="1">
        <v>0.0</v>
      </c>
      <c r="AE452" s="1">
        <v>0.0</v>
      </c>
      <c r="AF452" s="1">
        <v>0.0</v>
      </c>
      <c r="AG452" s="1">
        <v>0.0</v>
      </c>
      <c r="AH452" s="1">
        <v>0.0</v>
      </c>
      <c r="AI452" s="1">
        <v>0.0</v>
      </c>
      <c r="AJ452" s="1">
        <v>0.0</v>
      </c>
      <c r="AK452" s="1">
        <v>0.0</v>
      </c>
      <c r="AL452" s="1">
        <v>0.0</v>
      </c>
      <c r="AM452" s="4">
        <v>0.0</v>
      </c>
      <c r="AN452" s="1">
        <v>0.0</v>
      </c>
      <c r="AO452" s="4">
        <v>0.0</v>
      </c>
      <c r="AP452" s="1">
        <f t="shared" si="1"/>
        <v>0</v>
      </c>
      <c r="AQ452" s="1" t="s">
        <v>557</v>
      </c>
      <c r="AR452" s="1" t="s">
        <v>560</v>
      </c>
      <c r="AU452" s="2">
        <v>46008.0</v>
      </c>
      <c r="AV452" s="2">
        <v>46024.0430555556</v>
      </c>
      <c r="AW452" s="1">
        <v>0.0</v>
      </c>
      <c r="AX452" s="1">
        <v>99442.08</v>
      </c>
      <c r="AY452" s="1">
        <v>400.0</v>
      </c>
      <c r="AZ452" s="1">
        <v>1.0</v>
      </c>
      <c r="BA452" s="1">
        <v>0.0</v>
      </c>
      <c r="BB452" s="1">
        <v>0.0</v>
      </c>
      <c r="BC452" s="2">
        <v>46008.0</v>
      </c>
      <c r="BD452" s="1">
        <v>50.0</v>
      </c>
      <c r="BE452" s="1" t="s">
        <v>550</v>
      </c>
      <c r="BF452" s="1">
        <v>2025.0</v>
      </c>
      <c r="BG452" s="1" t="s">
        <v>558</v>
      </c>
      <c r="BH452" s="1" t="str">
        <f>VLOOKUP(B452,CookieClicks!D:O,12,FALSE)</f>
        <v>https://grow.method.me/crm-quickbooks/?trc=81&amp;trk=integrate with quickbooks&amp;trs=USA-QB-G_Ex&amp;campaignid=22265826203&amp;adgroupid=176758613473&amp;adid=734012603510&amp;gad_source=1&amp;gad_campaignid=22265826203&amp;gbraid=0AAAAAD3ItnZQsUvPlwtZ5suS68TE6UKZh&amp;gclid=Cj0KCQiAxonKBhC1ARIsAIHq_luZXyeE_LNHu588Oz-m8Ts23ted-KpruwttjJRgESKmG8uw-smyfRIaAiiuEALw_wcB</v>
      </c>
      <c r="BI452" s="8" t="str">
        <f>IFERROR(__xludf.DUMMYFUNCTION("VLOOKUP(REGEXREPLACE(BH452,""[?].*"",""""),ContentBuckets!A:C,2,FALSE)"),"#N/A")</f>
        <v>#N/A</v>
      </c>
      <c r="BJ452" s="8" t="str">
        <f>IFERROR(__xludf.DUMMYFUNCTION("VLOOKUP(REGEXREPLACE(BH452,""[?].*"",""""),ContentBuckets!A:C,3,FALSE)"),"#N/A")</f>
        <v>#N/A</v>
      </c>
    </row>
    <row r="453" ht="14.25" customHeight="1">
      <c r="A453" s="1">
        <v>153673.0</v>
      </c>
      <c r="B453" s="1" t="s">
        <v>1192</v>
      </c>
      <c r="C453" s="2">
        <v>46008.9229166667</v>
      </c>
      <c r="D453" s="2"/>
      <c r="E453" s="2"/>
      <c r="F453" s="1" t="b">
        <v>1</v>
      </c>
      <c r="G453" s="4" t="b">
        <v>0</v>
      </c>
      <c r="H453" s="1" t="b">
        <v>0</v>
      </c>
      <c r="I453" s="1" t="b">
        <v>0</v>
      </c>
      <c r="J453" s="1" t="s">
        <v>534</v>
      </c>
      <c r="K453" s="1" t="s">
        <v>535</v>
      </c>
      <c r="L453" s="1" t="s">
        <v>536</v>
      </c>
      <c r="M453" s="1" t="s">
        <v>537</v>
      </c>
      <c r="N453" s="1">
        <v>0.0</v>
      </c>
      <c r="O453" s="1">
        <v>117.75</v>
      </c>
      <c r="P453" s="1">
        <v>0.0</v>
      </c>
      <c r="Q453" s="1">
        <v>0.0</v>
      </c>
      <c r="R453" s="1">
        <v>28.0</v>
      </c>
      <c r="S453" s="1" t="s">
        <v>538</v>
      </c>
      <c r="T453" s="1" t="s">
        <v>539</v>
      </c>
      <c r="V453" s="4">
        <v>7377481.0</v>
      </c>
      <c r="W453" s="4"/>
      <c r="X453" s="4">
        <v>0.0</v>
      </c>
      <c r="Y453" s="1">
        <v>0.0</v>
      </c>
      <c r="Z453" s="1">
        <v>0.0</v>
      </c>
      <c r="AA453" s="1">
        <v>1.0</v>
      </c>
      <c r="AB453" s="1">
        <v>0.0</v>
      </c>
      <c r="AC453" s="1">
        <v>0.0</v>
      </c>
      <c r="AD453" s="1">
        <v>0.0</v>
      </c>
      <c r="AE453" s="1">
        <v>0.0</v>
      </c>
      <c r="AF453" s="1">
        <v>0.0</v>
      </c>
      <c r="AG453" s="1">
        <v>0.0</v>
      </c>
      <c r="AH453" s="1">
        <v>0.0</v>
      </c>
      <c r="AI453" s="1">
        <v>0.0</v>
      </c>
      <c r="AJ453" s="1">
        <v>0.0</v>
      </c>
      <c r="AK453" s="1">
        <v>0.0</v>
      </c>
      <c r="AL453" s="1">
        <v>0.0</v>
      </c>
      <c r="AM453" s="4">
        <v>0.0</v>
      </c>
      <c r="AN453" s="1">
        <v>0.0</v>
      </c>
      <c r="AO453" s="4">
        <v>0.0</v>
      </c>
      <c r="AP453" s="1">
        <f t="shared" si="1"/>
        <v>0</v>
      </c>
      <c r="AQ453" s="1" t="s">
        <v>557</v>
      </c>
      <c r="AR453" s="1" t="s">
        <v>542</v>
      </c>
      <c r="AU453" s="2">
        <v>46008.0</v>
      </c>
      <c r="AV453" s="2">
        <v>46023.9944444444</v>
      </c>
      <c r="AW453" s="1">
        <v>1.0</v>
      </c>
      <c r="AX453" s="1">
        <v>120217.08</v>
      </c>
      <c r="AY453" s="1">
        <v>956.0</v>
      </c>
      <c r="AZ453" s="1">
        <v>2.0</v>
      </c>
      <c r="BA453" s="1">
        <v>0.0</v>
      </c>
      <c r="BB453" s="1">
        <v>0.0</v>
      </c>
      <c r="BC453" s="2">
        <v>46008.0</v>
      </c>
      <c r="BD453" s="1">
        <v>50.0</v>
      </c>
      <c r="BE453" s="1" t="s">
        <v>550</v>
      </c>
      <c r="BF453" s="1">
        <v>2025.0</v>
      </c>
      <c r="BG453" s="1" t="s">
        <v>558</v>
      </c>
      <c r="BH453" s="1" t="str">
        <f>VLOOKUP(B453,CookieClicks!D:O,12,FALSE)</f>
        <v>https://grow.method.me/feature-estimate/?trc=81&amp;trk=estimates in quickbooks&amp;trs=US-QBEstimates&amp;campaignid=19733246298&amp;adgroupid=160184660571&amp;adid=676701373566&amp;gad_source=1&amp;gad_campaignid=19733246298&amp;gclid=Cj0KCQiAxonKBhC1ARIsAIHq_ls_L4cEBvVMS4nMvoieszuNYXlVjdLSMqsTResiFudTyZ3ZJ_1A3U4aAsRzEALw_wcB</v>
      </c>
      <c r="BI453" s="8" t="str">
        <f>IFERROR(__xludf.DUMMYFUNCTION("VLOOKUP(REGEXREPLACE(BH453,""[?].*"",""""),ContentBuckets!A:C,2,FALSE)"),"#N/A")</f>
        <v>#N/A</v>
      </c>
      <c r="BJ453" s="8" t="str">
        <f>IFERROR(__xludf.DUMMYFUNCTION("VLOOKUP(REGEXREPLACE(BH453,""[?].*"",""""),ContentBuckets!A:C,3,FALSE)"),"#N/A")</f>
        <v>#N/A</v>
      </c>
    </row>
    <row r="454" ht="14.25" customHeight="1">
      <c r="A454" s="1">
        <v>153674.0</v>
      </c>
      <c r="B454" s="1" t="s">
        <v>1193</v>
      </c>
      <c r="C454" s="2">
        <v>46009.0423611111</v>
      </c>
      <c r="D454" s="2"/>
      <c r="E454" s="2"/>
      <c r="F454" s="1" t="b">
        <v>1</v>
      </c>
      <c r="G454" s="4" t="b">
        <v>0</v>
      </c>
      <c r="H454" s="1" t="b">
        <v>0</v>
      </c>
      <c r="I454" s="1" t="b">
        <v>0</v>
      </c>
      <c r="J454" s="1" t="s">
        <v>534</v>
      </c>
      <c r="K454" s="1" t="s">
        <v>566</v>
      </c>
      <c r="L454" s="1" t="s">
        <v>567</v>
      </c>
      <c r="M454" s="1" t="s">
        <v>537</v>
      </c>
      <c r="N454" s="1">
        <v>0.0</v>
      </c>
      <c r="O454" s="1">
        <v>44.25</v>
      </c>
      <c r="P454" s="1">
        <v>0.0</v>
      </c>
      <c r="Q454" s="1">
        <v>0.0</v>
      </c>
      <c r="R454" s="1">
        <v>0.0</v>
      </c>
      <c r="S454" s="1" t="s">
        <v>538</v>
      </c>
      <c r="T454" s="1" t="s">
        <v>539</v>
      </c>
      <c r="V454" s="4">
        <v>7378920.0</v>
      </c>
      <c r="W454" s="4"/>
      <c r="X454" s="4">
        <v>1.0</v>
      </c>
      <c r="Y454" s="1">
        <v>0.0</v>
      </c>
      <c r="Z454" s="1">
        <v>0.0</v>
      </c>
      <c r="AA454" s="1">
        <v>0.0</v>
      </c>
      <c r="AB454" s="1">
        <v>0.0</v>
      </c>
      <c r="AC454" s="1">
        <v>0.0</v>
      </c>
      <c r="AD454" s="1">
        <v>0.0</v>
      </c>
      <c r="AE454" s="1">
        <v>0.0</v>
      </c>
      <c r="AF454" s="1">
        <v>0.0</v>
      </c>
      <c r="AG454" s="1">
        <v>0.0</v>
      </c>
      <c r="AH454" s="1">
        <v>0.0</v>
      </c>
      <c r="AI454" s="1">
        <v>0.0</v>
      </c>
      <c r="AJ454" s="1">
        <v>0.0</v>
      </c>
      <c r="AK454" s="1">
        <v>0.0</v>
      </c>
      <c r="AL454" s="1">
        <v>0.0</v>
      </c>
      <c r="AM454" s="4">
        <v>0.0</v>
      </c>
      <c r="AN454" s="1">
        <v>0.0</v>
      </c>
      <c r="AO454" s="4">
        <v>0.0</v>
      </c>
      <c r="AP454" s="1">
        <f t="shared" si="1"/>
        <v>0</v>
      </c>
      <c r="AU454" s="2"/>
      <c r="AV454" s="2">
        <v>46023.9951388889</v>
      </c>
      <c r="AW454" s="1">
        <v>0.0</v>
      </c>
      <c r="AX454" s="1">
        <v>0.0</v>
      </c>
      <c r="AY454" s="1">
        <v>0.0</v>
      </c>
      <c r="AZ454" s="1">
        <v>1.0</v>
      </c>
      <c r="BA454" s="1">
        <v>0.0</v>
      </c>
      <c r="BB454" s="1">
        <v>0.0</v>
      </c>
      <c r="BC454" s="2">
        <v>46009.0</v>
      </c>
      <c r="BD454" s="1">
        <v>50.0</v>
      </c>
      <c r="BE454" s="1" t="s">
        <v>550</v>
      </c>
      <c r="BF454" s="1">
        <v>2025.0</v>
      </c>
      <c r="BG454" s="1" t="s">
        <v>624</v>
      </c>
      <c r="BH454" s="7" t="str">
        <f>VLOOKUP(B454,CookieClicks!D:O,12,FALSE)</f>
        <v>https://signin.method.me/accounts/noaccountsfound</v>
      </c>
      <c r="BI454" s="8" t="str">
        <f>IFERROR(__xludf.DUMMYFUNCTION("VLOOKUP(REGEXREPLACE(BH454,""[?].*"",""""),ContentBuckets!A:C,2,FALSE)"),"#N/A")</f>
        <v>#N/A</v>
      </c>
      <c r="BJ454" s="8" t="str">
        <f>IFERROR(__xludf.DUMMYFUNCTION("VLOOKUP(REGEXREPLACE(BH454,""[?].*"",""""),ContentBuckets!A:C,3,FALSE)"),"#N/A")</f>
        <v>#N/A</v>
      </c>
    </row>
    <row r="455" ht="14.25" customHeight="1">
      <c r="A455" s="1">
        <v>153675.0</v>
      </c>
      <c r="B455" s="1" t="s">
        <v>1194</v>
      </c>
      <c r="C455" s="2">
        <v>46009.2826388889</v>
      </c>
      <c r="D455" s="2"/>
      <c r="E455" s="2"/>
      <c r="F455" s="1" t="b">
        <v>1</v>
      </c>
      <c r="G455" s="4" t="b">
        <v>0</v>
      </c>
      <c r="H455" s="1" t="b">
        <v>0</v>
      </c>
      <c r="I455" s="1" t="b">
        <v>0</v>
      </c>
      <c r="J455" s="1" t="s">
        <v>534</v>
      </c>
      <c r="K455" s="1" t="s">
        <v>566</v>
      </c>
      <c r="L455" s="1" t="s">
        <v>567</v>
      </c>
      <c r="M455" s="1" t="s">
        <v>537</v>
      </c>
      <c r="N455" s="1">
        <v>0.0</v>
      </c>
      <c r="O455" s="1">
        <v>44.25</v>
      </c>
      <c r="P455" s="1">
        <v>0.0</v>
      </c>
      <c r="Q455" s="1">
        <v>0.0</v>
      </c>
      <c r="R455" s="1">
        <v>0.0</v>
      </c>
      <c r="S455" s="1" t="s">
        <v>538</v>
      </c>
      <c r="T455" s="1" t="s">
        <v>539</v>
      </c>
      <c r="V455" s="4">
        <v>7381511.0</v>
      </c>
      <c r="W455" s="4"/>
      <c r="X455" s="4">
        <v>0.0</v>
      </c>
      <c r="Y455" s="1">
        <v>0.0</v>
      </c>
      <c r="Z455" s="1">
        <v>0.0</v>
      </c>
      <c r="AA455" s="1">
        <v>0.0</v>
      </c>
      <c r="AB455" s="1">
        <v>0.0</v>
      </c>
      <c r="AC455" s="1">
        <v>0.0</v>
      </c>
      <c r="AD455" s="1">
        <v>0.0</v>
      </c>
      <c r="AE455" s="1">
        <v>0.0</v>
      </c>
      <c r="AF455" s="1">
        <v>0.0</v>
      </c>
      <c r="AG455" s="1">
        <v>0.0</v>
      </c>
      <c r="AH455" s="1">
        <v>0.0</v>
      </c>
      <c r="AI455" s="1">
        <v>0.0</v>
      </c>
      <c r="AJ455" s="1">
        <v>0.0</v>
      </c>
      <c r="AK455" s="1">
        <v>0.0</v>
      </c>
      <c r="AL455" s="1">
        <v>0.0</v>
      </c>
      <c r="AM455" s="4">
        <v>0.0</v>
      </c>
      <c r="AN455" s="1">
        <v>0.0</v>
      </c>
      <c r="AO455" s="4">
        <v>0.0</v>
      </c>
      <c r="AP455" s="1">
        <f t="shared" si="1"/>
        <v>1</v>
      </c>
      <c r="AU455" s="2"/>
      <c r="AV455" s="2">
        <v>46024.0208333333</v>
      </c>
      <c r="AW455" s="1">
        <v>0.0</v>
      </c>
      <c r="AX455" s="1">
        <v>0.0</v>
      </c>
      <c r="AY455" s="1">
        <v>0.0</v>
      </c>
      <c r="AZ455" s="1">
        <v>1.0</v>
      </c>
      <c r="BA455" s="1">
        <v>0.0</v>
      </c>
      <c r="BB455" s="1">
        <v>0.0</v>
      </c>
      <c r="BC455" s="2">
        <v>46009.0</v>
      </c>
      <c r="BD455" s="1">
        <v>50.0</v>
      </c>
      <c r="BE455" s="1" t="s">
        <v>550</v>
      </c>
      <c r="BF455" s="1">
        <v>2025.0</v>
      </c>
      <c r="BG455" s="1" t="s">
        <v>624</v>
      </c>
      <c r="BH455" s="7" t="str">
        <f>VLOOKUP(B455,CookieClicks!D:O,12,FALSE)</f>
        <v>http://signup.method.me/methodcrm</v>
      </c>
      <c r="BI455" s="8" t="str">
        <f>IFERROR(__xludf.DUMMYFUNCTION("VLOOKUP(REGEXREPLACE(BH455,""[?].*"",""""),ContentBuckets!A:C,2,FALSE)"),"#N/A")</f>
        <v>#N/A</v>
      </c>
      <c r="BJ455" s="8" t="str">
        <f>IFERROR(__xludf.DUMMYFUNCTION("VLOOKUP(REGEXREPLACE(BH455,""[?].*"",""""),ContentBuckets!A:C,3,FALSE)"),"#N/A")</f>
        <v>#N/A</v>
      </c>
    </row>
    <row r="456" ht="14.25" customHeight="1">
      <c r="A456" s="1">
        <v>153676.0</v>
      </c>
      <c r="B456" s="1" t="s">
        <v>1195</v>
      </c>
      <c r="C456" s="2">
        <v>46009.2916666667</v>
      </c>
      <c r="D456" s="2"/>
      <c r="E456" s="2">
        <v>46014.5791666667</v>
      </c>
      <c r="F456" s="1" t="b">
        <v>1</v>
      </c>
      <c r="G456" s="4" t="b">
        <v>0</v>
      </c>
      <c r="H456" s="1" t="b">
        <v>0</v>
      </c>
      <c r="I456" s="1" t="b">
        <v>0</v>
      </c>
      <c r="J456" s="1" t="s">
        <v>534</v>
      </c>
      <c r="K456" s="1" t="s">
        <v>535</v>
      </c>
      <c r="L456" s="1" t="s">
        <v>536</v>
      </c>
      <c r="M456" s="1" t="s">
        <v>537</v>
      </c>
      <c r="N456" s="1">
        <v>147.0</v>
      </c>
      <c r="O456" s="1">
        <v>147.0</v>
      </c>
      <c r="P456" s="1">
        <v>0.0</v>
      </c>
      <c r="Q456" s="1">
        <v>0.0</v>
      </c>
      <c r="R456" s="1">
        <v>28.0</v>
      </c>
      <c r="S456" s="1" t="s">
        <v>538</v>
      </c>
      <c r="T456" s="1" t="s">
        <v>725</v>
      </c>
      <c r="U456" s="1" t="s">
        <v>1196</v>
      </c>
      <c r="V456" s="4">
        <v>7381585.0</v>
      </c>
      <c r="W456" s="4"/>
      <c r="X456" s="4">
        <v>0.0</v>
      </c>
      <c r="Y456" s="1">
        <v>0.0</v>
      </c>
      <c r="Z456" s="1">
        <v>0.0</v>
      </c>
      <c r="AA456" s="1">
        <v>0.0</v>
      </c>
      <c r="AB456" s="1">
        <v>1.0</v>
      </c>
      <c r="AC456" s="1">
        <v>0.0</v>
      </c>
      <c r="AD456" s="1">
        <v>0.0</v>
      </c>
      <c r="AE456" s="1">
        <v>0.0</v>
      </c>
      <c r="AF456" s="1">
        <v>0.0</v>
      </c>
      <c r="AG456" s="1">
        <v>0.0</v>
      </c>
      <c r="AH456" s="1">
        <v>0.0</v>
      </c>
      <c r="AI456" s="1">
        <v>0.0</v>
      </c>
      <c r="AJ456" s="1">
        <v>0.0</v>
      </c>
      <c r="AK456" s="1">
        <v>0.0</v>
      </c>
      <c r="AL456" s="1">
        <v>0.0</v>
      </c>
      <c r="AM456" s="4">
        <v>0.0</v>
      </c>
      <c r="AN456" s="1">
        <v>0.0</v>
      </c>
      <c r="AO456" s="4">
        <v>0.0</v>
      </c>
      <c r="AP456" s="1">
        <f t="shared" si="1"/>
        <v>0</v>
      </c>
      <c r="AQ456" s="1" t="s">
        <v>557</v>
      </c>
      <c r="AR456" s="1" t="s">
        <v>571</v>
      </c>
      <c r="AU456" s="2">
        <v>46009.0</v>
      </c>
      <c r="AV456" s="2">
        <v>46023.9944444444</v>
      </c>
      <c r="AW456" s="1">
        <v>2.0</v>
      </c>
      <c r="AX456" s="1">
        <v>2.5801392E7</v>
      </c>
      <c r="AY456" s="1">
        <v>342.0</v>
      </c>
      <c r="AZ456" s="1">
        <v>4.0</v>
      </c>
      <c r="BA456" s="1">
        <v>0.0</v>
      </c>
      <c r="BB456" s="1">
        <v>10.0</v>
      </c>
      <c r="BC456" s="2">
        <v>46009.0</v>
      </c>
      <c r="BD456" s="1">
        <v>50.0</v>
      </c>
      <c r="BE456" s="1" t="s">
        <v>550</v>
      </c>
      <c r="BF456" s="1">
        <v>2025.0</v>
      </c>
      <c r="BG456" s="1" t="s">
        <v>558</v>
      </c>
      <c r="BH456" s="7" t="str">
        <f>VLOOKUP(B456,CookieClicks!D:O,12,FALSE)</f>
        <v>https://www.method.me/</v>
      </c>
      <c r="BI456" s="8" t="str">
        <f>IFERROR(__xludf.DUMMYFUNCTION("VLOOKUP(REGEXREPLACE(BH456,""[?].*"",""""),ContentBuckets!A:C,2,FALSE)"),"Homepage")</f>
        <v>Homepage</v>
      </c>
      <c r="BJ456" s="8" t="str">
        <f>IFERROR(__xludf.DUMMYFUNCTION("VLOOKUP(REGEXREPLACE(BH456,""[?].*"",""""),ContentBuckets!A:C,3,FALSE)"),"Other page")</f>
        <v>Other page</v>
      </c>
    </row>
    <row r="457" ht="14.25" customHeight="1">
      <c r="A457" s="1">
        <v>153677.0</v>
      </c>
      <c r="B457" s="1" t="s">
        <v>1197</v>
      </c>
      <c r="C457" s="2">
        <v>46009.3097222222</v>
      </c>
      <c r="D457" s="2"/>
      <c r="E457" s="2"/>
      <c r="F457" s="1" t="b">
        <v>1</v>
      </c>
      <c r="G457" s="4" t="b">
        <v>0</v>
      </c>
      <c r="H457" s="1" t="b">
        <v>0</v>
      </c>
      <c r="I457" s="1" t="b">
        <v>0</v>
      </c>
      <c r="J457" s="1" t="s">
        <v>534</v>
      </c>
      <c r="K457" s="1" t="s">
        <v>566</v>
      </c>
      <c r="L457" s="1" t="s">
        <v>567</v>
      </c>
      <c r="M457" s="1" t="s">
        <v>537</v>
      </c>
      <c r="N457" s="1">
        <v>0.0</v>
      </c>
      <c r="O457" s="1">
        <v>72.75</v>
      </c>
      <c r="P457" s="1">
        <v>0.0</v>
      </c>
      <c r="Q457" s="1">
        <v>0.0</v>
      </c>
      <c r="R457" s="1">
        <v>0.0</v>
      </c>
      <c r="S457" s="1" t="s">
        <v>538</v>
      </c>
      <c r="T457" s="1" t="s">
        <v>539</v>
      </c>
      <c r="V457" s="4">
        <v>7325235.0</v>
      </c>
      <c r="W457" s="4"/>
      <c r="X457" s="4">
        <v>1.0</v>
      </c>
      <c r="Y457" s="1">
        <v>0.0</v>
      </c>
      <c r="Z457" s="1">
        <v>0.0</v>
      </c>
      <c r="AA457" s="1">
        <v>0.0</v>
      </c>
      <c r="AB457" s="1">
        <v>0.0</v>
      </c>
      <c r="AC457" s="1">
        <v>0.0</v>
      </c>
      <c r="AD457" s="1">
        <v>0.0</v>
      </c>
      <c r="AE457" s="1">
        <v>0.0</v>
      </c>
      <c r="AF457" s="1">
        <v>0.0</v>
      </c>
      <c r="AG457" s="1">
        <v>0.0</v>
      </c>
      <c r="AH457" s="1">
        <v>0.0</v>
      </c>
      <c r="AI457" s="1">
        <v>0.0</v>
      </c>
      <c r="AJ457" s="1">
        <v>0.0</v>
      </c>
      <c r="AK457" s="1">
        <v>0.0</v>
      </c>
      <c r="AL457" s="1">
        <v>0.0</v>
      </c>
      <c r="AM457" s="4">
        <v>0.0</v>
      </c>
      <c r="AN457" s="1">
        <v>0.0</v>
      </c>
      <c r="AO457" s="4">
        <v>0.0</v>
      </c>
      <c r="AP457" s="1">
        <f t="shared" si="1"/>
        <v>0</v>
      </c>
      <c r="AU457" s="2"/>
      <c r="AV457" s="2">
        <v>46024.04375</v>
      </c>
      <c r="AW457" s="1">
        <v>0.0</v>
      </c>
      <c r="AX457" s="1">
        <v>0.0</v>
      </c>
      <c r="AY457" s="1">
        <v>0.0</v>
      </c>
      <c r="AZ457" s="1">
        <v>1.0</v>
      </c>
      <c r="BA457" s="1">
        <v>0.0</v>
      </c>
      <c r="BB457" s="1">
        <v>0.0</v>
      </c>
      <c r="BC457" s="2">
        <v>46009.0</v>
      </c>
      <c r="BD457" s="1">
        <v>50.0</v>
      </c>
      <c r="BE457" s="1" t="s">
        <v>550</v>
      </c>
      <c r="BF457" s="1">
        <v>2025.0</v>
      </c>
      <c r="BG457" s="1" t="s">
        <v>558</v>
      </c>
      <c r="BH457" s="7" t="str">
        <f>VLOOKUP(B457,CookieClicks!D:O,12,FALSE)</f>
        <v>http://signup.method.me/methodcrm</v>
      </c>
      <c r="BI457" s="8" t="str">
        <f>IFERROR(__xludf.DUMMYFUNCTION("VLOOKUP(REGEXREPLACE(BH457,""[?].*"",""""),ContentBuckets!A:C,2,FALSE)"),"#N/A")</f>
        <v>#N/A</v>
      </c>
      <c r="BJ457" s="8" t="str">
        <f>IFERROR(__xludf.DUMMYFUNCTION("VLOOKUP(REGEXREPLACE(BH457,""[?].*"",""""),ContentBuckets!A:C,3,FALSE)"),"#N/A")</f>
        <v>#N/A</v>
      </c>
    </row>
    <row r="458" ht="14.25" customHeight="1">
      <c r="A458" s="1">
        <v>153678.0</v>
      </c>
      <c r="B458" s="1" t="s">
        <v>1198</v>
      </c>
      <c r="C458" s="2">
        <v>46009.3277777778</v>
      </c>
      <c r="D458" s="2">
        <v>46009.4076388889</v>
      </c>
      <c r="E458" s="2"/>
      <c r="F458" s="1" t="b">
        <v>0</v>
      </c>
      <c r="G458" s="4" t="b">
        <v>0</v>
      </c>
      <c r="H458" s="1" t="b">
        <v>0</v>
      </c>
      <c r="I458" s="1" t="b">
        <v>0</v>
      </c>
      <c r="J458" s="1" t="s">
        <v>534</v>
      </c>
      <c r="K458" s="1" t="s">
        <v>622</v>
      </c>
      <c r="L458" s="1" t="s">
        <v>623</v>
      </c>
      <c r="M458" s="1" t="s">
        <v>537</v>
      </c>
      <c r="N458" s="1">
        <v>0.0</v>
      </c>
      <c r="O458" s="1">
        <v>0.0</v>
      </c>
      <c r="P458" s="1">
        <v>0.0</v>
      </c>
      <c r="Q458" s="1">
        <v>0.0</v>
      </c>
      <c r="R458" s="1">
        <v>0.0</v>
      </c>
      <c r="S458" s="1" t="s">
        <v>538</v>
      </c>
      <c r="T458" s="1" t="s">
        <v>539</v>
      </c>
      <c r="V458" s="4">
        <v>7381993.0</v>
      </c>
      <c r="W458" s="4"/>
      <c r="X458" s="4">
        <v>1.0</v>
      </c>
      <c r="Y458" s="1">
        <v>0.0</v>
      </c>
      <c r="Z458" s="1">
        <v>0.0</v>
      </c>
      <c r="AA458" s="1">
        <v>0.0</v>
      </c>
      <c r="AB458" s="1">
        <v>0.0</v>
      </c>
      <c r="AC458" s="1">
        <v>0.0</v>
      </c>
      <c r="AD458" s="1">
        <v>0.0</v>
      </c>
      <c r="AE458" s="1">
        <v>0.0</v>
      </c>
      <c r="AF458" s="1">
        <v>0.0</v>
      </c>
      <c r="AG458" s="1">
        <v>0.0</v>
      </c>
      <c r="AH458" s="1">
        <v>0.0</v>
      </c>
      <c r="AI458" s="1">
        <v>0.0</v>
      </c>
      <c r="AJ458" s="1">
        <v>0.0</v>
      </c>
      <c r="AK458" s="1">
        <v>0.0</v>
      </c>
      <c r="AL458" s="1">
        <v>0.0</v>
      </c>
      <c r="AM458" s="4">
        <v>0.0</v>
      </c>
      <c r="AN458" s="1">
        <v>0.0</v>
      </c>
      <c r="AO458" s="4">
        <v>0.0</v>
      </c>
      <c r="AP458" s="1">
        <f t="shared" si="1"/>
        <v>0</v>
      </c>
      <c r="AU458" s="2"/>
      <c r="AV458" s="2"/>
      <c r="AW458" s="1">
        <v>0.0</v>
      </c>
      <c r="AX458" s="1">
        <v>0.0</v>
      </c>
      <c r="AY458" s="1">
        <v>0.0</v>
      </c>
      <c r="AZ458" s="1">
        <v>1.0</v>
      </c>
      <c r="BA458" s="1">
        <v>0.0</v>
      </c>
      <c r="BB458" s="1">
        <v>0.0</v>
      </c>
      <c r="BC458" s="2">
        <v>46009.0</v>
      </c>
      <c r="BD458" s="1">
        <v>50.0</v>
      </c>
      <c r="BE458" s="1" t="s">
        <v>550</v>
      </c>
      <c r="BF458" s="1">
        <v>2025.0</v>
      </c>
      <c r="BG458" s="1" t="s">
        <v>558</v>
      </c>
      <c r="BH458" s="7" t="str">
        <f>VLOOKUP(B458,CookieClicks!D:O,12,FALSE)</f>
        <v>https://signin.method.me/?returnUrl=https%3A%2F%2Fumjca.methodportal.com%2Fapps%2F</v>
      </c>
      <c r="BI458" s="8" t="str">
        <f>IFERROR(__xludf.DUMMYFUNCTION("VLOOKUP(REGEXREPLACE(BH458,""[?].*"",""""),ContentBuckets!A:C,2,FALSE)"),"#N/A")</f>
        <v>#N/A</v>
      </c>
      <c r="BJ458" s="8" t="str">
        <f>IFERROR(__xludf.DUMMYFUNCTION("VLOOKUP(REGEXREPLACE(BH458,""[?].*"",""""),ContentBuckets!A:C,3,FALSE)"),"#N/A")</f>
        <v>#N/A</v>
      </c>
    </row>
    <row r="459" ht="14.25" customHeight="1">
      <c r="A459" s="1">
        <v>153679.0</v>
      </c>
      <c r="B459" s="1" t="s">
        <v>1199</v>
      </c>
      <c r="C459" s="2">
        <v>46009.3368055556</v>
      </c>
      <c r="D459" s="2"/>
      <c r="E459" s="2"/>
      <c r="F459" s="1" t="b">
        <v>1</v>
      </c>
      <c r="G459" s="4" t="b">
        <v>0</v>
      </c>
      <c r="H459" s="1" t="b">
        <v>0</v>
      </c>
      <c r="I459" s="1" t="b">
        <v>0</v>
      </c>
      <c r="J459" s="1" t="s">
        <v>534</v>
      </c>
      <c r="K459" s="1" t="s">
        <v>535</v>
      </c>
      <c r="L459" s="1" t="s">
        <v>536</v>
      </c>
      <c r="M459" s="1" t="s">
        <v>537</v>
      </c>
      <c r="N459" s="1">
        <v>0.0</v>
      </c>
      <c r="O459" s="1">
        <v>63.75</v>
      </c>
      <c r="P459" s="1">
        <v>0.0</v>
      </c>
      <c r="Q459" s="1">
        <v>0.0</v>
      </c>
      <c r="R459" s="1">
        <v>28.0</v>
      </c>
      <c r="S459" s="1" t="s">
        <v>538</v>
      </c>
      <c r="T459" s="1" t="s">
        <v>539</v>
      </c>
      <c r="V459" s="4">
        <v>7378450.0</v>
      </c>
      <c r="W459" s="4"/>
      <c r="X459" s="4">
        <v>1.0</v>
      </c>
      <c r="Y459" s="1">
        <v>0.0</v>
      </c>
      <c r="Z459" s="1">
        <v>0.0</v>
      </c>
      <c r="AA459" s="1">
        <v>0.0</v>
      </c>
      <c r="AB459" s="1">
        <v>0.0</v>
      </c>
      <c r="AC459" s="1">
        <v>0.0</v>
      </c>
      <c r="AD459" s="1">
        <v>0.0</v>
      </c>
      <c r="AE459" s="1">
        <v>0.0</v>
      </c>
      <c r="AF459" s="1">
        <v>0.0</v>
      </c>
      <c r="AG459" s="1">
        <v>0.0</v>
      </c>
      <c r="AH459" s="1">
        <v>0.0</v>
      </c>
      <c r="AI459" s="1">
        <v>0.0</v>
      </c>
      <c r="AJ459" s="1">
        <v>0.0</v>
      </c>
      <c r="AK459" s="1">
        <v>0.0</v>
      </c>
      <c r="AL459" s="1">
        <v>0.0</v>
      </c>
      <c r="AM459" s="4">
        <v>0.0</v>
      </c>
      <c r="AN459" s="1">
        <v>0.0</v>
      </c>
      <c r="AO459" s="4">
        <v>0.0</v>
      </c>
      <c r="AP459" s="1">
        <f t="shared" si="1"/>
        <v>0</v>
      </c>
      <c r="AR459" s="1" t="s">
        <v>560</v>
      </c>
      <c r="AU459" s="2"/>
      <c r="AV459" s="2">
        <v>46024.0034722222</v>
      </c>
      <c r="AW459" s="1">
        <v>0.0</v>
      </c>
      <c r="AX459" s="1">
        <v>0.0</v>
      </c>
      <c r="AY459" s="1">
        <v>0.0</v>
      </c>
      <c r="AZ459" s="1">
        <v>1.0</v>
      </c>
      <c r="BA459" s="1">
        <v>0.0</v>
      </c>
      <c r="BB459" s="1">
        <v>0.0</v>
      </c>
      <c r="BC459" s="2">
        <v>46009.0</v>
      </c>
      <c r="BD459" s="1">
        <v>50.0</v>
      </c>
      <c r="BE459" s="1" t="s">
        <v>550</v>
      </c>
      <c r="BF459" s="1">
        <v>2025.0</v>
      </c>
      <c r="BG459" s="1" t="s">
        <v>624</v>
      </c>
      <c r="BH459" s="7" t="str">
        <f>VLOOKUP(B459,CookieClicks!D:O,12,FALSE)</f>
        <v>https://signin.method.me/</v>
      </c>
      <c r="BI459" s="8" t="str">
        <f>IFERROR(__xludf.DUMMYFUNCTION("VLOOKUP(REGEXREPLACE(BH459,""[?].*"",""""),ContentBuckets!A:C,2,FALSE)"),"#N/A")</f>
        <v>#N/A</v>
      </c>
      <c r="BJ459" s="8" t="str">
        <f>IFERROR(__xludf.DUMMYFUNCTION("VLOOKUP(REGEXREPLACE(BH459,""[?].*"",""""),ContentBuckets!A:C,3,FALSE)"),"#N/A")</f>
        <v>#N/A</v>
      </c>
    </row>
    <row r="460" ht="14.25" customHeight="1">
      <c r="A460" s="1">
        <v>153680.0</v>
      </c>
      <c r="B460" s="1" t="s">
        <v>1200</v>
      </c>
      <c r="C460" s="2">
        <v>46009.3402777778</v>
      </c>
      <c r="D460" s="2"/>
      <c r="E460" s="2"/>
      <c r="F460" s="1" t="b">
        <v>1</v>
      </c>
      <c r="G460" s="4" t="b">
        <v>0</v>
      </c>
      <c r="H460" s="1" t="b">
        <v>0</v>
      </c>
      <c r="I460" s="1" t="b">
        <v>0</v>
      </c>
      <c r="J460" s="1" t="s">
        <v>534</v>
      </c>
      <c r="K460" s="1" t="s">
        <v>553</v>
      </c>
      <c r="L460" s="1" t="s">
        <v>554</v>
      </c>
      <c r="M460" s="1" t="s">
        <v>537</v>
      </c>
      <c r="N460" s="1">
        <v>0.0</v>
      </c>
      <c r="O460" s="1">
        <v>44.25</v>
      </c>
      <c r="P460" s="1">
        <v>0.0</v>
      </c>
      <c r="Q460" s="1">
        <v>0.0</v>
      </c>
      <c r="R460" s="1">
        <v>0.0</v>
      </c>
      <c r="S460" s="1" t="s">
        <v>538</v>
      </c>
      <c r="T460" s="1" t="s">
        <v>539</v>
      </c>
      <c r="V460" s="4">
        <v>7382048.0</v>
      </c>
      <c r="W460" s="4"/>
      <c r="X460" s="4">
        <v>0.0</v>
      </c>
      <c r="Y460" s="1">
        <v>0.0</v>
      </c>
      <c r="Z460" s="1">
        <v>0.0</v>
      </c>
      <c r="AA460" s="1">
        <v>1.0</v>
      </c>
      <c r="AB460" s="1">
        <v>0.0</v>
      </c>
      <c r="AC460" s="1">
        <v>0.0</v>
      </c>
      <c r="AD460" s="1">
        <v>0.0</v>
      </c>
      <c r="AE460" s="1">
        <v>0.0</v>
      </c>
      <c r="AF460" s="1">
        <v>0.0</v>
      </c>
      <c r="AG460" s="1">
        <v>0.0</v>
      </c>
      <c r="AH460" s="1">
        <v>0.0</v>
      </c>
      <c r="AI460" s="1">
        <v>0.0</v>
      </c>
      <c r="AJ460" s="1">
        <v>0.0</v>
      </c>
      <c r="AK460" s="1">
        <v>0.0</v>
      </c>
      <c r="AL460" s="1">
        <v>0.0</v>
      </c>
      <c r="AM460" s="4">
        <v>0.0</v>
      </c>
      <c r="AN460" s="1">
        <v>0.0</v>
      </c>
      <c r="AO460" s="4">
        <v>0.0</v>
      </c>
      <c r="AP460" s="1">
        <f t="shared" si="1"/>
        <v>0</v>
      </c>
      <c r="AU460" s="2"/>
      <c r="AV460" s="2">
        <v>46024.0083333333</v>
      </c>
      <c r="AW460" s="1">
        <v>0.0</v>
      </c>
      <c r="AX460" s="1">
        <v>0.0</v>
      </c>
      <c r="AY460" s="1">
        <v>0.0</v>
      </c>
      <c r="AZ460" s="1">
        <v>1.0</v>
      </c>
      <c r="BA460" s="1">
        <v>0.0</v>
      </c>
      <c r="BB460" s="1">
        <v>0.0</v>
      </c>
      <c r="BC460" s="2">
        <v>46009.0</v>
      </c>
      <c r="BD460" s="1">
        <v>50.0</v>
      </c>
      <c r="BE460" s="1" t="s">
        <v>550</v>
      </c>
      <c r="BF460" s="1">
        <v>2025.0</v>
      </c>
      <c r="BG460" s="1" t="s">
        <v>558</v>
      </c>
      <c r="BH460" s="1" t="str">
        <f>VLOOKUP(B460,CookieClicks!D:O,12,FALSE)</f>
        <v>https://grow.method.me/crm-quickbooks/?trc=81&amp;trk=crm with quickbooks&amp;trs=USA-QB-G&amp;campaignid=1543381580&amp;adgroupid=61437797000&amp;adid=704678754673&amp;gad_source=1&amp;gad_campaignid=1543381580&amp;gbraid=0AAAAAD3ItnZ4BdyL4-H36ueuL3ExieHng&amp;gclid=Cj0KCQiA6Y7KBhCkARIsAOxhqtNRo5mupe76ca6LjBgm-ZkFsj6uGk2UwObDe3oDfVQ1S-ZvEleRlWQaApKJEALw_wcB</v>
      </c>
      <c r="BI460" s="8" t="str">
        <f>IFERROR(__xludf.DUMMYFUNCTION("VLOOKUP(REGEXREPLACE(BH460,""[?].*"",""""),ContentBuckets!A:C,2,FALSE)"),"#N/A")</f>
        <v>#N/A</v>
      </c>
      <c r="BJ460" s="8" t="str">
        <f>IFERROR(__xludf.DUMMYFUNCTION("VLOOKUP(REGEXREPLACE(BH460,""[?].*"",""""),ContentBuckets!A:C,3,FALSE)"),"#N/A")</f>
        <v>#N/A</v>
      </c>
    </row>
    <row r="461" ht="14.25" customHeight="1">
      <c r="A461" s="1">
        <v>153681.0</v>
      </c>
      <c r="B461" s="1" t="s">
        <v>1201</v>
      </c>
      <c r="C461" s="2">
        <v>46009.35625</v>
      </c>
      <c r="D461" s="2"/>
      <c r="E461" s="2"/>
      <c r="F461" s="1" t="b">
        <v>1</v>
      </c>
      <c r="G461" s="4" t="b">
        <v>0</v>
      </c>
      <c r="H461" s="1" t="b">
        <v>0</v>
      </c>
      <c r="I461" s="1" t="b">
        <v>0</v>
      </c>
      <c r="J461" s="1" t="s">
        <v>534</v>
      </c>
      <c r="K461" s="1" t="s">
        <v>553</v>
      </c>
      <c r="L461" s="1" t="s">
        <v>554</v>
      </c>
      <c r="M461" s="1" t="s">
        <v>537</v>
      </c>
      <c r="N461" s="1">
        <v>0.0</v>
      </c>
      <c r="O461" s="1">
        <v>44.25</v>
      </c>
      <c r="P461" s="1">
        <v>0.0</v>
      </c>
      <c r="Q461" s="1">
        <v>0.0</v>
      </c>
      <c r="R461" s="1">
        <v>28.0</v>
      </c>
      <c r="S461" s="1" t="s">
        <v>538</v>
      </c>
      <c r="T461" s="1" t="s">
        <v>539</v>
      </c>
      <c r="V461" s="4">
        <v>7375429.0</v>
      </c>
      <c r="W461" s="4"/>
      <c r="X461" s="4">
        <v>0.0</v>
      </c>
      <c r="Y461" s="1">
        <v>0.0</v>
      </c>
      <c r="Z461" s="1">
        <v>0.0</v>
      </c>
      <c r="AA461" s="1">
        <v>1.0</v>
      </c>
      <c r="AB461" s="1">
        <v>0.0</v>
      </c>
      <c r="AC461" s="1">
        <v>0.0</v>
      </c>
      <c r="AD461" s="1">
        <v>0.0</v>
      </c>
      <c r="AE461" s="1">
        <v>0.0</v>
      </c>
      <c r="AF461" s="1">
        <v>0.0</v>
      </c>
      <c r="AG461" s="1">
        <v>0.0</v>
      </c>
      <c r="AH461" s="1">
        <v>0.0</v>
      </c>
      <c r="AI461" s="1">
        <v>0.0</v>
      </c>
      <c r="AJ461" s="1">
        <v>0.0</v>
      </c>
      <c r="AK461" s="1">
        <v>0.0</v>
      </c>
      <c r="AL461" s="1">
        <v>0.0</v>
      </c>
      <c r="AM461" s="4">
        <v>0.0</v>
      </c>
      <c r="AN461" s="1">
        <v>0.0</v>
      </c>
      <c r="AO461" s="4">
        <v>0.0</v>
      </c>
      <c r="AP461" s="1">
        <f t="shared" si="1"/>
        <v>0</v>
      </c>
      <c r="AR461" s="1" t="s">
        <v>560</v>
      </c>
      <c r="AU461" s="2"/>
      <c r="AV461" s="2">
        <v>46024.0159722222</v>
      </c>
      <c r="AW461" s="1">
        <v>0.0</v>
      </c>
      <c r="AX461" s="1">
        <v>0.0</v>
      </c>
      <c r="AY461" s="1">
        <v>0.0</v>
      </c>
      <c r="AZ461" s="1">
        <v>1.0</v>
      </c>
      <c r="BA461" s="1">
        <v>0.0</v>
      </c>
      <c r="BB461" s="1">
        <v>0.0</v>
      </c>
      <c r="BC461" s="2">
        <v>46009.0</v>
      </c>
      <c r="BD461" s="1">
        <v>50.0</v>
      </c>
      <c r="BE461" s="1" t="s">
        <v>550</v>
      </c>
      <c r="BF461" s="1">
        <v>2025.0</v>
      </c>
      <c r="BG461" s="1" t="s">
        <v>558</v>
      </c>
      <c r="BH461" s="1" t="str">
        <f>VLOOKUP(B461,CookieClicks!D:O,12,FALSE)</f>
        <v>https://grow.method.me/crm-quickbooks/?trc=81&amp;trk=best crm for quickbooks&amp;trs=USA-QB-G_Ex&amp;campaignid=22265826203&amp;adgroupid=176758613473&amp;adid=734012603510&amp;gad_source=1&amp;gad_campaignid=22265826203&amp;gbraid=0AAAAAD3ItnZPuOvuoclYkJyIiXwVIPY1G&amp;gclid=EAIaIQobChMIkYny49_FkQMVKSrUAR2sYiTMEAAYASAAEgK4a_D_BwE</v>
      </c>
      <c r="BI461" s="8" t="str">
        <f>IFERROR(__xludf.DUMMYFUNCTION("VLOOKUP(REGEXREPLACE(BH461,""[?].*"",""""),ContentBuckets!A:C,2,FALSE)"),"#N/A")</f>
        <v>#N/A</v>
      </c>
      <c r="BJ461" s="8" t="str">
        <f>IFERROR(__xludf.DUMMYFUNCTION("VLOOKUP(REGEXREPLACE(BH461,""[?].*"",""""),ContentBuckets!A:C,3,FALSE)"),"#N/A")</f>
        <v>#N/A</v>
      </c>
    </row>
    <row r="462" ht="14.25" customHeight="1">
      <c r="A462" s="1">
        <v>153682.0</v>
      </c>
      <c r="B462" s="1" t="s">
        <v>1202</v>
      </c>
      <c r="C462" s="2">
        <v>46009.3666666667</v>
      </c>
      <c r="D462" s="2"/>
      <c r="E462" s="2"/>
      <c r="F462" s="1" t="b">
        <v>1</v>
      </c>
      <c r="G462" s="4" t="b">
        <v>0</v>
      </c>
      <c r="H462" s="1" t="b">
        <v>0</v>
      </c>
      <c r="I462" s="1" t="b">
        <v>0</v>
      </c>
      <c r="J462" s="1" t="s">
        <v>534</v>
      </c>
      <c r="K462" s="1" t="s">
        <v>535</v>
      </c>
      <c r="L462" s="1" t="s">
        <v>536</v>
      </c>
      <c r="M462" s="1" t="s">
        <v>537</v>
      </c>
      <c r="N462" s="1">
        <v>0.0</v>
      </c>
      <c r="O462" s="1">
        <v>44.25</v>
      </c>
      <c r="P462" s="1">
        <v>0.0</v>
      </c>
      <c r="Q462" s="1">
        <v>0.0</v>
      </c>
      <c r="R462" s="1">
        <v>0.0</v>
      </c>
      <c r="S462" s="1" t="s">
        <v>538</v>
      </c>
      <c r="T462" s="1" t="s">
        <v>539</v>
      </c>
      <c r="V462" s="4">
        <v>7381327.0</v>
      </c>
      <c r="W462" s="4"/>
      <c r="X462" s="4">
        <v>0.0</v>
      </c>
      <c r="Y462" s="1">
        <v>0.0</v>
      </c>
      <c r="Z462" s="1">
        <v>0.0</v>
      </c>
      <c r="AA462" s="1">
        <v>1.0</v>
      </c>
      <c r="AB462" s="1">
        <v>0.0</v>
      </c>
      <c r="AC462" s="1">
        <v>0.0</v>
      </c>
      <c r="AD462" s="1">
        <v>0.0</v>
      </c>
      <c r="AE462" s="1">
        <v>0.0</v>
      </c>
      <c r="AF462" s="1">
        <v>0.0</v>
      </c>
      <c r="AG462" s="1">
        <v>0.0</v>
      </c>
      <c r="AH462" s="1">
        <v>0.0</v>
      </c>
      <c r="AI462" s="1">
        <v>0.0</v>
      </c>
      <c r="AJ462" s="1">
        <v>0.0</v>
      </c>
      <c r="AK462" s="1">
        <v>0.0</v>
      </c>
      <c r="AL462" s="1">
        <v>0.0</v>
      </c>
      <c r="AM462" s="4">
        <v>0.0</v>
      </c>
      <c r="AN462" s="1">
        <v>0.0</v>
      </c>
      <c r="AO462" s="4">
        <v>0.0</v>
      </c>
      <c r="AP462" s="1">
        <f t="shared" si="1"/>
        <v>0</v>
      </c>
      <c r="AQ462" s="1" t="s">
        <v>557</v>
      </c>
      <c r="AU462" s="2">
        <v>46009.0</v>
      </c>
      <c r="AV462" s="2">
        <v>46024.0041666667</v>
      </c>
      <c r="AW462" s="1">
        <v>0.0</v>
      </c>
      <c r="AX462" s="1">
        <v>0.0</v>
      </c>
      <c r="AY462" s="1">
        <v>0.0</v>
      </c>
      <c r="AZ462" s="1">
        <v>1.0</v>
      </c>
      <c r="BA462" s="1">
        <v>0.0</v>
      </c>
      <c r="BB462" s="1">
        <v>0.0</v>
      </c>
      <c r="BC462" s="2">
        <v>46009.0</v>
      </c>
      <c r="BD462" s="1">
        <v>50.0</v>
      </c>
      <c r="BE462" s="1" t="s">
        <v>550</v>
      </c>
      <c r="BF462" s="1">
        <v>2025.0</v>
      </c>
      <c r="BG462" s="1" t="s">
        <v>558</v>
      </c>
      <c r="BH462" s="1" t="str">
        <f>VLOOKUP(B462,CookieClicks!D:O,12,FALSE)</f>
        <v>https://grow.method.me/qb-payment/?trc=81&amp;trk=quickbooks online payment&amp;trs=US-payment&amp;campaignid=19733246298&amp;adgroupid=146278163933&amp;adid=649435146420&amp;gad_source=1&amp;gad_campaignid=19733246298&amp;gbraid=0AAAAAD3ItnZGiws4gymifVwCSbaOP8_l6&amp;gclid=Cj0KCQiA6Y7KBhCkARIsAOxhqtOcuet_krP2u04vsEt7I8zAeC7DJOtjdfF6exUVGswwzpBIoKQT24oaAv8gEALw_wcB</v>
      </c>
      <c r="BI462" s="8" t="str">
        <f>IFERROR(__xludf.DUMMYFUNCTION("VLOOKUP(REGEXREPLACE(BH462,""[?].*"",""""),ContentBuckets!A:C,2,FALSE)"),"#N/A")</f>
        <v>#N/A</v>
      </c>
      <c r="BJ462" s="8" t="str">
        <f>IFERROR(__xludf.DUMMYFUNCTION("VLOOKUP(REGEXREPLACE(BH462,""[?].*"",""""),ContentBuckets!A:C,3,FALSE)"),"#N/A")</f>
        <v>#N/A</v>
      </c>
    </row>
    <row r="463" ht="14.25" customHeight="1">
      <c r="A463" s="1">
        <v>153683.0</v>
      </c>
      <c r="B463" s="1" t="s">
        <v>1203</v>
      </c>
      <c r="C463" s="2">
        <v>46009.3826388889</v>
      </c>
      <c r="D463" s="2">
        <v>46009.4902777778</v>
      </c>
      <c r="E463" s="2"/>
      <c r="F463" s="1" t="b">
        <v>0</v>
      </c>
      <c r="G463" s="4" t="b">
        <v>0</v>
      </c>
      <c r="H463" s="1" t="b">
        <v>0</v>
      </c>
      <c r="I463" s="1" t="b">
        <v>0</v>
      </c>
      <c r="J463" s="1" t="s">
        <v>534</v>
      </c>
      <c r="K463" s="1" t="s">
        <v>535</v>
      </c>
      <c r="L463" s="1" t="s">
        <v>536</v>
      </c>
      <c r="M463" s="1" t="s">
        <v>537</v>
      </c>
      <c r="N463" s="1">
        <v>0.0</v>
      </c>
      <c r="O463" s="1">
        <v>63.75</v>
      </c>
      <c r="P463" s="1">
        <v>0.0</v>
      </c>
      <c r="Q463" s="1">
        <v>0.0</v>
      </c>
      <c r="R463" s="1">
        <v>28.0</v>
      </c>
      <c r="S463" s="1" t="s">
        <v>538</v>
      </c>
      <c r="T463" s="1" t="s">
        <v>539</v>
      </c>
      <c r="V463" s="4">
        <v>7382898.0</v>
      </c>
      <c r="W463" s="4"/>
      <c r="X463" s="4">
        <v>0.0</v>
      </c>
      <c r="Y463" s="1">
        <v>0.0</v>
      </c>
      <c r="Z463" s="1">
        <v>0.0</v>
      </c>
      <c r="AA463" s="1">
        <v>1.0</v>
      </c>
      <c r="AB463" s="1">
        <v>0.0</v>
      </c>
      <c r="AC463" s="1">
        <v>0.0</v>
      </c>
      <c r="AD463" s="1">
        <v>0.0</v>
      </c>
      <c r="AE463" s="1">
        <v>0.0</v>
      </c>
      <c r="AF463" s="1">
        <v>0.0</v>
      </c>
      <c r="AG463" s="1">
        <v>0.0</v>
      </c>
      <c r="AH463" s="1">
        <v>0.0</v>
      </c>
      <c r="AI463" s="1">
        <v>0.0</v>
      </c>
      <c r="AJ463" s="1">
        <v>0.0</v>
      </c>
      <c r="AK463" s="1">
        <v>0.0</v>
      </c>
      <c r="AL463" s="1">
        <v>0.0</v>
      </c>
      <c r="AM463" s="4">
        <v>0.0</v>
      </c>
      <c r="AN463" s="1">
        <v>0.0</v>
      </c>
      <c r="AO463" s="4">
        <v>0.0</v>
      </c>
      <c r="AP463" s="1">
        <f t="shared" si="1"/>
        <v>0</v>
      </c>
      <c r="AQ463" s="1" t="s">
        <v>557</v>
      </c>
      <c r="AR463" s="1" t="s">
        <v>568</v>
      </c>
      <c r="AU463" s="2">
        <v>46009.0</v>
      </c>
      <c r="AV463" s="2">
        <v>46009.4104166667</v>
      </c>
      <c r="AW463" s="1">
        <v>1.0</v>
      </c>
      <c r="AX463" s="1">
        <v>1150634.4</v>
      </c>
      <c r="AY463" s="1">
        <v>2896.0</v>
      </c>
      <c r="AZ463" s="1">
        <v>1.0</v>
      </c>
      <c r="BA463" s="1">
        <v>0.0</v>
      </c>
      <c r="BB463" s="1">
        <v>0.0</v>
      </c>
      <c r="BC463" s="2">
        <v>46009.0</v>
      </c>
      <c r="BD463" s="1">
        <v>50.0</v>
      </c>
      <c r="BE463" s="1" t="s">
        <v>550</v>
      </c>
      <c r="BF463" s="1">
        <v>2025.0</v>
      </c>
      <c r="BG463" s="1" t="s">
        <v>558</v>
      </c>
      <c r="BH463" s="1" t="str">
        <f>VLOOKUP(B463,CookieClicks!D:O,12,FALSE)</f>
        <v>https://grow.method.me/crm-quickbooks/?trc=81&amp;trk=crm with quickbooks&amp;trs=USA-QB-G&amp;campaignid=1543381580&amp;adgroupid=61437797000&amp;adid=704678754673&amp;gad_source=1&amp;gad_campaignid=1543381580&amp;gbraid=0AAAAAD3ItnZVPzeI1hZXOrdGTrUOMmeG9&amp;gclid=Cj0KCQiA6Y7KBhCkARIsAOxhqtNYt_NXISmhX5nItc86AUhCDJAYHLh_x_Be4FI-sZ8uTBffw6_YmN0aAsLtEALw_wcB</v>
      </c>
      <c r="BI463" s="8" t="str">
        <f>IFERROR(__xludf.DUMMYFUNCTION("VLOOKUP(REGEXREPLACE(BH463,""[?].*"",""""),ContentBuckets!A:C,2,FALSE)"),"#N/A")</f>
        <v>#N/A</v>
      </c>
      <c r="BJ463" s="8" t="str">
        <f>IFERROR(__xludf.DUMMYFUNCTION("VLOOKUP(REGEXREPLACE(BH463,""[?].*"",""""),ContentBuckets!A:C,3,FALSE)"),"#N/A")</f>
        <v>#N/A</v>
      </c>
    </row>
    <row r="464" ht="14.25" customHeight="1">
      <c r="A464" s="1">
        <v>153684.0</v>
      </c>
      <c r="B464" s="1" t="s">
        <v>1204</v>
      </c>
      <c r="C464" s="2">
        <v>46009.3868055556</v>
      </c>
      <c r="D464" s="2"/>
      <c r="E464" s="2"/>
      <c r="F464" s="1" t="b">
        <v>1</v>
      </c>
      <c r="G464" s="4" t="b">
        <v>0</v>
      </c>
      <c r="H464" s="1" t="b">
        <v>0</v>
      </c>
      <c r="I464" s="1" t="b">
        <v>0</v>
      </c>
      <c r="J464" s="1" t="s">
        <v>534</v>
      </c>
      <c r="K464" s="1" t="s">
        <v>535</v>
      </c>
      <c r="L464" s="1" t="s">
        <v>536</v>
      </c>
      <c r="M464" s="1" t="s">
        <v>537</v>
      </c>
      <c r="N464" s="1">
        <v>0.0</v>
      </c>
      <c r="O464" s="1">
        <v>44.25</v>
      </c>
      <c r="P464" s="1">
        <v>0.0</v>
      </c>
      <c r="Q464" s="1">
        <v>0.0</v>
      </c>
      <c r="R464" s="1">
        <v>0.0</v>
      </c>
      <c r="S464" s="1" t="s">
        <v>538</v>
      </c>
      <c r="T464" s="1" t="s">
        <v>539</v>
      </c>
      <c r="V464" s="4">
        <v>7373906.0</v>
      </c>
      <c r="W464" s="4" t="s">
        <v>540</v>
      </c>
      <c r="X464" s="4">
        <v>0.0</v>
      </c>
      <c r="Y464" s="1">
        <v>1.0</v>
      </c>
      <c r="Z464" s="1">
        <v>0.0</v>
      </c>
      <c r="AA464" s="1">
        <v>0.0</v>
      </c>
      <c r="AB464" s="1">
        <v>0.0</v>
      </c>
      <c r="AC464" s="1">
        <v>0.0</v>
      </c>
      <c r="AD464" s="1">
        <v>0.0</v>
      </c>
      <c r="AE464" s="1">
        <v>0.0</v>
      </c>
      <c r="AF464" s="1">
        <v>0.0</v>
      </c>
      <c r="AG464" s="1">
        <v>0.0</v>
      </c>
      <c r="AH464" s="1">
        <v>0.0</v>
      </c>
      <c r="AI464" s="1">
        <v>0.0</v>
      </c>
      <c r="AJ464" s="1">
        <v>0.0</v>
      </c>
      <c r="AK464" s="1">
        <v>0.0</v>
      </c>
      <c r="AL464" s="1">
        <v>0.0</v>
      </c>
      <c r="AM464" s="4">
        <v>0.0</v>
      </c>
      <c r="AN464" s="1">
        <v>0.0</v>
      </c>
      <c r="AO464" s="4">
        <v>0.0</v>
      </c>
      <c r="AP464" s="1">
        <f t="shared" si="1"/>
        <v>0</v>
      </c>
      <c r="AT464" s="1" t="s">
        <v>689</v>
      </c>
      <c r="AU464" s="2">
        <v>46009.0</v>
      </c>
      <c r="AV464" s="2">
        <v>46024.0076388889</v>
      </c>
      <c r="AW464" s="1">
        <v>9.0</v>
      </c>
      <c r="AX464" s="1">
        <v>453644.04</v>
      </c>
      <c r="AY464" s="1">
        <v>307.0</v>
      </c>
      <c r="AZ464" s="1">
        <v>1.0</v>
      </c>
      <c r="BA464" s="1">
        <v>0.0</v>
      </c>
      <c r="BB464" s="1">
        <v>0.0</v>
      </c>
      <c r="BC464" s="2">
        <v>46009.0</v>
      </c>
      <c r="BD464" s="1">
        <v>50.0</v>
      </c>
      <c r="BE464" s="1" t="s">
        <v>550</v>
      </c>
      <c r="BF464" s="1">
        <v>2025.0</v>
      </c>
      <c r="BG464" s="1" t="s">
        <v>558</v>
      </c>
      <c r="BH464" s="7" t="str">
        <f>VLOOKUP(B464,CookieClicks!D:O,12,FALSE)</f>
        <v>https://www.method.me/</v>
      </c>
      <c r="BI464" s="8" t="str">
        <f>IFERROR(__xludf.DUMMYFUNCTION("VLOOKUP(REGEXREPLACE(BH464,""[?].*"",""""),ContentBuckets!A:C,2,FALSE)"),"Homepage")</f>
        <v>Homepage</v>
      </c>
      <c r="BJ464" s="8" t="str">
        <f>IFERROR(__xludf.DUMMYFUNCTION("VLOOKUP(REGEXREPLACE(BH464,""[?].*"",""""),ContentBuckets!A:C,3,FALSE)"),"Other page")</f>
        <v>Other page</v>
      </c>
    </row>
    <row r="465" ht="14.25" customHeight="1">
      <c r="A465" s="1">
        <v>153696.0</v>
      </c>
      <c r="B465" s="1" t="s">
        <v>1205</v>
      </c>
      <c r="C465" s="2">
        <v>46009.4194444444</v>
      </c>
      <c r="D465" s="2"/>
      <c r="E465" s="2"/>
      <c r="F465" s="1" t="b">
        <v>1</v>
      </c>
      <c r="G465" s="4" t="b">
        <v>0</v>
      </c>
      <c r="H465" s="1" t="b">
        <v>0</v>
      </c>
      <c r="I465" s="1" t="b">
        <v>0</v>
      </c>
      <c r="J465" s="1" t="s">
        <v>534</v>
      </c>
      <c r="K465" s="1" t="s">
        <v>535</v>
      </c>
      <c r="L465" s="1" t="s">
        <v>536</v>
      </c>
      <c r="M465" s="1" t="s">
        <v>537</v>
      </c>
      <c r="N465" s="1">
        <v>0.0</v>
      </c>
      <c r="O465" s="1">
        <v>201.75</v>
      </c>
      <c r="P465" s="1">
        <v>0.0</v>
      </c>
      <c r="Q465" s="1">
        <v>0.0</v>
      </c>
      <c r="R465" s="1">
        <v>0.0</v>
      </c>
      <c r="S465" s="1" t="s">
        <v>538</v>
      </c>
      <c r="T465" s="1" t="s">
        <v>539</v>
      </c>
      <c r="V465" s="4">
        <v>7230959.0</v>
      </c>
      <c r="W465" s="4" t="s">
        <v>540</v>
      </c>
      <c r="X465" s="4">
        <v>0.0</v>
      </c>
      <c r="Y465" s="1">
        <v>1.0</v>
      </c>
      <c r="Z465" s="1">
        <v>0.0</v>
      </c>
      <c r="AA465" s="1">
        <v>0.0</v>
      </c>
      <c r="AB465" s="1">
        <v>0.0</v>
      </c>
      <c r="AC465" s="1">
        <v>0.0</v>
      </c>
      <c r="AD465" s="1">
        <v>0.0</v>
      </c>
      <c r="AE465" s="1">
        <v>0.0</v>
      </c>
      <c r="AF465" s="1">
        <v>0.0</v>
      </c>
      <c r="AG465" s="1">
        <v>0.0</v>
      </c>
      <c r="AH465" s="1">
        <v>0.0</v>
      </c>
      <c r="AI465" s="1">
        <v>0.0</v>
      </c>
      <c r="AJ465" s="1">
        <v>0.0</v>
      </c>
      <c r="AK465" s="1">
        <v>0.0</v>
      </c>
      <c r="AL465" s="1">
        <v>0.0</v>
      </c>
      <c r="AM465" s="4">
        <v>0.0</v>
      </c>
      <c r="AN465" s="1">
        <v>0.0</v>
      </c>
      <c r="AO465" s="4">
        <v>0.0</v>
      </c>
      <c r="AP465" s="1">
        <f t="shared" si="1"/>
        <v>0</v>
      </c>
      <c r="AQ465" s="1" t="s">
        <v>557</v>
      </c>
      <c r="AU465" s="2">
        <v>46009.0</v>
      </c>
      <c r="AV465" s="2">
        <v>46024.0347222222</v>
      </c>
      <c r="AW465" s="1">
        <v>1.0</v>
      </c>
      <c r="AX465" s="1">
        <v>1911259.08</v>
      </c>
      <c r="AY465" s="1">
        <v>1580.0</v>
      </c>
      <c r="AZ465" s="1">
        <v>3.0</v>
      </c>
      <c r="BA465" s="1">
        <v>0.0</v>
      </c>
      <c r="BB465" s="1">
        <v>0.0</v>
      </c>
      <c r="BC465" s="2">
        <v>46009.0</v>
      </c>
      <c r="BD465" s="1">
        <v>50.0</v>
      </c>
      <c r="BE465" s="1" t="s">
        <v>550</v>
      </c>
      <c r="BF465" s="1">
        <v>2025.0</v>
      </c>
      <c r="BG465" s="1" t="s">
        <v>558</v>
      </c>
      <c r="BH465" s="7" t="str">
        <f>VLOOKUP(B465,CookieClicks!D:O,12,FALSE)</f>
        <v>https://www.method.me/</v>
      </c>
      <c r="BI465" s="8" t="str">
        <f>IFERROR(__xludf.DUMMYFUNCTION("VLOOKUP(REGEXREPLACE(BH465,""[?].*"",""""),ContentBuckets!A:C,2,FALSE)"),"Homepage")</f>
        <v>Homepage</v>
      </c>
      <c r="BJ465" s="8" t="str">
        <f>IFERROR(__xludf.DUMMYFUNCTION("VLOOKUP(REGEXREPLACE(BH465,""[?].*"",""""),ContentBuckets!A:C,3,FALSE)"),"Other page")</f>
        <v>Other page</v>
      </c>
    </row>
    <row r="466" ht="14.25" customHeight="1">
      <c r="A466" s="1">
        <v>153697.0</v>
      </c>
      <c r="B466" s="1" t="s">
        <v>1206</v>
      </c>
      <c r="C466" s="2">
        <v>46009.4277777778</v>
      </c>
      <c r="D466" s="2"/>
      <c r="E466" s="2"/>
      <c r="F466" s="1" t="b">
        <v>1</v>
      </c>
      <c r="G466" s="4" t="b">
        <v>0</v>
      </c>
      <c r="H466" s="1" t="b">
        <v>0</v>
      </c>
      <c r="I466" s="1" t="b">
        <v>0</v>
      </c>
      <c r="J466" s="1" t="s">
        <v>534</v>
      </c>
      <c r="K466" s="1" t="s">
        <v>535</v>
      </c>
      <c r="L466" s="1" t="s">
        <v>536</v>
      </c>
      <c r="M466" s="1" t="s">
        <v>537</v>
      </c>
      <c r="N466" s="1">
        <v>0.0</v>
      </c>
      <c r="O466" s="1">
        <v>191.25</v>
      </c>
      <c r="P466" s="1">
        <v>0.0</v>
      </c>
      <c r="Q466" s="1">
        <v>0.0</v>
      </c>
      <c r="R466" s="1">
        <v>28.0</v>
      </c>
      <c r="S466" s="1" t="s">
        <v>538</v>
      </c>
      <c r="T466" s="1" t="s">
        <v>539</v>
      </c>
      <c r="V466" s="4">
        <v>7383456.0</v>
      </c>
      <c r="W466" s="4"/>
      <c r="X466" s="4">
        <v>0.0</v>
      </c>
      <c r="Y466" s="1">
        <v>0.0</v>
      </c>
      <c r="Z466" s="1">
        <v>0.0</v>
      </c>
      <c r="AA466" s="1">
        <v>0.0</v>
      </c>
      <c r="AB466" s="1">
        <v>0.0</v>
      </c>
      <c r="AC466" s="1">
        <v>0.0</v>
      </c>
      <c r="AD466" s="1">
        <v>0.0</v>
      </c>
      <c r="AE466" s="1">
        <v>0.0</v>
      </c>
      <c r="AF466" s="1">
        <v>0.0</v>
      </c>
      <c r="AG466" s="1">
        <v>0.0</v>
      </c>
      <c r="AH466" s="1">
        <v>1.0</v>
      </c>
      <c r="AI466" s="1">
        <v>0.0</v>
      </c>
      <c r="AJ466" s="1">
        <v>0.0</v>
      </c>
      <c r="AK466" s="1">
        <v>0.0</v>
      </c>
      <c r="AL466" s="1">
        <v>0.0</v>
      </c>
      <c r="AM466" s="4">
        <v>0.0</v>
      </c>
      <c r="AN466" s="1">
        <v>0.0</v>
      </c>
      <c r="AO466" s="4">
        <v>0.0</v>
      </c>
      <c r="AP466" s="1">
        <f t="shared" si="1"/>
        <v>0</v>
      </c>
      <c r="AQ466" s="1" t="s">
        <v>557</v>
      </c>
      <c r="AR466" s="1" t="s">
        <v>681</v>
      </c>
      <c r="AU466" s="2">
        <v>46009.0</v>
      </c>
      <c r="AV466" s="2">
        <v>46023.9861111111</v>
      </c>
      <c r="AW466" s="1">
        <v>0.0</v>
      </c>
      <c r="AX466" s="1">
        <v>102192.36</v>
      </c>
      <c r="AY466" s="1">
        <v>804.0</v>
      </c>
      <c r="AZ466" s="1">
        <v>3.0</v>
      </c>
      <c r="BA466" s="1">
        <v>0.0</v>
      </c>
      <c r="BB466" s="1">
        <v>0.0</v>
      </c>
      <c r="BC466" s="2">
        <v>46009.0</v>
      </c>
      <c r="BD466" s="1">
        <v>50.0</v>
      </c>
      <c r="BE466" s="1" t="s">
        <v>550</v>
      </c>
      <c r="BF466" s="1">
        <v>2025.0</v>
      </c>
      <c r="BG466" s="1" t="s">
        <v>558</v>
      </c>
      <c r="BH466" s="7" t="str">
        <f>VLOOKUP(B466,CookieClicks!D:O,12,FALSE)</f>
        <v>https://www.method.me/quickbooks-crm/</v>
      </c>
      <c r="BI466" s="8" t="str">
        <f>IFERROR(__xludf.DUMMYFUNCTION("VLOOKUP(REGEXREPLACE(BH466,""[?].*"",""""),ContentBuckets!A:C,2,FALSE)"),"/crm-quickbooks/")</f>
        <v>/crm-quickbooks/</v>
      </c>
      <c r="BJ466" s="8" t="str">
        <f>IFERROR(__xludf.DUMMYFUNCTION("VLOOKUP(REGEXREPLACE(BH466,""[?].*"",""""),ContentBuckets!A:C,3,FALSE)"),"Other page")</f>
        <v>Other page</v>
      </c>
    </row>
    <row r="467" ht="14.25" customHeight="1">
      <c r="A467" s="1">
        <v>153698.0</v>
      </c>
      <c r="B467" s="1" t="s">
        <v>1207</v>
      </c>
      <c r="C467" s="2">
        <v>46009.45625</v>
      </c>
      <c r="D467" s="2"/>
      <c r="E467" s="2"/>
      <c r="F467" s="1" t="b">
        <v>1</v>
      </c>
      <c r="G467" s="4" t="b">
        <v>0</v>
      </c>
      <c r="H467" s="1" t="b">
        <v>0</v>
      </c>
      <c r="I467" s="1" t="b">
        <v>0</v>
      </c>
      <c r="J467" s="1" t="s">
        <v>534</v>
      </c>
      <c r="K467" s="1" t="s">
        <v>553</v>
      </c>
      <c r="L467" s="1" t="s">
        <v>599</v>
      </c>
      <c r="M467" s="1" t="s">
        <v>537</v>
      </c>
      <c r="N467" s="1">
        <v>0.0</v>
      </c>
      <c r="O467" s="1">
        <v>44.25</v>
      </c>
      <c r="P467" s="1">
        <v>0.0</v>
      </c>
      <c r="Q467" s="1">
        <v>0.0</v>
      </c>
      <c r="R467" s="1">
        <v>0.0</v>
      </c>
      <c r="S467" s="1" t="s">
        <v>538</v>
      </c>
      <c r="T467" s="1" t="s">
        <v>539</v>
      </c>
      <c r="V467" s="4">
        <v>7384235.0</v>
      </c>
      <c r="W467" s="4" t="s">
        <v>540</v>
      </c>
      <c r="X467" s="4">
        <v>0.0</v>
      </c>
      <c r="Y467" s="1">
        <v>1.0</v>
      </c>
      <c r="Z467" s="1">
        <v>0.0</v>
      </c>
      <c r="AA467" s="1">
        <v>0.0</v>
      </c>
      <c r="AB467" s="1">
        <v>0.0</v>
      </c>
      <c r="AC467" s="1">
        <v>0.0</v>
      </c>
      <c r="AD467" s="1">
        <v>0.0</v>
      </c>
      <c r="AE467" s="1">
        <v>0.0</v>
      </c>
      <c r="AF467" s="1">
        <v>0.0</v>
      </c>
      <c r="AG467" s="1">
        <v>0.0</v>
      </c>
      <c r="AH467" s="1">
        <v>0.0</v>
      </c>
      <c r="AI467" s="1">
        <v>0.0</v>
      </c>
      <c r="AJ467" s="1">
        <v>0.0</v>
      </c>
      <c r="AK467" s="1">
        <v>0.0</v>
      </c>
      <c r="AL467" s="1">
        <v>0.0</v>
      </c>
      <c r="AM467" s="4">
        <v>0.0</v>
      </c>
      <c r="AN467" s="1">
        <v>0.0</v>
      </c>
      <c r="AO467" s="4">
        <v>0.0</v>
      </c>
      <c r="AP467" s="1">
        <f t="shared" si="1"/>
        <v>0</v>
      </c>
      <c r="AU467" s="2"/>
      <c r="AV467" s="2">
        <v>46024.0291666667</v>
      </c>
      <c r="AW467" s="1">
        <v>0.0</v>
      </c>
      <c r="AX467" s="1">
        <v>0.0</v>
      </c>
      <c r="AY467" s="1">
        <v>0.0</v>
      </c>
      <c r="AZ467" s="1">
        <v>1.0</v>
      </c>
      <c r="BA467" s="1">
        <v>0.0</v>
      </c>
      <c r="BB467" s="1">
        <v>0.0</v>
      </c>
      <c r="BC467" s="2">
        <v>46009.0</v>
      </c>
      <c r="BD467" s="1">
        <v>50.0</v>
      </c>
      <c r="BE467" s="1" t="s">
        <v>550</v>
      </c>
      <c r="BF467" s="1">
        <v>2025.0</v>
      </c>
      <c r="BG467" s="1" t="s">
        <v>786</v>
      </c>
      <c r="BH467" s="7" t="str">
        <f>VLOOKUP(B467,CookieClicks!D:O,12,FALSE)</f>
        <v>https://www.method.me/features/gmail/</v>
      </c>
      <c r="BI467" s="8" t="str">
        <f>IFERROR(__xludf.DUMMYFUNCTION("VLOOKUP(REGEXREPLACE(BH467,""[?].*"",""""),ContentBuckets!A:C,2,FALSE)"),"Features page")</f>
        <v>Features page</v>
      </c>
      <c r="BJ467" s="8" t="str">
        <f>IFERROR(__xludf.DUMMYFUNCTION("VLOOKUP(REGEXREPLACE(BH467,""[?].*"",""""),ContentBuckets!A:C,3,FALSE)"),"Other page")</f>
        <v>Other page</v>
      </c>
    </row>
    <row r="468" ht="14.25" customHeight="1">
      <c r="A468" s="1">
        <v>153699.0</v>
      </c>
      <c r="B468" s="1" t="s">
        <v>1208</v>
      </c>
      <c r="C468" s="2">
        <v>46009.4694444444</v>
      </c>
      <c r="D468" s="2"/>
      <c r="E468" s="2"/>
      <c r="F468" s="1" t="b">
        <v>1</v>
      </c>
      <c r="G468" s="4" t="b">
        <v>0</v>
      </c>
      <c r="H468" s="1" t="b">
        <v>0</v>
      </c>
      <c r="I468" s="1" t="b">
        <v>0</v>
      </c>
      <c r="J468" s="1" t="s">
        <v>534</v>
      </c>
      <c r="K468" s="1" t="s">
        <v>535</v>
      </c>
      <c r="L468" s="1" t="s">
        <v>536</v>
      </c>
      <c r="M468" s="1" t="s">
        <v>537</v>
      </c>
      <c r="N468" s="1">
        <v>0.0</v>
      </c>
      <c r="O468" s="1">
        <v>54.75</v>
      </c>
      <c r="P468" s="1">
        <v>0.0</v>
      </c>
      <c r="Q468" s="1">
        <v>0.0</v>
      </c>
      <c r="R468" s="1">
        <v>28.0</v>
      </c>
      <c r="S468" s="1" t="s">
        <v>538</v>
      </c>
      <c r="T468" s="1" t="s">
        <v>539</v>
      </c>
      <c r="V468" s="4">
        <v>7384299.0</v>
      </c>
      <c r="W468" s="4" t="s">
        <v>653</v>
      </c>
      <c r="X468" s="4">
        <v>0.0</v>
      </c>
      <c r="Y468" s="1">
        <v>1.0</v>
      </c>
      <c r="Z468" s="1">
        <v>0.0</v>
      </c>
      <c r="AA468" s="1">
        <v>0.0</v>
      </c>
      <c r="AB468" s="1">
        <v>0.0</v>
      </c>
      <c r="AC468" s="1">
        <v>0.0</v>
      </c>
      <c r="AD468" s="1">
        <v>0.0</v>
      </c>
      <c r="AE468" s="1">
        <v>0.0</v>
      </c>
      <c r="AF468" s="1">
        <v>0.0</v>
      </c>
      <c r="AG468" s="1">
        <v>0.0</v>
      </c>
      <c r="AH468" s="1">
        <v>0.0</v>
      </c>
      <c r="AI468" s="1">
        <v>0.0</v>
      </c>
      <c r="AJ468" s="1">
        <v>0.0</v>
      </c>
      <c r="AK468" s="1">
        <v>0.0</v>
      </c>
      <c r="AL468" s="1">
        <v>0.0</v>
      </c>
      <c r="AM468" s="4">
        <v>0.0</v>
      </c>
      <c r="AN468" s="1">
        <v>0.0</v>
      </c>
      <c r="AO468" s="4">
        <v>0.0</v>
      </c>
      <c r="AP468" s="1">
        <f t="shared" si="1"/>
        <v>0</v>
      </c>
      <c r="AQ468" s="1" t="s">
        <v>557</v>
      </c>
      <c r="AR468" s="1" t="s">
        <v>571</v>
      </c>
      <c r="AT468" s="1" t="s">
        <v>1209</v>
      </c>
      <c r="AU468" s="2">
        <v>46009.0</v>
      </c>
      <c r="AV468" s="2">
        <v>46023.9902777778</v>
      </c>
      <c r="AW468" s="1">
        <v>0.0</v>
      </c>
      <c r="AX468" s="1">
        <v>0.0</v>
      </c>
      <c r="AY468" s="1">
        <v>1.0</v>
      </c>
      <c r="AZ468" s="1">
        <v>1.0</v>
      </c>
      <c r="BA468" s="1">
        <v>0.0</v>
      </c>
      <c r="BB468" s="1">
        <v>1.0</v>
      </c>
      <c r="BC468" s="2">
        <v>46009.0</v>
      </c>
      <c r="BD468" s="1">
        <v>50.0</v>
      </c>
      <c r="BE468" s="1" t="s">
        <v>550</v>
      </c>
      <c r="BF468" s="1">
        <v>2025.0</v>
      </c>
      <c r="BG468" s="1" t="s">
        <v>558</v>
      </c>
      <c r="BH468" s="7" t="str">
        <f>VLOOKUP(B468,CookieClicks!D:O,12,FALSE)</f>
        <v>https://www.method.me/</v>
      </c>
      <c r="BI468" s="8" t="str">
        <f>IFERROR(__xludf.DUMMYFUNCTION("VLOOKUP(REGEXREPLACE(BH468,""[?].*"",""""),ContentBuckets!A:C,2,FALSE)"),"Homepage")</f>
        <v>Homepage</v>
      </c>
      <c r="BJ468" s="8" t="str">
        <f>IFERROR(__xludf.DUMMYFUNCTION("VLOOKUP(REGEXREPLACE(BH468,""[?].*"",""""),ContentBuckets!A:C,3,FALSE)"),"Other page")</f>
        <v>Other page</v>
      </c>
    </row>
    <row r="469" ht="14.25" customHeight="1">
      <c r="A469" s="1">
        <v>153700.0</v>
      </c>
      <c r="B469" s="1" t="s">
        <v>1210</v>
      </c>
      <c r="C469" s="2">
        <v>46009.4729166667</v>
      </c>
      <c r="D469" s="2"/>
      <c r="E469" s="2"/>
      <c r="F469" s="1" t="b">
        <v>1</v>
      </c>
      <c r="G469" s="4" t="b">
        <v>0</v>
      </c>
      <c r="H469" s="1" t="b">
        <v>0</v>
      </c>
      <c r="I469" s="1" t="b">
        <v>0</v>
      </c>
      <c r="J469" s="1" t="s">
        <v>534</v>
      </c>
      <c r="K469" s="1" t="s">
        <v>535</v>
      </c>
      <c r="L469" s="1" t="s">
        <v>536</v>
      </c>
      <c r="M469" s="1" t="s">
        <v>537</v>
      </c>
      <c r="N469" s="1">
        <v>0.0</v>
      </c>
      <c r="O469" s="1">
        <v>44.25</v>
      </c>
      <c r="P469" s="1">
        <v>0.0</v>
      </c>
      <c r="Q469" s="1">
        <v>0.0</v>
      </c>
      <c r="R469" s="1">
        <v>28.0</v>
      </c>
      <c r="S469" s="1" t="s">
        <v>538</v>
      </c>
      <c r="T469" s="1" t="s">
        <v>539</v>
      </c>
      <c r="V469" s="4">
        <v>7371588.0</v>
      </c>
      <c r="W469" s="4" t="s">
        <v>653</v>
      </c>
      <c r="X469" s="4">
        <v>0.0</v>
      </c>
      <c r="Y469" s="1">
        <v>1.0</v>
      </c>
      <c r="Z469" s="1">
        <v>0.0</v>
      </c>
      <c r="AA469" s="1">
        <v>0.0</v>
      </c>
      <c r="AB469" s="1">
        <v>0.0</v>
      </c>
      <c r="AC469" s="1">
        <v>0.0</v>
      </c>
      <c r="AD469" s="1">
        <v>0.0</v>
      </c>
      <c r="AE469" s="1">
        <v>0.0</v>
      </c>
      <c r="AF469" s="1">
        <v>0.0</v>
      </c>
      <c r="AG469" s="1">
        <v>0.0</v>
      </c>
      <c r="AH469" s="1">
        <v>0.0</v>
      </c>
      <c r="AI469" s="1">
        <v>0.0</v>
      </c>
      <c r="AJ469" s="1">
        <v>0.0</v>
      </c>
      <c r="AK469" s="1">
        <v>0.0</v>
      </c>
      <c r="AL469" s="1">
        <v>0.0</v>
      </c>
      <c r="AM469" s="4">
        <v>0.0</v>
      </c>
      <c r="AN469" s="1">
        <v>0.0</v>
      </c>
      <c r="AO469" s="4">
        <v>0.0</v>
      </c>
      <c r="AP469" s="1">
        <f t="shared" si="1"/>
        <v>0</v>
      </c>
      <c r="AQ469" s="1" t="s">
        <v>557</v>
      </c>
      <c r="AR469" s="1" t="s">
        <v>681</v>
      </c>
      <c r="AU469" s="2">
        <v>46009.0</v>
      </c>
      <c r="AV469" s="2">
        <v>46023.9868055556</v>
      </c>
      <c r="AW469" s="1">
        <v>0.0</v>
      </c>
      <c r="AX469" s="1">
        <v>1378085.4</v>
      </c>
      <c r="AY469" s="1">
        <v>120.0</v>
      </c>
      <c r="AZ469" s="1">
        <v>1.0</v>
      </c>
      <c r="BA469" s="1">
        <v>0.0</v>
      </c>
      <c r="BB469" s="1">
        <v>1.0</v>
      </c>
      <c r="BC469" s="2">
        <v>46009.0</v>
      </c>
      <c r="BD469" s="1">
        <v>50.0</v>
      </c>
      <c r="BE469" s="1" t="s">
        <v>550</v>
      </c>
      <c r="BF469" s="1">
        <v>2025.0</v>
      </c>
      <c r="BG469" s="1" t="s">
        <v>558</v>
      </c>
      <c r="BH469" s="7" t="str">
        <f>VLOOKUP(B469,CookieClicks!D:O,12,FALSE)</f>
        <v>https://www.method.me/</v>
      </c>
      <c r="BI469" s="8" t="str">
        <f>IFERROR(__xludf.DUMMYFUNCTION("VLOOKUP(REGEXREPLACE(BH469,""[?].*"",""""),ContentBuckets!A:C,2,FALSE)"),"Homepage")</f>
        <v>Homepage</v>
      </c>
      <c r="BJ469" s="8" t="str">
        <f>IFERROR(__xludf.DUMMYFUNCTION("VLOOKUP(REGEXREPLACE(BH469,""[?].*"",""""),ContentBuckets!A:C,3,FALSE)"),"Other page")</f>
        <v>Other page</v>
      </c>
    </row>
    <row r="470" ht="14.25" customHeight="1">
      <c r="A470" s="1">
        <v>153701.0</v>
      </c>
      <c r="B470" s="1" t="s">
        <v>1211</v>
      </c>
      <c r="C470" s="2">
        <v>46009.4729166667</v>
      </c>
      <c r="D470" s="2"/>
      <c r="E470" s="2"/>
      <c r="F470" s="1" t="b">
        <v>1</v>
      </c>
      <c r="G470" s="4" t="b">
        <v>0</v>
      </c>
      <c r="H470" s="1" t="b">
        <v>0</v>
      </c>
      <c r="I470" s="1" t="b">
        <v>0</v>
      </c>
      <c r="J470" s="1" t="s">
        <v>534</v>
      </c>
      <c r="K470" s="1" t="s">
        <v>535</v>
      </c>
      <c r="L470" s="1" t="s">
        <v>536</v>
      </c>
      <c r="M470" s="1" t="s">
        <v>537</v>
      </c>
      <c r="N470" s="1">
        <v>0.0</v>
      </c>
      <c r="O470" s="1">
        <v>44.25</v>
      </c>
      <c r="P470" s="1">
        <v>0.0</v>
      </c>
      <c r="Q470" s="1">
        <v>0.0</v>
      </c>
      <c r="R470" s="1">
        <v>28.0</v>
      </c>
      <c r="S470" s="1" t="s">
        <v>538</v>
      </c>
      <c r="T470" s="1" t="s">
        <v>539</v>
      </c>
      <c r="V470" s="4">
        <v>7383991.0</v>
      </c>
      <c r="W470" s="4"/>
      <c r="X470" s="4">
        <v>1.0</v>
      </c>
      <c r="Y470" s="1">
        <v>0.0</v>
      </c>
      <c r="Z470" s="1">
        <v>0.0</v>
      </c>
      <c r="AA470" s="1">
        <v>0.0</v>
      </c>
      <c r="AB470" s="1">
        <v>0.0</v>
      </c>
      <c r="AC470" s="1">
        <v>0.0</v>
      </c>
      <c r="AD470" s="1">
        <v>0.0</v>
      </c>
      <c r="AE470" s="1">
        <v>0.0</v>
      </c>
      <c r="AF470" s="1">
        <v>0.0</v>
      </c>
      <c r="AG470" s="1">
        <v>0.0</v>
      </c>
      <c r="AH470" s="1">
        <v>0.0</v>
      </c>
      <c r="AI470" s="1">
        <v>0.0</v>
      </c>
      <c r="AJ470" s="1">
        <v>0.0</v>
      </c>
      <c r="AK470" s="1">
        <v>0.0</v>
      </c>
      <c r="AL470" s="1">
        <v>0.0</v>
      </c>
      <c r="AM470" s="4">
        <v>0.0</v>
      </c>
      <c r="AN470" s="1">
        <v>0.0</v>
      </c>
      <c r="AO470" s="4">
        <v>0.0</v>
      </c>
      <c r="AP470" s="1">
        <f t="shared" si="1"/>
        <v>0</v>
      </c>
      <c r="AR470" s="1" t="s">
        <v>560</v>
      </c>
      <c r="AU470" s="2"/>
      <c r="AV470" s="2">
        <v>46024.0159722222</v>
      </c>
      <c r="AW470" s="1">
        <v>0.0</v>
      </c>
      <c r="AX470" s="1">
        <v>0.0</v>
      </c>
      <c r="AY470" s="1">
        <v>0.0</v>
      </c>
      <c r="AZ470" s="1">
        <v>1.0</v>
      </c>
      <c r="BA470" s="1">
        <v>0.0</v>
      </c>
      <c r="BB470" s="1">
        <v>0.0</v>
      </c>
      <c r="BC470" s="2">
        <v>46009.0</v>
      </c>
      <c r="BD470" s="1">
        <v>50.0</v>
      </c>
      <c r="BE470" s="1" t="s">
        <v>550</v>
      </c>
      <c r="BF470" s="1">
        <v>2025.0</v>
      </c>
      <c r="BG470" s="1" t="s">
        <v>558</v>
      </c>
      <c r="BH470" s="7" t="str">
        <f>VLOOKUP(B470,CookieClicks!D:O,12,FALSE)</f>
        <v>https://www.method.me/crm-quickbooks/pricing/full-feature/</v>
      </c>
      <c r="BI470" s="8" t="str">
        <f>IFERROR(__xludf.DUMMYFUNCTION("VLOOKUP(REGEXREPLACE(BH470,""[?].*"",""""),ContentBuckets!A:C,2,FALSE)"),"/crm-quickbooks/")</f>
        <v>/crm-quickbooks/</v>
      </c>
      <c r="BJ470" s="8" t="str">
        <f>IFERROR(__xludf.DUMMYFUNCTION("VLOOKUP(REGEXREPLACE(BH470,""[?].*"",""""),ContentBuckets!A:C,3,FALSE)"),"Other page")</f>
        <v>Other page</v>
      </c>
    </row>
    <row r="471" ht="14.25" customHeight="1">
      <c r="A471" s="1">
        <v>153702.0</v>
      </c>
      <c r="B471" s="1" t="s">
        <v>1212</v>
      </c>
      <c r="C471" s="2">
        <v>46009.4888888889</v>
      </c>
      <c r="D471" s="2"/>
      <c r="E471" s="2"/>
      <c r="F471" s="1" t="b">
        <v>1</v>
      </c>
      <c r="G471" s="4" t="b">
        <v>0</v>
      </c>
      <c r="H471" s="1" t="b">
        <v>0</v>
      </c>
      <c r="I471" s="1" t="b">
        <v>0</v>
      </c>
      <c r="J471" s="1" t="s">
        <v>534</v>
      </c>
      <c r="K471" s="1" t="s">
        <v>535</v>
      </c>
      <c r="L471" s="1" t="s">
        <v>536</v>
      </c>
      <c r="M471" s="1" t="s">
        <v>537</v>
      </c>
      <c r="N471" s="1">
        <v>0.0</v>
      </c>
      <c r="O471" s="1">
        <v>44.25</v>
      </c>
      <c r="P471" s="1">
        <v>0.0</v>
      </c>
      <c r="Q471" s="1">
        <v>0.0</v>
      </c>
      <c r="R471" s="1">
        <v>0.0</v>
      </c>
      <c r="S471" s="1" t="s">
        <v>538</v>
      </c>
      <c r="T471" s="1" t="s">
        <v>539</v>
      </c>
      <c r="V471" s="4">
        <v>7384826.0</v>
      </c>
      <c r="W471" s="4"/>
      <c r="X471" s="4">
        <v>0.0</v>
      </c>
      <c r="Y471" s="1">
        <v>0.0</v>
      </c>
      <c r="Z471" s="1">
        <v>0.0</v>
      </c>
      <c r="AA471" s="1">
        <v>1.0</v>
      </c>
      <c r="AB471" s="1">
        <v>0.0</v>
      </c>
      <c r="AC471" s="1">
        <v>0.0</v>
      </c>
      <c r="AD471" s="1">
        <v>0.0</v>
      </c>
      <c r="AE471" s="1">
        <v>0.0</v>
      </c>
      <c r="AF471" s="1">
        <v>0.0</v>
      </c>
      <c r="AG471" s="1">
        <v>0.0</v>
      </c>
      <c r="AH471" s="1">
        <v>0.0</v>
      </c>
      <c r="AI471" s="1">
        <v>0.0</v>
      </c>
      <c r="AJ471" s="1">
        <v>0.0</v>
      </c>
      <c r="AK471" s="1">
        <v>0.0</v>
      </c>
      <c r="AL471" s="1">
        <v>0.0</v>
      </c>
      <c r="AM471" s="4">
        <v>0.0</v>
      </c>
      <c r="AN471" s="1">
        <v>0.0</v>
      </c>
      <c r="AO471" s="4">
        <v>0.0</v>
      </c>
      <c r="AP471" s="1">
        <f t="shared" si="1"/>
        <v>0</v>
      </c>
      <c r="AU471" s="2"/>
      <c r="AV471" s="2">
        <v>46024.0194444444</v>
      </c>
      <c r="AW471" s="1">
        <v>0.0</v>
      </c>
      <c r="AX471" s="1">
        <v>0.0</v>
      </c>
      <c r="AY471" s="1">
        <v>3660.0</v>
      </c>
      <c r="AZ471" s="1">
        <v>1.0</v>
      </c>
      <c r="BA471" s="1">
        <v>0.0</v>
      </c>
      <c r="BB471" s="1">
        <v>0.0</v>
      </c>
      <c r="BC471" s="2">
        <v>46009.0</v>
      </c>
      <c r="BD471" s="1">
        <v>50.0</v>
      </c>
      <c r="BE471" s="1" t="s">
        <v>550</v>
      </c>
      <c r="BF471" s="1">
        <v>2025.0</v>
      </c>
      <c r="BG471" s="1" t="s">
        <v>558</v>
      </c>
      <c r="BH471" s="1" t="str">
        <f>VLOOKUP(B471,CookieClicks!D:O,12,FALSE)</f>
        <v>https://grow.method.me/crm-quickbooks/?trc=81&amp;trk=crm with quickbooks&amp;trs=USA-QB-G&amp;campaignid=1543381580&amp;adgroupid=61437797000&amp;adid=704678754673&amp;gad_source=1&amp;gad_campaignid=1543381580&amp;gbraid=0AAAAAD3ItnZVPzeI1hZXOrdGTrUOMmeG9&amp;gclid=Cj0KCQiA6Y7KBhCkARIsAOxhqtPi-7Adfq5EbltMQjCivoOqyfQJctRTuSalQ0kfIYW0bt14rH9hO1waAstaEALw_wcB</v>
      </c>
      <c r="BI471" s="8" t="str">
        <f>IFERROR(__xludf.DUMMYFUNCTION("VLOOKUP(REGEXREPLACE(BH471,""[?].*"",""""),ContentBuckets!A:C,2,FALSE)"),"#N/A")</f>
        <v>#N/A</v>
      </c>
      <c r="BJ471" s="8" t="str">
        <f>IFERROR(__xludf.DUMMYFUNCTION("VLOOKUP(REGEXREPLACE(BH471,""[?].*"",""""),ContentBuckets!A:C,3,FALSE)"),"#N/A")</f>
        <v>#N/A</v>
      </c>
    </row>
    <row r="472" ht="14.25" customHeight="1">
      <c r="A472" s="1">
        <v>153703.0</v>
      </c>
      <c r="B472" s="1" t="s">
        <v>1213</v>
      </c>
      <c r="C472" s="2">
        <v>46009.5027777778</v>
      </c>
      <c r="D472" s="2">
        <v>46009.5416666667</v>
      </c>
      <c r="E472" s="2"/>
      <c r="F472" s="1" t="b">
        <v>0</v>
      </c>
      <c r="G472" s="4" t="b">
        <v>0</v>
      </c>
      <c r="H472" s="1" t="b">
        <v>0</v>
      </c>
      <c r="I472" s="1" t="b">
        <v>0</v>
      </c>
      <c r="J472" s="1" t="s">
        <v>534</v>
      </c>
      <c r="K472" s="1" t="s">
        <v>535</v>
      </c>
      <c r="L472" s="1" t="s">
        <v>536</v>
      </c>
      <c r="M472" s="1" t="s">
        <v>537</v>
      </c>
      <c r="N472" s="1">
        <v>0.0</v>
      </c>
      <c r="O472" s="1">
        <v>0.0</v>
      </c>
      <c r="P472" s="1">
        <v>0.0</v>
      </c>
      <c r="Q472" s="1">
        <v>0.0</v>
      </c>
      <c r="R472" s="1">
        <v>28.0</v>
      </c>
      <c r="S472" s="1" t="s">
        <v>538</v>
      </c>
      <c r="T472" s="1" t="s">
        <v>539</v>
      </c>
      <c r="V472" s="4">
        <v>7385048.0</v>
      </c>
      <c r="W472" s="4" t="s">
        <v>540</v>
      </c>
      <c r="X472" s="4">
        <v>0.0</v>
      </c>
      <c r="Y472" s="1">
        <v>1.0</v>
      </c>
      <c r="Z472" s="1">
        <v>0.0</v>
      </c>
      <c r="AA472" s="1">
        <v>0.0</v>
      </c>
      <c r="AB472" s="1">
        <v>0.0</v>
      </c>
      <c r="AC472" s="1">
        <v>0.0</v>
      </c>
      <c r="AD472" s="1">
        <v>0.0</v>
      </c>
      <c r="AE472" s="1">
        <v>0.0</v>
      </c>
      <c r="AF472" s="1">
        <v>0.0</v>
      </c>
      <c r="AG472" s="1">
        <v>0.0</v>
      </c>
      <c r="AH472" s="1">
        <v>0.0</v>
      </c>
      <c r="AI472" s="1">
        <v>0.0</v>
      </c>
      <c r="AJ472" s="1">
        <v>0.0</v>
      </c>
      <c r="AK472" s="1">
        <v>0.0</v>
      </c>
      <c r="AL472" s="1">
        <v>0.0</v>
      </c>
      <c r="AM472" s="4">
        <v>0.0</v>
      </c>
      <c r="AN472" s="1">
        <v>0.0</v>
      </c>
      <c r="AO472" s="4">
        <v>0.0</v>
      </c>
      <c r="AP472" s="1">
        <f t="shared" si="1"/>
        <v>0</v>
      </c>
      <c r="AQ472" s="1" t="s">
        <v>557</v>
      </c>
      <c r="AR472" s="1" t="s">
        <v>542</v>
      </c>
      <c r="AU472" s="2"/>
      <c r="AV472" s="2"/>
      <c r="AW472" s="1">
        <v>0.0</v>
      </c>
      <c r="AX472" s="1">
        <v>0.0</v>
      </c>
      <c r="AY472" s="1">
        <v>0.0</v>
      </c>
      <c r="AZ472" s="1">
        <v>1.0</v>
      </c>
      <c r="BA472" s="1">
        <v>0.0</v>
      </c>
      <c r="BB472" s="1">
        <v>0.0</v>
      </c>
      <c r="BC472" s="2">
        <v>46009.0</v>
      </c>
      <c r="BD472" s="1">
        <v>50.0</v>
      </c>
      <c r="BE472" s="1" t="s">
        <v>550</v>
      </c>
      <c r="BF472" s="1">
        <v>2025.0</v>
      </c>
      <c r="BG472" s="1" t="s">
        <v>558</v>
      </c>
      <c r="BH472" s="7" t="str">
        <f>VLOOKUP(B472,CookieClicks!D:O,12,FALSE)</f>
        <v>https://www.method.me/</v>
      </c>
      <c r="BI472" s="8" t="str">
        <f>IFERROR(__xludf.DUMMYFUNCTION("VLOOKUP(REGEXREPLACE(BH472,""[?].*"",""""),ContentBuckets!A:C,2,FALSE)"),"Homepage")</f>
        <v>Homepage</v>
      </c>
      <c r="BJ472" s="8" t="str">
        <f>IFERROR(__xludf.DUMMYFUNCTION("VLOOKUP(REGEXREPLACE(BH472,""[?].*"",""""),ContentBuckets!A:C,3,FALSE)"),"Other page")</f>
        <v>Other page</v>
      </c>
    </row>
    <row r="473" ht="14.25" customHeight="1">
      <c r="A473" s="1">
        <v>153704.0</v>
      </c>
      <c r="B473" s="1" t="s">
        <v>1214</v>
      </c>
      <c r="C473" s="2">
        <v>46009.5138888889</v>
      </c>
      <c r="D473" s="2"/>
      <c r="E473" s="2"/>
      <c r="F473" s="1" t="b">
        <v>1</v>
      </c>
      <c r="G473" s="4" t="b">
        <v>0</v>
      </c>
      <c r="H473" s="1" t="b">
        <v>0</v>
      </c>
      <c r="I473" s="1" t="b">
        <v>0</v>
      </c>
      <c r="J473" s="1" t="s">
        <v>534</v>
      </c>
      <c r="K473" s="1" t="s">
        <v>535</v>
      </c>
      <c r="L473" s="1" t="s">
        <v>536</v>
      </c>
      <c r="M473" s="1" t="s">
        <v>537</v>
      </c>
      <c r="N473" s="1">
        <v>0.0</v>
      </c>
      <c r="O473" s="1">
        <v>54.75</v>
      </c>
      <c r="P473" s="1">
        <v>0.0</v>
      </c>
      <c r="Q473" s="1">
        <v>0.0</v>
      </c>
      <c r="R473" s="1">
        <v>28.0</v>
      </c>
      <c r="S473" s="1" t="s">
        <v>538</v>
      </c>
      <c r="T473" s="1" t="s">
        <v>539</v>
      </c>
      <c r="V473" s="4">
        <v>7385133.0</v>
      </c>
      <c r="W473" s="4"/>
      <c r="X473" s="4">
        <v>0.0</v>
      </c>
      <c r="Y473" s="1">
        <v>0.0</v>
      </c>
      <c r="Z473" s="1">
        <v>0.0</v>
      </c>
      <c r="AA473" s="1">
        <v>1.0</v>
      </c>
      <c r="AB473" s="1">
        <v>0.0</v>
      </c>
      <c r="AC473" s="1">
        <v>0.0</v>
      </c>
      <c r="AD473" s="1">
        <v>0.0</v>
      </c>
      <c r="AE473" s="1">
        <v>0.0</v>
      </c>
      <c r="AF473" s="1">
        <v>0.0</v>
      </c>
      <c r="AG473" s="1">
        <v>0.0</v>
      </c>
      <c r="AH473" s="1">
        <v>0.0</v>
      </c>
      <c r="AI473" s="1">
        <v>0.0</v>
      </c>
      <c r="AJ473" s="1">
        <v>0.0</v>
      </c>
      <c r="AK473" s="1">
        <v>0.0</v>
      </c>
      <c r="AL473" s="1">
        <v>0.0</v>
      </c>
      <c r="AM473" s="4">
        <v>0.0</v>
      </c>
      <c r="AN473" s="1">
        <v>0.0</v>
      </c>
      <c r="AO473" s="4">
        <v>0.0</v>
      </c>
      <c r="AP473" s="1">
        <f t="shared" si="1"/>
        <v>0</v>
      </c>
      <c r="AQ473" s="1" t="s">
        <v>557</v>
      </c>
      <c r="AR473" s="1" t="s">
        <v>560</v>
      </c>
      <c r="AT473" s="1" t="s">
        <v>1215</v>
      </c>
      <c r="AU473" s="2">
        <v>46009.0</v>
      </c>
      <c r="AV473" s="2">
        <v>46024.0055555556</v>
      </c>
      <c r="AW473" s="1">
        <v>0.0</v>
      </c>
      <c r="AX473" s="1">
        <v>996583.08</v>
      </c>
      <c r="AY473" s="1">
        <v>135.0</v>
      </c>
      <c r="AZ473" s="1">
        <v>1.0</v>
      </c>
      <c r="BA473" s="1">
        <v>0.0</v>
      </c>
      <c r="BB473" s="1">
        <v>0.0</v>
      </c>
      <c r="BC473" s="2">
        <v>46009.0</v>
      </c>
      <c r="BD473" s="1">
        <v>50.0</v>
      </c>
      <c r="BE473" s="1" t="s">
        <v>550</v>
      </c>
      <c r="BF473" s="1">
        <v>2025.0</v>
      </c>
      <c r="BG473" s="1" t="s">
        <v>558</v>
      </c>
      <c r="BH473" s="1" t="str">
        <f>VLOOKUP(B473,CookieClicks!D:O,12,FALSE)</f>
        <v>https://grow.method.me/crm-quickbooks/?trc=81&amp;trk=crm with quickbooks&amp;trs=USA-QB-G&amp;campaignid=1543381580&amp;adgroupid=61437797000&amp;adid=704678754673&amp;gad_source=1&amp;gad_campaignid=1543381580&amp;gbraid=0AAAAAD3ItnZVPzeI1hZXOrdGTrUOMmeG9&amp;gclid=Cj0KCQiA6Y7KBhCkARIsAOxhqtMFDfVh8Hh14sq7N_N59-xzPreDMk8Nng9D_ym5rxJJU44DkpALFX8aAvYvEALw_wcB</v>
      </c>
      <c r="BI473" s="8" t="str">
        <f>IFERROR(__xludf.DUMMYFUNCTION("VLOOKUP(REGEXREPLACE(BH473,""[?].*"",""""),ContentBuckets!A:C,2,FALSE)"),"#N/A")</f>
        <v>#N/A</v>
      </c>
      <c r="BJ473" s="8" t="str">
        <f>IFERROR(__xludf.DUMMYFUNCTION("VLOOKUP(REGEXREPLACE(BH473,""[?].*"",""""),ContentBuckets!A:C,3,FALSE)"),"#N/A")</f>
        <v>#N/A</v>
      </c>
    </row>
    <row r="474" ht="14.25" customHeight="1">
      <c r="A474" s="1">
        <v>153706.0</v>
      </c>
      <c r="B474" s="1" t="s">
        <v>1216</v>
      </c>
      <c r="C474" s="2">
        <v>46009.5236111111</v>
      </c>
      <c r="D474" s="2">
        <v>46009.55</v>
      </c>
      <c r="E474" s="2"/>
      <c r="F474" s="1" t="b">
        <v>0</v>
      </c>
      <c r="G474" s="4" t="b">
        <v>0</v>
      </c>
      <c r="H474" s="1" t="b">
        <v>0</v>
      </c>
      <c r="I474" s="1" t="b">
        <v>0</v>
      </c>
      <c r="J474" s="1" t="s">
        <v>534</v>
      </c>
      <c r="K474" s="1" t="s">
        <v>622</v>
      </c>
      <c r="L474" s="1" t="s">
        <v>623</v>
      </c>
      <c r="M474" s="1" t="s">
        <v>537</v>
      </c>
      <c r="N474" s="1">
        <v>0.0</v>
      </c>
      <c r="O474" s="1">
        <v>0.0</v>
      </c>
      <c r="P474" s="1">
        <v>0.0</v>
      </c>
      <c r="Q474" s="1">
        <v>0.0</v>
      </c>
      <c r="R474" s="1">
        <v>0.0</v>
      </c>
      <c r="S474" s="1" t="s">
        <v>538</v>
      </c>
      <c r="T474" s="1" t="s">
        <v>539</v>
      </c>
      <c r="V474" s="4">
        <v>7385441.0</v>
      </c>
      <c r="W474" s="4"/>
      <c r="X474" s="4">
        <v>0.0</v>
      </c>
      <c r="Y474" s="1">
        <v>0.0</v>
      </c>
      <c r="Z474" s="1">
        <v>0.0</v>
      </c>
      <c r="AA474" s="1">
        <v>0.0</v>
      </c>
      <c r="AB474" s="1">
        <v>0.0</v>
      </c>
      <c r="AC474" s="1">
        <v>0.0</v>
      </c>
      <c r="AD474" s="1">
        <v>0.0</v>
      </c>
      <c r="AE474" s="1">
        <v>0.0</v>
      </c>
      <c r="AF474" s="1">
        <v>0.0</v>
      </c>
      <c r="AG474" s="1">
        <v>0.0</v>
      </c>
      <c r="AH474" s="1">
        <v>0.0</v>
      </c>
      <c r="AI474" s="1">
        <v>0.0</v>
      </c>
      <c r="AJ474" s="1">
        <v>0.0</v>
      </c>
      <c r="AK474" s="1">
        <v>0.0</v>
      </c>
      <c r="AL474" s="1">
        <v>0.0</v>
      </c>
      <c r="AM474" s="4">
        <v>0.0</v>
      </c>
      <c r="AN474" s="1">
        <v>0.0</v>
      </c>
      <c r="AO474" s="4">
        <v>0.0</v>
      </c>
      <c r="AP474" s="1">
        <f t="shared" si="1"/>
        <v>1</v>
      </c>
      <c r="AQ474" s="1" t="s">
        <v>557</v>
      </c>
      <c r="AU474" s="2"/>
      <c r="AV474" s="2"/>
      <c r="AW474" s="1">
        <v>0.0</v>
      </c>
      <c r="AX474" s="1">
        <v>0.0</v>
      </c>
      <c r="AY474" s="1">
        <v>0.0</v>
      </c>
      <c r="AZ474" s="1">
        <v>1.0</v>
      </c>
      <c r="BA474" s="1">
        <v>0.0</v>
      </c>
      <c r="BB474" s="1">
        <v>0.0</v>
      </c>
      <c r="BC474" s="2">
        <v>46009.0</v>
      </c>
      <c r="BD474" s="1">
        <v>50.0</v>
      </c>
      <c r="BE474" s="1" t="s">
        <v>550</v>
      </c>
      <c r="BF474" s="1">
        <v>2025.0</v>
      </c>
      <c r="BG474" s="1" t="s">
        <v>558</v>
      </c>
      <c r="BH474" s="7" t="str">
        <f>VLOOKUP(B474,CookieClicks!D:O,12,FALSE)</f>
        <v>http://signup.method.me/methodcrm</v>
      </c>
      <c r="BI474" s="8" t="str">
        <f>IFERROR(__xludf.DUMMYFUNCTION("VLOOKUP(REGEXREPLACE(BH474,""[?].*"",""""),ContentBuckets!A:C,2,FALSE)"),"#N/A")</f>
        <v>#N/A</v>
      </c>
      <c r="BJ474" s="8" t="str">
        <f>IFERROR(__xludf.DUMMYFUNCTION("VLOOKUP(REGEXREPLACE(BH474,""[?].*"",""""),ContentBuckets!A:C,3,FALSE)"),"#N/A")</f>
        <v>#N/A</v>
      </c>
    </row>
    <row r="475" ht="14.25" customHeight="1">
      <c r="A475" s="1">
        <v>153707.0</v>
      </c>
      <c r="B475" s="1" t="s">
        <v>1217</v>
      </c>
      <c r="C475" s="2">
        <v>46009.5361111111</v>
      </c>
      <c r="D475" s="2"/>
      <c r="E475" s="2"/>
      <c r="F475" s="1" t="b">
        <v>1</v>
      </c>
      <c r="G475" s="4" t="b">
        <v>0</v>
      </c>
      <c r="H475" s="1" t="b">
        <v>0</v>
      </c>
      <c r="I475" s="1" t="b">
        <v>0</v>
      </c>
      <c r="J475" s="1" t="s">
        <v>534</v>
      </c>
      <c r="K475" s="1" t="s">
        <v>535</v>
      </c>
      <c r="L475" s="1" t="s">
        <v>536</v>
      </c>
      <c r="M475" s="1" t="s">
        <v>537</v>
      </c>
      <c r="N475" s="1">
        <v>0.0</v>
      </c>
      <c r="O475" s="1">
        <v>63.75</v>
      </c>
      <c r="P475" s="1">
        <v>0.0</v>
      </c>
      <c r="Q475" s="1">
        <v>0.0</v>
      </c>
      <c r="R475" s="1">
        <v>28.0</v>
      </c>
      <c r="S475" s="1" t="s">
        <v>538</v>
      </c>
      <c r="T475" s="1" t="s">
        <v>539</v>
      </c>
      <c r="V475" s="4">
        <v>7385590.0</v>
      </c>
      <c r="W475" s="4"/>
      <c r="X475" s="4">
        <v>0.0</v>
      </c>
      <c r="Y475" s="1">
        <v>0.0</v>
      </c>
      <c r="Z475" s="1">
        <v>0.0</v>
      </c>
      <c r="AA475" s="1">
        <v>1.0</v>
      </c>
      <c r="AB475" s="1">
        <v>0.0</v>
      </c>
      <c r="AC475" s="1">
        <v>0.0</v>
      </c>
      <c r="AD475" s="1">
        <v>0.0</v>
      </c>
      <c r="AE475" s="1">
        <v>0.0</v>
      </c>
      <c r="AF475" s="1">
        <v>0.0</v>
      </c>
      <c r="AG475" s="1">
        <v>0.0</v>
      </c>
      <c r="AH475" s="1">
        <v>0.0</v>
      </c>
      <c r="AI475" s="1">
        <v>0.0</v>
      </c>
      <c r="AJ475" s="1">
        <v>0.0</v>
      </c>
      <c r="AK475" s="1">
        <v>0.0</v>
      </c>
      <c r="AL475" s="1">
        <v>0.0</v>
      </c>
      <c r="AM475" s="4">
        <v>0.0</v>
      </c>
      <c r="AN475" s="1">
        <v>0.0</v>
      </c>
      <c r="AO475" s="4">
        <v>0.0</v>
      </c>
      <c r="AP475" s="1">
        <f t="shared" si="1"/>
        <v>0</v>
      </c>
      <c r="AR475" s="1" t="s">
        <v>608</v>
      </c>
      <c r="AU475" s="2"/>
      <c r="AV475" s="2">
        <v>46024.0236111111</v>
      </c>
      <c r="AW475" s="1">
        <v>0.0</v>
      </c>
      <c r="AX475" s="1">
        <v>0.0</v>
      </c>
      <c r="AY475" s="1">
        <v>0.0</v>
      </c>
      <c r="AZ475" s="1">
        <v>1.0</v>
      </c>
      <c r="BA475" s="1">
        <v>0.0</v>
      </c>
      <c r="BB475" s="1">
        <v>0.0</v>
      </c>
      <c r="BC475" s="2">
        <v>46009.0</v>
      </c>
      <c r="BD475" s="1">
        <v>50.0</v>
      </c>
      <c r="BE475" s="1" t="s">
        <v>550</v>
      </c>
      <c r="BF475" s="1">
        <v>2025.0</v>
      </c>
      <c r="BG475" s="1" t="s">
        <v>558</v>
      </c>
      <c r="BH475" s="1" t="str">
        <f>VLOOKUP(B475,CookieClicks!D:O,12,FALSE)</f>
        <v>https://grow.method.me/crm-quickbooks/?trc=81&amp;trk=crm with quickbooks&amp;trs=USA-QB-G&amp;campaignid=1543381580&amp;adgroupid=61437797000&amp;adid=704678754673&amp;gad_source=1&amp;gad_campaignid=1543381580&amp;gbraid=0AAAAAD3ItnZVPzeI1hZXOrdGTrUOMmeG9&amp;gclid=Cj0KCQiA6Y7KBhCkARIsAOxhqtOm2eILuO2E7PJO9nixR2VrAUzUvJorSeirFaCoZvM1a7PNB8K0kdMaAv6XEALw_wcB</v>
      </c>
      <c r="BI475" s="8" t="str">
        <f>IFERROR(__xludf.DUMMYFUNCTION("VLOOKUP(REGEXREPLACE(BH475,""[?].*"",""""),ContentBuckets!A:C,2,FALSE)"),"#N/A")</f>
        <v>#N/A</v>
      </c>
      <c r="BJ475" s="8" t="str">
        <f>IFERROR(__xludf.DUMMYFUNCTION("VLOOKUP(REGEXREPLACE(BH475,""[?].*"",""""),ContentBuckets!A:C,3,FALSE)"),"#N/A")</f>
        <v>#N/A</v>
      </c>
    </row>
    <row r="476" ht="14.25" customHeight="1">
      <c r="A476" s="1">
        <v>153708.0</v>
      </c>
      <c r="B476" s="1" t="s">
        <v>1218</v>
      </c>
      <c r="C476" s="2">
        <v>46009.5416666667</v>
      </c>
      <c r="D476" s="2"/>
      <c r="E476" s="2">
        <v>46014.7159722222</v>
      </c>
      <c r="F476" s="1" t="b">
        <v>1</v>
      </c>
      <c r="G476" s="4" t="b">
        <v>0</v>
      </c>
      <c r="H476" s="1" t="b">
        <v>0</v>
      </c>
      <c r="I476" s="1" t="b">
        <v>0</v>
      </c>
      <c r="J476" s="1" t="s">
        <v>601</v>
      </c>
      <c r="K476" s="1" t="s">
        <v>566</v>
      </c>
      <c r="L476" s="1" t="s">
        <v>567</v>
      </c>
      <c r="M476" s="1" t="s">
        <v>537</v>
      </c>
      <c r="N476" s="1">
        <v>63.0</v>
      </c>
      <c r="O476" s="1">
        <v>70.0</v>
      </c>
      <c r="P476" s="1">
        <v>0.0</v>
      </c>
      <c r="Q476" s="1">
        <v>0.0</v>
      </c>
      <c r="R476" s="1">
        <v>28.0</v>
      </c>
      <c r="T476" s="1" t="s">
        <v>539</v>
      </c>
      <c r="V476" s="4">
        <v>7012143.0</v>
      </c>
      <c r="W476" s="4" t="s">
        <v>653</v>
      </c>
      <c r="X476" s="4">
        <v>0.0</v>
      </c>
      <c r="Y476" s="1">
        <v>1.0</v>
      </c>
      <c r="Z476" s="1">
        <v>0.0</v>
      </c>
      <c r="AA476" s="1">
        <v>0.0</v>
      </c>
      <c r="AB476" s="1">
        <v>0.0</v>
      </c>
      <c r="AC476" s="1">
        <v>0.0</v>
      </c>
      <c r="AD476" s="1">
        <v>0.0</v>
      </c>
      <c r="AE476" s="1">
        <v>0.0</v>
      </c>
      <c r="AF476" s="1">
        <v>0.0</v>
      </c>
      <c r="AG476" s="1">
        <v>0.0</v>
      </c>
      <c r="AH476" s="1">
        <v>0.0</v>
      </c>
      <c r="AI476" s="1">
        <v>0.0</v>
      </c>
      <c r="AJ476" s="1">
        <v>0.0</v>
      </c>
      <c r="AK476" s="1">
        <v>0.0</v>
      </c>
      <c r="AL476" s="1">
        <v>0.0</v>
      </c>
      <c r="AM476" s="4">
        <v>0.0</v>
      </c>
      <c r="AN476" s="1">
        <v>0.0</v>
      </c>
      <c r="AO476" s="4">
        <v>0.0</v>
      </c>
      <c r="AP476" s="1">
        <f t="shared" si="1"/>
        <v>0</v>
      </c>
      <c r="AQ476" s="1" t="s">
        <v>557</v>
      </c>
      <c r="AR476" s="1" t="s">
        <v>571</v>
      </c>
      <c r="AT476" s="1" t="s">
        <v>597</v>
      </c>
      <c r="AU476" s="2">
        <v>46009.0</v>
      </c>
      <c r="AV476" s="2">
        <v>46024.0180555556</v>
      </c>
      <c r="AW476" s="1">
        <v>15.0</v>
      </c>
      <c r="AX476" s="1">
        <v>2725140.24</v>
      </c>
      <c r="AY476" s="1">
        <v>578.0</v>
      </c>
      <c r="AZ476" s="1">
        <v>2.0</v>
      </c>
      <c r="BA476" s="1">
        <v>0.0</v>
      </c>
      <c r="BB476" s="1">
        <v>7.0</v>
      </c>
      <c r="BC476" s="2">
        <v>46009.0</v>
      </c>
      <c r="BD476" s="1">
        <v>50.0</v>
      </c>
      <c r="BE476" s="1" t="s">
        <v>550</v>
      </c>
      <c r="BF476" s="1">
        <v>2025.0</v>
      </c>
      <c r="BG476" s="1" t="s">
        <v>558</v>
      </c>
      <c r="BH476" s="7" t="str">
        <f>VLOOKUP(B476,CookieClicks!D:O,12,FALSE)</f>
        <v>https://www.method.me/</v>
      </c>
      <c r="BI476" s="8" t="str">
        <f>IFERROR(__xludf.DUMMYFUNCTION("VLOOKUP(REGEXREPLACE(BH476,""[?].*"",""""),ContentBuckets!A:C,2,FALSE)"),"Homepage")</f>
        <v>Homepage</v>
      </c>
      <c r="BJ476" s="8" t="str">
        <f>IFERROR(__xludf.DUMMYFUNCTION("VLOOKUP(REGEXREPLACE(BH476,""[?].*"",""""),ContentBuckets!A:C,3,FALSE)"),"Other page")</f>
        <v>Other page</v>
      </c>
    </row>
    <row r="477" ht="14.25" customHeight="1">
      <c r="A477" s="1">
        <v>153709.0</v>
      </c>
      <c r="B477" s="1" t="s">
        <v>1219</v>
      </c>
      <c r="C477" s="2">
        <v>46009.5875</v>
      </c>
      <c r="D477" s="2"/>
      <c r="E477" s="2"/>
      <c r="F477" s="1" t="b">
        <v>1</v>
      </c>
      <c r="G477" s="4" t="b">
        <v>0</v>
      </c>
      <c r="H477" s="1" t="b">
        <v>0</v>
      </c>
      <c r="I477" s="1" t="b">
        <v>0</v>
      </c>
      <c r="J477" s="1" t="s">
        <v>534</v>
      </c>
      <c r="K477" s="1" t="s">
        <v>566</v>
      </c>
      <c r="L477" s="1" t="s">
        <v>567</v>
      </c>
      <c r="M477" s="1" t="s">
        <v>537</v>
      </c>
      <c r="N477" s="1">
        <v>0.0</v>
      </c>
      <c r="O477" s="1">
        <v>272.25</v>
      </c>
      <c r="P477" s="1">
        <v>0.0</v>
      </c>
      <c r="Q477" s="1">
        <v>0.0</v>
      </c>
      <c r="R477" s="1">
        <v>28.0</v>
      </c>
      <c r="S477" s="1" t="s">
        <v>538</v>
      </c>
      <c r="T477" s="1" t="s">
        <v>539</v>
      </c>
      <c r="V477" s="4">
        <v>7292847.0</v>
      </c>
      <c r="W477" s="4" t="s">
        <v>540</v>
      </c>
      <c r="X477" s="4">
        <v>0.0</v>
      </c>
      <c r="Y477" s="1">
        <v>1.0</v>
      </c>
      <c r="Z477" s="1">
        <v>0.0</v>
      </c>
      <c r="AA477" s="1">
        <v>0.0</v>
      </c>
      <c r="AB477" s="1">
        <v>0.0</v>
      </c>
      <c r="AC477" s="1">
        <v>0.0</v>
      </c>
      <c r="AD477" s="1">
        <v>0.0</v>
      </c>
      <c r="AE477" s="1">
        <v>0.0</v>
      </c>
      <c r="AF477" s="1">
        <v>0.0</v>
      </c>
      <c r="AG477" s="1">
        <v>0.0</v>
      </c>
      <c r="AH477" s="1">
        <v>0.0</v>
      </c>
      <c r="AI477" s="1">
        <v>0.0</v>
      </c>
      <c r="AJ477" s="1">
        <v>0.0</v>
      </c>
      <c r="AK477" s="1">
        <v>0.0</v>
      </c>
      <c r="AL477" s="1">
        <v>0.0</v>
      </c>
      <c r="AM477" s="4">
        <v>0.0</v>
      </c>
      <c r="AN477" s="1">
        <v>0.0</v>
      </c>
      <c r="AO477" s="4">
        <v>0.0</v>
      </c>
      <c r="AP477" s="1">
        <f t="shared" si="1"/>
        <v>0</v>
      </c>
      <c r="AQ477" s="1" t="s">
        <v>557</v>
      </c>
      <c r="AR477" s="1" t="s">
        <v>549</v>
      </c>
      <c r="AT477" s="1" t="s">
        <v>1220</v>
      </c>
      <c r="AU477" s="2">
        <v>46009.0</v>
      </c>
      <c r="AV477" s="2">
        <v>46024.0201388889</v>
      </c>
      <c r="AW477" s="1">
        <v>16.0</v>
      </c>
      <c r="AX477" s="1">
        <v>4417469.04</v>
      </c>
      <c r="AY477" s="1">
        <v>6001.0</v>
      </c>
      <c r="AZ477" s="1">
        <v>5.0</v>
      </c>
      <c r="BA477" s="1">
        <v>0.0</v>
      </c>
      <c r="BB477" s="1">
        <v>0.0</v>
      </c>
      <c r="BC477" s="2">
        <v>46009.0</v>
      </c>
      <c r="BD477" s="1">
        <v>50.0</v>
      </c>
      <c r="BE477" s="1" t="s">
        <v>550</v>
      </c>
      <c r="BF477" s="1">
        <v>2025.0</v>
      </c>
      <c r="BG477" s="1" t="s">
        <v>558</v>
      </c>
      <c r="BH477" s="7" t="str">
        <f>VLOOKUP(B477,CookieClicks!D:O,12,FALSE)</f>
        <v>https://www.method.me/</v>
      </c>
      <c r="BI477" s="8" t="str">
        <f>IFERROR(__xludf.DUMMYFUNCTION("VLOOKUP(REGEXREPLACE(BH477,""[?].*"",""""),ContentBuckets!A:C,2,FALSE)"),"Homepage")</f>
        <v>Homepage</v>
      </c>
      <c r="BJ477" s="8" t="str">
        <f>IFERROR(__xludf.DUMMYFUNCTION("VLOOKUP(REGEXREPLACE(BH477,""[?].*"",""""),ContentBuckets!A:C,3,FALSE)"),"Other page")</f>
        <v>Other page</v>
      </c>
    </row>
    <row r="478" ht="14.25" customHeight="1">
      <c r="A478" s="1">
        <v>153710.0</v>
      </c>
      <c r="B478" s="1" t="s">
        <v>1221</v>
      </c>
      <c r="C478" s="2">
        <v>46009.6055555556</v>
      </c>
      <c r="D478" s="2">
        <v>46010.7097222222</v>
      </c>
      <c r="E478" s="2"/>
      <c r="F478" s="1" t="b">
        <v>0</v>
      </c>
      <c r="G478" s="4" t="b">
        <v>1</v>
      </c>
      <c r="H478" s="1" t="b">
        <v>0</v>
      </c>
      <c r="I478" s="1" t="b">
        <v>0</v>
      </c>
      <c r="J478" s="1" t="s">
        <v>534</v>
      </c>
      <c r="K478" s="1" t="s">
        <v>566</v>
      </c>
      <c r="L478" s="1" t="s">
        <v>567</v>
      </c>
      <c r="M478" s="1" t="s">
        <v>537</v>
      </c>
      <c r="N478" s="1">
        <v>0.0</v>
      </c>
      <c r="O478" s="1">
        <v>63.75</v>
      </c>
      <c r="P478" s="1">
        <v>0.0</v>
      </c>
      <c r="Q478" s="1">
        <v>0.0</v>
      </c>
      <c r="R478" s="1">
        <v>28.0</v>
      </c>
      <c r="S478" s="1" t="s">
        <v>538</v>
      </c>
      <c r="T478" s="1" t="s">
        <v>539</v>
      </c>
      <c r="V478" s="4">
        <v>7386866.0</v>
      </c>
      <c r="W478" s="4" t="s">
        <v>540</v>
      </c>
      <c r="X478" s="4">
        <v>0.0</v>
      </c>
      <c r="Y478" s="1">
        <v>1.0</v>
      </c>
      <c r="Z478" s="1">
        <v>0.0</v>
      </c>
      <c r="AA478" s="1">
        <v>0.0</v>
      </c>
      <c r="AB478" s="1">
        <v>0.0</v>
      </c>
      <c r="AC478" s="1">
        <v>0.0</v>
      </c>
      <c r="AD478" s="1">
        <v>0.0</v>
      </c>
      <c r="AE478" s="1">
        <v>0.0</v>
      </c>
      <c r="AF478" s="1">
        <v>0.0</v>
      </c>
      <c r="AG478" s="1">
        <v>0.0</v>
      </c>
      <c r="AH478" s="1">
        <v>0.0</v>
      </c>
      <c r="AI478" s="1">
        <v>0.0</v>
      </c>
      <c r="AJ478" s="1">
        <v>0.0</v>
      </c>
      <c r="AK478" s="1">
        <v>0.0</v>
      </c>
      <c r="AL478" s="1">
        <v>0.0</v>
      </c>
      <c r="AM478" s="4">
        <v>0.0</v>
      </c>
      <c r="AN478" s="1">
        <v>0.0</v>
      </c>
      <c r="AO478" s="4">
        <v>0.0</v>
      </c>
      <c r="AP478" s="1">
        <f t="shared" si="1"/>
        <v>0</v>
      </c>
      <c r="AR478" s="1" t="s">
        <v>571</v>
      </c>
      <c r="AU478" s="2"/>
      <c r="AV478" s="2">
        <v>46009.9923611111</v>
      </c>
      <c r="AW478" s="1">
        <v>0.0</v>
      </c>
      <c r="AX478" s="1">
        <v>0.0</v>
      </c>
      <c r="AY478" s="1">
        <v>0.0</v>
      </c>
      <c r="AZ478" s="1">
        <v>1.0</v>
      </c>
      <c r="BA478" s="1">
        <v>0.0</v>
      </c>
      <c r="BB478" s="1">
        <v>0.0</v>
      </c>
      <c r="BC478" s="2">
        <v>46009.0</v>
      </c>
      <c r="BD478" s="1">
        <v>50.0</v>
      </c>
      <c r="BE478" s="1" t="s">
        <v>550</v>
      </c>
      <c r="BF478" s="1">
        <v>2025.0</v>
      </c>
      <c r="BG478" s="1" t="s">
        <v>558</v>
      </c>
      <c r="BH478" s="7" t="str">
        <f>VLOOKUP(B478,CookieClicks!D:O,12,FALSE)</f>
        <v>https://www.method.me/</v>
      </c>
      <c r="BI478" s="8" t="str">
        <f>IFERROR(__xludf.DUMMYFUNCTION("VLOOKUP(REGEXREPLACE(BH478,""[?].*"",""""),ContentBuckets!A:C,2,FALSE)"),"Homepage")</f>
        <v>Homepage</v>
      </c>
      <c r="BJ478" s="8" t="str">
        <f>IFERROR(__xludf.DUMMYFUNCTION("VLOOKUP(REGEXREPLACE(BH478,""[?].*"",""""),ContentBuckets!A:C,3,FALSE)"),"Other page")</f>
        <v>Other page</v>
      </c>
    </row>
    <row r="479" ht="14.25" customHeight="1">
      <c r="A479" s="1">
        <v>153711.0</v>
      </c>
      <c r="B479" s="1" t="s">
        <v>1222</v>
      </c>
      <c r="C479" s="2">
        <v>46009.6159722222</v>
      </c>
      <c r="D479" s="2"/>
      <c r="E479" s="2"/>
      <c r="F479" s="1" t="b">
        <v>1</v>
      </c>
      <c r="G479" s="4" t="b">
        <v>0</v>
      </c>
      <c r="H479" s="1" t="b">
        <v>0</v>
      </c>
      <c r="I479" s="1" t="b">
        <v>0</v>
      </c>
      <c r="J479" s="1" t="s">
        <v>534</v>
      </c>
      <c r="K479" s="1" t="s">
        <v>566</v>
      </c>
      <c r="L479" s="1" t="s">
        <v>567</v>
      </c>
      <c r="M479" s="1" t="s">
        <v>537</v>
      </c>
      <c r="N479" s="1">
        <v>0.0</v>
      </c>
      <c r="O479" s="1">
        <v>44.25</v>
      </c>
      <c r="P479" s="1">
        <v>0.0</v>
      </c>
      <c r="Q479" s="1">
        <v>0.0</v>
      </c>
      <c r="R479" s="1">
        <v>28.0</v>
      </c>
      <c r="S479" s="1" t="s">
        <v>538</v>
      </c>
      <c r="T479" s="1" t="s">
        <v>539</v>
      </c>
      <c r="V479" s="4">
        <v>7373144.0</v>
      </c>
      <c r="W479" s="4"/>
      <c r="X479" s="4">
        <v>1.0</v>
      </c>
      <c r="Y479" s="1">
        <v>0.0</v>
      </c>
      <c r="Z479" s="1">
        <v>0.0</v>
      </c>
      <c r="AA479" s="1">
        <v>0.0</v>
      </c>
      <c r="AB479" s="1">
        <v>0.0</v>
      </c>
      <c r="AC479" s="1">
        <v>0.0</v>
      </c>
      <c r="AD479" s="1">
        <v>0.0</v>
      </c>
      <c r="AE479" s="1">
        <v>0.0</v>
      </c>
      <c r="AF479" s="1">
        <v>0.0</v>
      </c>
      <c r="AG479" s="1">
        <v>0.0</v>
      </c>
      <c r="AH479" s="1">
        <v>0.0</v>
      </c>
      <c r="AI479" s="1">
        <v>0.0</v>
      </c>
      <c r="AJ479" s="1">
        <v>0.0</v>
      </c>
      <c r="AK479" s="1">
        <v>0.0</v>
      </c>
      <c r="AL479" s="1">
        <v>0.0</v>
      </c>
      <c r="AM479" s="4">
        <v>0.0</v>
      </c>
      <c r="AN479" s="1">
        <v>0.0</v>
      </c>
      <c r="AO479" s="4">
        <v>0.0</v>
      </c>
      <c r="AP479" s="1">
        <f t="shared" si="1"/>
        <v>0</v>
      </c>
      <c r="AR479" s="1" t="s">
        <v>568</v>
      </c>
      <c r="AU479" s="2"/>
      <c r="AV479" s="2">
        <v>46024.0375</v>
      </c>
      <c r="AW479" s="1">
        <v>0.0</v>
      </c>
      <c r="AX479" s="1">
        <v>0.0</v>
      </c>
      <c r="AY479" s="1">
        <v>0.0</v>
      </c>
      <c r="AZ479" s="1">
        <v>1.0</v>
      </c>
      <c r="BA479" s="1">
        <v>0.0</v>
      </c>
      <c r="BB479" s="1">
        <v>0.0</v>
      </c>
      <c r="BC479" s="2">
        <v>46009.0</v>
      </c>
      <c r="BD479" s="1">
        <v>50.0</v>
      </c>
      <c r="BE479" s="1" t="s">
        <v>550</v>
      </c>
      <c r="BF479" s="1">
        <v>2025.0</v>
      </c>
      <c r="BG479" s="1" t="s">
        <v>558</v>
      </c>
      <c r="BH479" s="7" t="str">
        <f>VLOOKUP(B479,CookieClicks!D:O,12,FALSE)</f>
        <v>https://www.method.me/quickbooks-crm/</v>
      </c>
      <c r="BI479" s="8" t="str">
        <f>IFERROR(__xludf.DUMMYFUNCTION("VLOOKUP(REGEXREPLACE(BH479,""[?].*"",""""),ContentBuckets!A:C,2,FALSE)"),"/crm-quickbooks/")</f>
        <v>/crm-quickbooks/</v>
      </c>
      <c r="BJ479" s="8" t="str">
        <f>IFERROR(__xludf.DUMMYFUNCTION("VLOOKUP(REGEXREPLACE(BH479,""[?].*"",""""),ContentBuckets!A:C,3,FALSE)"),"Other page")</f>
        <v>Other page</v>
      </c>
    </row>
    <row r="480" ht="14.25" customHeight="1">
      <c r="A480" s="1">
        <v>153712.0</v>
      </c>
      <c r="B480" s="1" t="s">
        <v>1223</v>
      </c>
      <c r="C480" s="2">
        <v>46009.6305555556</v>
      </c>
      <c r="D480" s="2"/>
      <c r="E480" s="2"/>
      <c r="F480" s="1" t="b">
        <v>1</v>
      </c>
      <c r="G480" s="4" t="b">
        <v>0</v>
      </c>
      <c r="H480" s="1" t="b">
        <v>0</v>
      </c>
      <c r="I480" s="1" t="b">
        <v>0</v>
      </c>
      <c r="J480" s="1" t="s">
        <v>534</v>
      </c>
      <c r="K480" s="1" t="s">
        <v>535</v>
      </c>
      <c r="L480" s="1" t="s">
        <v>536</v>
      </c>
      <c r="M480" s="1" t="s">
        <v>537</v>
      </c>
      <c r="N480" s="1">
        <v>0.0</v>
      </c>
      <c r="O480" s="1">
        <v>53.25</v>
      </c>
      <c r="P480" s="1">
        <v>0.0</v>
      </c>
      <c r="Q480" s="1">
        <v>0.0</v>
      </c>
      <c r="R480" s="1">
        <v>28.0</v>
      </c>
      <c r="S480" s="1" t="s">
        <v>538</v>
      </c>
      <c r="T480" s="1" t="s">
        <v>539</v>
      </c>
      <c r="V480" s="4">
        <v>7387290.0</v>
      </c>
      <c r="W480" s="4" t="s">
        <v>540</v>
      </c>
      <c r="X480" s="4">
        <v>0.0</v>
      </c>
      <c r="Y480" s="1">
        <v>1.0</v>
      </c>
      <c r="Z480" s="1">
        <v>0.0</v>
      </c>
      <c r="AA480" s="1">
        <v>0.0</v>
      </c>
      <c r="AB480" s="1">
        <v>0.0</v>
      </c>
      <c r="AC480" s="1">
        <v>0.0</v>
      </c>
      <c r="AD480" s="1">
        <v>0.0</v>
      </c>
      <c r="AE480" s="1">
        <v>0.0</v>
      </c>
      <c r="AF480" s="1">
        <v>0.0</v>
      </c>
      <c r="AG480" s="1">
        <v>0.0</v>
      </c>
      <c r="AH480" s="1">
        <v>0.0</v>
      </c>
      <c r="AI480" s="1">
        <v>0.0</v>
      </c>
      <c r="AJ480" s="1">
        <v>0.0</v>
      </c>
      <c r="AK480" s="1">
        <v>0.0</v>
      </c>
      <c r="AL480" s="1">
        <v>0.0</v>
      </c>
      <c r="AM480" s="4">
        <v>0.0</v>
      </c>
      <c r="AN480" s="1">
        <v>0.0</v>
      </c>
      <c r="AO480" s="4">
        <v>0.0</v>
      </c>
      <c r="AP480" s="1">
        <f t="shared" si="1"/>
        <v>0</v>
      </c>
      <c r="AQ480" s="1" t="s">
        <v>541</v>
      </c>
      <c r="AR480" s="1" t="s">
        <v>608</v>
      </c>
      <c r="AU480" s="2">
        <v>46009.0</v>
      </c>
      <c r="AV480" s="2">
        <v>46023.99375</v>
      </c>
      <c r="AW480" s="1">
        <v>1.0</v>
      </c>
      <c r="AX480" s="1">
        <v>19392.0</v>
      </c>
      <c r="AY480" s="1">
        <v>154.0</v>
      </c>
      <c r="AZ480" s="1">
        <v>1.0</v>
      </c>
      <c r="BA480" s="1">
        <v>0.0</v>
      </c>
      <c r="BB480" s="1">
        <v>0.0</v>
      </c>
      <c r="BC480" s="2">
        <v>46009.0</v>
      </c>
      <c r="BD480" s="1">
        <v>50.0</v>
      </c>
      <c r="BE480" s="1" t="s">
        <v>550</v>
      </c>
      <c r="BF480" s="1">
        <v>2025.0</v>
      </c>
      <c r="BG480" s="1" t="s">
        <v>546</v>
      </c>
      <c r="BH480" s="7" t="str">
        <f>VLOOKUP(B480,CookieClicks!D:O,12,FALSE)</f>
        <v>https://www.method.me/blog/small-business-crm-canada/</v>
      </c>
      <c r="BI480" s="8" t="str">
        <f>IFERROR(__xludf.DUMMYFUNCTION("VLOOKUP(REGEXREPLACE(BH480,""[?].*"",""""),ContentBuckets!A:C,2,FALSE)"),"Listicle - CRM")</f>
        <v>Listicle - CRM</v>
      </c>
      <c r="BJ480" s="8" t="str">
        <f>IFERROR(__xludf.DUMMYFUNCTION("VLOOKUP(REGEXREPLACE(BH480,""[?].*"",""""),ContentBuckets!A:C,3,FALSE)"),"Blog")</f>
        <v>Blog</v>
      </c>
    </row>
    <row r="481" ht="14.25" customHeight="1">
      <c r="A481" s="1">
        <v>153713.0</v>
      </c>
      <c r="B481" s="1" t="s">
        <v>1224</v>
      </c>
      <c r="C481" s="2">
        <v>46009.6319444444</v>
      </c>
      <c r="D481" s="2"/>
      <c r="E481" s="2">
        <v>46009.6520833333</v>
      </c>
      <c r="F481" s="1" t="b">
        <v>1</v>
      </c>
      <c r="G481" s="4" t="b">
        <v>0</v>
      </c>
      <c r="H481" s="1" t="b">
        <v>0</v>
      </c>
      <c r="I481" s="1" t="b">
        <v>0</v>
      </c>
      <c r="J481" s="1" t="s">
        <v>534</v>
      </c>
      <c r="K481" s="1" t="s">
        <v>535</v>
      </c>
      <c r="L481" s="1" t="s">
        <v>536</v>
      </c>
      <c r="M481" s="1" t="s">
        <v>537</v>
      </c>
      <c r="N481" s="1">
        <v>1088.0</v>
      </c>
      <c r="O481" s="1">
        <v>644.0</v>
      </c>
      <c r="P481" s="1">
        <v>0.0</v>
      </c>
      <c r="Q481" s="1">
        <v>0.0</v>
      </c>
      <c r="R481" s="1">
        <v>28.0</v>
      </c>
      <c r="S481" s="1" t="s">
        <v>538</v>
      </c>
      <c r="T481" s="1" t="s">
        <v>539</v>
      </c>
      <c r="V481" s="4">
        <v>7387323.0</v>
      </c>
      <c r="W481" s="4"/>
      <c r="X481" s="4">
        <v>0.0</v>
      </c>
      <c r="Y481" s="1">
        <v>0.0</v>
      </c>
      <c r="Z481" s="1">
        <v>1.0</v>
      </c>
      <c r="AA481" s="1">
        <v>0.0</v>
      </c>
      <c r="AB481" s="1">
        <v>0.0</v>
      </c>
      <c r="AC481" s="1">
        <v>0.0</v>
      </c>
      <c r="AD481" s="1">
        <v>0.0</v>
      </c>
      <c r="AE481" s="1">
        <v>0.0</v>
      </c>
      <c r="AF481" s="1">
        <v>0.0</v>
      </c>
      <c r="AG481" s="1">
        <v>0.0</v>
      </c>
      <c r="AH481" s="1">
        <v>0.0</v>
      </c>
      <c r="AI481" s="1">
        <v>0.0</v>
      </c>
      <c r="AJ481" s="1">
        <v>0.0</v>
      </c>
      <c r="AK481" s="1">
        <v>0.0</v>
      </c>
      <c r="AL481" s="1">
        <v>0.0</v>
      </c>
      <c r="AM481" s="4">
        <v>0.0</v>
      </c>
      <c r="AN481" s="1">
        <v>0.0</v>
      </c>
      <c r="AO481" s="4">
        <v>0.0</v>
      </c>
      <c r="AP481" s="1">
        <f t="shared" si="1"/>
        <v>0</v>
      </c>
      <c r="AQ481" s="1" t="s">
        <v>557</v>
      </c>
      <c r="AR481" s="1" t="s">
        <v>560</v>
      </c>
      <c r="AU481" s="2">
        <v>46009.0</v>
      </c>
      <c r="AV481" s="2">
        <v>46023.9833333333</v>
      </c>
      <c r="AW481" s="1">
        <v>142.0</v>
      </c>
      <c r="AX481" s="1">
        <v>7273612.56</v>
      </c>
      <c r="AY481" s="1">
        <v>2040.0</v>
      </c>
      <c r="AZ481" s="1">
        <v>28.0</v>
      </c>
      <c r="BA481" s="1">
        <v>0.0</v>
      </c>
      <c r="BB481" s="1">
        <v>0.0</v>
      </c>
      <c r="BC481" s="2">
        <v>46009.0</v>
      </c>
      <c r="BD481" s="1">
        <v>50.0</v>
      </c>
      <c r="BE481" s="1" t="s">
        <v>550</v>
      </c>
      <c r="BF481" s="1">
        <v>2025.0</v>
      </c>
      <c r="BG481" s="1" t="s">
        <v>558</v>
      </c>
      <c r="BH481" s="7" t="str">
        <f>VLOOKUP(B481,CookieClicks!D:O,12,FALSE)</f>
        <v>https://signup.method.me/QBOAppstoreSignup?offering=methodcrm</v>
      </c>
      <c r="BI481" s="8" t="str">
        <f>IFERROR(__xludf.DUMMYFUNCTION("VLOOKUP(REGEXREPLACE(BH481,""[?].*"",""""),ContentBuckets!A:C,2,FALSE)"),"#N/A")</f>
        <v>#N/A</v>
      </c>
      <c r="BJ481" s="8" t="str">
        <f>IFERROR(__xludf.DUMMYFUNCTION("VLOOKUP(REGEXREPLACE(BH481,""[?].*"",""""),ContentBuckets!A:C,3,FALSE)"),"#N/A")</f>
        <v>#N/A</v>
      </c>
    </row>
    <row r="482" ht="14.25" customHeight="1">
      <c r="A482" s="1">
        <v>153714.0</v>
      </c>
      <c r="B482" s="1" t="s">
        <v>1225</v>
      </c>
      <c r="C482" s="2">
        <v>46009.7388888889</v>
      </c>
      <c r="D482" s="2"/>
      <c r="E482" s="2">
        <v>46016.5631944444</v>
      </c>
      <c r="F482" s="1" t="b">
        <v>1</v>
      </c>
      <c r="G482" s="4" t="b">
        <v>0</v>
      </c>
      <c r="H482" s="1" t="b">
        <v>0</v>
      </c>
      <c r="I482" s="1" t="b">
        <v>0</v>
      </c>
      <c r="J482" s="1" t="s">
        <v>601</v>
      </c>
      <c r="K482" s="1" t="s">
        <v>535</v>
      </c>
      <c r="L482" s="1" t="s">
        <v>536</v>
      </c>
      <c r="M482" s="1" t="s">
        <v>537</v>
      </c>
      <c r="N482" s="1">
        <v>128.8</v>
      </c>
      <c r="O482" s="1">
        <v>144.0</v>
      </c>
      <c r="P482" s="1">
        <v>0.0</v>
      </c>
      <c r="Q482" s="1">
        <v>0.0</v>
      </c>
      <c r="R482" s="1">
        <v>28.0</v>
      </c>
      <c r="T482" s="1" t="s">
        <v>539</v>
      </c>
      <c r="V482" s="4">
        <v>7328427.0</v>
      </c>
      <c r="W482" s="4" t="s">
        <v>540</v>
      </c>
      <c r="X482" s="4">
        <v>0.0</v>
      </c>
      <c r="Y482" s="1">
        <v>1.0</v>
      </c>
      <c r="Z482" s="1">
        <v>0.0</v>
      </c>
      <c r="AA482" s="1">
        <v>0.0</v>
      </c>
      <c r="AB482" s="1">
        <v>0.0</v>
      </c>
      <c r="AC482" s="1">
        <v>0.0</v>
      </c>
      <c r="AD482" s="1">
        <v>0.0</v>
      </c>
      <c r="AE482" s="1">
        <v>0.0</v>
      </c>
      <c r="AF482" s="1">
        <v>0.0</v>
      </c>
      <c r="AG482" s="1">
        <v>0.0</v>
      </c>
      <c r="AH482" s="1">
        <v>0.0</v>
      </c>
      <c r="AI482" s="1">
        <v>0.0</v>
      </c>
      <c r="AJ482" s="1">
        <v>0.0</v>
      </c>
      <c r="AK482" s="1">
        <v>0.0</v>
      </c>
      <c r="AL482" s="1">
        <v>0.0</v>
      </c>
      <c r="AM482" s="4">
        <v>0.0</v>
      </c>
      <c r="AN482" s="1">
        <v>0.0</v>
      </c>
      <c r="AO482" s="4">
        <v>0.0</v>
      </c>
      <c r="AP482" s="1">
        <f t="shared" si="1"/>
        <v>0</v>
      </c>
      <c r="AQ482" s="1" t="s">
        <v>557</v>
      </c>
      <c r="AR482" s="1" t="s">
        <v>578</v>
      </c>
      <c r="AT482" s="1" t="s">
        <v>543</v>
      </c>
      <c r="AU482" s="2">
        <v>46009.0</v>
      </c>
      <c r="AV482" s="2">
        <v>46023.9972222222</v>
      </c>
      <c r="AW482" s="1">
        <v>0.0</v>
      </c>
      <c r="AX482" s="1">
        <v>417674.52</v>
      </c>
      <c r="AY482" s="1">
        <v>1703.0</v>
      </c>
      <c r="AZ482" s="1">
        <v>2.0</v>
      </c>
      <c r="BA482" s="1">
        <v>0.0</v>
      </c>
      <c r="BB482" s="1">
        <v>10.0</v>
      </c>
      <c r="BC482" s="2">
        <v>46009.0</v>
      </c>
      <c r="BD482" s="1">
        <v>50.0</v>
      </c>
      <c r="BE482" s="1" t="s">
        <v>550</v>
      </c>
      <c r="BF482" s="1">
        <v>2025.0</v>
      </c>
      <c r="BG482" s="1" t="s">
        <v>558</v>
      </c>
      <c r="BH482" s="7" t="str">
        <f>VLOOKUP(B482,CookieClicks!D:O,12,FALSE)</f>
        <v>https://www.method.me/</v>
      </c>
      <c r="BI482" s="8" t="str">
        <f>IFERROR(__xludf.DUMMYFUNCTION("VLOOKUP(REGEXREPLACE(BH482,""[?].*"",""""),ContentBuckets!A:C,2,FALSE)"),"Homepage")</f>
        <v>Homepage</v>
      </c>
      <c r="BJ482" s="8" t="str">
        <f>IFERROR(__xludf.DUMMYFUNCTION("VLOOKUP(REGEXREPLACE(BH482,""[?].*"",""""),ContentBuckets!A:C,3,FALSE)"),"Other page")</f>
        <v>Other page</v>
      </c>
    </row>
    <row r="483" ht="14.25" customHeight="1">
      <c r="A483" s="1">
        <v>153715.0</v>
      </c>
      <c r="B483" s="1" t="s">
        <v>1226</v>
      </c>
      <c r="C483" s="2">
        <v>46009.7590277778</v>
      </c>
      <c r="D483" s="2"/>
      <c r="E483" s="2"/>
      <c r="F483" s="1" t="b">
        <v>1</v>
      </c>
      <c r="G483" s="4" t="b">
        <v>0</v>
      </c>
      <c r="H483" s="1" t="b">
        <v>0</v>
      </c>
      <c r="I483" s="1" t="b">
        <v>0</v>
      </c>
      <c r="J483" s="1" t="s">
        <v>534</v>
      </c>
      <c r="K483" s="1" t="s">
        <v>553</v>
      </c>
      <c r="L483" s="1" t="s">
        <v>554</v>
      </c>
      <c r="M483" s="1" t="s">
        <v>537</v>
      </c>
      <c r="N483" s="1">
        <v>0.0</v>
      </c>
      <c r="O483" s="1">
        <v>44.25</v>
      </c>
      <c r="P483" s="1">
        <v>0.0</v>
      </c>
      <c r="Q483" s="1">
        <v>0.0</v>
      </c>
      <c r="R483" s="1">
        <v>0.0</v>
      </c>
      <c r="S483" s="1" t="s">
        <v>538</v>
      </c>
      <c r="T483" s="1" t="s">
        <v>539</v>
      </c>
      <c r="V483" s="4">
        <v>7390045.0</v>
      </c>
      <c r="W483" s="4"/>
      <c r="X483" s="4">
        <v>0.0</v>
      </c>
      <c r="Y483" s="1">
        <v>0.0</v>
      </c>
      <c r="Z483" s="1">
        <v>0.0</v>
      </c>
      <c r="AA483" s="1">
        <v>1.0</v>
      </c>
      <c r="AB483" s="1">
        <v>0.0</v>
      </c>
      <c r="AC483" s="1">
        <v>0.0</v>
      </c>
      <c r="AD483" s="1">
        <v>0.0</v>
      </c>
      <c r="AE483" s="1">
        <v>0.0</v>
      </c>
      <c r="AF483" s="1">
        <v>0.0</v>
      </c>
      <c r="AG483" s="1">
        <v>0.0</v>
      </c>
      <c r="AH483" s="1">
        <v>0.0</v>
      </c>
      <c r="AI483" s="1">
        <v>0.0</v>
      </c>
      <c r="AJ483" s="1">
        <v>0.0</v>
      </c>
      <c r="AK483" s="1">
        <v>0.0</v>
      </c>
      <c r="AL483" s="1">
        <v>0.0</v>
      </c>
      <c r="AM483" s="4">
        <v>0.0</v>
      </c>
      <c r="AN483" s="1">
        <v>0.0</v>
      </c>
      <c r="AO483" s="4">
        <v>0.0</v>
      </c>
      <c r="AP483" s="1">
        <f t="shared" si="1"/>
        <v>0</v>
      </c>
      <c r="AU483" s="2"/>
      <c r="AV483" s="2">
        <v>46024.0159722222</v>
      </c>
      <c r="AW483" s="1">
        <v>0.0</v>
      </c>
      <c r="AX483" s="1">
        <v>0.0</v>
      </c>
      <c r="AY483" s="1">
        <v>0.0</v>
      </c>
      <c r="AZ483" s="1">
        <v>1.0</v>
      </c>
      <c r="BA483" s="1">
        <v>0.0</v>
      </c>
      <c r="BB483" s="1">
        <v>0.0</v>
      </c>
      <c r="BC483" s="2">
        <v>46009.0</v>
      </c>
      <c r="BD483" s="1">
        <v>50.0</v>
      </c>
      <c r="BE483" s="1" t="s">
        <v>550</v>
      </c>
      <c r="BF483" s="1">
        <v>2025.0</v>
      </c>
      <c r="BG483" s="1" t="s">
        <v>558</v>
      </c>
      <c r="BH483" s="1" t="str">
        <f>VLOOKUP(B483,CookieClicks!D:O,12,FALSE)</f>
        <v>https://grow.method.me/crm-quickbooks/?trc=81&amp;trk=integrate with quickbooks desktop&amp;trs=US-QBInt-Ex&amp;campaignid=22265826203&amp;adgroupid=186545727779&amp;adid=777091446185&amp;gad_source=1&amp;gad_campaignid=22265826203&amp;gbraid=0AAAAAD3ItnZQsUvPlwtZ5suS68TE6UKZh&amp;gclid=Cj0KCQiA6Y7KBhCkARIsAOxhqtMPXVgWA6N1L5us7wJo5kQfeiTdZmi4adMelUbVrR0cTfbq685UFwYaAuoVEALw_wcB</v>
      </c>
      <c r="BI483" s="8" t="str">
        <f>IFERROR(__xludf.DUMMYFUNCTION("VLOOKUP(REGEXREPLACE(BH483,""[?].*"",""""),ContentBuckets!A:C,2,FALSE)"),"#N/A")</f>
        <v>#N/A</v>
      </c>
      <c r="BJ483" s="8" t="str">
        <f>IFERROR(__xludf.DUMMYFUNCTION("VLOOKUP(REGEXREPLACE(BH483,""[?].*"",""""),ContentBuckets!A:C,3,FALSE)"),"#N/A")</f>
        <v>#N/A</v>
      </c>
    </row>
    <row r="484" ht="14.25" customHeight="1">
      <c r="A484" s="1">
        <v>153716.0</v>
      </c>
      <c r="B484" s="1" t="s">
        <v>1227</v>
      </c>
      <c r="C484" s="2">
        <v>46009.8041666667</v>
      </c>
      <c r="D484" s="2"/>
      <c r="E484" s="2"/>
      <c r="F484" s="1" t="b">
        <v>1</v>
      </c>
      <c r="G484" s="4" t="b">
        <v>0</v>
      </c>
      <c r="H484" s="1" t="b">
        <v>0</v>
      </c>
      <c r="I484" s="1" t="b">
        <v>0</v>
      </c>
      <c r="J484" s="1" t="s">
        <v>534</v>
      </c>
      <c r="K484" s="1" t="s">
        <v>703</v>
      </c>
      <c r="L484" s="1" t="s">
        <v>536</v>
      </c>
      <c r="M484" s="1" t="s">
        <v>537</v>
      </c>
      <c r="N484" s="1">
        <v>0.0</v>
      </c>
      <c r="O484" s="1">
        <v>127.5</v>
      </c>
      <c r="P484" s="1">
        <v>0.0</v>
      </c>
      <c r="Q484" s="1">
        <v>0.0</v>
      </c>
      <c r="R484" s="1">
        <v>28.0</v>
      </c>
      <c r="S484" s="1" t="s">
        <v>538</v>
      </c>
      <c r="T484" s="1" t="s">
        <v>539</v>
      </c>
      <c r="V484" s="4">
        <v>7390846.0</v>
      </c>
      <c r="W484" s="4"/>
      <c r="X484" s="4">
        <v>0.0</v>
      </c>
      <c r="Y484" s="1">
        <v>0.0</v>
      </c>
      <c r="Z484" s="1">
        <v>0.0</v>
      </c>
      <c r="AA484" s="1">
        <v>1.0</v>
      </c>
      <c r="AB484" s="1">
        <v>0.0</v>
      </c>
      <c r="AC484" s="1">
        <v>0.0</v>
      </c>
      <c r="AD484" s="1">
        <v>0.0</v>
      </c>
      <c r="AE484" s="1">
        <v>0.0</v>
      </c>
      <c r="AF484" s="1">
        <v>0.0</v>
      </c>
      <c r="AG484" s="1">
        <v>0.0</v>
      </c>
      <c r="AH484" s="1">
        <v>0.0</v>
      </c>
      <c r="AI484" s="1">
        <v>0.0</v>
      </c>
      <c r="AJ484" s="1">
        <v>0.0</v>
      </c>
      <c r="AK484" s="1">
        <v>0.0</v>
      </c>
      <c r="AL484" s="1">
        <v>0.0</v>
      </c>
      <c r="AM484" s="4">
        <v>0.0</v>
      </c>
      <c r="AN484" s="1">
        <v>0.0</v>
      </c>
      <c r="AO484" s="4">
        <v>0.0</v>
      </c>
      <c r="AP484" s="1">
        <f t="shared" si="1"/>
        <v>0</v>
      </c>
      <c r="AQ484" s="1" t="s">
        <v>557</v>
      </c>
      <c r="AR484" s="1" t="s">
        <v>564</v>
      </c>
      <c r="AU484" s="2">
        <v>46009.0</v>
      </c>
      <c r="AV484" s="2">
        <v>46024.0048611111</v>
      </c>
      <c r="AW484" s="1">
        <v>0.0</v>
      </c>
      <c r="AX484" s="1">
        <v>0.0</v>
      </c>
      <c r="AY484" s="1">
        <v>1.0</v>
      </c>
      <c r="AZ484" s="1">
        <v>2.0</v>
      </c>
      <c r="BA484" s="1">
        <v>0.0</v>
      </c>
      <c r="BB484" s="1">
        <v>0.0</v>
      </c>
      <c r="BC484" s="2">
        <v>46009.0</v>
      </c>
      <c r="BD484" s="1">
        <v>50.0</v>
      </c>
      <c r="BE484" s="1" t="s">
        <v>550</v>
      </c>
      <c r="BF484" s="1">
        <v>2025.0</v>
      </c>
      <c r="BG484" s="1" t="s">
        <v>558</v>
      </c>
      <c r="BH484" s="1" t="str">
        <f>VLOOKUP(B484,CookieClicks!D:O,12,FALSE)</f>
        <v>https://grow.method.me/quickbooks-fsm/?trc=81&amp;trk=field service quickbooks crm&amp;trs=US-FS&amp;campaignid=12406628869&amp;adgroupid=118144098677&amp;adid=500417359889&amp;gad_source=1&amp;gad_campaignid=12406628869&amp;gbraid=0AAAAAD3ItnZzJQo_ZF-c-v65DgZbca31m&amp;gclid=Cj0KCQiA6Y7KBhCkARIsAOxhqtPd13hOVqBj3353sdfOZ7EUQ8SYdOFv6S-EzLnlbLAW9jKI2Q93GBsaAjEYEALw_wcB</v>
      </c>
      <c r="BI484" s="8" t="str">
        <f>IFERROR(__xludf.DUMMYFUNCTION("VLOOKUP(REGEXREPLACE(BH484,""[?].*"",""""),ContentBuckets!A:C,2,FALSE)"),"#N/A")</f>
        <v>#N/A</v>
      </c>
      <c r="BJ484" s="8" t="str">
        <f>IFERROR(__xludf.DUMMYFUNCTION("VLOOKUP(REGEXREPLACE(BH484,""[?].*"",""""),ContentBuckets!A:C,3,FALSE)"),"#N/A")</f>
        <v>#N/A</v>
      </c>
    </row>
    <row r="485" ht="14.25" customHeight="1">
      <c r="A485" s="1">
        <v>153717.0</v>
      </c>
      <c r="B485" s="1" t="s">
        <v>1228</v>
      </c>
      <c r="C485" s="2">
        <v>46009.825</v>
      </c>
      <c r="D485" s="2"/>
      <c r="E485" s="2"/>
      <c r="F485" s="1" t="b">
        <v>1</v>
      </c>
      <c r="G485" s="4" t="b">
        <v>0</v>
      </c>
      <c r="H485" s="1" t="b">
        <v>0</v>
      </c>
      <c r="I485" s="1" t="b">
        <v>0</v>
      </c>
      <c r="J485" s="1" t="s">
        <v>534</v>
      </c>
      <c r="K485" s="1" t="s">
        <v>535</v>
      </c>
      <c r="L485" s="1" t="s">
        <v>536</v>
      </c>
      <c r="M485" s="1" t="s">
        <v>537</v>
      </c>
      <c r="N485" s="1">
        <v>0.0</v>
      </c>
      <c r="O485" s="1">
        <v>72.75</v>
      </c>
      <c r="P485" s="1">
        <v>0.0</v>
      </c>
      <c r="Q485" s="1">
        <v>0.0</v>
      </c>
      <c r="R485" s="1">
        <v>0.0</v>
      </c>
      <c r="S485" s="1" t="s">
        <v>538</v>
      </c>
      <c r="T485" s="1" t="s">
        <v>539</v>
      </c>
      <c r="V485" s="4">
        <v>7169826.0</v>
      </c>
      <c r="W485" s="4" t="s">
        <v>540</v>
      </c>
      <c r="X485" s="4">
        <v>0.0</v>
      </c>
      <c r="Y485" s="1">
        <v>1.0</v>
      </c>
      <c r="Z485" s="1">
        <v>0.0</v>
      </c>
      <c r="AA485" s="1">
        <v>0.0</v>
      </c>
      <c r="AB485" s="1">
        <v>0.0</v>
      </c>
      <c r="AC485" s="1">
        <v>0.0</v>
      </c>
      <c r="AD485" s="1">
        <v>0.0</v>
      </c>
      <c r="AE485" s="1">
        <v>0.0</v>
      </c>
      <c r="AF485" s="1">
        <v>0.0</v>
      </c>
      <c r="AG485" s="1">
        <v>0.0</v>
      </c>
      <c r="AH485" s="1">
        <v>0.0</v>
      </c>
      <c r="AI485" s="1">
        <v>0.0</v>
      </c>
      <c r="AJ485" s="1">
        <v>0.0</v>
      </c>
      <c r="AK485" s="1">
        <v>0.0</v>
      </c>
      <c r="AL485" s="1">
        <v>0.0</v>
      </c>
      <c r="AM485" s="4">
        <v>0.0</v>
      </c>
      <c r="AN485" s="1">
        <v>0.0</v>
      </c>
      <c r="AO485" s="4">
        <v>0.0</v>
      </c>
      <c r="AP485" s="1">
        <f t="shared" si="1"/>
        <v>0</v>
      </c>
      <c r="AU485" s="2"/>
      <c r="AV485" s="2">
        <v>46024.0</v>
      </c>
      <c r="AW485" s="1">
        <v>0.0</v>
      </c>
      <c r="AX485" s="1">
        <v>0.0</v>
      </c>
      <c r="AY485" s="1">
        <v>0.0</v>
      </c>
      <c r="AZ485" s="1">
        <v>1.0</v>
      </c>
      <c r="BA485" s="1">
        <v>0.0</v>
      </c>
      <c r="BB485" s="1">
        <v>0.0</v>
      </c>
      <c r="BC485" s="2">
        <v>46009.0</v>
      </c>
      <c r="BD485" s="1">
        <v>50.0</v>
      </c>
      <c r="BE485" s="1" t="s">
        <v>550</v>
      </c>
      <c r="BF485" s="1">
        <v>2025.0</v>
      </c>
      <c r="BG485" s="1" t="s">
        <v>1229</v>
      </c>
      <c r="BH485" s="7" t="str">
        <f>VLOOKUP(B485,CookieClicks!D:O,12,FALSE)</f>
        <v>https://www.method.me/</v>
      </c>
      <c r="BI485" s="8" t="str">
        <f>IFERROR(__xludf.DUMMYFUNCTION("VLOOKUP(REGEXREPLACE(BH485,""[?].*"",""""),ContentBuckets!A:C,2,FALSE)"),"Homepage")</f>
        <v>Homepage</v>
      </c>
      <c r="BJ485" s="8" t="str">
        <f>IFERROR(__xludf.DUMMYFUNCTION("VLOOKUP(REGEXREPLACE(BH485,""[?].*"",""""),ContentBuckets!A:C,3,FALSE)"),"Other page")</f>
        <v>Other page</v>
      </c>
    </row>
    <row r="486" ht="14.25" customHeight="1">
      <c r="A486" s="1">
        <v>153718.0</v>
      </c>
      <c r="B486" s="1" t="s">
        <v>1230</v>
      </c>
      <c r="C486" s="2">
        <v>46009.88125</v>
      </c>
      <c r="D486" s="2"/>
      <c r="E486" s="2"/>
      <c r="F486" s="1" t="b">
        <v>1</v>
      </c>
      <c r="G486" s="4" t="b">
        <v>0</v>
      </c>
      <c r="H486" s="1" t="b">
        <v>0</v>
      </c>
      <c r="I486" s="1" t="b">
        <v>0</v>
      </c>
      <c r="J486" s="1" t="s">
        <v>534</v>
      </c>
      <c r="K486" s="1" t="s">
        <v>535</v>
      </c>
      <c r="L486" s="1" t="s">
        <v>536</v>
      </c>
      <c r="M486" s="1" t="s">
        <v>537</v>
      </c>
      <c r="N486" s="1">
        <v>0.0</v>
      </c>
      <c r="O486" s="1">
        <v>63.75</v>
      </c>
      <c r="P486" s="1">
        <v>0.0</v>
      </c>
      <c r="Q486" s="1">
        <v>0.0</v>
      </c>
      <c r="R486" s="1">
        <v>0.0</v>
      </c>
      <c r="S486" s="1" t="s">
        <v>538</v>
      </c>
      <c r="T486" s="1" t="s">
        <v>539</v>
      </c>
      <c r="V486" s="4">
        <v>7391961.0</v>
      </c>
      <c r="W486" s="4"/>
      <c r="X486" s="4">
        <v>0.0</v>
      </c>
      <c r="Y486" s="1">
        <v>0.0</v>
      </c>
      <c r="Z486" s="1">
        <v>0.0</v>
      </c>
      <c r="AA486" s="1">
        <v>1.0</v>
      </c>
      <c r="AB486" s="1">
        <v>0.0</v>
      </c>
      <c r="AC486" s="1">
        <v>0.0</v>
      </c>
      <c r="AD486" s="1">
        <v>0.0</v>
      </c>
      <c r="AE486" s="1">
        <v>0.0</v>
      </c>
      <c r="AF486" s="1">
        <v>0.0</v>
      </c>
      <c r="AG486" s="1">
        <v>0.0</v>
      </c>
      <c r="AH486" s="1">
        <v>0.0</v>
      </c>
      <c r="AI486" s="1">
        <v>0.0</v>
      </c>
      <c r="AJ486" s="1">
        <v>0.0</v>
      </c>
      <c r="AK486" s="1">
        <v>0.0</v>
      </c>
      <c r="AL486" s="1">
        <v>0.0</v>
      </c>
      <c r="AM486" s="4">
        <v>0.0</v>
      </c>
      <c r="AN486" s="1">
        <v>0.0</v>
      </c>
      <c r="AO486" s="4">
        <v>0.0</v>
      </c>
      <c r="AP486" s="1">
        <f t="shared" si="1"/>
        <v>0</v>
      </c>
      <c r="AQ486" s="1" t="s">
        <v>557</v>
      </c>
      <c r="AT486" s="1" t="s">
        <v>1231</v>
      </c>
      <c r="AU486" s="2">
        <v>46009.0</v>
      </c>
      <c r="AV486" s="2">
        <v>46023.9875</v>
      </c>
      <c r="AW486" s="1">
        <v>114.0</v>
      </c>
      <c r="AX486" s="1">
        <v>750990.0</v>
      </c>
      <c r="AY486" s="1">
        <v>10160.0</v>
      </c>
      <c r="AZ486" s="1">
        <v>1.0</v>
      </c>
      <c r="BA486" s="1">
        <v>0.0</v>
      </c>
      <c r="BB486" s="1">
        <v>0.0</v>
      </c>
      <c r="BC486" s="2">
        <v>46009.0</v>
      </c>
      <c r="BD486" s="1">
        <v>50.0</v>
      </c>
      <c r="BE486" s="1" t="s">
        <v>550</v>
      </c>
      <c r="BF486" s="1">
        <v>2025.0</v>
      </c>
      <c r="BG486" s="1" t="s">
        <v>558</v>
      </c>
      <c r="BH486" s="7" t="str">
        <f>VLOOKUP(B486,CookieClicks!D:O,12,FALSE)</f>
        <v>https://www.method.me/industries/field-service-management-software/?trc=78&amp;trk=FSIndustry&amp;trs=capterra&amp;utm_source=capterra&amp;utm_medium=cpc&amp;utm_campaign=FS&amp;gdmcid=77e81625-bd5b-4ac5-b2c4-93c3b94374cf</v>
      </c>
      <c r="BI486" s="8" t="str">
        <f>IFERROR(__xludf.DUMMYFUNCTION("VLOOKUP(REGEXREPLACE(BH486,""[?].*"",""""),ContentBuckets!A:C,2,FALSE)"),"Industries page")</f>
        <v>Industries page</v>
      </c>
      <c r="BJ486" s="8" t="str">
        <f>IFERROR(__xludf.DUMMYFUNCTION("VLOOKUP(REGEXREPLACE(BH486,""[?].*"",""""),ContentBuckets!A:C,3,FALSE)"),"Other page")</f>
        <v>Other page</v>
      </c>
    </row>
    <row r="487" ht="14.25" customHeight="1">
      <c r="A487" s="1">
        <v>153719.0</v>
      </c>
      <c r="B487" s="1" t="s">
        <v>1232</v>
      </c>
      <c r="C487" s="2">
        <v>46009.9895833333</v>
      </c>
      <c r="D487" s="2"/>
      <c r="E487" s="2"/>
      <c r="F487" s="1" t="b">
        <v>1</v>
      </c>
      <c r="G487" s="4" t="b">
        <v>0</v>
      </c>
      <c r="H487" s="1" t="b">
        <v>0</v>
      </c>
      <c r="I487" s="1" t="b">
        <v>0</v>
      </c>
      <c r="J487" s="1" t="s">
        <v>534</v>
      </c>
      <c r="K487" s="1" t="s">
        <v>553</v>
      </c>
      <c r="L487" s="1" t="s">
        <v>599</v>
      </c>
      <c r="M487" s="1" t="s">
        <v>537</v>
      </c>
      <c r="N487" s="1">
        <v>0.0</v>
      </c>
      <c r="O487" s="1">
        <v>44.25</v>
      </c>
      <c r="P487" s="1">
        <v>0.0</v>
      </c>
      <c r="Q487" s="1">
        <v>0.0</v>
      </c>
      <c r="R487" s="1">
        <v>0.0</v>
      </c>
      <c r="S487" s="1" t="s">
        <v>538</v>
      </c>
      <c r="T487" s="1" t="s">
        <v>539</v>
      </c>
      <c r="V487" s="4">
        <v>0.0</v>
      </c>
      <c r="W487" s="4"/>
      <c r="X487" s="4">
        <v>0.0</v>
      </c>
      <c r="Y487" s="1">
        <v>0.0</v>
      </c>
      <c r="Z487" s="1">
        <v>0.0</v>
      </c>
      <c r="AA487" s="1">
        <v>0.0</v>
      </c>
      <c r="AB487" s="1">
        <v>0.0</v>
      </c>
      <c r="AC487" s="1">
        <v>0.0</v>
      </c>
      <c r="AD487" s="1">
        <v>0.0</v>
      </c>
      <c r="AE487" s="1">
        <v>0.0</v>
      </c>
      <c r="AF487" s="1">
        <v>0.0</v>
      </c>
      <c r="AG487" s="1">
        <v>0.0</v>
      </c>
      <c r="AH487" s="1">
        <v>0.0</v>
      </c>
      <c r="AI487" s="1">
        <v>0.0</v>
      </c>
      <c r="AJ487" s="1">
        <v>0.0</v>
      </c>
      <c r="AK487" s="1">
        <v>0.0</v>
      </c>
      <c r="AL487" s="1">
        <v>0.0</v>
      </c>
      <c r="AM487" s="4">
        <v>0.0</v>
      </c>
      <c r="AN487" s="1">
        <v>0.0</v>
      </c>
      <c r="AO487" s="4">
        <v>0.0</v>
      </c>
      <c r="AP487" s="1">
        <f t="shared" si="1"/>
        <v>1</v>
      </c>
      <c r="AU487" s="2"/>
      <c r="AV487" s="2">
        <v>46023.9819444444</v>
      </c>
      <c r="AW487" s="1">
        <v>0.0</v>
      </c>
      <c r="AX487" s="1">
        <v>0.0</v>
      </c>
      <c r="AY487" s="1">
        <v>0.0</v>
      </c>
      <c r="AZ487" s="1">
        <v>1.0</v>
      </c>
      <c r="BA487" s="1">
        <v>0.0</v>
      </c>
      <c r="BB487" s="1">
        <v>0.0</v>
      </c>
      <c r="BC487" s="2">
        <v>46009.0</v>
      </c>
      <c r="BD487" s="1">
        <v>50.0</v>
      </c>
      <c r="BE487" s="1" t="s">
        <v>550</v>
      </c>
      <c r="BF487" s="1">
        <v>2025.0</v>
      </c>
      <c r="BG487" s="1" t="s">
        <v>558</v>
      </c>
      <c r="BH487" s="1" t="str">
        <f>VLOOKUP(B487,CookieClicks!D:O,12,FALSE)</f>
        <v>#N/A</v>
      </c>
      <c r="BI487" s="8" t="str">
        <f>IFERROR(__xludf.DUMMYFUNCTION("VLOOKUP(REGEXREPLACE(BH487,""[?].*"",""""),ContentBuckets!A:C,2,FALSE)"),"#N/A")</f>
        <v>#N/A</v>
      </c>
      <c r="BJ487" s="8" t="str">
        <f>IFERROR(__xludf.DUMMYFUNCTION("VLOOKUP(REGEXREPLACE(BH487,""[?].*"",""""),ContentBuckets!A:C,3,FALSE)"),"#N/A")</f>
        <v>#N/A</v>
      </c>
    </row>
    <row r="488" ht="14.25" customHeight="1">
      <c r="A488" s="1">
        <v>153720.0</v>
      </c>
      <c r="B488" s="1" t="s">
        <v>1233</v>
      </c>
      <c r="C488" s="2">
        <v>46010.0576388889</v>
      </c>
      <c r="D488" s="2">
        <v>46010.5513888889</v>
      </c>
      <c r="E488" s="2"/>
      <c r="F488" s="1" t="b">
        <v>0</v>
      </c>
      <c r="G488" s="4" t="b">
        <v>1</v>
      </c>
      <c r="H488" s="1" t="b">
        <v>0</v>
      </c>
      <c r="I488" s="1" t="b">
        <v>0</v>
      </c>
      <c r="J488" s="1" t="s">
        <v>534</v>
      </c>
      <c r="K488" s="1" t="s">
        <v>535</v>
      </c>
      <c r="L488" s="1" t="s">
        <v>536</v>
      </c>
      <c r="M488" s="1" t="s">
        <v>537</v>
      </c>
      <c r="N488" s="1">
        <v>0.0</v>
      </c>
      <c r="O488" s="1">
        <v>0.0</v>
      </c>
      <c r="P488" s="1">
        <v>0.0</v>
      </c>
      <c r="Q488" s="1">
        <v>0.0</v>
      </c>
      <c r="R488" s="1">
        <v>28.0</v>
      </c>
      <c r="S488" s="1" t="s">
        <v>538</v>
      </c>
      <c r="T488" s="1" t="s">
        <v>539</v>
      </c>
      <c r="V488" s="4">
        <v>7394490.0</v>
      </c>
      <c r="W488" s="4" t="s">
        <v>540</v>
      </c>
      <c r="X488" s="4">
        <v>0.0</v>
      </c>
      <c r="Y488" s="1">
        <v>1.0</v>
      </c>
      <c r="Z488" s="1">
        <v>0.0</v>
      </c>
      <c r="AA488" s="1">
        <v>0.0</v>
      </c>
      <c r="AB488" s="1">
        <v>0.0</v>
      </c>
      <c r="AC488" s="1">
        <v>0.0</v>
      </c>
      <c r="AD488" s="1">
        <v>0.0</v>
      </c>
      <c r="AE488" s="1">
        <v>0.0</v>
      </c>
      <c r="AF488" s="1">
        <v>0.0</v>
      </c>
      <c r="AG488" s="1">
        <v>0.0</v>
      </c>
      <c r="AH488" s="1">
        <v>0.0</v>
      </c>
      <c r="AI488" s="1">
        <v>0.0</v>
      </c>
      <c r="AJ488" s="1">
        <v>0.0</v>
      </c>
      <c r="AK488" s="1">
        <v>0.0</v>
      </c>
      <c r="AL488" s="1">
        <v>0.0</v>
      </c>
      <c r="AM488" s="4">
        <v>0.0</v>
      </c>
      <c r="AN488" s="1">
        <v>0.0</v>
      </c>
      <c r="AO488" s="4">
        <v>0.0</v>
      </c>
      <c r="AP488" s="1">
        <f t="shared" si="1"/>
        <v>0</v>
      </c>
      <c r="AR488" s="1" t="s">
        <v>591</v>
      </c>
      <c r="AU488" s="2"/>
      <c r="AV488" s="2"/>
      <c r="AW488" s="1">
        <v>0.0</v>
      </c>
      <c r="AX488" s="1">
        <v>0.0</v>
      </c>
      <c r="AY488" s="1">
        <v>0.0</v>
      </c>
      <c r="AZ488" s="1">
        <v>1.0</v>
      </c>
      <c r="BA488" s="1">
        <v>0.0</v>
      </c>
      <c r="BB488" s="1">
        <v>0.0</v>
      </c>
      <c r="BC488" s="2">
        <v>46010.0</v>
      </c>
      <c r="BD488" s="1">
        <v>50.0</v>
      </c>
      <c r="BE488" s="1" t="s">
        <v>550</v>
      </c>
      <c r="BF488" s="1">
        <v>2025.0</v>
      </c>
      <c r="BG488" s="1" t="s">
        <v>624</v>
      </c>
      <c r="BH488" s="7" t="str">
        <f>VLOOKUP(B488,CookieClicks!D:O,12,FALSE)</f>
        <v>https://www.method.me/</v>
      </c>
      <c r="BI488" s="8" t="str">
        <f>IFERROR(__xludf.DUMMYFUNCTION("VLOOKUP(REGEXREPLACE(BH488,""[?].*"",""""),ContentBuckets!A:C,2,FALSE)"),"Homepage")</f>
        <v>Homepage</v>
      </c>
      <c r="BJ488" s="8" t="str">
        <f>IFERROR(__xludf.DUMMYFUNCTION("VLOOKUP(REGEXREPLACE(BH488,""[?].*"",""""),ContentBuckets!A:C,3,FALSE)"),"Other page")</f>
        <v>Other page</v>
      </c>
    </row>
    <row r="489" ht="14.25" customHeight="1">
      <c r="A489" s="1">
        <v>153721.0</v>
      </c>
      <c r="B489" s="1" t="s">
        <v>1234</v>
      </c>
      <c r="C489" s="2">
        <v>46010.0645833333</v>
      </c>
      <c r="D489" s="2">
        <v>46024.3604166667</v>
      </c>
      <c r="E489" s="2"/>
      <c r="F489" s="1" t="b">
        <v>0</v>
      </c>
      <c r="G489" s="4" t="b">
        <v>1</v>
      </c>
      <c r="H489" s="1" t="b">
        <v>0</v>
      </c>
      <c r="I489" s="1" t="b">
        <v>0</v>
      </c>
      <c r="J489" s="1" t="s">
        <v>534</v>
      </c>
      <c r="K489" s="1" t="s">
        <v>622</v>
      </c>
      <c r="L489" s="1" t="s">
        <v>623</v>
      </c>
      <c r="M489" s="1" t="s">
        <v>537</v>
      </c>
      <c r="N489" s="1">
        <v>0.0</v>
      </c>
      <c r="O489" s="1">
        <v>62.25</v>
      </c>
      <c r="P489" s="1">
        <v>0.0</v>
      </c>
      <c r="Q489" s="1">
        <v>0.0</v>
      </c>
      <c r="R489" s="1">
        <v>0.0</v>
      </c>
      <c r="S489" s="1" t="s">
        <v>538</v>
      </c>
      <c r="T489" s="1" t="s">
        <v>539</v>
      </c>
      <c r="V489" s="4">
        <v>7394563.0</v>
      </c>
      <c r="W489" s="4"/>
      <c r="X489" s="4">
        <v>0.0</v>
      </c>
      <c r="Y489" s="1">
        <v>0.0</v>
      </c>
      <c r="Z489" s="1">
        <v>0.0</v>
      </c>
      <c r="AA489" s="1">
        <v>0.0</v>
      </c>
      <c r="AB489" s="1">
        <v>0.0</v>
      </c>
      <c r="AC489" s="1">
        <v>0.0</v>
      </c>
      <c r="AD489" s="1">
        <v>0.0</v>
      </c>
      <c r="AE489" s="1">
        <v>0.0</v>
      </c>
      <c r="AF489" s="1">
        <v>0.0</v>
      </c>
      <c r="AG489" s="1">
        <v>0.0</v>
      </c>
      <c r="AH489" s="1">
        <v>0.0</v>
      </c>
      <c r="AI489" s="1">
        <v>0.0</v>
      </c>
      <c r="AJ489" s="1">
        <v>0.0</v>
      </c>
      <c r="AK489" s="1">
        <v>0.0</v>
      </c>
      <c r="AL489" s="1">
        <v>0.0</v>
      </c>
      <c r="AM489" s="4">
        <v>0.0</v>
      </c>
      <c r="AN489" s="1">
        <v>0.0</v>
      </c>
      <c r="AO489" s="4">
        <v>0.0</v>
      </c>
      <c r="AP489" s="1">
        <f t="shared" si="1"/>
        <v>1</v>
      </c>
      <c r="AQ489" s="1" t="s">
        <v>692</v>
      </c>
      <c r="AU489" s="2">
        <v>46010.0</v>
      </c>
      <c r="AV489" s="2">
        <v>46024.0381944444</v>
      </c>
      <c r="AW489" s="1">
        <v>0.0</v>
      </c>
      <c r="AX489" s="1">
        <v>0.0</v>
      </c>
      <c r="AY489" s="1">
        <v>4.0</v>
      </c>
      <c r="AZ489" s="1">
        <v>1.0</v>
      </c>
      <c r="BA489" s="1">
        <v>0.0</v>
      </c>
      <c r="BB489" s="1">
        <v>1.0</v>
      </c>
      <c r="BC489" s="2">
        <v>46010.0</v>
      </c>
      <c r="BD489" s="1">
        <v>50.0</v>
      </c>
      <c r="BE489" s="1" t="s">
        <v>550</v>
      </c>
      <c r="BF489" s="1">
        <v>2025.0</v>
      </c>
      <c r="BG489" s="1" t="s">
        <v>624</v>
      </c>
      <c r="BH489" s="7" t="str">
        <f>VLOOKUP(B489,CookieClicks!D:O,12,FALSE)</f>
        <v>http://signup.method.me/methodcrm/?_gl=1*1dc85x3*_gcl_au*NTAwNjI4NjAzLjE3NjYxMjU5NTQ.*_ga*MzAxODIxNDk2LjE3NjYxMjU5NTQ.*_ga_L2HEZNW53E*czE3NjYxMjU5NTQkbzEkZzAkdDE3NjYxMjU5NTUkajU5JGwwJGgxMjYxMzYyNjQ.&amp;_ga=2.76788181.1319755423.1766125954-301821496.1766125954</v>
      </c>
      <c r="BI489" s="8" t="str">
        <f>IFERROR(__xludf.DUMMYFUNCTION("VLOOKUP(REGEXREPLACE(BH489,""[?].*"",""""),ContentBuckets!A:C,2,FALSE)"),"#N/A")</f>
        <v>#N/A</v>
      </c>
      <c r="BJ489" s="8" t="str">
        <f>IFERROR(__xludf.DUMMYFUNCTION("VLOOKUP(REGEXREPLACE(BH489,""[?].*"",""""),ContentBuckets!A:C,3,FALSE)"),"#N/A")</f>
        <v>#N/A</v>
      </c>
    </row>
    <row r="490" ht="14.25" customHeight="1">
      <c r="A490" s="1">
        <v>153722.0</v>
      </c>
      <c r="B490" s="1" t="s">
        <v>1235</v>
      </c>
      <c r="C490" s="2">
        <v>46010.1020833333</v>
      </c>
      <c r="D490" s="2">
        <v>46010.4375</v>
      </c>
      <c r="E490" s="2"/>
      <c r="F490" s="1" t="b">
        <v>0</v>
      </c>
      <c r="G490" s="4" t="b">
        <v>0</v>
      </c>
      <c r="H490" s="1" t="b">
        <v>0</v>
      </c>
      <c r="I490" s="1" t="b">
        <v>0</v>
      </c>
      <c r="J490" s="1" t="s">
        <v>534</v>
      </c>
      <c r="K490" s="1" t="s">
        <v>553</v>
      </c>
      <c r="L490" s="1" t="s">
        <v>599</v>
      </c>
      <c r="M490" s="1" t="s">
        <v>537</v>
      </c>
      <c r="N490" s="1">
        <v>0.0</v>
      </c>
      <c r="O490" s="1">
        <v>0.0</v>
      </c>
      <c r="P490" s="1">
        <v>0.0</v>
      </c>
      <c r="Q490" s="1">
        <v>0.0</v>
      </c>
      <c r="R490" s="1">
        <v>0.0</v>
      </c>
      <c r="S490" s="1" t="s">
        <v>538</v>
      </c>
      <c r="T490" s="1" t="s">
        <v>539</v>
      </c>
      <c r="V490" s="4">
        <v>7395054.0</v>
      </c>
      <c r="W490" s="4" t="s">
        <v>540</v>
      </c>
      <c r="X490" s="4">
        <v>0.0</v>
      </c>
      <c r="Y490" s="1">
        <v>1.0</v>
      </c>
      <c r="Z490" s="1">
        <v>0.0</v>
      </c>
      <c r="AA490" s="1">
        <v>0.0</v>
      </c>
      <c r="AB490" s="1">
        <v>0.0</v>
      </c>
      <c r="AC490" s="1">
        <v>0.0</v>
      </c>
      <c r="AD490" s="1">
        <v>0.0</v>
      </c>
      <c r="AE490" s="1">
        <v>0.0</v>
      </c>
      <c r="AF490" s="1">
        <v>0.0</v>
      </c>
      <c r="AG490" s="1">
        <v>0.0</v>
      </c>
      <c r="AH490" s="1">
        <v>0.0</v>
      </c>
      <c r="AI490" s="1">
        <v>0.0</v>
      </c>
      <c r="AJ490" s="1">
        <v>0.0</v>
      </c>
      <c r="AK490" s="1">
        <v>0.0</v>
      </c>
      <c r="AL490" s="1">
        <v>0.0</v>
      </c>
      <c r="AM490" s="4">
        <v>0.0</v>
      </c>
      <c r="AN490" s="1">
        <v>0.0</v>
      </c>
      <c r="AO490" s="4">
        <v>0.0</v>
      </c>
      <c r="AP490" s="1">
        <f t="shared" si="1"/>
        <v>0</v>
      </c>
      <c r="AU490" s="2"/>
      <c r="AV490" s="2"/>
      <c r="AW490" s="1">
        <v>0.0</v>
      </c>
      <c r="AX490" s="1">
        <v>0.0</v>
      </c>
      <c r="AY490" s="1">
        <v>0.0</v>
      </c>
      <c r="AZ490" s="1">
        <v>1.0</v>
      </c>
      <c r="BA490" s="1">
        <v>0.0</v>
      </c>
      <c r="BB490" s="1">
        <v>0.0</v>
      </c>
      <c r="BC490" s="2">
        <v>46010.0</v>
      </c>
      <c r="BD490" s="1">
        <v>50.0</v>
      </c>
      <c r="BE490" s="1" t="s">
        <v>550</v>
      </c>
      <c r="BF490" s="1">
        <v>2025.0</v>
      </c>
      <c r="BG490" s="1" t="s">
        <v>558</v>
      </c>
      <c r="BH490" s="7" t="str">
        <f>VLOOKUP(B490,CookieClicks!D:O,12,FALSE)</f>
        <v>https://www.method.me/features/payment-gateways/</v>
      </c>
      <c r="BI490" s="8" t="str">
        <f>IFERROR(__xludf.DUMMYFUNCTION("VLOOKUP(REGEXREPLACE(BH490,""[?].*"",""""),ContentBuckets!A:C,2,FALSE)"),"Features page")</f>
        <v>Features page</v>
      </c>
      <c r="BJ490" s="8" t="str">
        <f>IFERROR(__xludf.DUMMYFUNCTION("VLOOKUP(REGEXREPLACE(BH490,""[?].*"",""""),ContentBuckets!A:C,3,FALSE)"),"Other page")</f>
        <v>Other page</v>
      </c>
    </row>
    <row r="491" ht="14.25" customHeight="1">
      <c r="A491" s="1">
        <v>153723.0</v>
      </c>
      <c r="B491" s="1" t="s">
        <v>1236</v>
      </c>
      <c r="C491" s="2">
        <v>46010.1444444444</v>
      </c>
      <c r="D491" s="2"/>
      <c r="E491" s="2"/>
      <c r="F491" s="1" t="b">
        <v>1</v>
      </c>
      <c r="G491" s="4" t="b">
        <v>0</v>
      </c>
      <c r="H491" s="1" t="b">
        <v>0</v>
      </c>
      <c r="I491" s="1" t="b">
        <v>0</v>
      </c>
      <c r="J491" s="1" t="s">
        <v>534</v>
      </c>
      <c r="K491" s="1" t="s">
        <v>566</v>
      </c>
      <c r="L491" s="1" t="s">
        <v>567</v>
      </c>
      <c r="M491" s="1" t="s">
        <v>537</v>
      </c>
      <c r="N491" s="1">
        <v>0.0</v>
      </c>
      <c r="O491" s="1">
        <v>62.25</v>
      </c>
      <c r="P491" s="1">
        <v>0.0</v>
      </c>
      <c r="Q491" s="1">
        <v>0.0</v>
      </c>
      <c r="R491" s="1">
        <v>28.0</v>
      </c>
      <c r="S491" s="1" t="s">
        <v>538</v>
      </c>
      <c r="T491" s="1" t="s">
        <v>539</v>
      </c>
      <c r="V491" s="4">
        <v>7395506.0</v>
      </c>
      <c r="W491" s="4" t="s">
        <v>540</v>
      </c>
      <c r="X491" s="4">
        <v>0.0</v>
      </c>
      <c r="Y491" s="1">
        <v>1.0</v>
      </c>
      <c r="Z491" s="1">
        <v>0.0</v>
      </c>
      <c r="AA491" s="1">
        <v>0.0</v>
      </c>
      <c r="AB491" s="1">
        <v>0.0</v>
      </c>
      <c r="AC491" s="1">
        <v>0.0</v>
      </c>
      <c r="AD491" s="1">
        <v>0.0</v>
      </c>
      <c r="AE491" s="1">
        <v>0.0</v>
      </c>
      <c r="AF491" s="1">
        <v>0.0</v>
      </c>
      <c r="AG491" s="1">
        <v>0.0</v>
      </c>
      <c r="AH491" s="1">
        <v>0.0</v>
      </c>
      <c r="AI491" s="1">
        <v>0.0</v>
      </c>
      <c r="AJ491" s="1">
        <v>0.0</v>
      </c>
      <c r="AK491" s="1">
        <v>0.0</v>
      </c>
      <c r="AL491" s="1">
        <v>0.0</v>
      </c>
      <c r="AM491" s="4">
        <v>0.0</v>
      </c>
      <c r="AN491" s="1">
        <v>0.0</v>
      </c>
      <c r="AO491" s="4">
        <v>0.0</v>
      </c>
      <c r="AP491" s="1">
        <f t="shared" si="1"/>
        <v>0</v>
      </c>
      <c r="AR491" s="1" t="s">
        <v>591</v>
      </c>
      <c r="AU491" s="2"/>
      <c r="AV491" s="2">
        <v>46023.9826388889</v>
      </c>
      <c r="AW491" s="1">
        <v>0.0</v>
      </c>
      <c r="AX491" s="1">
        <v>0.0</v>
      </c>
      <c r="AY491" s="1">
        <v>0.0</v>
      </c>
      <c r="AZ491" s="1">
        <v>1.0</v>
      </c>
      <c r="BA491" s="1">
        <v>0.0</v>
      </c>
      <c r="BB491" s="1">
        <v>0.0</v>
      </c>
      <c r="BC491" s="2">
        <v>46010.0</v>
      </c>
      <c r="BD491" s="1">
        <v>50.0</v>
      </c>
      <c r="BE491" s="1" t="s">
        <v>550</v>
      </c>
      <c r="BF491" s="1">
        <v>2025.0</v>
      </c>
      <c r="BG491" s="1" t="s">
        <v>558</v>
      </c>
      <c r="BH491" s="7" t="str">
        <f>VLOOKUP(B491,CookieClicks!D:O,12,FALSE)</f>
        <v>http://signup.method.me/methodcrm</v>
      </c>
      <c r="BI491" s="8" t="str">
        <f>IFERROR(__xludf.DUMMYFUNCTION("VLOOKUP(REGEXREPLACE(BH491,""[?].*"",""""),ContentBuckets!A:C,2,FALSE)"),"#N/A")</f>
        <v>#N/A</v>
      </c>
      <c r="BJ491" s="8" t="str">
        <f>IFERROR(__xludf.DUMMYFUNCTION("VLOOKUP(REGEXREPLACE(BH491,""[?].*"",""""),ContentBuckets!A:C,3,FALSE)"),"#N/A")</f>
        <v>#N/A</v>
      </c>
    </row>
    <row r="492" ht="14.25" customHeight="1">
      <c r="A492" s="1">
        <v>153725.0</v>
      </c>
      <c r="B492" s="1" t="s">
        <v>1237</v>
      </c>
      <c r="C492" s="2">
        <v>46010.2666666667</v>
      </c>
      <c r="D492" s="2"/>
      <c r="E492" s="2"/>
      <c r="F492" s="1" t="b">
        <v>1</v>
      </c>
      <c r="G492" s="4" t="b">
        <v>0</v>
      </c>
      <c r="H492" s="1" t="b">
        <v>0</v>
      </c>
      <c r="I492" s="1" t="b">
        <v>0</v>
      </c>
      <c r="J492" s="1" t="s">
        <v>534</v>
      </c>
      <c r="K492" s="1" t="s">
        <v>622</v>
      </c>
      <c r="L492" s="1" t="s">
        <v>623</v>
      </c>
      <c r="M492" s="1" t="s">
        <v>537</v>
      </c>
      <c r="N492" s="1">
        <v>0.0</v>
      </c>
      <c r="O492" s="1">
        <v>44.25</v>
      </c>
      <c r="P492" s="1">
        <v>0.0</v>
      </c>
      <c r="Q492" s="1">
        <v>0.0</v>
      </c>
      <c r="R492" s="1">
        <v>0.0</v>
      </c>
      <c r="S492" s="1" t="s">
        <v>538</v>
      </c>
      <c r="T492" s="1" t="s">
        <v>539</v>
      </c>
      <c r="V492" s="4">
        <v>7293523.0</v>
      </c>
      <c r="W492" s="4" t="s">
        <v>540</v>
      </c>
      <c r="X492" s="4">
        <v>0.0</v>
      </c>
      <c r="Y492" s="1">
        <v>1.0</v>
      </c>
      <c r="Z492" s="1">
        <v>0.0</v>
      </c>
      <c r="AA492" s="1">
        <v>0.0</v>
      </c>
      <c r="AB492" s="1">
        <v>0.0</v>
      </c>
      <c r="AC492" s="1">
        <v>0.0</v>
      </c>
      <c r="AD492" s="1">
        <v>0.0</v>
      </c>
      <c r="AE492" s="1">
        <v>0.0</v>
      </c>
      <c r="AF492" s="1">
        <v>0.0</v>
      </c>
      <c r="AG492" s="1">
        <v>0.0</v>
      </c>
      <c r="AH492" s="1">
        <v>0.0</v>
      </c>
      <c r="AI492" s="1">
        <v>0.0</v>
      </c>
      <c r="AJ492" s="1">
        <v>0.0</v>
      </c>
      <c r="AK492" s="1">
        <v>0.0</v>
      </c>
      <c r="AL492" s="1">
        <v>0.0</v>
      </c>
      <c r="AM492" s="4">
        <v>0.0</v>
      </c>
      <c r="AN492" s="1">
        <v>0.0</v>
      </c>
      <c r="AO492" s="4">
        <v>0.0</v>
      </c>
      <c r="AP492" s="1">
        <f t="shared" si="1"/>
        <v>0</v>
      </c>
      <c r="AQ492" s="1" t="s">
        <v>853</v>
      </c>
      <c r="AU492" s="2">
        <v>46023.0</v>
      </c>
      <c r="AV492" s="2">
        <v>46023.9902777778</v>
      </c>
      <c r="AW492" s="1">
        <v>0.0</v>
      </c>
      <c r="AX492" s="1">
        <v>0.0</v>
      </c>
      <c r="AY492" s="1">
        <v>1.0</v>
      </c>
      <c r="AZ492" s="1">
        <v>1.0</v>
      </c>
      <c r="BA492" s="1">
        <v>0.0</v>
      </c>
      <c r="BB492" s="1">
        <v>0.0</v>
      </c>
      <c r="BC492" s="2">
        <v>46010.0</v>
      </c>
      <c r="BD492" s="1">
        <v>50.0</v>
      </c>
      <c r="BE492" s="1" t="s">
        <v>550</v>
      </c>
      <c r="BF492" s="1">
        <v>2025.0</v>
      </c>
      <c r="BG492" s="1" t="s">
        <v>835</v>
      </c>
      <c r="BH492" s="7" t="str">
        <f>VLOOKUP(B492,CookieClicks!D:O,12,FALSE)</f>
        <v>https://www.method.me/</v>
      </c>
      <c r="BI492" s="8" t="str">
        <f>IFERROR(__xludf.DUMMYFUNCTION("VLOOKUP(REGEXREPLACE(BH492,""[?].*"",""""),ContentBuckets!A:C,2,FALSE)"),"Homepage")</f>
        <v>Homepage</v>
      </c>
      <c r="BJ492" s="8" t="str">
        <f>IFERROR(__xludf.DUMMYFUNCTION("VLOOKUP(REGEXREPLACE(BH492,""[?].*"",""""),ContentBuckets!A:C,3,FALSE)"),"Other page")</f>
        <v>Other page</v>
      </c>
    </row>
    <row r="493" ht="14.25" customHeight="1">
      <c r="A493" s="1">
        <v>153726.0</v>
      </c>
      <c r="B493" s="1" t="s">
        <v>1238</v>
      </c>
      <c r="C493" s="2">
        <v>46010.3555555556</v>
      </c>
      <c r="D493" s="2"/>
      <c r="E493" s="2"/>
      <c r="F493" s="1" t="b">
        <v>1</v>
      </c>
      <c r="G493" s="4" t="b">
        <v>0</v>
      </c>
      <c r="H493" s="1" t="b">
        <v>0</v>
      </c>
      <c r="I493" s="1" t="b">
        <v>0</v>
      </c>
      <c r="J493" s="1" t="s">
        <v>534</v>
      </c>
      <c r="K493" s="1" t="s">
        <v>553</v>
      </c>
      <c r="L493" s="1" t="s">
        <v>554</v>
      </c>
      <c r="M493" s="1" t="s">
        <v>537</v>
      </c>
      <c r="N493" s="1">
        <v>0.0</v>
      </c>
      <c r="O493" s="1">
        <v>44.25</v>
      </c>
      <c r="P493" s="1">
        <v>0.0</v>
      </c>
      <c r="Q493" s="1">
        <v>0.0</v>
      </c>
      <c r="R493" s="1">
        <v>0.0</v>
      </c>
      <c r="S493" s="1" t="s">
        <v>538</v>
      </c>
      <c r="T493" s="1" t="s">
        <v>539</v>
      </c>
      <c r="V493" s="4">
        <v>7399184.0</v>
      </c>
      <c r="W493" s="4"/>
      <c r="X493" s="4">
        <v>0.0</v>
      </c>
      <c r="Y493" s="1">
        <v>0.0</v>
      </c>
      <c r="Z493" s="1">
        <v>0.0</v>
      </c>
      <c r="AA493" s="1">
        <v>1.0</v>
      </c>
      <c r="AB493" s="1">
        <v>0.0</v>
      </c>
      <c r="AC493" s="1">
        <v>0.0</v>
      </c>
      <c r="AD493" s="1">
        <v>0.0</v>
      </c>
      <c r="AE493" s="1">
        <v>0.0</v>
      </c>
      <c r="AF493" s="1">
        <v>0.0</v>
      </c>
      <c r="AG493" s="1">
        <v>0.0</v>
      </c>
      <c r="AH493" s="1">
        <v>0.0</v>
      </c>
      <c r="AI493" s="1">
        <v>0.0</v>
      </c>
      <c r="AJ493" s="1">
        <v>0.0</v>
      </c>
      <c r="AK493" s="1">
        <v>0.0</v>
      </c>
      <c r="AL493" s="1">
        <v>0.0</v>
      </c>
      <c r="AM493" s="4">
        <v>0.0</v>
      </c>
      <c r="AN493" s="1">
        <v>0.0</v>
      </c>
      <c r="AO493" s="4">
        <v>0.0</v>
      </c>
      <c r="AP493" s="1">
        <f t="shared" si="1"/>
        <v>0</v>
      </c>
      <c r="AU493" s="2"/>
      <c r="AV493" s="2">
        <v>46024.0215277778</v>
      </c>
      <c r="AW493" s="1">
        <v>0.0</v>
      </c>
      <c r="AX493" s="1">
        <v>0.0</v>
      </c>
      <c r="AY493" s="1">
        <v>0.0</v>
      </c>
      <c r="AZ493" s="1">
        <v>1.0</v>
      </c>
      <c r="BA493" s="1">
        <v>0.0</v>
      </c>
      <c r="BB493" s="1">
        <v>0.0</v>
      </c>
      <c r="BC493" s="2">
        <v>46010.0</v>
      </c>
      <c r="BD493" s="1">
        <v>50.0</v>
      </c>
      <c r="BE493" s="1" t="s">
        <v>550</v>
      </c>
      <c r="BF493" s="1">
        <v>2025.0</v>
      </c>
      <c r="BG493" s="1" t="s">
        <v>558</v>
      </c>
      <c r="BH493" s="7" t="str">
        <f>VLOOKUP(B493,CookieClicks!D:O,12,FALSE)</f>
        <v>https://www.method.me/features/estimates/?trc=81&amp;trk=&amp;trs=USA-DSA-QB&amp;campaignid=13038312612&amp;adgroupid=128764620688&amp;adid=776781070272&amp;gad_source=1&amp;gad_campaignid=13038312612&amp;gbraid=0AAAAAD3ItnaQ2DQyUeuYUlCbYb1aMX_xt&amp;gclid=Cj0KCQiAjJTKBhCjARIsAIMC44_uxtHM-F097m9vjmiPGXqixIP5twuNA71xhfcYPeyWkzbMICn5RNMaAjMuEALw_wcB</v>
      </c>
      <c r="BI493" s="8" t="str">
        <f>IFERROR(__xludf.DUMMYFUNCTION("VLOOKUP(REGEXREPLACE(BH493,""[?].*"",""""),ContentBuckets!A:C,2,FALSE)"),"Features page")</f>
        <v>Features page</v>
      </c>
      <c r="BJ493" s="8" t="str">
        <f>IFERROR(__xludf.DUMMYFUNCTION("VLOOKUP(REGEXREPLACE(BH493,""[?].*"",""""),ContentBuckets!A:C,3,FALSE)"),"Other page")</f>
        <v>Other page</v>
      </c>
    </row>
    <row r="494" ht="14.25" customHeight="1">
      <c r="A494" s="1">
        <v>153729.0</v>
      </c>
      <c r="B494" s="1" t="s">
        <v>1239</v>
      </c>
      <c r="C494" s="2">
        <v>46010.4465277778</v>
      </c>
      <c r="D494" s="2"/>
      <c r="E494" s="2">
        <v>46013.55</v>
      </c>
      <c r="F494" s="1" t="b">
        <v>1</v>
      </c>
      <c r="G494" s="4" t="b">
        <v>0</v>
      </c>
      <c r="H494" s="1" t="b">
        <v>0</v>
      </c>
      <c r="I494" s="1" t="b">
        <v>0</v>
      </c>
      <c r="J494" s="1" t="s">
        <v>534</v>
      </c>
      <c r="K494" s="1" t="s">
        <v>535</v>
      </c>
      <c r="L494" s="1" t="s">
        <v>536</v>
      </c>
      <c r="M494" s="1" t="s">
        <v>537</v>
      </c>
      <c r="N494" s="1">
        <v>53.25</v>
      </c>
      <c r="O494" s="1">
        <v>53.25</v>
      </c>
      <c r="P494" s="1">
        <v>0.0</v>
      </c>
      <c r="Q494" s="1">
        <v>0.0</v>
      </c>
      <c r="R494" s="1">
        <v>28.0</v>
      </c>
      <c r="S494" s="1" t="s">
        <v>538</v>
      </c>
      <c r="T494" s="1" t="s">
        <v>539</v>
      </c>
      <c r="V494" s="4">
        <v>7400650.0</v>
      </c>
      <c r="W494" s="4"/>
      <c r="X494" s="4">
        <v>0.0</v>
      </c>
      <c r="Y494" s="1">
        <v>0.0</v>
      </c>
      <c r="Z494" s="1">
        <v>1.0</v>
      </c>
      <c r="AA494" s="1">
        <v>0.0</v>
      </c>
      <c r="AB494" s="1">
        <v>0.0</v>
      </c>
      <c r="AC494" s="1">
        <v>0.0</v>
      </c>
      <c r="AD494" s="1">
        <v>0.0</v>
      </c>
      <c r="AE494" s="1">
        <v>0.0</v>
      </c>
      <c r="AF494" s="1">
        <v>0.0</v>
      </c>
      <c r="AG494" s="1">
        <v>0.0</v>
      </c>
      <c r="AH494" s="1">
        <v>0.0</v>
      </c>
      <c r="AI494" s="1">
        <v>0.0</v>
      </c>
      <c r="AJ494" s="1">
        <v>0.0</v>
      </c>
      <c r="AK494" s="1">
        <v>0.0</v>
      </c>
      <c r="AL494" s="1">
        <v>0.0</v>
      </c>
      <c r="AM494" s="4">
        <v>0.0</v>
      </c>
      <c r="AN494" s="1">
        <v>0.0</v>
      </c>
      <c r="AO494" s="4">
        <v>0.0</v>
      </c>
      <c r="AP494" s="1">
        <f t="shared" si="1"/>
        <v>0</v>
      </c>
      <c r="AQ494" s="1" t="s">
        <v>557</v>
      </c>
      <c r="AR494" s="1" t="s">
        <v>591</v>
      </c>
      <c r="AU494" s="2">
        <v>46010.0</v>
      </c>
      <c r="AV494" s="2">
        <v>46024.0270833333</v>
      </c>
      <c r="AW494" s="1">
        <v>2.0</v>
      </c>
      <c r="AX494" s="1">
        <v>729373.08</v>
      </c>
      <c r="AY494" s="1">
        <v>54.0</v>
      </c>
      <c r="AZ494" s="1">
        <v>1.0</v>
      </c>
      <c r="BA494" s="1">
        <v>0.0</v>
      </c>
      <c r="BB494" s="1">
        <v>1.0</v>
      </c>
      <c r="BC494" s="2">
        <v>46010.0</v>
      </c>
      <c r="BD494" s="1">
        <v>50.0</v>
      </c>
      <c r="BE494" s="1" t="s">
        <v>550</v>
      </c>
      <c r="BF494" s="1">
        <v>2025.0</v>
      </c>
      <c r="BG494" s="1" t="s">
        <v>558</v>
      </c>
      <c r="BH494" s="7" t="str">
        <f>VLOOKUP(B494,CookieClicks!D:O,12,FALSE)</f>
        <v>https://signup.method.me/QBOAppstoreSignup?offering=methodcrm</v>
      </c>
      <c r="BI494" s="8" t="str">
        <f>IFERROR(__xludf.DUMMYFUNCTION("VLOOKUP(REGEXREPLACE(BH494,""[?].*"",""""),ContentBuckets!A:C,2,FALSE)"),"#N/A")</f>
        <v>#N/A</v>
      </c>
      <c r="BJ494" s="8" t="str">
        <f>IFERROR(__xludf.DUMMYFUNCTION("VLOOKUP(REGEXREPLACE(BH494,""[?].*"",""""),ContentBuckets!A:C,3,FALSE)"),"#N/A")</f>
        <v>#N/A</v>
      </c>
    </row>
    <row r="495" ht="14.25" customHeight="1">
      <c r="A495" s="1">
        <v>153730.0</v>
      </c>
      <c r="B495" s="1" t="s">
        <v>1240</v>
      </c>
      <c r="C495" s="2">
        <v>46010.4493055556</v>
      </c>
      <c r="D495" s="2"/>
      <c r="E495" s="2"/>
      <c r="F495" s="1" t="b">
        <v>1</v>
      </c>
      <c r="G495" s="4" t="b">
        <v>0</v>
      </c>
      <c r="H495" s="1" t="b">
        <v>0</v>
      </c>
      <c r="I495" s="1" t="b">
        <v>0</v>
      </c>
      <c r="J495" s="1" t="s">
        <v>534</v>
      </c>
      <c r="K495" s="1" t="s">
        <v>566</v>
      </c>
      <c r="L495" s="1" t="s">
        <v>567</v>
      </c>
      <c r="M495" s="1" t="s">
        <v>537</v>
      </c>
      <c r="N495" s="1">
        <v>0.0</v>
      </c>
      <c r="O495" s="1">
        <v>44.25</v>
      </c>
      <c r="P495" s="1">
        <v>0.0</v>
      </c>
      <c r="Q495" s="1">
        <v>0.0</v>
      </c>
      <c r="R495" s="1">
        <v>28.0</v>
      </c>
      <c r="S495" s="1" t="s">
        <v>538</v>
      </c>
      <c r="T495" s="1" t="s">
        <v>539</v>
      </c>
      <c r="V495" s="4">
        <v>7104534.0</v>
      </c>
      <c r="W495" s="4" t="s">
        <v>653</v>
      </c>
      <c r="X495" s="4">
        <v>0.0</v>
      </c>
      <c r="Y495" s="1">
        <v>0.5</v>
      </c>
      <c r="Z495" s="1">
        <v>0.0</v>
      </c>
      <c r="AA495" s="1">
        <v>0.5</v>
      </c>
      <c r="AB495" s="1">
        <v>0.0</v>
      </c>
      <c r="AC495" s="1">
        <v>0.0</v>
      </c>
      <c r="AD495" s="1">
        <v>0.0</v>
      </c>
      <c r="AE495" s="1">
        <v>0.0</v>
      </c>
      <c r="AF495" s="1">
        <v>0.0</v>
      </c>
      <c r="AG495" s="1">
        <v>0.0</v>
      </c>
      <c r="AH495" s="1">
        <v>0.0</v>
      </c>
      <c r="AI495" s="1">
        <v>0.0</v>
      </c>
      <c r="AJ495" s="1">
        <v>0.0</v>
      </c>
      <c r="AK495" s="1">
        <v>0.0</v>
      </c>
      <c r="AL495" s="1">
        <v>0.0</v>
      </c>
      <c r="AM495" s="4">
        <v>0.0</v>
      </c>
      <c r="AN495" s="1">
        <v>0.0</v>
      </c>
      <c r="AO495" s="4">
        <v>0.0</v>
      </c>
      <c r="AP495" s="1">
        <f t="shared" si="1"/>
        <v>0</v>
      </c>
      <c r="AQ495" s="1" t="s">
        <v>557</v>
      </c>
      <c r="AR495" s="1" t="s">
        <v>568</v>
      </c>
      <c r="AT495" s="1" t="s">
        <v>616</v>
      </c>
      <c r="AU495" s="2">
        <v>46013.0</v>
      </c>
      <c r="AV495" s="2">
        <v>46023.9861111111</v>
      </c>
      <c r="AW495" s="1">
        <v>20.0</v>
      </c>
      <c r="AX495" s="1">
        <v>2782696.32</v>
      </c>
      <c r="AY495" s="1">
        <v>206.0</v>
      </c>
      <c r="AZ495" s="1">
        <v>1.0</v>
      </c>
      <c r="BA495" s="1">
        <v>0.0</v>
      </c>
      <c r="BB495" s="1">
        <v>0.0</v>
      </c>
      <c r="BC495" s="2">
        <v>46010.0</v>
      </c>
      <c r="BD495" s="1">
        <v>50.0</v>
      </c>
      <c r="BE495" s="1" t="s">
        <v>550</v>
      </c>
      <c r="BF495" s="1">
        <v>2025.0</v>
      </c>
      <c r="BG495" s="1" t="s">
        <v>558</v>
      </c>
      <c r="BH495" s="7" t="str">
        <f>VLOOKUP(B495,CookieClicks!D:O,12,FALSE)</f>
        <v>https://www.method.me/blog/how-to-import-transactions-into-quickbooks-desktop-from-excel/</v>
      </c>
      <c r="BI495" s="8" t="str">
        <f>IFERROR(__xludf.DUMMYFUNCTION("VLOOKUP(REGEXREPLACE(BH495,""[?].*"",""""),ContentBuckets!A:C,2,FALSE)"),"QuickBooks - How-to")</f>
        <v>QuickBooks - How-to</v>
      </c>
      <c r="BJ495" s="8" t="str">
        <f>IFERROR(__xludf.DUMMYFUNCTION("VLOOKUP(REGEXREPLACE(BH495,""[?].*"",""""),ContentBuckets!A:C,3,FALSE)"),"Blog")</f>
        <v>Blog</v>
      </c>
    </row>
    <row r="496" ht="14.25" customHeight="1">
      <c r="A496" s="1">
        <v>153731.0</v>
      </c>
      <c r="B496" s="1" t="s">
        <v>1241</v>
      </c>
      <c r="C496" s="2">
        <v>46010.4506944444</v>
      </c>
      <c r="D496" s="2"/>
      <c r="E496" s="2"/>
      <c r="F496" s="1" t="b">
        <v>1</v>
      </c>
      <c r="G496" s="4" t="b">
        <v>0</v>
      </c>
      <c r="H496" s="1" t="b">
        <v>0</v>
      </c>
      <c r="I496" s="1" t="b">
        <v>0</v>
      </c>
      <c r="J496" s="1" t="s">
        <v>534</v>
      </c>
      <c r="K496" s="1" t="s">
        <v>553</v>
      </c>
      <c r="L496" s="1" t="s">
        <v>554</v>
      </c>
      <c r="M496" s="1" t="s">
        <v>537</v>
      </c>
      <c r="N496" s="1">
        <v>0.0</v>
      </c>
      <c r="O496" s="1">
        <v>44.25</v>
      </c>
      <c r="P496" s="1">
        <v>0.0</v>
      </c>
      <c r="Q496" s="1">
        <v>0.0</v>
      </c>
      <c r="R496" s="1">
        <v>0.0</v>
      </c>
      <c r="S496" s="1" t="s">
        <v>538</v>
      </c>
      <c r="T496" s="1" t="s">
        <v>539</v>
      </c>
      <c r="V496" s="4">
        <v>7400714.0</v>
      </c>
      <c r="W496" s="4" t="s">
        <v>540</v>
      </c>
      <c r="X496" s="4">
        <v>0.0</v>
      </c>
      <c r="Y496" s="1">
        <v>1.0</v>
      </c>
      <c r="Z496" s="1">
        <v>0.0</v>
      </c>
      <c r="AA496" s="1">
        <v>0.0</v>
      </c>
      <c r="AB496" s="1">
        <v>0.0</v>
      </c>
      <c r="AC496" s="1">
        <v>0.0</v>
      </c>
      <c r="AD496" s="1">
        <v>0.0</v>
      </c>
      <c r="AE496" s="1">
        <v>0.0</v>
      </c>
      <c r="AF496" s="1">
        <v>0.0</v>
      </c>
      <c r="AG496" s="1">
        <v>0.0</v>
      </c>
      <c r="AH496" s="1">
        <v>0.0</v>
      </c>
      <c r="AI496" s="1">
        <v>0.0</v>
      </c>
      <c r="AJ496" s="1">
        <v>0.0</v>
      </c>
      <c r="AK496" s="1">
        <v>0.0</v>
      </c>
      <c r="AL496" s="1">
        <v>0.0</v>
      </c>
      <c r="AM496" s="4">
        <v>0.0</v>
      </c>
      <c r="AN496" s="1">
        <v>0.0</v>
      </c>
      <c r="AO496" s="4">
        <v>0.0</v>
      </c>
      <c r="AP496" s="1">
        <f t="shared" si="1"/>
        <v>0</v>
      </c>
      <c r="AU496" s="2"/>
      <c r="AV496" s="2">
        <v>46024.0104166667</v>
      </c>
      <c r="AW496" s="1">
        <v>0.0</v>
      </c>
      <c r="AX496" s="1">
        <v>0.0</v>
      </c>
      <c r="AY496" s="1">
        <v>0.0</v>
      </c>
      <c r="AZ496" s="1">
        <v>1.0</v>
      </c>
      <c r="BA496" s="1">
        <v>0.0</v>
      </c>
      <c r="BB496" s="1">
        <v>0.0</v>
      </c>
      <c r="BC496" s="2">
        <v>46010.0</v>
      </c>
      <c r="BD496" s="1">
        <v>50.0</v>
      </c>
      <c r="BE496" s="1" t="s">
        <v>550</v>
      </c>
      <c r="BF496" s="1">
        <v>2025.0</v>
      </c>
      <c r="BG496" s="1" t="s">
        <v>558</v>
      </c>
      <c r="BH496" s="7" t="str">
        <f>VLOOKUP(B496,CookieClicks!D:O,12,FALSE)</f>
        <v>https://www.method.me/</v>
      </c>
      <c r="BI496" s="8" t="str">
        <f>IFERROR(__xludf.DUMMYFUNCTION("VLOOKUP(REGEXREPLACE(BH496,""[?].*"",""""),ContentBuckets!A:C,2,FALSE)"),"Homepage")</f>
        <v>Homepage</v>
      </c>
      <c r="BJ496" s="8" t="str">
        <f>IFERROR(__xludf.DUMMYFUNCTION("VLOOKUP(REGEXREPLACE(BH496,""[?].*"",""""),ContentBuckets!A:C,3,FALSE)"),"Other page")</f>
        <v>Other page</v>
      </c>
    </row>
    <row r="497" ht="14.25" customHeight="1">
      <c r="A497" s="1">
        <v>153732.0</v>
      </c>
      <c r="B497" s="1" t="s">
        <v>1242</v>
      </c>
      <c r="C497" s="2">
        <v>46010.4638888889</v>
      </c>
      <c r="D497" s="2"/>
      <c r="E497" s="2"/>
      <c r="F497" s="1" t="b">
        <v>1</v>
      </c>
      <c r="G497" s="4" t="b">
        <v>0</v>
      </c>
      <c r="H497" s="1" t="b">
        <v>0</v>
      </c>
      <c r="I497" s="1" t="b">
        <v>0</v>
      </c>
      <c r="J497" s="1" t="s">
        <v>534</v>
      </c>
      <c r="K497" s="1" t="s">
        <v>535</v>
      </c>
      <c r="L497" s="1" t="s">
        <v>536</v>
      </c>
      <c r="M497" s="1" t="s">
        <v>537</v>
      </c>
      <c r="N497" s="1">
        <v>0.0</v>
      </c>
      <c r="O497" s="1">
        <v>53.25</v>
      </c>
      <c r="P497" s="1">
        <v>0.0</v>
      </c>
      <c r="Q497" s="1">
        <v>0.0</v>
      </c>
      <c r="R497" s="1">
        <v>28.0</v>
      </c>
      <c r="S497" s="1" t="s">
        <v>538</v>
      </c>
      <c r="T497" s="1" t="s">
        <v>539</v>
      </c>
      <c r="V497" s="4">
        <v>7400927.0</v>
      </c>
      <c r="W497" s="4" t="s">
        <v>540</v>
      </c>
      <c r="X497" s="4">
        <v>0.0</v>
      </c>
      <c r="Y497" s="1">
        <v>1.0</v>
      </c>
      <c r="Z497" s="1">
        <v>0.0</v>
      </c>
      <c r="AA497" s="1">
        <v>0.0</v>
      </c>
      <c r="AB497" s="1">
        <v>0.0</v>
      </c>
      <c r="AC497" s="1">
        <v>0.0</v>
      </c>
      <c r="AD497" s="1">
        <v>0.0</v>
      </c>
      <c r="AE497" s="1">
        <v>0.0</v>
      </c>
      <c r="AF497" s="1">
        <v>0.0</v>
      </c>
      <c r="AG497" s="1">
        <v>0.0</v>
      </c>
      <c r="AH497" s="1">
        <v>0.0</v>
      </c>
      <c r="AI497" s="1">
        <v>0.0</v>
      </c>
      <c r="AJ497" s="1">
        <v>0.0</v>
      </c>
      <c r="AK497" s="1">
        <v>0.0</v>
      </c>
      <c r="AL497" s="1">
        <v>0.0</v>
      </c>
      <c r="AM497" s="4">
        <v>0.0</v>
      </c>
      <c r="AN497" s="1">
        <v>0.0</v>
      </c>
      <c r="AO497" s="4">
        <v>0.0</v>
      </c>
      <c r="AP497" s="1">
        <f t="shared" si="1"/>
        <v>0</v>
      </c>
      <c r="AQ497" s="1" t="s">
        <v>557</v>
      </c>
      <c r="AR497" s="1" t="s">
        <v>542</v>
      </c>
      <c r="AU497" s="2">
        <v>46010.0</v>
      </c>
      <c r="AV497" s="2">
        <v>46024.0305555556</v>
      </c>
      <c r="AW497" s="1">
        <v>1.0</v>
      </c>
      <c r="AX497" s="1">
        <v>258720.0</v>
      </c>
      <c r="AY497" s="1">
        <v>242.0</v>
      </c>
      <c r="AZ497" s="1">
        <v>1.0</v>
      </c>
      <c r="BA497" s="1">
        <v>0.0</v>
      </c>
      <c r="BB497" s="1">
        <v>0.0</v>
      </c>
      <c r="BC497" s="2">
        <v>46010.0</v>
      </c>
      <c r="BD497" s="1">
        <v>50.0</v>
      </c>
      <c r="BE497" s="1" t="s">
        <v>550</v>
      </c>
      <c r="BF497" s="1">
        <v>2025.0</v>
      </c>
      <c r="BG497" s="1" t="s">
        <v>558</v>
      </c>
      <c r="BH497" s="7" t="str">
        <f>VLOOKUP(B497,CookieClicks!D:O,12,FALSE)</f>
        <v>https://www.method.me/</v>
      </c>
      <c r="BI497" s="8" t="str">
        <f>IFERROR(__xludf.DUMMYFUNCTION("VLOOKUP(REGEXREPLACE(BH497,""[?].*"",""""),ContentBuckets!A:C,2,FALSE)"),"Homepage")</f>
        <v>Homepage</v>
      </c>
      <c r="BJ497" s="8" t="str">
        <f>IFERROR(__xludf.DUMMYFUNCTION("VLOOKUP(REGEXREPLACE(BH497,""[?].*"",""""),ContentBuckets!A:C,3,FALSE)"),"Other page")</f>
        <v>Other page</v>
      </c>
    </row>
    <row r="498" ht="14.25" customHeight="1">
      <c r="A498" s="1">
        <v>153733.0</v>
      </c>
      <c r="B498" s="1" t="s">
        <v>1243</v>
      </c>
      <c r="C498" s="2">
        <v>46010.46875</v>
      </c>
      <c r="D498" s="2">
        <v>46010.5902777778</v>
      </c>
      <c r="E498" s="2"/>
      <c r="F498" s="1" t="b">
        <v>0</v>
      </c>
      <c r="G498" s="4" t="b">
        <v>0</v>
      </c>
      <c r="H498" s="1" t="b">
        <v>0</v>
      </c>
      <c r="I498" s="1" t="b">
        <v>0</v>
      </c>
      <c r="J498" s="1" t="s">
        <v>534</v>
      </c>
      <c r="K498" s="1" t="s">
        <v>566</v>
      </c>
      <c r="L498" s="1" t="s">
        <v>567</v>
      </c>
      <c r="M498" s="1" t="s">
        <v>537</v>
      </c>
      <c r="N498" s="1">
        <v>0.0</v>
      </c>
      <c r="O498" s="1">
        <v>0.0</v>
      </c>
      <c r="P498" s="1">
        <v>0.0</v>
      </c>
      <c r="Q498" s="1">
        <v>0.0</v>
      </c>
      <c r="R498" s="1">
        <v>28.0</v>
      </c>
      <c r="S498" s="1" t="s">
        <v>538</v>
      </c>
      <c r="T498" s="1" t="s">
        <v>539</v>
      </c>
      <c r="V498" s="4">
        <v>7359092.0</v>
      </c>
      <c r="W498" s="4" t="s">
        <v>540</v>
      </c>
      <c r="X498" s="4">
        <v>0.0</v>
      </c>
      <c r="Y498" s="1">
        <v>1.0</v>
      </c>
      <c r="Z498" s="1">
        <v>0.0</v>
      </c>
      <c r="AA498" s="1">
        <v>0.0</v>
      </c>
      <c r="AB498" s="1">
        <v>0.0</v>
      </c>
      <c r="AC498" s="1">
        <v>0.0</v>
      </c>
      <c r="AD498" s="1">
        <v>0.0</v>
      </c>
      <c r="AE498" s="1">
        <v>0.0</v>
      </c>
      <c r="AF498" s="1">
        <v>0.0</v>
      </c>
      <c r="AG498" s="1">
        <v>0.0</v>
      </c>
      <c r="AH498" s="1">
        <v>0.0</v>
      </c>
      <c r="AI498" s="1">
        <v>0.0</v>
      </c>
      <c r="AJ498" s="1">
        <v>0.0</v>
      </c>
      <c r="AK498" s="1">
        <v>0.0</v>
      </c>
      <c r="AL498" s="1">
        <v>0.0</v>
      </c>
      <c r="AM498" s="4">
        <v>0.0</v>
      </c>
      <c r="AN498" s="1">
        <v>0.0</v>
      </c>
      <c r="AO498" s="4">
        <v>0.0</v>
      </c>
      <c r="AP498" s="1">
        <f t="shared" si="1"/>
        <v>0</v>
      </c>
      <c r="AQ498" s="1" t="s">
        <v>557</v>
      </c>
      <c r="AR498" s="1" t="s">
        <v>568</v>
      </c>
      <c r="AU498" s="2"/>
      <c r="AV498" s="2"/>
      <c r="AW498" s="1">
        <v>0.0</v>
      </c>
      <c r="AX498" s="1">
        <v>0.0</v>
      </c>
      <c r="AY498" s="1">
        <v>0.0</v>
      </c>
      <c r="AZ498" s="1">
        <v>1.0</v>
      </c>
      <c r="BA498" s="1">
        <v>0.0</v>
      </c>
      <c r="BB498" s="1">
        <v>0.0</v>
      </c>
      <c r="BC498" s="2">
        <v>46010.0</v>
      </c>
      <c r="BD498" s="1">
        <v>50.0</v>
      </c>
      <c r="BE498" s="1" t="s">
        <v>550</v>
      </c>
      <c r="BF498" s="1">
        <v>2025.0</v>
      </c>
      <c r="BG498" s="1" t="s">
        <v>558</v>
      </c>
      <c r="BH498" s="7" t="str">
        <f>VLOOKUP(B498,CookieClicks!D:O,12,FALSE)</f>
        <v>https://www.method.me/</v>
      </c>
      <c r="BI498" s="8" t="str">
        <f>IFERROR(__xludf.DUMMYFUNCTION("VLOOKUP(REGEXREPLACE(BH498,""[?].*"",""""),ContentBuckets!A:C,2,FALSE)"),"Homepage")</f>
        <v>Homepage</v>
      </c>
      <c r="BJ498" s="8" t="str">
        <f>IFERROR(__xludf.DUMMYFUNCTION("VLOOKUP(REGEXREPLACE(BH498,""[?].*"",""""),ContentBuckets!A:C,3,FALSE)"),"Other page")</f>
        <v>Other page</v>
      </c>
    </row>
    <row r="499" ht="14.25" customHeight="1">
      <c r="A499" s="1">
        <v>153735.0</v>
      </c>
      <c r="B499" s="1" t="s">
        <v>1244</v>
      </c>
      <c r="C499" s="2">
        <v>46010.4833333333</v>
      </c>
      <c r="D499" s="2"/>
      <c r="E499" s="2"/>
      <c r="F499" s="1" t="b">
        <v>1</v>
      </c>
      <c r="G499" s="4" t="b">
        <v>0</v>
      </c>
      <c r="H499" s="1" t="b">
        <v>0</v>
      </c>
      <c r="I499" s="1" t="b">
        <v>0</v>
      </c>
      <c r="J499" s="1" t="s">
        <v>534</v>
      </c>
      <c r="K499" s="1" t="s">
        <v>535</v>
      </c>
      <c r="L499" s="1" t="s">
        <v>536</v>
      </c>
      <c r="M499" s="1" t="s">
        <v>537</v>
      </c>
      <c r="N499" s="1">
        <v>0.0</v>
      </c>
      <c r="O499" s="1">
        <v>53.25</v>
      </c>
      <c r="P499" s="1">
        <v>0.0</v>
      </c>
      <c r="Q499" s="1">
        <v>0.0</v>
      </c>
      <c r="R499" s="1">
        <v>28.0</v>
      </c>
      <c r="S499" s="1" t="s">
        <v>538</v>
      </c>
      <c r="T499" s="1" t="s">
        <v>539</v>
      </c>
      <c r="V499" s="4">
        <v>0.0</v>
      </c>
      <c r="W499" s="4"/>
      <c r="X499" s="4">
        <v>0.0</v>
      </c>
      <c r="Y499" s="1">
        <v>0.0</v>
      </c>
      <c r="Z499" s="1">
        <v>0.0</v>
      </c>
      <c r="AA499" s="1">
        <v>0.0</v>
      </c>
      <c r="AB499" s="1">
        <v>0.0</v>
      </c>
      <c r="AC499" s="1">
        <v>0.0</v>
      </c>
      <c r="AD499" s="1">
        <v>0.0</v>
      </c>
      <c r="AE499" s="1">
        <v>0.0</v>
      </c>
      <c r="AF499" s="1">
        <v>0.0</v>
      </c>
      <c r="AG499" s="1">
        <v>0.0</v>
      </c>
      <c r="AH499" s="1">
        <v>0.0</v>
      </c>
      <c r="AI499" s="1">
        <v>0.0</v>
      </c>
      <c r="AJ499" s="1">
        <v>0.0</v>
      </c>
      <c r="AK499" s="1">
        <v>0.0</v>
      </c>
      <c r="AL499" s="1">
        <v>0.0</v>
      </c>
      <c r="AM499" s="4">
        <v>0.0</v>
      </c>
      <c r="AN499" s="1">
        <v>0.0</v>
      </c>
      <c r="AO499" s="4">
        <v>0.0</v>
      </c>
      <c r="AP499" s="1">
        <f t="shared" si="1"/>
        <v>1</v>
      </c>
      <c r="AQ499" s="1" t="s">
        <v>557</v>
      </c>
      <c r="AR499" s="1" t="s">
        <v>564</v>
      </c>
      <c r="AT499" s="1" t="s">
        <v>1245</v>
      </c>
      <c r="AU499" s="2">
        <v>46010.0</v>
      </c>
      <c r="AV499" s="2">
        <v>46023.9854166667</v>
      </c>
      <c r="AW499" s="1">
        <v>0.0</v>
      </c>
      <c r="AX499" s="1">
        <v>47880.0</v>
      </c>
      <c r="AY499" s="1">
        <v>7.0</v>
      </c>
      <c r="AZ499" s="1">
        <v>1.0</v>
      </c>
      <c r="BA499" s="1">
        <v>0.0</v>
      </c>
      <c r="BB499" s="1">
        <v>0.0</v>
      </c>
      <c r="BC499" s="2">
        <v>46010.0</v>
      </c>
      <c r="BD499" s="1">
        <v>50.0</v>
      </c>
      <c r="BE499" s="1" t="s">
        <v>550</v>
      </c>
      <c r="BF499" s="1">
        <v>2025.0</v>
      </c>
      <c r="BG499" s="1" t="s">
        <v>558</v>
      </c>
      <c r="BH499" s="1" t="str">
        <f>VLOOKUP(B499,CookieClicks!D:O,12,FALSE)</f>
        <v>#N/A</v>
      </c>
      <c r="BI499" s="8" t="str">
        <f>IFERROR(__xludf.DUMMYFUNCTION("VLOOKUP(REGEXREPLACE(BH499,""[?].*"",""""),ContentBuckets!A:C,2,FALSE)"),"#N/A")</f>
        <v>#N/A</v>
      </c>
      <c r="BJ499" s="8" t="str">
        <f>IFERROR(__xludf.DUMMYFUNCTION("VLOOKUP(REGEXREPLACE(BH499,""[?].*"",""""),ContentBuckets!A:C,3,FALSE)"),"#N/A")</f>
        <v>#N/A</v>
      </c>
    </row>
    <row r="500" ht="14.25" customHeight="1">
      <c r="A500" s="1">
        <v>153742.0</v>
      </c>
      <c r="B500" s="1" t="s">
        <v>1246</v>
      </c>
      <c r="C500" s="2">
        <v>46010.4923611111</v>
      </c>
      <c r="D500" s="2"/>
      <c r="E500" s="2"/>
      <c r="F500" s="1" t="b">
        <v>1</v>
      </c>
      <c r="G500" s="4" t="b">
        <v>0</v>
      </c>
      <c r="H500" s="1" t="b">
        <v>0</v>
      </c>
      <c r="I500" s="1" t="b">
        <v>0</v>
      </c>
      <c r="J500" s="1" t="s">
        <v>534</v>
      </c>
      <c r="K500" s="1" t="s">
        <v>535</v>
      </c>
      <c r="L500" s="1" t="s">
        <v>536</v>
      </c>
      <c r="M500" s="1" t="s">
        <v>537</v>
      </c>
      <c r="N500" s="1">
        <v>0.0</v>
      </c>
      <c r="O500" s="1">
        <v>44.25</v>
      </c>
      <c r="P500" s="1">
        <v>0.0</v>
      </c>
      <c r="Q500" s="1">
        <v>0.0</v>
      </c>
      <c r="R500" s="1">
        <v>28.0</v>
      </c>
      <c r="S500" s="1" t="s">
        <v>538</v>
      </c>
      <c r="T500" s="1" t="s">
        <v>539</v>
      </c>
      <c r="V500" s="4">
        <v>7401497.0</v>
      </c>
      <c r="W500" s="4"/>
      <c r="X500" s="4">
        <v>0.0</v>
      </c>
      <c r="Y500" s="1">
        <v>0.0</v>
      </c>
      <c r="Z500" s="1">
        <v>0.0</v>
      </c>
      <c r="AA500" s="1">
        <v>1.0</v>
      </c>
      <c r="AB500" s="1">
        <v>0.0</v>
      </c>
      <c r="AC500" s="1">
        <v>0.0</v>
      </c>
      <c r="AD500" s="1">
        <v>0.0</v>
      </c>
      <c r="AE500" s="1">
        <v>0.0</v>
      </c>
      <c r="AF500" s="1">
        <v>0.0</v>
      </c>
      <c r="AG500" s="1">
        <v>0.0</v>
      </c>
      <c r="AH500" s="1">
        <v>0.0</v>
      </c>
      <c r="AI500" s="1">
        <v>0.0</v>
      </c>
      <c r="AJ500" s="1">
        <v>0.0</v>
      </c>
      <c r="AK500" s="1">
        <v>0.0</v>
      </c>
      <c r="AL500" s="1">
        <v>0.0</v>
      </c>
      <c r="AM500" s="4">
        <v>0.0</v>
      </c>
      <c r="AN500" s="1">
        <v>0.0</v>
      </c>
      <c r="AO500" s="4">
        <v>0.0</v>
      </c>
      <c r="AP500" s="1">
        <f t="shared" si="1"/>
        <v>0</v>
      </c>
      <c r="AQ500" s="1" t="s">
        <v>557</v>
      </c>
      <c r="AR500" s="1" t="s">
        <v>560</v>
      </c>
      <c r="AT500" s="1" t="s">
        <v>1247</v>
      </c>
      <c r="AU500" s="2">
        <v>46010.0</v>
      </c>
      <c r="AV500" s="2">
        <v>46023.9909722222</v>
      </c>
      <c r="AW500" s="1">
        <v>0.0</v>
      </c>
      <c r="AX500" s="1">
        <v>16800.0</v>
      </c>
      <c r="AY500" s="1">
        <v>44.0</v>
      </c>
      <c r="AZ500" s="1">
        <v>1.0</v>
      </c>
      <c r="BA500" s="1">
        <v>0.0</v>
      </c>
      <c r="BB500" s="1">
        <v>0.0</v>
      </c>
      <c r="BC500" s="2">
        <v>46010.0</v>
      </c>
      <c r="BD500" s="1">
        <v>50.0</v>
      </c>
      <c r="BE500" s="1" t="s">
        <v>550</v>
      </c>
      <c r="BF500" s="1">
        <v>2025.0</v>
      </c>
      <c r="BG500" s="1" t="s">
        <v>558</v>
      </c>
      <c r="BH500" s="7" t="str">
        <f>VLOOKUP(B500,CookieClicks!D:O,12,FALSE)</f>
        <v>https://grow.method.me/method-proposals/?trc=78&amp;trs=Proposals&amp;trk=LP&amp;utm_source=capterra&amp;utm_medium=cpc&amp;utm_campaign=destinationURL&amp;gdmcid=95eeceb2-1599-4f6b-aa38-ee722156b866</v>
      </c>
      <c r="BI500" s="8" t="str">
        <f>IFERROR(__xludf.DUMMYFUNCTION("VLOOKUP(REGEXREPLACE(BH500,""[?].*"",""""),ContentBuckets!A:C,2,FALSE)"),"#N/A")</f>
        <v>#N/A</v>
      </c>
      <c r="BJ500" s="8" t="str">
        <f>IFERROR(__xludf.DUMMYFUNCTION("VLOOKUP(REGEXREPLACE(BH500,""[?].*"",""""),ContentBuckets!A:C,3,FALSE)"),"#N/A")</f>
        <v>#N/A</v>
      </c>
    </row>
    <row r="501" ht="14.25" customHeight="1">
      <c r="A501" s="1">
        <v>153750.0</v>
      </c>
      <c r="B501" s="1" t="s">
        <v>1248</v>
      </c>
      <c r="C501" s="2">
        <v>46010.5</v>
      </c>
      <c r="D501" s="2">
        <v>46010.5361111111</v>
      </c>
      <c r="E501" s="2"/>
      <c r="F501" s="1" t="b">
        <v>0</v>
      </c>
      <c r="G501" s="4" t="b">
        <v>1</v>
      </c>
      <c r="H501" s="1" t="b">
        <v>0</v>
      </c>
      <c r="I501" s="1" t="b">
        <v>0</v>
      </c>
      <c r="J501" s="1" t="s">
        <v>534</v>
      </c>
      <c r="K501" s="1" t="s">
        <v>535</v>
      </c>
      <c r="L501" s="1" t="s">
        <v>536</v>
      </c>
      <c r="M501" s="1" t="s">
        <v>537</v>
      </c>
      <c r="N501" s="1">
        <v>0.0</v>
      </c>
      <c r="O501" s="1">
        <v>0.0</v>
      </c>
      <c r="P501" s="1">
        <v>0.0</v>
      </c>
      <c r="Q501" s="1">
        <v>0.0</v>
      </c>
      <c r="R501" s="1">
        <v>28.0</v>
      </c>
      <c r="S501" s="1" t="s">
        <v>538</v>
      </c>
      <c r="T501" s="1" t="s">
        <v>539</v>
      </c>
      <c r="V501" s="4">
        <v>7334314.0</v>
      </c>
      <c r="W501" s="4"/>
      <c r="X501" s="4">
        <v>0.0</v>
      </c>
      <c r="Y501" s="1">
        <v>0.0</v>
      </c>
      <c r="Z501" s="1">
        <v>0.0</v>
      </c>
      <c r="AA501" s="1">
        <v>1.0</v>
      </c>
      <c r="AB501" s="1">
        <v>0.0</v>
      </c>
      <c r="AC501" s="1">
        <v>0.0</v>
      </c>
      <c r="AD501" s="1">
        <v>0.0</v>
      </c>
      <c r="AE501" s="1">
        <v>0.0</v>
      </c>
      <c r="AF501" s="1">
        <v>0.0</v>
      </c>
      <c r="AG501" s="1">
        <v>0.0</v>
      </c>
      <c r="AH501" s="1">
        <v>0.0</v>
      </c>
      <c r="AI501" s="1">
        <v>0.0</v>
      </c>
      <c r="AJ501" s="1">
        <v>0.0</v>
      </c>
      <c r="AK501" s="1">
        <v>0.0</v>
      </c>
      <c r="AL501" s="1">
        <v>0.0</v>
      </c>
      <c r="AM501" s="4">
        <v>0.0</v>
      </c>
      <c r="AN501" s="1">
        <v>0.0</v>
      </c>
      <c r="AO501" s="4">
        <v>0.0</v>
      </c>
      <c r="AP501" s="1">
        <f t="shared" si="1"/>
        <v>0</v>
      </c>
      <c r="AR501" s="1" t="s">
        <v>571</v>
      </c>
      <c r="AU501" s="2"/>
      <c r="AV501" s="2"/>
      <c r="AW501" s="1">
        <v>0.0</v>
      </c>
      <c r="AX501" s="1">
        <v>0.0</v>
      </c>
      <c r="AY501" s="1">
        <v>0.0</v>
      </c>
      <c r="AZ501" s="1">
        <v>1.0</v>
      </c>
      <c r="BA501" s="1">
        <v>0.0</v>
      </c>
      <c r="BB501" s="1">
        <v>0.0</v>
      </c>
      <c r="BC501" s="2">
        <v>46010.0</v>
      </c>
      <c r="BD501" s="1">
        <v>50.0</v>
      </c>
      <c r="BE501" s="1" t="s">
        <v>550</v>
      </c>
      <c r="BF501" s="1">
        <v>2025.0</v>
      </c>
      <c r="BG501" s="1" t="s">
        <v>558</v>
      </c>
      <c r="BH501" s="1" t="str">
        <f>VLOOKUP(B501,CookieClicks!D:O,12,FALSE)</f>
        <v>https://grow.method.me/crm-quickbooks/?trc=81&amp;trk=crm with quickbooks&amp;trs=USA-QB-G&amp;campaignid=1543381580&amp;adgroupid=61437797000&amp;adid=704678754673&amp;gad_source=1&amp;gad_campaignid=1543381580&amp;gbraid=0AAAAAD3ItnayciSsm9mOKlYQqr6bMw9fw&amp;gclid=CjwKCAiAl-_JBhBjEiwAn3rN7Vo5w-heQNgwRxi3sw0ytSnxqg7Sle3PCXUbN9tuzcacR3Dr8FojtBoC_AgQAvD_BwE</v>
      </c>
      <c r="BI501" s="8" t="str">
        <f>IFERROR(__xludf.DUMMYFUNCTION("VLOOKUP(REGEXREPLACE(BH501,""[?].*"",""""),ContentBuckets!A:C,2,FALSE)"),"#N/A")</f>
        <v>#N/A</v>
      </c>
      <c r="BJ501" s="8" t="str">
        <f>IFERROR(__xludf.DUMMYFUNCTION("VLOOKUP(REGEXREPLACE(BH501,""[?].*"",""""),ContentBuckets!A:C,3,FALSE)"),"#N/A")</f>
        <v>#N/A</v>
      </c>
    </row>
    <row r="502" ht="14.25" customHeight="1">
      <c r="A502" s="1">
        <v>153751.0</v>
      </c>
      <c r="B502" s="1" t="s">
        <v>1249</v>
      </c>
      <c r="C502" s="2">
        <v>46010.5069444444</v>
      </c>
      <c r="D502" s="2"/>
      <c r="E502" s="2"/>
      <c r="F502" s="1" t="b">
        <v>1</v>
      </c>
      <c r="G502" s="4" t="b">
        <v>0</v>
      </c>
      <c r="H502" s="1" t="b">
        <v>0</v>
      </c>
      <c r="I502" s="1" t="b">
        <v>0</v>
      </c>
      <c r="J502" s="1" t="s">
        <v>534</v>
      </c>
      <c r="K502" s="1" t="s">
        <v>535</v>
      </c>
      <c r="L502" s="1" t="s">
        <v>536</v>
      </c>
      <c r="M502" s="1" t="s">
        <v>537</v>
      </c>
      <c r="N502" s="1">
        <v>0.0</v>
      </c>
      <c r="O502" s="1">
        <v>127.5</v>
      </c>
      <c r="P502" s="1">
        <v>0.0</v>
      </c>
      <c r="Q502" s="1">
        <v>0.0</v>
      </c>
      <c r="R502" s="1">
        <v>28.0</v>
      </c>
      <c r="S502" s="1" t="s">
        <v>538</v>
      </c>
      <c r="T502" s="1" t="s">
        <v>539</v>
      </c>
      <c r="V502" s="4">
        <v>7401779.0</v>
      </c>
      <c r="W502" s="4"/>
      <c r="X502" s="4">
        <v>0.0</v>
      </c>
      <c r="Y502" s="1">
        <v>0.0</v>
      </c>
      <c r="Z502" s="1">
        <v>1.0</v>
      </c>
      <c r="AA502" s="1">
        <v>0.0</v>
      </c>
      <c r="AB502" s="1">
        <v>0.0</v>
      </c>
      <c r="AC502" s="1">
        <v>0.0</v>
      </c>
      <c r="AD502" s="1">
        <v>0.0</v>
      </c>
      <c r="AE502" s="1">
        <v>0.0</v>
      </c>
      <c r="AF502" s="1">
        <v>0.0</v>
      </c>
      <c r="AG502" s="1">
        <v>0.0</v>
      </c>
      <c r="AH502" s="1">
        <v>0.0</v>
      </c>
      <c r="AI502" s="1">
        <v>0.0</v>
      </c>
      <c r="AJ502" s="1">
        <v>0.0</v>
      </c>
      <c r="AK502" s="1">
        <v>0.0</v>
      </c>
      <c r="AL502" s="1">
        <v>0.0</v>
      </c>
      <c r="AM502" s="4">
        <v>0.0</v>
      </c>
      <c r="AN502" s="1">
        <v>0.0</v>
      </c>
      <c r="AO502" s="4">
        <v>0.0</v>
      </c>
      <c r="AP502" s="1">
        <f t="shared" si="1"/>
        <v>0</v>
      </c>
      <c r="AQ502" s="1" t="s">
        <v>541</v>
      </c>
      <c r="AR502" s="1" t="s">
        <v>608</v>
      </c>
      <c r="AU502" s="2">
        <v>46010.0</v>
      </c>
      <c r="AV502" s="2">
        <v>46024.0152777778</v>
      </c>
      <c r="AW502" s="1">
        <v>0.0</v>
      </c>
      <c r="AX502" s="1">
        <v>0.0</v>
      </c>
      <c r="AY502" s="1">
        <v>5.0</v>
      </c>
      <c r="AZ502" s="1">
        <v>2.0</v>
      </c>
      <c r="BA502" s="1">
        <v>0.0</v>
      </c>
      <c r="BB502" s="1">
        <v>0.0</v>
      </c>
      <c r="BC502" s="2">
        <v>46010.0</v>
      </c>
      <c r="BD502" s="1">
        <v>50.0</v>
      </c>
      <c r="BE502" s="1" t="s">
        <v>550</v>
      </c>
      <c r="BF502" s="1">
        <v>2025.0</v>
      </c>
      <c r="BG502" s="1" t="s">
        <v>558</v>
      </c>
      <c r="BH502" s="7" t="str">
        <f>VLOOKUP(B502,CookieClicks!D:O,12,FALSE)</f>
        <v>https://signup.method.me/QBOAppstoreSignup?offering=methodcrm</v>
      </c>
      <c r="BI502" s="8" t="str">
        <f>IFERROR(__xludf.DUMMYFUNCTION("VLOOKUP(REGEXREPLACE(BH502,""[?].*"",""""),ContentBuckets!A:C,2,FALSE)"),"#N/A")</f>
        <v>#N/A</v>
      </c>
      <c r="BJ502" s="8" t="str">
        <f>IFERROR(__xludf.DUMMYFUNCTION("VLOOKUP(REGEXREPLACE(BH502,""[?].*"",""""),ContentBuckets!A:C,3,FALSE)"),"#N/A")</f>
        <v>#N/A</v>
      </c>
    </row>
    <row r="503" ht="14.25" customHeight="1">
      <c r="A503" s="1">
        <v>153752.0</v>
      </c>
      <c r="B503" s="1" t="s">
        <v>1250</v>
      </c>
      <c r="C503" s="2">
        <v>46010.5159722222</v>
      </c>
      <c r="D503" s="2"/>
      <c r="E503" s="2"/>
      <c r="F503" s="1" t="b">
        <v>1</v>
      </c>
      <c r="G503" s="4" t="b">
        <v>0</v>
      </c>
      <c r="H503" s="1" t="b">
        <v>0</v>
      </c>
      <c r="I503" s="1" t="b">
        <v>0</v>
      </c>
      <c r="J503" s="1" t="s">
        <v>534</v>
      </c>
      <c r="K503" s="1" t="s">
        <v>871</v>
      </c>
      <c r="L503" s="1" t="s">
        <v>536</v>
      </c>
      <c r="M503" s="1" t="s">
        <v>537</v>
      </c>
      <c r="N503" s="1">
        <v>0.0</v>
      </c>
      <c r="O503" s="1">
        <v>26.25</v>
      </c>
      <c r="P503" s="1">
        <v>0.0</v>
      </c>
      <c r="Q503" s="1">
        <v>0.0</v>
      </c>
      <c r="R503" s="1">
        <v>28.0</v>
      </c>
      <c r="S503" s="1" t="s">
        <v>538</v>
      </c>
      <c r="T503" s="1" t="s">
        <v>539</v>
      </c>
      <c r="V503" s="4">
        <v>7401811.0</v>
      </c>
      <c r="W503" s="4"/>
      <c r="X503" s="4">
        <v>0.0</v>
      </c>
      <c r="Y503" s="1">
        <v>0.0</v>
      </c>
      <c r="Z503" s="1">
        <v>1.0</v>
      </c>
      <c r="AA503" s="1">
        <v>0.0</v>
      </c>
      <c r="AB503" s="1">
        <v>0.0</v>
      </c>
      <c r="AC503" s="1">
        <v>0.0</v>
      </c>
      <c r="AD503" s="1">
        <v>0.0</v>
      </c>
      <c r="AE503" s="1">
        <v>0.0</v>
      </c>
      <c r="AF503" s="1">
        <v>0.0</v>
      </c>
      <c r="AG503" s="1">
        <v>0.0</v>
      </c>
      <c r="AH503" s="1">
        <v>0.0</v>
      </c>
      <c r="AI503" s="1">
        <v>0.0</v>
      </c>
      <c r="AJ503" s="1">
        <v>0.0</v>
      </c>
      <c r="AK503" s="1">
        <v>0.0</v>
      </c>
      <c r="AL503" s="1">
        <v>0.0</v>
      </c>
      <c r="AM503" s="4">
        <v>0.0</v>
      </c>
      <c r="AN503" s="1">
        <v>0.0</v>
      </c>
      <c r="AO503" s="4">
        <v>0.0</v>
      </c>
      <c r="AP503" s="1">
        <f t="shared" si="1"/>
        <v>0</v>
      </c>
      <c r="AQ503" s="1" t="s">
        <v>557</v>
      </c>
      <c r="AR503" s="1" t="s">
        <v>542</v>
      </c>
      <c r="AT503" s="1" t="s">
        <v>1002</v>
      </c>
      <c r="AU503" s="2">
        <v>46010.0</v>
      </c>
      <c r="AV503" s="2">
        <v>46024.0402777778</v>
      </c>
      <c r="AW503" s="1">
        <v>0.0</v>
      </c>
      <c r="AX503" s="1">
        <v>0.0</v>
      </c>
      <c r="AY503" s="1">
        <v>0.0</v>
      </c>
      <c r="AZ503" s="1">
        <v>1.0</v>
      </c>
      <c r="BA503" s="1">
        <v>0.0</v>
      </c>
      <c r="BB503" s="1">
        <v>0.0</v>
      </c>
      <c r="BC503" s="2">
        <v>46010.0</v>
      </c>
      <c r="BD503" s="1">
        <v>50.0</v>
      </c>
      <c r="BE503" s="1" t="s">
        <v>550</v>
      </c>
      <c r="BF503" s="1">
        <v>2025.0</v>
      </c>
      <c r="BG503" s="1" t="s">
        <v>558</v>
      </c>
      <c r="BH503" s="7" t="str">
        <f>VLOOKUP(B503,CookieClicks!D:O,12,FALSE)</f>
        <v>https://signup.method.me/QBOAppstoreSignup?offering=donor</v>
      </c>
      <c r="BI503" s="8" t="str">
        <f>IFERROR(__xludf.DUMMYFUNCTION("VLOOKUP(REGEXREPLACE(BH503,""[?].*"",""""),ContentBuckets!A:C,2,FALSE)"),"#N/A")</f>
        <v>#N/A</v>
      </c>
      <c r="BJ503" s="8" t="str">
        <f>IFERROR(__xludf.DUMMYFUNCTION("VLOOKUP(REGEXREPLACE(BH503,""[?].*"",""""),ContentBuckets!A:C,3,FALSE)"),"#N/A")</f>
        <v>#N/A</v>
      </c>
    </row>
    <row r="504" ht="14.25" customHeight="1">
      <c r="A504" s="1">
        <v>153753.0</v>
      </c>
      <c r="B504" s="1" t="s">
        <v>1251</v>
      </c>
      <c r="C504" s="2">
        <v>46010.5256944444</v>
      </c>
      <c r="D504" s="2"/>
      <c r="E504" s="2"/>
      <c r="F504" s="1" t="b">
        <v>1</v>
      </c>
      <c r="G504" s="4" t="b">
        <v>0</v>
      </c>
      <c r="H504" s="1" t="b">
        <v>0</v>
      </c>
      <c r="I504" s="1" t="b">
        <v>0</v>
      </c>
      <c r="J504" s="1" t="s">
        <v>534</v>
      </c>
      <c r="K504" s="1" t="s">
        <v>622</v>
      </c>
      <c r="L504" s="1" t="s">
        <v>623</v>
      </c>
      <c r="M504" s="1" t="s">
        <v>537</v>
      </c>
      <c r="N504" s="1">
        <v>0.0</v>
      </c>
      <c r="O504" s="1">
        <v>53.25</v>
      </c>
      <c r="P504" s="1">
        <v>0.0</v>
      </c>
      <c r="Q504" s="1">
        <v>0.0</v>
      </c>
      <c r="R504" s="1">
        <v>28.0</v>
      </c>
      <c r="S504" s="1" t="s">
        <v>538</v>
      </c>
      <c r="T504" s="1" t="s">
        <v>539</v>
      </c>
      <c r="V504" s="4">
        <v>7334314.0</v>
      </c>
      <c r="W504" s="4"/>
      <c r="X504" s="4">
        <v>0.0</v>
      </c>
      <c r="Y504" s="1">
        <v>0.0</v>
      </c>
      <c r="Z504" s="1">
        <v>0.0</v>
      </c>
      <c r="AA504" s="1">
        <v>1.0</v>
      </c>
      <c r="AB504" s="1">
        <v>0.0</v>
      </c>
      <c r="AC504" s="1">
        <v>0.0</v>
      </c>
      <c r="AD504" s="1">
        <v>0.0</v>
      </c>
      <c r="AE504" s="1">
        <v>0.0</v>
      </c>
      <c r="AF504" s="1">
        <v>0.0</v>
      </c>
      <c r="AG504" s="1">
        <v>0.0</v>
      </c>
      <c r="AH504" s="1">
        <v>0.0</v>
      </c>
      <c r="AI504" s="1">
        <v>0.0</v>
      </c>
      <c r="AJ504" s="1">
        <v>0.0</v>
      </c>
      <c r="AK504" s="1">
        <v>0.0</v>
      </c>
      <c r="AL504" s="1">
        <v>0.0</v>
      </c>
      <c r="AM504" s="4">
        <v>0.0</v>
      </c>
      <c r="AN504" s="1">
        <v>0.0</v>
      </c>
      <c r="AO504" s="4">
        <v>0.0</v>
      </c>
      <c r="AP504" s="1">
        <f t="shared" si="1"/>
        <v>0</v>
      </c>
      <c r="AQ504" s="1" t="s">
        <v>557</v>
      </c>
      <c r="AR504" s="1" t="s">
        <v>571</v>
      </c>
      <c r="AU504" s="2">
        <v>46023.0</v>
      </c>
      <c r="AV504" s="2">
        <v>46023.9965277778</v>
      </c>
      <c r="AW504" s="1">
        <v>0.0</v>
      </c>
      <c r="AX504" s="1">
        <v>0.0</v>
      </c>
      <c r="AY504" s="1">
        <v>1.0</v>
      </c>
      <c r="AZ504" s="1">
        <v>1.0</v>
      </c>
      <c r="BA504" s="1">
        <v>0.0</v>
      </c>
      <c r="BB504" s="1">
        <v>0.0</v>
      </c>
      <c r="BC504" s="2">
        <v>46010.0</v>
      </c>
      <c r="BD504" s="1">
        <v>50.0</v>
      </c>
      <c r="BE504" s="1" t="s">
        <v>550</v>
      </c>
      <c r="BF504" s="1">
        <v>2025.0</v>
      </c>
      <c r="BG504" s="1" t="s">
        <v>558</v>
      </c>
      <c r="BH504" s="1" t="str">
        <f>VLOOKUP(B504,CookieClicks!D:O,12,FALSE)</f>
        <v>https://grow.method.me/crm-quickbooks/?trc=81&amp;trk=crm with quickbooks&amp;trs=USA-QB-G&amp;campaignid=1543381580&amp;adgroupid=61437797000&amp;adid=704678754673&amp;gad_source=1&amp;gad_campaignid=1543381580&amp;gbraid=0AAAAAD3ItnayciSsm9mOKlYQqr6bMw9fw&amp;gclid=CjwKCAiAl-_JBhBjEiwAn3rN7Vo5w-heQNgwRxi3sw0ytSnxqg7Sle3PCXUbN9tuzcacR3Dr8FojtBoC_AgQAvD_BwE</v>
      </c>
      <c r="BI504" s="8" t="str">
        <f>IFERROR(__xludf.DUMMYFUNCTION("VLOOKUP(REGEXREPLACE(BH504,""[?].*"",""""),ContentBuckets!A:C,2,FALSE)"),"#N/A")</f>
        <v>#N/A</v>
      </c>
      <c r="BJ504" s="8" t="str">
        <f>IFERROR(__xludf.DUMMYFUNCTION("VLOOKUP(REGEXREPLACE(BH504,""[?].*"",""""),ContentBuckets!A:C,3,FALSE)"),"#N/A")</f>
        <v>#N/A</v>
      </c>
    </row>
    <row r="505" ht="14.25" customHeight="1">
      <c r="A505" s="1">
        <v>153754.0</v>
      </c>
      <c r="B505" s="1" t="s">
        <v>1252</v>
      </c>
      <c r="C505" s="2">
        <v>46010.5319444444</v>
      </c>
      <c r="D505" s="2"/>
      <c r="E505" s="2"/>
      <c r="F505" s="1" t="b">
        <v>1</v>
      </c>
      <c r="G505" s="4" t="b">
        <v>0</v>
      </c>
      <c r="H505" s="1" t="b">
        <v>0</v>
      </c>
      <c r="I505" s="1" t="b">
        <v>0</v>
      </c>
      <c r="J505" s="1" t="s">
        <v>534</v>
      </c>
      <c r="K505" s="1" t="s">
        <v>535</v>
      </c>
      <c r="L505" s="1" t="s">
        <v>536</v>
      </c>
      <c r="M505" s="1" t="s">
        <v>537</v>
      </c>
      <c r="N505" s="1">
        <v>0.0</v>
      </c>
      <c r="O505" s="1">
        <v>44.25</v>
      </c>
      <c r="P505" s="1">
        <v>0.0</v>
      </c>
      <c r="Q505" s="1">
        <v>0.0</v>
      </c>
      <c r="R505" s="1">
        <v>28.0</v>
      </c>
      <c r="S505" s="1" t="s">
        <v>538</v>
      </c>
      <c r="T505" s="1" t="s">
        <v>539</v>
      </c>
      <c r="V505" s="4">
        <v>7402242.0</v>
      </c>
      <c r="W505" s="4"/>
      <c r="X505" s="4">
        <v>1.0</v>
      </c>
      <c r="Y505" s="1">
        <v>0.0</v>
      </c>
      <c r="Z505" s="1">
        <v>0.0</v>
      </c>
      <c r="AA505" s="1">
        <v>0.0</v>
      </c>
      <c r="AB505" s="1">
        <v>0.0</v>
      </c>
      <c r="AC505" s="1">
        <v>0.0</v>
      </c>
      <c r="AD505" s="1">
        <v>0.0</v>
      </c>
      <c r="AE505" s="1">
        <v>0.0</v>
      </c>
      <c r="AF505" s="1">
        <v>0.0</v>
      </c>
      <c r="AG505" s="1">
        <v>0.0</v>
      </c>
      <c r="AH505" s="1">
        <v>0.0</v>
      </c>
      <c r="AI505" s="1">
        <v>0.0</v>
      </c>
      <c r="AJ505" s="1">
        <v>0.0</v>
      </c>
      <c r="AK505" s="1">
        <v>0.0</v>
      </c>
      <c r="AL505" s="1">
        <v>0.0</v>
      </c>
      <c r="AM505" s="4">
        <v>0.0</v>
      </c>
      <c r="AN505" s="1">
        <v>0.0</v>
      </c>
      <c r="AO505" s="4">
        <v>0.0</v>
      </c>
      <c r="AP505" s="1">
        <f t="shared" si="1"/>
        <v>0</v>
      </c>
      <c r="AQ505" s="1" t="s">
        <v>557</v>
      </c>
      <c r="AR505" s="1" t="s">
        <v>591</v>
      </c>
      <c r="AT505" s="1" t="s">
        <v>1253</v>
      </c>
      <c r="AU505" s="2">
        <v>46010.0</v>
      </c>
      <c r="AV505" s="2">
        <v>46024.0256944444</v>
      </c>
      <c r="AW505" s="1">
        <v>0.0</v>
      </c>
      <c r="AX505" s="1">
        <v>0.0</v>
      </c>
      <c r="AY505" s="1">
        <v>0.0</v>
      </c>
      <c r="AZ505" s="1">
        <v>1.0</v>
      </c>
      <c r="BA505" s="1">
        <v>0.0</v>
      </c>
      <c r="BB505" s="1">
        <v>0.0</v>
      </c>
      <c r="BC505" s="2">
        <v>46010.0</v>
      </c>
      <c r="BD505" s="1">
        <v>50.0</v>
      </c>
      <c r="BE505" s="1" t="s">
        <v>550</v>
      </c>
      <c r="BF505" s="1">
        <v>2025.0</v>
      </c>
      <c r="BG505" s="1" t="s">
        <v>558</v>
      </c>
      <c r="BH505" s="7" t="str">
        <f>VLOOKUP(B505,CookieClicks!D:O,12,FALSE)</f>
        <v>https://www.method.me/</v>
      </c>
      <c r="BI505" s="8" t="str">
        <f>IFERROR(__xludf.DUMMYFUNCTION("VLOOKUP(REGEXREPLACE(BH505,""[?].*"",""""),ContentBuckets!A:C,2,FALSE)"),"Homepage")</f>
        <v>Homepage</v>
      </c>
      <c r="BJ505" s="8" t="str">
        <f>IFERROR(__xludf.DUMMYFUNCTION("VLOOKUP(REGEXREPLACE(BH505,""[?].*"",""""),ContentBuckets!A:C,3,FALSE)"),"Other page")</f>
        <v>Other page</v>
      </c>
    </row>
    <row r="506" ht="14.25" customHeight="1">
      <c r="A506" s="1">
        <v>153755.0</v>
      </c>
      <c r="B506" s="1" t="s">
        <v>1254</v>
      </c>
      <c r="C506" s="2">
        <v>46010.5513888889</v>
      </c>
      <c r="D506" s="2"/>
      <c r="E506" s="2"/>
      <c r="F506" s="1" t="b">
        <v>1</v>
      </c>
      <c r="G506" s="4" t="b">
        <v>0</v>
      </c>
      <c r="H506" s="1" t="b">
        <v>0</v>
      </c>
      <c r="I506" s="1" t="b">
        <v>0</v>
      </c>
      <c r="J506" s="1" t="s">
        <v>534</v>
      </c>
      <c r="K506" s="1" t="s">
        <v>566</v>
      </c>
      <c r="L506" s="1" t="s">
        <v>567</v>
      </c>
      <c r="M506" s="1" t="s">
        <v>537</v>
      </c>
      <c r="N506" s="1">
        <v>0.0</v>
      </c>
      <c r="O506" s="1">
        <v>63.75</v>
      </c>
      <c r="P506" s="1">
        <v>0.0</v>
      </c>
      <c r="Q506" s="1">
        <v>0.0</v>
      </c>
      <c r="R506" s="1">
        <v>28.0</v>
      </c>
      <c r="S506" s="1" t="s">
        <v>538</v>
      </c>
      <c r="T506" s="1" t="s">
        <v>539</v>
      </c>
      <c r="V506" s="4">
        <v>7386866.0</v>
      </c>
      <c r="W506" s="4" t="s">
        <v>540</v>
      </c>
      <c r="X506" s="4">
        <v>0.0</v>
      </c>
      <c r="Y506" s="1">
        <v>1.0</v>
      </c>
      <c r="Z506" s="1">
        <v>0.0</v>
      </c>
      <c r="AA506" s="1">
        <v>0.0</v>
      </c>
      <c r="AB506" s="1">
        <v>0.0</v>
      </c>
      <c r="AC506" s="1">
        <v>0.0</v>
      </c>
      <c r="AD506" s="1">
        <v>0.0</v>
      </c>
      <c r="AE506" s="1">
        <v>0.0</v>
      </c>
      <c r="AF506" s="1">
        <v>0.0</v>
      </c>
      <c r="AG506" s="1">
        <v>0.0</v>
      </c>
      <c r="AH506" s="1">
        <v>0.0</v>
      </c>
      <c r="AI506" s="1">
        <v>0.0</v>
      </c>
      <c r="AJ506" s="1">
        <v>0.0</v>
      </c>
      <c r="AK506" s="1">
        <v>0.0</v>
      </c>
      <c r="AL506" s="1">
        <v>0.0</v>
      </c>
      <c r="AM506" s="4">
        <v>0.0</v>
      </c>
      <c r="AN506" s="1">
        <v>0.0</v>
      </c>
      <c r="AO506" s="4">
        <v>0.0</v>
      </c>
      <c r="AP506" s="1">
        <f t="shared" si="1"/>
        <v>0</v>
      </c>
      <c r="AQ506" s="1" t="s">
        <v>557</v>
      </c>
      <c r="AR506" s="1" t="s">
        <v>571</v>
      </c>
      <c r="AT506" s="1" t="s">
        <v>597</v>
      </c>
      <c r="AU506" s="2">
        <v>46010.0</v>
      </c>
      <c r="AV506" s="2">
        <v>46023.9875</v>
      </c>
      <c r="AW506" s="1">
        <v>0.0</v>
      </c>
      <c r="AX506" s="1">
        <v>107381.52</v>
      </c>
      <c r="AY506" s="1">
        <v>3.0</v>
      </c>
      <c r="AZ506" s="1">
        <v>1.0</v>
      </c>
      <c r="BA506" s="1">
        <v>0.0</v>
      </c>
      <c r="BB506" s="1">
        <v>0.0</v>
      </c>
      <c r="BC506" s="2">
        <v>46010.0</v>
      </c>
      <c r="BD506" s="1">
        <v>50.0</v>
      </c>
      <c r="BE506" s="1" t="s">
        <v>550</v>
      </c>
      <c r="BF506" s="1">
        <v>2025.0</v>
      </c>
      <c r="BG506" s="1" t="s">
        <v>558</v>
      </c>
      <c r="BH506" s="7" t="str">
        <f>VLOOKUP(B506,CookieClicks!D:O,12,FALSE)</f>
        <v>https://www.method.me/</v>
      </c>
      <c r="BI506" s="8" t="str">
        <f>IFERROR(__xludf.DUMMYFUNCTION("VLOOKUP(REGEXREPLACE(BH506,""[?].*"",""""),ContentBuckets!A:C,2,FALSE)"),"Homepage")</f>
        <v>Homepage</v>
      </c>
      <c r="BJ506" s="8" t="str">
        <f>IFERROR(__xludf.DUMMYFUNCTION("VLOOKUP(REGEXREPLACE(BH506,""[?].*"",""""),ContentBuckets!A:C,3,FALSE)"),"Other page")</f>
        <v>Other page</v>
      </c>
    </row>
    <row r="507" ht="14.25" customHeight="1">
      <c r="A507" s="1">
        <v>153756.0</v>
      </c>
      <c r="B507" s="1" t="s">
        <v>1255</v>
      </c>
      <c r="C507" s="2">
        <v>46010.5534722222</v>
      </c>
      <c r="D507" s="2"/>
      <c r="E507" s="2"/>
      <c r="F507" s="1" t="b">
        <v>1</v>
      </c>
      <c r="G507" s="4" t="b">
        <v>0</v>
      </c>
      <c r="H507" s="1" t="b">
        <v>0</v>
      </c>
      <c r="I507" s="1" t="b">
        <v>0</v>
      </c>
      <c r="J507" s="1" t="s">
        <v>534</v>
      </c>
      <c r="K507" s="1" t="s">
        <v>535</v>
      </c>
      <c r="L507" s="1" t="s">
        <v>536</v>
      </c>
      <c r="M507" s="1" t="s">
        <v>537</v>
      </c>
      <c r="N507" s="1">
        <v>0.0</v>
      </c>
      <c r="O507" s="1">
        <v>109.5</v>
      </c>
      <c r="P507" s="1">
        <v>0.0</v>
      </c>
      <c r="Q507" s="1">
        <v>0.0</v>
      </c>
      <c r="R507" s="1">
        <v>0.0</v>
      </c>
      <c r="S507" s="1" t="s">
        <v>538</v>
      </c>
      <c r="T507" s="1" t="s">
        <v>539</v>
      </c>
      <c r="V507" s="4">
        <v>7402549.0</v>
      </c>
      <c r="W507" s="4"/>
      <c r="X507" s="4">
        <v>0.0</v>
      </c>
      <c r="Y507" s="1">
        <v>0.0</v>
      </c>
      <c r="Z507" s="1">
        <v>0.0</v>
      </c>
      <c r="AA507" s="1">
        <v>1.0</v>
      </c>
      <c r="AB507" s="1">
        <v>0.0</v>
      </c>
      <c r="AC507" s="1">
        <v>0.0</v>
      </c>
      <c r="AD507" s="1">
        <v>0.0</v>
      </c>
      <c r="AE507" s="1">
        <v>0.0</v>
      </c>
      <c r="AF507" s="1">
        <v>0.0</v>
      </c>
      <c r="AG507" s="1">
        <v>0.0</v>
      </c>
      <c r="AH507" s="1">
        <v>0.0</v>
      </c>
      <c r="AI507" s="1">
        <v>0.0</v>
      </c>
      <c r="AJ507" s="1">
        <v>0.0</v>
      </c>
      <c r="AK507" s="1">
        <v>0.0</v>
      </c>
      <c r="AL507" s="1">
        <v>0.0</v>
      </c>
      <c r="AM507" s="4">
        <v>0.0</v>
      </c>
      <c r="AN507" s="1">
        <v>0.0</v>
      </c>
      <c r="AO507" s="4">
        <v>0.0</v>
      </c>
      <c r="AP507" s="1">
        <f t="shared" si="1"/>
        <v>0</v>
      </c>
      <c r="AQ507" s="1" t="s">
        <v>557</v>
      </c>
      <c r="AU507" s="2">
        <v>46010.0</v>
      </c>
      <c r="AV507" s="2">
        <v>46024.0097222222</v>
      </c>
      <c r="AW507" s="1">
        <v>1.0</v>
      </c>
      <c r="AX507" s="1">
        <v>198240.0</v>
      </c>
      <c r="AY507" s="1">
        <v>155.0</v>
      </c>
      <c r="AZ507" s="1">
        <v>2.0</v>
      </c>
      <c r="BA507" s="1">
        <v>0.0</v>
      </c>
      <c r="BB507" s="1">
        <v>0.0</v>
      </c>
      <c r="BC507" s="2">
        <v>46010.0</v>
      </c>
      <c r="BD507" s="1">
        <v>50.0</v>
      </c>
      <c r="BE507" s="1" t="s">
        <v>550</v>
      </c>
      <c r="BF507" s="1">
        <v>2025.0</v>
      </c>
      <c r="BG507" s="1" t="s">
        <v>558</v>
      </c>
      <c r="BH507" s="1" t="str">
        <f>VLOOKUP(B507,CookieClicks!D:O,12,FALSE)</f>
        <v>https://grow.method.me/crm-quickbooks/?trc=81&amp;trk=crm with quickbooks&amp;trs=USA-QB-G&amp;campaignid=1543381580&amp;adgroupid=61437797000&amp;adid=704678754673&amp;gad_source=1&amp;gad_campaignid=1543381580&amp;gbraid=0AAAAAD3ItnYnR21ROlG5_lbiPqM57rc4Y&amp;gclid=EAIaIQobChMIgtSA7aDKkQMVwEB_AB3n-wFXEAAYASAAEgLulvD_BwE</v>
      </c>
      <c r="BI507" s="8" t="str">
        <f>IFERROR(__xludf.DUMMYFUNCTION("VLOOKUP(REGEXREPLACE(BH507,""[?].*"",""""),ContentBuckets!A:C,2,FALSE)"),"#N/A")</f>
        <v>#N/A</v>
      </c>
      <c r="BJ507" s="8" t="str">
        <f>IFERROR(__xludf.DUMMYFUNCTION("VLOOKUP(REGEXREPLACE(BH507,""[?].*"",""""),ContentBuckets!A:C,3,FALSE)"),"#N/A")</f>
        <v>#N/A</v>
      </c>
    </row>
    <row r="508" ht="14.25" customHeight="1">
      <c r="A508" s="1">
        <v>153759.0</v>
      </c>
      <c r="B508" s="1" t="s">
        <v>1256</v>
      </c>
      <c r="C508" s="2">
        <v>46010.6076388889</v>
      </c>
      <c r="D508" s="2">
        <v>46024.3625</v>
      </c>
      <c r="E508" s="2"/>
      <c r="F508" s="1" t="b">
        <v>0</v>
      </c>
      <c r="G508" s="4" t="b">
        <v>1</v>
      </c>
      <c r="H508" s="1" t="b">
        <v>0</v>
      </c>
      <c r="I508" s="1" t="b">
        <v>0</v>
      </c>
      <c r="J508" s="1" t="s">
        <v>534</v>
      </c>
      <c r="K508" s="1" t="s">
        <v>535</v>
      </c>
      <c r="L508" s="1" t="s">
        <v>536</v>
      </c>
      <c r="M508" s="1" t="s">
        <v>537</v>
      </c>
      <c r="N508" s="1">
        <v>0.0</v>
      </c>
      <c r="O508" s="1">
        <v>44.25</v>
      </c>
      <c r="P508" s="1">
        <v>0.0</v>
      </c>
      <c r="Q508" s="1">
        <v>0.0</v>
      </c>
      <c r="R508" s="1">
        <v>28.0</v>
      </c>
      <c r="S508" s="1" t="s">
        <v>538</v>
      </c>
      <c r="T508" s="1" t="s">
        <v>539</v>
      </c>
      <c r="V508" s="4">
        <v>7192064.0</v>
      </c>
      <c r="W508" s="4" t="s">
        <v>653</v>
      </c>
      <c r="X508" s="4">
        <v>0.0</v>
      </c>
      <c r="Y508" s="1">
        <v>1.0</v>
      </c>
      <c r="Z508" s="1">
        <v>0.0</v>
      </c>
      <c r="AA508" s="1">
        <v>0.0</v>
      </c>
      <c r="AB508" s="1">
        <v>0.0</v>
      </c>
      <c r="AC508" s="1">
        <v>0.0</v>
      </c>
      <c r="AD508" s="1">
        <v>0.0</v>
      </c>
      <c r="AE508" s="1">
        <v>0.0</v>
      </c>
      <c r="AF508" s="1">
        <v>0.0</v>
      </c>
      <c r="AG508" s="1">
        <v>0.0</v>
      </c>
      <c r="AH508" s="1">
        <v>0.0</v>
      </c>
      <c r="AI508" s="1">
        <v>0.0</v>
      </c>
      <c r="AJ508" s="1">
        <v>0.0</v>
      </c>
      <c r="AK508" s="1">
        <v>0.0</v>
      </c>
      <c r="AL508" s="1">
        <v>0.0</v>
      </c>
      <c r="AM508" s="4">
        <v>0.0</v>
      </c>
      <c r="AN508" s="1">
        <v>0.0</v>
      </c>
      <c r="AO508" s="4">
        <v>0.0</v>
      </c>
      <c r="AP508" s="1">
        <f t="shared" si="1"/>
        <v>0</v>
      </c>
      <c r="AR508" s="1" t="s">
        <v>578</v>
      </c>
      <c r="AU508" s="2"/>
      <c r="AV508" s="2">
        <v>46023.9847222222</v>
      </c>
      <c r="AW508" s="1">
        <v>0.0</v>
      </c>
      <c r="AX508" s="1">
        <v>0.0</v>
      </c>
      <c r="AY508" s="1">
        <v>0.0</v>
      </c>
      <c r="AZ508" s="1">
        <v>1.0</v>
      </c>
      <c r="BA508" s="1">
        <v>0.0</v>
      </c>
      <c r="BB508" s="1">
        <v>0.0</v>
      </c>
      <c r="BC508" s="2">
        <v>46010.0</v>
      </c>
      <c r="BD508" s="1">
        <v>50.0</v>
      </c>
      <c r="BE508" s="1" t="s">
        <v>550</v>
      </c>
      <c r="BF508" s="1">
        <v>2025.0</v>
      </c>
      <c r="BG508" s="1" t="s">
        <v>558</v>
      </c>
      <c r="BH508" s="7" t="str">
        <f>VLOOKUP(B508,CookieClicks!D:O,12,FALSE)</f>
        <v>https://www.method.me/features/estimates/</v>
      </c>
      <c r="BI508" s="8" t="str">
        <f>IFERROR(__xludf.DUMMYFUNCTION("VLOOKUP(REGEXREPLACE(BH508,""[?].*"",""""),ContentBuckets!A:C,2,FALSE)"),"Features page")</f>
        <v>Features page</v>
      </c>
      <c r="BJ508" s="8" t="str">
        <f>IFERROR(__xludf.DUMMYFUNCTION("VLOOKUP(REGEXREPLACE(BH508,""[?].*"",""""),ContentBuckets!A:C,3,FALSE)"),"Other page")</f>
        <v>Other page</v>
      </c>
    </row>
    <row r="509" ht="14.25" customHeight="1">
      <c r="A509" s="1">
        <v>153760.0</v>
      </c>
      <c r="B509" s="1" t="s">
        <v>1257</v>
      </c>
      <c r="C509" s="2">
        <v>46010.6125</v>
      </c>
      <c r="D509" s="2"/>
      <c r="E509" s="2"/>
      <c r="F509" s="1" t="b">
        <v>1</v>
      </c>
      <c r="G509" s="4" t="b">
        <v>0</v>
      </c>
      <c r="H509" s="1" t="b">
        <v>0</v>
      </c>
      <c r="I509" s="1" t="b">
        <v>0</v>
      </c>
      <c r="J509" s="1" t="s">
        <v>534</v>
      </c>
      <c r="K509" s="1" t="s">
        <v>553</v>
      </c>
      <c r="L509" s="1" t="s">
        <v>554</v>
      </c>
      <c r="M509" s="1" t="s">
        <v>537</v>
      </c>
      <c r="N509" s="1">
        <v>0.0</v>
      </c>
      <c r="O509" s="1">
        <v>44.25</v>
      </c>
      <c r="P509" s="1">
        <v>0.0</v>
      </c>
      <c r="Q509" s="1">
        <v>0.0</v>
      </c>
      <c r="R509" s="1">
        <v>0.0</v>
      </c>
      <c r="S509" s="1" t="s">
        <v>538</v>
      </c>
      <c r="T509" s="1" t="s">
        <v>539</v>
      </c>
      <c r="V509" s="4">
        <v>7403507.0</v>
      </c>
      <c r="W509" s="4"/>
      <c r="X509" s="4">
        <v>0.0</v>
      </c>
      <c r="Y509" s="1">
        <v>0.0</v>
      </c>
      <c r="Z509" s="1">
        <v>0.0</v>
      </c>
      <c r="AA509" s="1">
        <v>1.0</v>
      </c>
      <c r="AB509" s="1">
        <v>0.0</v>
      </c>
      <c r="AC509" s="1">
        <v>0.0</v>
      </c>
      <c r="AD509" s="1">
        <v>0.0</v>
      </c>
      <c r="AE509" s="1">
        <v>0.0</v>
      </c>
      <c r="AF509" s="1">
        <v>0.0</v>
      </c>
      <c r="AG509" s="1">
        <v>0.0</v>
      </c>
      <c r="AH509" s="1">
        <v>0.0</v>
      </c>
      <c r="AI509" s="1">
        <v>0.0</v>
      </c>
      <c r="AJ509" s="1">
        <v>0.0</v>
      </c>
      <c r="AK509" s="1">
        <v>0.0</v>
      </c>
      <c r="AL509" s="1">
        <v>0.0</v>
      </c>
      <c r="AM509" s="4">
        <v>0.0</v>
      </c>
      <c r="AN509" s="1">
        <v>0.0</v>
      </c>
      <c r="AO509" s="4">
        <v>0.0</v>
      </c>
      <c r="AP509" s="1">
        <f t="shared" si="1"/>
        <v>0</v>
      </c>
      <c r="AU509" s="2"/>
      <c r="AV509" s="2">
        <v>46024.0319444444</v>
      </c>
      <c r="AW509" s="1">
        <v>0.0</v>
      </c>
      <c r="AX509" s="1">
        <v>0.0</v>
      </c>
      <c r="AY509" s="1">
        <v>0.0</v>
      </c>
      <c r="AZ509" s="1">
        <v>1.0</v>
      </c>
      <c r="BA509" s="1">
        <v>0.0</v>
      </c>
      <c r="BB509" s="1">
        <v>0.0</v>
      </c>
      <c r="BC509" s="2">
        <v>46010.0</v>
      </c>
      <c r="BD509" s="1">
        <v>50.0</v>
      </c>
      <c r="BE509" s="1" t="s">
        <v>550</v>
      </c>
      <c r="BF509" s="1">
        <v>2025.0</v>
      </c>
      <c r="BG509" s="1" t="s">
        <v>558</v>
      </c>
      <c r="BH509" s="1" t="str">
        <f>VLOOKUP(B509,CookieClicks!D:O,12,FALSE)</f>
        <v>https://grow.method.me/qb-payment/?trc=81&amp;trk=credit card processing that works with quickbooks&amp;trs=US-payment&amp;campaignid=19733246298&amp;adgroupid=146278163933&amp;adid=649435146420&amp;gad_source=1&amp;gad_campaignid=19733246298&amp;gbraid=0AAAAAD3ItnYWasD2c3WRKE5fPxo2FMegK&amp;gclid=Cj0KCQiAjJTKBhCjARIsAIMC449_n-Rmjge9rH3Ev0nSdOuD5OpImVJUs7FJl3I4xRGFCTsLQaERRmEaAilrEALw_wcB</v>
      </c>
      <c r="BI509" s="8" t="str">
        <f>IFERROR(__xludf.DUMMYFUNCTION("VLOOKUP(REGEXREPLACE(BH509,""[?].*"",""""),ContentBuckets!A:C,2,FALSE)"),"#N/A")</f>
        <v>#N/A</v>
      </c>
      <c r="BJ509" s="8" t="str">
        <f>IFERROR(__xludf.DUMMYFUNCTION("VLOOKUP(REGEXREPLACE(BH509,""[?].*"",""""),ContentBuckets!A:C,3,FALSE)"),"#N/A")</f>
        <v>#N/A</v>
      </c>
    </row>
    <row r="510" ht="14.25" customHeight="1">
      <c r="A510" s="1">
        <v>153761.0</v>
      </c>
      <c r="B510" s="1" t="s">
        <v>1258</v>
      </c>
      <c r="C510" s="2">
        <v>46010.6263888889</v>
      </c>
      <c r="D510" s="2"/>
      <c r="E510" s="2"/>
      <c r="F510" s="1" t="b">
        <v>1</v>
      </c>
      <c r="G510" s="4" t="b">
        <v>0</v>
      </c>
      <c r="H510" s="1" t="b">
        <v>0</v>
      </c>
      <c r="I510" s="1" t="b">
        <v>0</v>
      </c>
      <c r="J510" s="1" t="s">
        <v>534</v>
      </c>
      <c r="K510" s="1" t="s">
        <v>535</v>
      </c>
      <c r="L510" s="1" t="s">
        <v>536</v>
      </c>
      <c r="M510" s="1" t="s">
        <v>537</v>
      </c>
      <c r="N510" s="1">
        <v>0.0</v>
      </c>
      <c r="O510" s="1">
        <v>44.25</v>
      </c>
      <c r="P510" s="1">
        <v>0.0</v>
      </c>
      <c r="Q510" s="1">
        <v>0.0</v>
      </c>
      <c r="R510" s="1">
        <v>0.0</v>
      </c>
      <c r="S510" s="1" t="s">
        <v>538</v>
      </c>
      <c r="T510" s="1" t="s">
        <v>539</v>
      </c>
      <c r="V510" s="4">
        <v>7403824.0</v>
      </c>
      <c r="W510" s="4"/>
      <c r="X510" s="4">
        <v>0.0</v>
      </c>
      <c r="Y510" s="1">
        <v>0.0</v>
      </c>
      <c r="Z510" s="1">
        <v>1.0</v>
      </c>
      <c r="AA510" s="1">
        <v>0.0</v>
      </c>
      <c r="AB510" s="1">
        <v>0.0</v>
      </c>
      <c r="AC510" s="1">
        <v>0.0</v>
      </c>
      <c r="AD510" s="1">
        <v>0.0</v>
      </c>
      <c r="AE510" s="1">
        <v>0.0</v>
      </c>
      <c r="AF510" s="1">
        <v>0.0</v>
      </c>
      <c r="AG510" s="1">
        <v>0.0</v>
      </c>
      <c r="AH510" s="1">
        <v>0.0</v>
      </c>
      <c r="AI510" s="1">
        <v>0.0</v>
      </c>
      <c r="AJ510" s="1">
        <v>0.0</v>
      </c>
      <c r="AK510" s="1">
        <v>0.0</v>
      </c>
      <c r="AL510" s="1">
        <v>0.0</v>
      </c>
      <c r="AM510" s="4">
        <v>0.0</v>
      </c>
      <c r="AN510" s="1">
        <v>0.0</v>
      </c>
      <c r="AO510" s="4">
        <v>0.0</v>
      </c>
      <c r="AP510" s="1">
        <f t="shared" si="1"/>
        <v>0</v>
      </c>
      <c r="AQ510" s="1" t="s">
        <v>557</v>
      </c>
      <c r="AU510" s="2">
        <v>46010.0</v>
      </c>
      <c r="AV510" s="2">
        <v>46024.01875</v>
      </c>
      <c r="AW510" s="1">
        <v>0.0</v>
      </c>
      <c r="AX510" s="1">
        <v>289827.36</v>
      </c>
      <c r="AY510" s="1">
        <v>40.0</v>
      </c>
      <c r="AZ510" s="1">
        <v>1.0</v>
      </c>
      <c r="BA510" s="1">
        <v>0.0</v>
      </c>
      <c r="BB510" s="1">
        <v>0.0</v>
      </c>
      <c r="BC510" s="2">
        <v>46010.0</v>
      </c>
      <c r="BD510" s="1">
        <v>50.0</v>
      </c>
      <c r="BE510" s="1" t="s">
        <v>550</v>
      </c>
      <c r="BF510" s="1">
        <v>2025.0</v>
      </c>
      <c r="BG510" s="1" t="s">
        <v>558</v>
      </c>
      <c r="BH510" s="7" t="str">
        <f>VLOOKUP(B510,CookieClicks!D:O,12,FALSE)</f>
        <v>https://signup.method.me/QBOAppstoreSignup?offering=methodcrm</v>
      </c>
      <c r="BI510" s="8" t="str">
        <f>IFERROR(__xludf.DUMMYFUNCTION("VLOOKUP(REGEXREPLACE(BH510,""[?].*"",""""),ContentBuckets!A:C,2,FALSE)"),"#N/A")</f>
        <v>#N/A</v>
      </c>
      <c r="BJ510" s="8" t="str">
        <f>IFERROR(__xludf.DUMMYFUNCTION("VLOOKUP(REGEXREPLACE(BH510,""[?].*"",""""),ContentBuckets!A:C,3,FALSE)"),"#N/A")</f>
        <v>#N/A</v>
      </c>
    </row>
    <row r="511" ht="14.25" customHeight="1">
      <c r="A511" s="1">
        <v>153763.0</v>
      </c>
      <c r="B511" s="1" t="s">
        <v>1259</v>
      </c>
      <c r="C511" s="2">
        <v>46010.6368055556</v>
      </c>
      <c r="D511" s="2"/>
      <c r="E511" s="2"/>
      <c r="F511" s="1" t="b">
        <v>1</v>
      </c>
      <c r="G511" s="4" t="b">
        <v>0</v>
      </c>
      <c r="H511" s="1" t="b">
        <v>0</v>
      </c>
      <c r="I511" s="1" t="b">
        <v>0</v>
      </c>
      <c r="J511" s="1" t="s">
        <v>534</v>
      </c>
      <c r="K511" s="1" t="s">
        <v>535</v>
      </c>
      <c r="L511" s="1" t="s">
        <v>536</v>
      </c>
      <c r="M511" s="1" t="s">
        <v>537</v>
      </c>
      <c r="N511" s="1">
        <v>0.0</v>
      </c>
      <c r="O511" s="1">
        <v>53.25</v>
      </c>
      <c r="P511" s="1">
        <v>0.0</v>
      </c>
      <c r="Q511" s="1">
        <v>0.0</v>
      </c>
      <c r="R511" s="1">
        <v>0.0</v>
      </c>
      <c r="S511" s="1" t="s">
        <v>538</v>
      </c>
      <c r="T511" s="1" t="s">
        <v>539</v>
      </c>
      <c r="V511" s="4">
        <v>7403975.0</v>
      </c>
      <c r="W511" s="4" t="s">
        <v>540</v>
      </c>
      <c r="X511" s="4">
        <v>0.0</v>
      </c>
      <c r="Y511" s="1">
        <v>1.0</v>
      </c>
      <c r="Z511" s="1">
        <v>0.0</v>
      </c>
      <c r="AA511" s="1">
        <v>0.0</v>
      </c>
      <c r="AB511" s="1">
        <v>0.0</v>
      </c>
      <c r="AC511" s="1">
        <v>0.0</v>
      </c>
      <c r="AD511" s="1">
        <v>0.0</v>
      </c>
      <c r="AE511" s="1">
        <v>0.0</v>
      </c>
      <c r="AF511" s="1">
        <v>0.0</v>
      </c>
      <c r="AG511" s="1">
        <v>0.0</v>
      </c>
      <c r="AH511" s="1">
        <v>0.0</v>
      </c>
      <c r="AI511" s="1">
        <v>0.0</v>
      </c>
      <c r="AJ511" s="1">
        <v>0.0</v>
      </c>
      <c r="AK511" s="1">
        <v>0.0</v>
      </c>
      <c r="AL511" s="1">
        <v>0.0</v>
      </c>
      <c r="AM511" s="4">
        <v>0.0</v>
      </c>
      <c r="AN511" s="1">
        <v>0.0</v>
      </c>
      <c r="AO511" s="4">
        <v>0.0</v>
      </c>
      <c r="AP511" s="1">
        <f t="shared" si="1"/>
        <v>0</v>
      </c>
      <c r="AQ511" s="1" t="s">
        <v>557</v>
      </c>
      <c r="AT511" s="1" t="s">
        <v>1260</v>
      </c>
      <c r="AU511" s="2">
        <v>46010.0</v>
      </c>
      <c r="AV511" s="2">
        <v>46023.9826388889</v>
      </c>
      <c r="AW511" s="1">
        <v>1.0</v>
      </c>
      <c r="AX511" s="1">
        <v>18828.0</v>
      </c>
      <c r="AY511" s="1">
        <v>10.0</v>
      </c>
      <c r="AZ511" s="1">
        <v>1.0</v>
      </c>
      <c r="BA511" s="1">
        <v>0.0</v>
      </c>
      <c r="BB511" s="1">
        <v>0.0</v>
      </c>
      <c r="BC511" s="2">
        <v>46010.0</v>
      </c>
      <c r="BD511" s="1">
        <v>50.0</v>
      </c>
      <c r="BE511" s="1" t="s">
        <v>550</v>
      </c>
      <c r="BF511" s="1">
        <v>2025.0</v>
      </c>
      <c r="BG511" s="1" t="s">
        <v>558</v>
      </c>
      <c r="BH511" s="7" t="str">
        <f>VLOOKUP(B511,CookieClicks!D:O,12,FALSE)</f>
        <v>https://www.method.me/blog/customer-convenience-customer-portal/</v>
      </c>
      <c r="BI511" s="8" t="str">
        <f>IFERROR(__xludf.DUMMYFUNCTION("VLOOKUP(REGEXREPLACE(BH511,""[?].*"",""""),ContentBuckets!A:C,2,FALSE)"),"QuickBooks - How-to")</f>
        <v>QuickBooks - How-to</v>
      </c>
      <c r="BJ511" s="8" t="str">
        <f>IFERROR(__xludf.DUMMYFUNCTION("VLOOKUP(REGEXREPLACE(BH511,""[?].*"",""""),ContentBuckets!A:C,3,FALSE)"),"Blog")</f>
        <v>Blog</v>
      </c>
    </row>
    <row r="512" ht="14.25" customHeight="1">
      <c r="A512" s="1">
        <v>153764.0</v>
      </c>
      <c r="B512" s="1" t="s">
        <v>1261</v>
      </c>
      <c r="C512" s="2">
        <v>46010.6472222222</v>
      </c>
      <c r="D512" s="2">
        <v>46013.5659722222</v>
      </c>
      <c r="E512" s="2"/>
      <c r="F512" s="1" t="b">
        <v>0</v>
      </c>
      <c r="G512" s="4" t="b">
        <v>1</v>
      </c>
      <c r="H512" s="1" t="b">
        <v>0</v>
      </c>
      <c r="I512" s="1" t="b">
        <v>0</v>
      </c>
      <c r="J512" s="1" t="s">
        <v>534</v>
      </c>
      <c r="K512" s="1" t="s">
        <v>535</v>
      </c>
      <c r="L512" s="1" t="s">
        <v>536</v>
      </c>
      <c r="M512" s="1" t="s">
        <v>537</v>
      </c>
      <c r="N512" s="1">
        <v>0.0</v>
      </c>
      <c r="O512" s="1">
        <v>54.75</v>
      </c>
      <c r="P512" s="1">
        <v>0.0</v>
      </c>
      <c r="Q512" s="1">
        <v>0.0</v>
      </c>
      <c r="R512" s="1">
        <v>28.0</v>
      </c>
      <c r="S512" s="1" t="s">
        <v>538</v>
      </c>
      <c r="T512" s="1" t="s">
        <v>539</v>
      </c>
      <c r="V512" s="4">
        <v>7404050.0</v>
      </c>
      <c r="W512" s="4" t="s">
        <v>588</v>
      </c>
      <c r="X512" s="4">
        <v>0.0</v>
      </c>
      <c r="Y512" s="1">
        <v>1.0</v>
      </c>
      <c r="Z512" s="1">
        <v>0.0</v>
      </c>
      <c r="AA512" s="1">
        <v>0.0</v>
      </c>
      <c r="AB512" s="1">
        <v>0.0</v>
      </c>
      <c r="AC512" s="1">
        <v>0.0</v>
      </c>
      <c r="AD512" s="1">
        <v>0.0</v>
      </c>
      <c r="AE512" s="1">
        <v>0.0</v>
      </c>
      <c r="AF512" s="1">
        <v>0.0</v>
      </c>
      <c r="AG512" s="1">
        <v>0.0</v>
      </c>
      <c r="AH512" s="1">
        <v>0.0</v>
      </c>
      <c r="AI512" s="1">
        <v>0.0</v>
      </c>
      <c r="AJ512" s="1">
        <v>0.0</v>
      </c>
      <c r="AK512" s="1">
        <v>0.0</v>
      </c>
      <c r="AL512" s="1">
        <v>0.0</v>
      </c>
      <c r="AM512" s="4">
        <v>0.0</v>
      </c>
      <c r="AN512" s="1">
        <v>0.0</v>
      </c>
      <c r="AO512" s="4">
        <v>0.0</v>
      </c>
      <c r="AP512" s="1">
        <f t="shared" si="1"/>
        <v>0</v>
      </c>
      <c r="AR512" s="1" t="s">
        <v>571</v>
      </c>
      <c r="AU512" s="2"/>
      <c r="AV512" s="2">
        <v>46013.0256944444</v>
      </c>
      <c r="AW512" s="1">
        <v>0.0</v>
      </c>
      <c r="AX512" s="1">
        <v>0.0</v>
      </c>
      <c r="AY512" s="1">
        <v>0.0</v>
      </c>
      <c r="AZ512" s="1">
        <v>1.0</v>
      </c>
      <c r="BA512" s="1">
        <v>0.0</v>
      </c>
      <c r="BB512" s="1">
        <v>0.0</v>
      </c>
      <c r="BC512" s="2">
        <v>46010.0</v>
      </c>
      <c r="BD512" s="1">
        <v>50.0</v>
      </c>
      <c r="BE512" s="1" t="s">
        <v>550</v>
      </c>
      <c r="BF512" s="1">
        <v>2025.0</v>
      </c>
      <c r="BG512" s="1" t="s">
        <v>558</v>
      </c>
      <c r="BH512" s="7" t="str">
        <f>VLOOKUP(B512,CookieClicks!D:O,12,FALSE)</f>
        <v>https://signin.method.me/?utm_source=chatgpt.com</v>
      </c>
      <c r="BI512" s="8" t="str">
        <f>IFERROR(__xludf.DUMMYFUNCTION("VLOOKUP(REGEXREPLACE(BH512,""[?].*"",""""),ContentBuckets!A:C,2,FALSE)"),"#N/A")</f>
        <v>#N/A</v>
      </c>
      <c r="BJ512" s="8" t="str">
        <f>IFERROR(__xludf.DUMMYFUNCTION("VLOOKUP(REGEXREPLACE(BH512,""[?].*"",""""),ContentBuckets!A:C,3,FALSE)"),"#N/A")</f>
        <v>#N/A</v>
      </c>
    </row>
    <row r="513" ht="14.25" customHeight="1">
      <c r="A513" s="1">
        <v>153765.0</v>
      </c>
      <c r="B513" s="1" t="s">
        <v>1262</v>
      </c>
      <c r="C513" s="2">
        <v>46010.65</v>
      </c>
      <c r="D513" s="2"/>
      <c r="E513" s="2"/>
      <c r="F513" s="1" t="b">
        <v>1</v>
      </c>
      <c r="G513" s="4" t="b">
        <v>0</v>
      </c>
      <c r="H513" s="1" t="b">
        <v>0</v>
      </c>
      <c r="I513" s="1" t="b">
        <v>0</v>
      </c>
      <c r="J513" s="1" t="s">
        <v>534</v>
      </c>
      <c r="K513" s="1" t="s">
        <v>553</v>
      </c>
      <c r="L513" s="1" t="s">
        <v>599</v>
      </c>
      <c r="M513" s="1" t="s">
        <v>537</v>
      </c>
      <c r="N513" s="1">
        <v>0.0</v>
      </c>
      <c r="O513" s="1">
        <v>44.25</v>
      </c>
      <c r="P513" s="1">
        <v>0.0</v>
      </c>
      <c r="Q513" s="1">
        <v>0.0</v>
      </c>
      <c r="R513" s="1">
        <v>0.0</v>
      </c>
      <c r="S513" s="1" t="s">
        <v>538</v>
      </c>
      <c r="T513" s="1" t="s">
        <v>539</v>
      </c>
      <c r="V513" s="4">
        <v>7404067.0</v>
      </c>
      <c r="W513" s="4" t="s">
        <v>540</v>
      </c>
      <c r="X513" s="4">
        <v>0.0</v>
      </c>
      <c r="Y513" s="1">
        <v>1.0</v>
      </c>
      <c r="Z513" s="1">
        <v>0.0</v>
      </c>
      <c r="AA513" s="1">
        <v>0.0</v>
      </c>
      <c r="AB513" s="1">
        <v>0.0</v>
      </c>
      <c r="AC513" s="1">
        <v>0.0</v>
      </c>
      <c r="AD513" s="1">
        <v>0.0</v>
      </c>
      <c r="AE513" s="1">
        <v>0.0</v>
      </c>
      <c r="AF513" s="1">
        <v>0.0</v>
      </c>
      <c r="AG513" s="1">
        <v>0.0</v>
      </c>
      <c r="AH513" s="1">
        <v>0.0</v>
      </c>
      <c r="AI513" s="1">
        <v>0.0</v>
      </c>
      <c r="AJ513" s="1">
        <v>0.0</v>
      </c>
      <c r="AK513" s="1">
        <v>0.0</v>
      </c>
      <c r="AL513" s="1">
        <v>0.0</v>
      </c>
      <c r="AM513" s="4">
        <v>0.0</v>
      </c>
      <c r="AN513" s="1">
        <v>0.0</v>
      </c>
      <c r="AO513" s="4">
        <v>0.0</v>
      </c>
      <c r="AP513" s="1">
        <f t="shared" si="1"/>
        <v>0</v>
      </c>
      <c r="AU513" s="2"/>
      <c r="AV513" s="2">
        <v>46024.0236111111</v>
      </c>
      <c r="AW513" s="1">
        <v>0.0</v>
      </c>
      <c r="AX513" s="1">
        <v>0.0</v>
      </c>
      <c r="AY513" s="1">
        <v>0.0</v>
      </c>
      <c r="AZ513" s="1">
        <v>1.0</v>
      </c>
      <c r="BA513" s="1">
        <v>0.0</v>
      </c>
      <c r="BB513" s="1">
        <v>0.0</v>
      </c>
      <c r="BC513" s="2">
        <v>46010.0</v>
      </c>
      <c r="BD513" s="1">
        <v>50.0</v>
      </c>
      <c r="BE513" s="1" t="s">
        <v>550</v>
      </c>
      <c r="BF513" s="1">
        <v>2025.0</v>
      </c>
      <c r="BG513" s="1" t="s">
        <v>558</v>
      </c>
      <c r="BH513" s="7" t="str">
        <f>VLOOKUP(B513,CookieClicks!D:O,12,FALSE)</f>
        <v>http://signup.method.me/methodcrm</v>
      </c>
      <c r="BI513" s="8" t="str">
        <f>IFERROR(__xludf.DUMMYFUNCTION("VLOOKUP(REGEXREPLACE(BH513,""[?].*"",""""),ContentBuckets!A:C,2,FALSE)"),"#N/A")</f>
        <v>#N/A</v>
      </c>
      <c r="BJ513" s="8" t="str">
        <f>IFERROR(__xludf.DUMMYFUNCTION("VLOOKUP(REGEXREPLACE(BH513,""[?].*"",""""),ContentBuckets!A:C,3,FALSE)"),"#N/A")</f>
        <v>#N/A</v>
      </c>
    </row>
    <row r="514" ht="14.25" customHeight="1">
      <c r="A514" s="1">
        <v>153766.0</v>
      </c>
      <c r="B514" s="1" t="s">
        <v>1263</v>
      </c>
      <c r="C514" s="2">
        <v>46010.6590277778</v>
      </c>
      <c r="D514" s="2"/>
      <c r="E514" s="2"/>
      <c r="F514" s="1" t="b">
        <v>1</v>
      </c>
      <c r="G514" s="4" t="b">
        <v>0</v>
      </c>
      <c r="H514" s="1" t="b">
        <v>0</v>
      </c>
      <c r="I514" s="1" t="b">
        <v>0</v>
      </c>
      <c r="J514" s="1" t="s">
        <v>534</v>
      </c>
      <c r="K514" s="1" t="s">
        <v>535</v>
      </c>
      <c r="L514" s="1" t="s">
        <v>536</v>
      </c>
      <c r="M514" s="1" t="s">
        <v>537</v>
      </c>
      <c r="N514" s="1">
        <v>0.0</v>
      </c>
      <c r="O514" s="1">
        <v>44.25</v>
      </c>
      <c r="P514" s="1">
        <v>0.0</v>
      </c>
      <c r="Q514" s="1">
        <v>0.0</v>
      </c>
      <c r="R514" s="1">
        <v>28.0</v>
      </c>
      <c r="S514" s="1" t="s">
        <v>538</v>
      </c>
      <c r="T514" s="1" t="s">
        <v>539</v>
      </c>
      <c r="V514" s="4">
        <v>7404218.0</v>
      </c>
      <c r="W514" s="4"/>
      <c r="X514" s="4">
        <v>0.0</v>
      </c>
      <c r="Y514" s="1">
        <v>0.0</v>
      </c>
      <c r="Z514" s="1">
        <v>0.0</v>
      </c>
      <c r="AA514" s="1">
        <v>1.0</v>
      </c>
      <c r="AB514" s="1">
        <v>0.0</v>
      </c>
      <c r="AC514" s="1">
        <v>0.0</v>
      </c>
      <c r="AD514" s="1">
        <v>0.0</v>
      </c>
      <c r="AE514" s="1">
        <v>0.0</v>
      </c>
      <c r="AF514" s="1">
        <v>0.0</v>
      </c>
      <c r="AG514" s="1">
        <v>0.0</v>
      </c>
      <c r="AH514" s="1">
        <v>0.0</v>
      </c>
      <c r="AI514" s="1">
        <v>0.0</v>
      </c>
      <c r="AJ514" s="1">
        <v>0.0</v>
      </c>
      <c r="AK514" s="1">
        <v>0.0</v>
      </c>
      <c r="AL514" s="1">
        <v>0.0</v>
      </c>
      <c r="AM514" s="4">
        <v>0.0</v>
      </c>
      <c r="AN514" s="1">
        <v>0.0</v>
      </c>
      <c r="AO514" s="4">
        <v>0.0</v>
      </c>
      <c r="AP514" s="1">
        <f t="shared" si="1"/>
        <v>0</v>
      </c>
      <c r="AQ514" s="1" t="s">
        <v>541</v>
      </c>
      <c r="AR514" s="1" t="s">
        <v>564</v>
      </c>
      <c r="AU514" s="2">
        <v>46010.0</v>
      </c>
      <c r="AV514" s="2">
        <v>46024.0215277778</v>
      </c>
      <c r="AW514" s="1">
        <v>13.0</v>
      </c>
      <c r="AX514" s="1">
        <v>184680.12</v>
      </c>
      <c r="AY514" s="1">
        <v>567.0</v>
      </c>
      <c r="AZ514" s="1">
        <v>1.0</v>
      </c>
      <c r="BA514" s="1">
        <v>0.0</v>
      </c>
      <c r="BB514" s="1">
        <v>0.0</v>
      </c>
      <c r="BC514" s="2">
        <v>46010.0</v>
      </c>
      <c r="BD514" s="1">
        <v>50.0</v>
      </c>
      <c r="BE514" s="1" t="s">
        <v>550</v>
      </c>
      <c r="BF514" s="1">
        <v>2025.0</v>
      </c>
      <c r="BG514" s="1" t="s">
        <v>546</v>
      </c>
      <c r="BH514" s="1" t="str">
        <f>VLOOKUP(B514,CookieClicks!D:O,12,FALSE)</f>
        <v>https://grow.method.me/quickbooks-method-cad/?trc=81&amp;trk=crm with quickbooks&amp;trs=CAN-QB-G&amp;campaignid=1543604353&amp;adgroupid=61438895000&amp;adid=704657828091&amp;gad_source=1&amp;gad_campaignid=1543604353&amp;gbraid=0AAAAAD3Itnav0byMOltrGrKIcSWprrhWi&amp;gclid=Cj0KCQiAjJTKBhCjARIsAIMC4488tNPfkXzmRvLau6lgbxmUlsFY1LGKqgR-Hpz_jNW3inlY4jCQBVwaAhpTEALw_wcB</v>
      </c>
      <c r="BI514" s="8" t="str">
        <f>IFERROR(__xludf.DUMMYFUNCTION("VLOOKUP(REGEXREPLACE(BH514,""[?].*"",""""),ContentBuckets!A:C,2,FALSE)"),"#N/A")</f>
        <v>#N/A</v>
      </c>
      <c r="BJ514" s="8" t="str">
        <f>IFERROR(__xludf.DUMMYFUNCTION("VLOOKUP(REGEXREPLACE(BH514,""[?].*"",""""),ContentBuckets!A:C,3,FALSE)"),"#N/A")</f>
        <v>#N/A</v>
      </c>
    </row>
    <row r="515" ht="14.25" customHeight="1">
      <c r="A515" s="1">
        <v>153767.0</v>
      </c>
      <c r="B515" s="1" t="s">
        <v>1264</v>
      </c>
      <c r="C515" s="2">
        <v>46010.7555555556</v>
      </c>
      <c r="D515" s="2"/>
      <c r="E515" s="2">
        <v>46021.7347222222</v>
      </c>
      <c r="F515" s="1" t="b">
        <v>1</v>
      </c>
      <c r="G515" s="4" t="b">
        <v>0</v>
      </c>
      <c r="H515" s="1" t="b">
        <v>0</v>
      </c>
      <c r="I515" s="1" t="b">
        <v>0</v>
      </c>
      <c r="J515" s="1" t="s">
        <v>534</v>
      </c>
      <c r="K515" s="1" t="s">
        <v>535</v>
      </c>
      <c r="L515" s="1" t="s">
        <v>536</v>
      </c>
      <c r="M515" s="1" t="s">
        <v>537</v>
      </c>
      <c r="N515" s="1">
        <v>0.0</v>
      </c>
      <c r="O515" s="1">
        <v>36.75</v>
      </c>
      <c r="P515" s="1">
        <v>0.0</v>
      </c>
      <c r="Q515" s="1">
        <v>0.0</v>
      </c>
      <c r="R515" s="1">
        <v>28.0</v>
      </c>
      <c r="S515" s="1" t="s">
        <v>538</v>
      </c>
      <c r="T515" s="1" t="s">
        <v>539</v>
      </c>
      <c r="V515" s="4">
        <v>7405733.0</v>
      </c>
      <c r="W515" s="4"/>
      <c r="X515" s="4">
        <v>0.0</v>
      </c>
      <c r="Y515" s="1">
        <v>0.0</v>
      </c>
      <c r="Z515" s="1">
        <v>1.0</v>
      </c>
      <c r="AA515" s="1">
        <v>0.0</v>
      </c>
      <c r="AB515" s="1">
        <v>0.0</v>
      </c>
      <c r="AC515" s="1">
        <v>0.0</v>
      </c>
      <c r="AD515" s="1">
        <v>0.0</v>
      </c>
      <c r="AE515" s="1">
        <v>0.0</v>
      </c>
      <c r="AF515" s="1">
        <v>0.0</v>
      </c>
      <c r="AG515" s="1">
        <v>0.0</v>
      </c>
      <c r="AH515" s="1">
        <v>0.0</v>
      </c>
      <c r="AI515" s="1">
        <v>0.0</v>
      </c>
      <c r="AJ515" s="1">
        <v>0.0</v>
      </c>
      <c r="AK515" s="1">
        <v>0.0</v>
      </c>
      <c r="AL515" s="1">
        <v>0.0</v>
      </c>
      <c r="AM515" s="4">
        <v>0.0</v>
      </c>
      <c r="AN515" s="1">
        <v>0.0</v>
      </c>
      <c r="AO515" s="4">
        <v>0.0</v>
      </c>
      <c r="AP515" s="1">
        <f t="shared" si="1"/>
        <v>0</v>
      </c>
      <c r="AQ515" s="1" t="s">
        <v>541</v>
      </c>
      <c r="AR515" s="1" t="s">
        <v>560</v>
      </c>
      <c r="AU515" s="2">
        <v>46010.0</v>
      </c>
      <c r="AV515" s="2">
        <v>46023.9895833333</v>
      </c>
      <c r="AW515" s="1">
        <v>143.0</v>
      </c>
      <c r="AX515" s="1">
        <v>3565920.48</v>
      </c>
      <c r="AY515" s="1">
        <v>2526.0</v>
      </c>
      <c r="AZ515" s="1">
        <v>1.0</v>
      </c>
      <c r="BA515" s="1">
        <v>0.0</v>
      </c>
      <c r="BB515" s="1">
        <v>8.0</v>
      </c>
      <c r="BC515" s="2">
        <v>46010.0</v>
      </c>
      <c r="BD515" s="1">
        <v>50.0</v>
      </c>
      <c r="BE515" s="1" t="s">
        <v>550</v>
      </c>
      <c r="BF515" s="1">
        <v>2025.0</v>
      </c>
      <c r="BG515" s="1" t="s">
        <v>546</v>
      </c>
      <c r="BH515" s="7" t="str">
        <f>VLOOKUP(B515,CookieClicks!D:O,12,FALSE)</f>
        <v>https://signup.method.me/QBOAppstoreSignup?offering=methodcrm</v>
      </c>
      <c r="BI515" s="8" t="str">
        <f>IFERROR(__xludf.DUMMYFUNCTION("VLOOKUP(REGEXREPLACE(BH515,""[?].*"",""""),ContentBuckets!A:C,2,FALSE)"),"#N/A")</f>
        <v>#N/A</v>
      </c>
      <c r="BJ515" s="8" t="str">
        <f>IFERROR(__xludf.DUMMYFUNCTION("VLOOKUP(REGEXREPLACE(BH515,""[?].*"",""""),ContentBuckets!A:C,3,FALSE)"),"#N/A")</f>
        <v>#N/A</v>
      </c>
    </row>
    <row r="516" ht="14.25" customHeight="1">
      <c r="A516" s="1">
        <v>153768.0</v>
      </c>
      <c r="B516" s="1" t="s">
        <v>1265</v>
      </c>
      <c r="C516" s="2">
        <v>46010.8527777778</v>
      </c>
      <c r="D516" s="2"/>
      <c r="E516" s="2"/>
      <c r="F516" s="1" t="b">
        <v>1</v>
      </c>
      <c r="G516" s="4" t="b">
        <v>0</v>
      </c>
      <c r="H516" s="1" t="b">
        <v>0</v>
      </c>
      <c r="I516" s="1" t="b">
        <v>0</v>
      </c>
      <c r="J516" s="1" t="s">
        <v>534</v>
      </c>
      <c r="K516" s="1" t="s">
        <v>535</v>
      </c>
      <c r="L516" s="1" t="s">
        <v>536</v>
      </c>
      <c r="M516" s="1" t="s">
        <v>537</v>
      </c>
      <c r="N516" s="1">
        <v>0.0</v>
      </c>
      <c r="O516" s="1">
        <v>54.75</v>
      </c>
      <c r="P516" s="1">
        <v>0.0</v>
      </c>
      <c r="Q516" s="1">
        <v>0.0</v>
      </c>
      <c r="R516" s="1">
        <v>28.0</v>
      </c>
      <c r="S516" s="1" t="s">
        <v>538</v>
      </c>
      <c r="T516" s="1" t="s">
        <v>539</v>
      </c>
      <c r="V516" s="4">
        <v>7406728.0</v>
      </c>
      <c r="W516" s="4"/>
      <c r="X516" s="4">
        <v>0.0</v>
      </c>
      <c r="Y516" s="1">
        <v>0.0</v>
      </c>
      <c r="Z516" s="1">
        <v>0.0</v>
      </c>
      <c r="AA516" s="1">
        <v>1.0</v>
      </c>
      <c r="AB516" s="1">
        <v>0.0</v>
      </c>
      <c r="AC516" s="1">
        <v>0.0</v>
      </c>
      <c r="AD516" s="1">
        <v>0.0</v>
      </c>
      <c r="AE516" s="1">
        <v>0.0</v>
      </c>
      <c r="AF516" s="1">
        <v>0.0</v>
      </c>
      <c r="AG516" s="1">
        <v>0.0</v>
      </c>
      <c r="AH516" s="1">
        <v>0.0</v>
      </c>
      <c r="AI516" s="1">
        <v>0.0</v>
      </c>
      <c r="AJ516" s="1">
        <v>0.0</v>
      </c>
      <c r="AK516" s="1">
        <v>0.0</v>
      </c>
      <c r="AL516" s="1">
        <v>0.0</v>
      </c>
      <c r="AM516" s="4">
        <v>0.0</v>
      </c>
      <c r="AN516" s="1">
        <v>0.0</v>
      </c>
      <c r="AO516" s="4">
        <v>0.0</v>
      </c>
      <c r="AP516" s="1">
        <f t="shared" si="1"/>
        <v>0</v>
      </c>
      <c r="AR516" s="1" t="s">
        <v>608</v>
      </c>
      <c r="AU516" s="2"/>
      <c r="AV516" s="2">
        <v>46024.0173611111</v>
      </c>
      <c r="AW516" s="1">
        <v>0.0</v>
      </c>
      <c r="AX516" s="1">
        <v>0.0</v>
      </c>
      <c r="AY516" s="1">
        <v>0.0</v>
      </c>
      <c r="AZ516" s="1">
        <v>1.0</v>
      </c>
      <c r="BA516" s="1">
        <v>0.0</v>
      </c>
      <c r="BB516" s="1">
        <v>0.0</v>
      </c>
      <c r="BC516" s="2">
        <v>46010.0</v>
      </c>
      <c r="BD516" s="1">
        <v>50.0</v>
      </c>
      <c r="BE516" s="1" t="s">
        <v>550</v>
      </c>
      <c r="BF516" s="1">
        <v>2025.0</v>
      </c>
      <c r="BG516" s="1" t="s">
        <v>558</v>
      </c>
      <c r="BH516" s="1" t="str">
        <f>VLOOKUP(B516,CookieClicks!D:O,12,FALSE)</f>
        <v>https://grow.method.me/crm-quickbooks/?trc=81&amp;trk=crm with quickbooks&amp;trs=USA-QB-G&amp;campaignid=1543381580&amp;adgroupid=61437797000&amp;adid=704678754673&amp;gad_source=1&amp;gad_campaignid=1543381580&amp;gbraid=0AAAAAD3ItnYf74VUkGH7GD_NKTDD4c7Tm&amp;gclid=Cj0KCQiAjJTKBhCjARIsAIMC448rZtQBS7f5rZUkOTANxFvrjcyIQc46uh0cNwqrjUbX8jFMuC35Dk4aAlewEALw_wcB</v>
      </c>
      <c r="BI516" s="8" t="str">
        <f>IFERROR(__xludf.DUMMYFUNCTION("VLOOKUP(REGEXREPLACE(BH516,""[?].*"",""""),ContentBuckets!A:C,2,FALSE)"),"#N/A")</f>
        <v>#N/A</v>
      </c>
      <c r="BJ516" s="8" t="str">
        <f>IFERROR(__xludf.DUMMYFUNCTION("VLOOKUP(REGEXREPLACE(BH516,""[?].*"",""""),ContentBuckets!A:C,3,FALSE)"),"#N/A")</f>
        <v>#N/A</v>
      </c>
    </row>
    <row r="517" ht="14.25" customHeight="1">
      <c r="A517" s="1">
        <v>153769.0</v>
      </c>
      <c r="B517" s="1" t="s">
        <v>1266</v>
      </c>
      <c r="C517" s="2">
        <v>46010.9104166667</v>
      </c>
      <c r="D517" s="2">
        <v>46015.4083333333</v>
      </c>
      <c r="E517" s="2"/>
      <c r="F517" s="1" t="b">
        <v>0</v>
      </c>
      <c r="G517" s="4" t="b">
        <v>1</v>
      </c>
      <c r="H517" s="1" t="b">
        <v>0</v>
      </c>
      <c r="I517" s="1" t="b">
        <v>0</v>
      </c>
      <c r="J517" s="1" t="s">
        <v>534</v>
      </c>
      <c r="K517" s="1" t="s">
        <v>553</v>
      </c>
      <c r="L517" s="1" t="s">
        <v>554</v>
      </c>
      <c r="M517" s="1" t="s">
        <v>537</v>
      </c>
      <c r="N517" s="1">
        <v>0.0</v>
      </c>
      <c r="O517" s="1">
        <v>44.25</v>
      </c>
      <c r="P517" s="1">
        <v>0.0</v>
      </c>
      <c r="Q517" s="1">
        <v>0.0</v>
      </c>
      <c r="R517" s="1">
        <v>0.0</v>
      </c>
      <c r="S517" s="1" t="s">
        <v>538</v>
      </c>
      <c r="T517" s="1" t="s">
        <v>539</v>
      </c>
      <c r="V517" s="4">
        <v>7407677.0</v>
      </c>
      <c r="W517" s="4"/>
      <c r="X517" s="4">
        <v>0.0</v>
      </c>
      <c r="Y517" s="1">
        <v>0.0</v>
      </c>
      <c r="Z517" s="1">
        <v>0.0</v>
      </c>
      <c r="AA517" s="1">
        <v>1.0</v>
      </c>
      <c r="AB517" s="1">
        <v>0.0</v>
      </c>
      <c r="AC517" s="1">
        <v>0.0</v>
      </c>
      <c r="AD517" s="1">
        <v>0.0</v>
      </c>
      <c r="AE517" s="1">
        <v>0.0</v>
      </c>
      <c r="AF517" s="1">
        <v>0.0</v>
      </c>
      <c r="AG517" s="1">
        <v>0.0</v>
      </c>
      <c r="AH517" s="1">
        <v>0.0</v>
      </c>
      <c r="AI517" s="1">
        <v>0.0</v>
      </c>
      <c r="AJ517" s="1">
        <v>0.0</v>
      </c>
      <c r="AK517" s="1">
        <v>0.0</v>
      </c>
      <c r="AL517" s="1">
        <v>0.0</v>
      </c>
      <c r="AM517" s="4">
        <v>0.0</v>
      </c>
      <c r="AN517" s="1">
        <v>0.0</v>
      </c>
      <c r="AO517" s="4">
        <v>0.0</v>
      </c>
      <c r="AP517" s="1">
        <f t="shared" si="1"/>
        <v>0</v>
      </c>
      <c r="AU517" s="2"/>
      <c r="AV517" s="2">
        <v>46015.0159722222</v>
      </c>
      <c r="AW517" s="1">
        <v>0.0</v>
      </c>
      <c r="AX517" s="1">
        <v>0.0</v>
      </c>
      <c r="AY517" s="1">
        <v>0.0</v>
      </c>
      <c r="AZ517" s="1">
        <v>1.0</v>
      </c>
      <c r="BA517" s="1">
        <v>0.0</v>
      </c>
      <c r="BB517" s="1">
        <v>0.0</v>
      </c>
      <c r="BC517" s="2">
        <v>46010.0</v>
      </c>
      <c r="BD517" s="1">
        <v>50.0</v>
      </c>
      <c r="BE517" s="1" t="s">
        <v>550</v>
      </c>
      <c r="BF517" s="1">
        <v>2025.0</v>
      </c>
      <c r="BG517" s="1" t="s">
        <v>558</v>
      </c>
      <c r="BH517" s="7" t="str">
        <f>VLOOKUP(B517,CookieClicks!D:O,12,FALSE)</f>
        <v>https://www.method.me/crm-quickbooks/job-scheduling-software/?trc=81&amp;trk=&amp;trs=USA-DSA&amp;campaignid=13038312612&amp;adgroupid=127756898611&amp;adid=771467139249&amp;gad_source=1&amp;gad_campaignid=13038312612&amp;gclid=Cj0KCQiAjJTKBhCjARIsAIMC448pX2W7Ag8wtUCsKXEQJYoET2I0lkr22DDHhbZ9fgzNESJKZ6ER8JMaAsS0EALw_wcB</v>
      </c>
      <c r="BI517" s="8" t="str">
        <f>IFERROR(__xludf.DUMMYFUNCTION("VLOOKUP(REGEXREPLACE(BH517,""[?].*"",""""),ContentBuckets!A:C,2,FALSE)"),"/crm-quickbooks/")</f>
        <v>/crm-quickbooks/</v>
      </c>
      <c r="BJ517" s="8" t="str">
        <f>IFERROR(__xludf.DUMMYFUNCTION("VLOOKUP(REGEXREPLACE(BH517,""[?].*"",""""),ContentBuckets!A:C,3,FALSE)"),"Other page")</f>
        <v>Other page</v>
      </c>
    </row>
    <row r="518" ht="14.25" customHeight="1">
      <c r="A518" s="1">
        <v>153770.0</v>
      </c>
      <c r="B518" s="1" t="s">
        <v>1267</v>
      </c>
      <c r="C518" s="2">
        <v>46010.9444444444</v>
      </c>
      <c r="D518" s="2"/>
      <c r="E518" s="2"/>
      <c r="F518" s="1" t="b">
        <v>1</v>
      </c>
      <c r="G518" s="4" t="b">
        <v>0</v>
      </c>
      <c r="H518" s="1" t="b">
        <v>0</v>
      </c>
      <c r="I518" s="1" t="b">
        <v>0</v>
      </c>
      <c r="J518" s="1" t="s">
        <v>534</v>
      </c>
      <c r="K518" s="1" t="s">
        <v>535</v>
      </c>
      <c r="L518" s="1" t="s">
        <v>536</v>
      </c>
      <c r="M518" s="1" t="s">
        <v>537</v>
      </c>
      <c r="N518" s="1">
        <v>0.0</v>
      </c>
      <c r="O518" s="1">
        <v>63.75</v>
      </c>
      <c r="P518" s="1">
        <v>0.0</v>
      </c>
      <c r="Q518" s="1">
        <v>0.0</v>
      </c>
      <c r="R518" s="1">
        <v>28.0</v>
      </c>
      <c r="S518" s="1" t="s">
        <v>538</v>
      </c>
      <c r="T518" s="1" t="s">
        <v>539</v>
      </c>
      <c r="V518" s="4">
        <v>7365397.0</v>
      </c>
      <c r="W518" s="4"/>
      <c r="X518" s="4">
        <v>0.0</v>
      </c>
      <c r="Y518" s="1">
        <v>0.0</v>
      </c>
      <c r="Z518" s="1">
        <v>0.0</v>
      </c>
      <c r="AA518" s="1">
        <v>0.0</v>
      </c>
      <c r="AB518" s="1">
        <v>0.0</v>
      </c>
      <c r="AC518" s="1">
        <v>0.0</v>
      </c>
      <c r="AD518" s="1">
        <v>0.0</v>
      </c>
      <c r="AE518" s="1">
        <v>0.0</v>
      </c>
      <c r="AF518" s="1">
        <v>0.0</v>
      </c>
      <c r="AG518" s="1">
        <v>0.0</v>
      </c>
      <c r="AH518" s="1">
        <v>1.0</v>
      </c>
      <c r="AI518" s="1">
        <v>0.0</v>
      </c>
      <c r="AJ518" s="1">
        <v>0.0</v>
      </c>
      <c r="AK518" s="1">
        <v>0.0</v>
      </c>
      <c r="AL518" s="1">
        <v>0.0</v>
      </c>
      <c r="AM518" s="4">
        <v>0.0</v>
      </c>
      <c r="AN518" s="1">
        <v>0.0</v>
      </c>
      <c r="AO518" s="4">
        <v>0.0</v>
      </c>
      <c r="AP518" s="1">
        <f t="shared" si="1"/>
        <v>0</v>
      </c>
      <c r="AR518" s="1" t="s">
        <v>564</v>
      </c>
      <c r="AU518" s="2"/>
      <c r="AV518" s="2">
        <v>46023.9958333333</v>
      </c>
      <c r="AW518" s="1">
        <v>0.0</v>
      </c>
      <c r="AX518" s="1">
        <v>0.0</v>
      </c>
      <c r="AY518" s="1">
        <v>0.0</v>
      </c>
      <c r="AZ518" s="1">
        <v>1.0</v>
      </c>
      <c r="BA518" s="1">
        <v>0.0</v>
      </c>
      <c r="BB518" s="1">
        <v>0.0</v>
      </c>
      <c r="BC518" s="2">
        <v>46010.0</v>
      </c>
      <c r="BD518" s="1">
        <v>50.0</v>
      </c>
      <c r="BE518" s="1" t="s">
        <v>550</v>
      </c>
      <c r="BF518" s="1">
        <v>2025.0</v>
      </c>
      <c r="BG518" s="1" t="s">
        <v>558</v>
      </c>
      <c r="BH518" s="1" t="str">
        <f>VLOOKUP(B518,CookieClicks!D:O,12,FALSE)</f>
        <v>https://www.method.me/videos/customization-awards-2025/?trc=699&amp;&amp;trs=customization-awards&amp;utm_source=ActiveCampaign&amp;utm_medium=email&amp;utm_content=%5BRecording 🎥%5D 2025 Method Customization Awards&amp;utm_campaign=Customization Awards - Email %235 %28Copy%29</v>
      </c>
      <c r="BI518" s="8" t="str">
        <f>IFERROR(__xludf.DUMMYFUNCTION("VLOOKUP(REGEXREPLACE(BH518,""[?].*"",""""),ContentBuckets!A:C,2,FALSE)"),"#N/A")</f>
        <v>#N/A</v>
      </c>
      <c r="BJ518" s="8" t="str">
        <f>IFERROR(__xludf.DUMMYFUNCTION("VLOOKUP(REGEXREPLACE(BH518,""[?].*"",""""),ContentBuckets!A:C,3,FALSE)"),"#N/A")</f>
        <v>#N/A</v>
      </c>
    </row>
    <row r="519" ht="14.25" customHeight="1">
      <c r="A519" s="1">
        <v>153771.0</v>
      </c>
      <c r="B519" s="1" t="s">
        <v>1268</v>
      </c>
      <c r="C519" s="2">
        <v>46010.9465277778</v>
      </c>
      <c r="D519" s="2"/>
      <c r="E519" s="2"/>
      <c r="F519" s="1" t="b">
        <v>1</v>
      </c>
      <c r="G519" s="4" t="b">
        <v>0</v>
      </c>
      <c r="H519" s="1" t="b">
        <v>0</v>
      </c>
      <c r="I519" s="1" t="b">
        <v>0</v>
      </c>
      <c r="J519" s="1" t="s">
        <v>534</v>
      </c>
      <c r="K519" s="1" t="s">
        <v>535</v>
      </c>
      <c r="L519" s="1" t="s">
        <v>536</v>
      </c>
      <c r="M519" s="1" t="s">
        <v>537</v>
      </c>
      <c r="N519" s="1">
        <v>0.0</v>
      </c>
      <c r="O519" s="1">
        <v>72.75</v>
      </c>
      <c r="P519" s="1">
        <v>0.0</v>
      </c>
      <c r="Q519" s="1">
        <v>0.0</v>
      </c>
      <c r="R519" s="1">
        <v>0.0</v>
      </c>
      <c r="S519" s="1" t="s">
        <v>538</v>
      </c>
      <c r="T519" s="1" t="s">
        <v>539</v>
      </c>
      <c r="V519" s="4">
        <v>7408184.0</v>
      </c>
      <c r="W519" s="4"/>
      <c r="X519" s="4">
        <v>0.0</v>
      </c>
      <c r="Y519" s="1">
        <v>0.0</v>
      </c>
      <c r="Z519" s="1">
        <v>0.0</v>
      </c>
      <c r="AA519" s="1">
        <v>1.0</v>
      </c>
      <c r="AB519" s="1">
        <v>0.0</v>
      </c>
      <c r="AC519" s="1">
        <v>0.0</v>
      </c>
      <c r="AD519" s="1">
        <v>0.0</v>
      </c>
      <c r="AE519" s="1">
        <v>0.0</v>
      </c>
      <c r="AF519" s="1">
        <v>0.0</v>
      </c>
      <c r="AG519" s="1">
        <v>0.0</v>
      </c>
      <c r="AH519" s="1">
        <v>0.0</v>
      </c>
      <c r="AI519" s="1">
        <v>0.0</v>
      </c>
      <c r="AJ519" s="1">
        <v>0.0</v>
      </c>
      <c r="AK519" s="1">
        <v>0.0</v>
      </c>
      <c r="AL519" s="1">
        <v>0.0</v>
      </c>
      <c r="AM519" s="4">
        <v>0.0</v>
      </c>
      <c r="AN519" s="1">
        <v>0.0</v>
      </c>
      <c r="AO519" s="4">
        <v>0.0</v>
      </c>
      <c r="AP519" s="1">
        <f t="shared" si="1"/>
        <v>0</v>
      </c>
      <c r="AU519" s="2"/>
      <c r="AV519" s="2">
        <v>46024.0145833333</v>
      </c>
      <c r="AW519" s="1">
        <v>0.0</v>
      </c>
      <c r="AX519" s="1">
        <v>0.0</v>
      </c>
      <c r="AY519" s="1">
        <v>0.0</v>
      </c>
      <c r="AZ519" s="1">
        <v>1.0</v>
      </c>
      <c r="BA519" s="1">
        <v>0.0</v>
      </c>
      <c r="BB519" s="1">
        <v>0.0</v>
      </c>
      <c r="BC519" s="2">
        <v>46010.0</v>
      </c>
      <c r="BD519" s="1">
        <v>50.0</v>
      </c>
      <c r="BE519" s="1" t="s">
        <v>550</v>
      </c>
      <c r="BF519" s="1">
        <v>2025.0</v>
      </c>
      <c r="BG519" s="1" t="s">
        <v>558</v>
      </c>
      <c r="BH519" s="1" t="str">
        <f>VLOOKUP(B519,CookieClicks!D:O,12,FALSE)</f>
        <v>https://grow.method.me/best-quickbooks-crm/?trc=86&amp;trk=grow.method.me&amp;trs=Bing-PMax&amp;msclkid=6f9394df9cc8176fff78fd9987e03783&amp;utm_source=bing&amp;utm_medium=cpc&amp;utm_campaign=Bing - PMAX&amp;utm_term=grow.method.me&amp;utm_content=US - retargeting</v>
      </c>
      <c r="BI519" s="8" t="str">
        <f>IFERROR(__xludf.DUMMYFUNCTION("VLOOKUP(REGEXREPLACE(BH519,""[?].*"",""""),ContentBuckets!A:C,2,FALSE)"),"#N/A")</f>
        <v>#N/A</v>
      </c>
      <c r="BJ519" s="8" t="str">
        <f>IFERROR(__xludf.DUMMYFUNCTION("VLOOKUP(REGEXREPLACE(BH519,""[?].*"",""""),ContentBuckets!A:C,3,FALSE)"),"#N/A")</f>
        <v>#N/A</v>
      </c>
    </row>
    <row r="520" ht="14.25" customHeight="1">
      <c r="A520" s="1">
        <v>153772.0</v>
      </c>
      <c r="B520" s="1" t="s">
        <v>1269</v>
      </c>
      <c r="C520" s="2">
        <v>46011.03125</v>
      </c>
      <c r="D520" s="2"/>
      <c r="E520" s="2"/>
      <c r="F520" s="1" t="b">
        <v>1</v>
      </c>
      <c r="G520" s="4" t="b">
        <v>0</v>
      </c>
      <c r="H520" s="1" t="b">
        <v>0</v>
      </c>
      <c r="I520" s="1" t="b">
        <v>0</v>
      </c>
      <c r="J520" s="1" t="s">
        <v>534</v>
      </c>
      <c r="K520" s="1" t="s">
        <v>553</v>
      </c>
      <c r="L520" s="1" t="s">
        <v>599</v>
      </c>
      <c r="M520" s="1" t="s">
        <v>537</v>
      </c>
      <c r="N520" s="1">
        <v>0.0</v>
      </c>
      <c r="O520" s="1">
        <v>44.25</v>
      </c>
      <c r="P520" s="1">
        <v>0.0</v>
      </c>
      <c r="Q520" s="1">
        <v>0.0</v>
      </c>
      <c r="R520" s="1">
        <v>0.0</v>
      </c>
      <c r="S520" s="1" t="s">
        <v>538</v>
      </c>
      <c r="T520" s="1" t="s">
        <v>539</v>
      </c>
      <c r="V520" s="4">
        <v>7409418.0</v>
      </c>
      <c r="W520" s="4" t="s">
        <v>540</v>
      </c>
      <c r="X520" s="4">
        <v>0.0</v>
      </c>
      <c r="Y520" s="1">
        <v>1.0</v>
      </c>
      <c r="Z520" s="1">
        <v>0.0</v>
      </c>
      <c r="AA520" s="1">
        <v>0.0</v>
      </c>
      <c r="AB520" s="1">
        <v>0.0</v>
      </c>
      <c r="AC520" s="1">
        <v>0.0</v>
      </c>
      <c r="AD520" s="1">
        <v>0.0</v>
      </c>
      <c r="AE520" s="1">
        <v>0.0</v>
      </c>
      <c r="AF520" s="1">
        <v>0.0</v>
      </c>
      <c r="AG520" s="1">
        <v>0.0</v>
      </c>
      <c r="AH520" s="1">
        <v>0.0</v>
      </c>
      <c r="AI520" s="1">
        <v>0.0</v>
      </c>
      <c r="AJ520" s="1">
        <v>0.0</v>
      </c>
      <c r="AK520" s="1">
        <v>0.0</v>
      </c>
      <c r="AL520" s="1">
        <v>0.0</v>
      </c>
      <c r="AM520" s="4">
        <v>0.0</v>
      </c>
      <c r="AN520" s="1">
        <v>0.0</v>
      </c>
      <c r="AO520" s="4">
        <v>0.0</v>
      </c>
      <c r="AP520" s="1">
        <f t="shared" si="1"/>
        <v>0</v>
      </c>
      <c r="AU520" s="2"/>
      <c r="AV520" s="2">
        <v>46024.0388888889</v>
      </c>
      <c r="AW520" s="1">
        <v>0.0</v>
      </c>
      <c r="AX520" s="1">
        <v>0.0</v>
      </c>
      <c r="AY520" s="1">
        <v>0.0</v>
      </c>
      <c r="AZ520" s="1">
        <v>1.0</v>
      </c>
      <c r="BA520" s="1">
        <v>0.0</v>
      </c>
      <c r="BB520" s="1">
        <v>0.0</v>
      </c>
      <c r="BC520" s="2">
        <v>46011.0</v>
      </c>
      <c r="BD520" s="1">
        <v>50.0</v>
      </c>
      <c r="BE520" s="1" t="s">
        <v>550</v>
      </c>
      <c r="BF520" s="1">
        <v>2025.0</v>
      </c>
      <c r="BG520" s="1" t="s">
        <v>786</v>
      </c>
      <c r="BH520" s="7" t="str">
        <f>VLOOKUP(B520,CookieClicks!D:O,12,FALSE)</f>
        <v>https://www.method.me/features/gmail/</v>
      </c>
      <c r="BI520" s="8" t="str">
        <f>IFERROR(__xludf.DUMMYFUNCTION("VLOOKUP(REGEXREPLACE(BH520,""[?].*"",""""),ContentBuckets!A:C,2,FALSE)"),"Features page")</f>
        <v>Features page</v>
      </c>
      <c r="BJ520" s="8" t="str">
        <f>IFERROR(__xludf.DUMMYFUNCTION("VLOOKUP(REGEXREPLACE(BH520,""[?].*"",""""),ContentBuckets!A:C,3,FALSE)"),"Other page")</f>
        <v>Other page</v>
      </c>
    </row>
    <row r="521" ht="14.25" customHeight="1">
      <c r="A521" s="1">
        <v>153773.0</v>
      </c>
      <c r="B521" s="1" t="s">
        <v>1270</v>
      </c>
      <c r="C521" s="2">
        <v>46011.1069444444</v>
      </c>
      <c r="D521" s="2">
        <v>46013.3923611111</v>
      </c>
      <c r="E521" s="2"/>
      <c r="F521" s="1" t="b">
        <v>0</v>
      </c>
      <c r="G521" s="4" t="b">
        <v>1</v>
      </c>
      <c r="H521" s="1" t="b">
        <v>0</v>
      </c>
      <c r="I521" s="1" t="b">
        <v>0</v>
      </c>
      <c r="J521" s="1" t="s">
        <v>534</v>
      </c>
      <c r="K521" s="1" t="s">
        <v>553</v>
      </c>
      <c r="L521" s="1" t="s">
        <v>599</v>
      </c>
      <c r="M521" s="1" t="s">
        <v>537</v>
      </c>
      <c r="N521" s="1">
        <v>0.0</v>
      </c>
      <c r="O521" s="1">
        <v>44.25</v>
      </c>
      <c r="P521" s="1">
        <v>0.0</v>
      </c>
      <c r="Q521" s="1">
        <v>0.0</v>
      </c>
      <c r="R521" s="1">
        <v>0.0</v>
      </c>
      <c r="S521" s="1" t="s">
        <v>538</v>
      </c>
      <c r="T521" s="1" t="s">
        <v>539</v>
      </c>
      <c r="V521" s="4">
        <v>7410879.0</v>
      </c>
      <c r="W521" s="4"/>
      <c r="X521" s="4">
        <v>0.0</v>
      </c>
      <c r="Y521" s="1">
        <v>0.0</v>
      </c>
      <c r="Z521" s="1">
        <v>0.0</v>
      </c>
      <c r="AA521" s="1">
        <v>0.0</v>
      </c>
      <c r="AB521" s="1">
        <v>0.0</v>
      </c>
      <c r="AC521" s="1">
        <v>0.0</v>
      </c>
      <c r="AD521" s="1">
        <v>0.0</v>
      </c>
      <c r="AE521" s="1">
        <v>0.0</v>
      </c>
      <c r="AF521" s="1">
        <v>0.0</v>
      </c>
      <c r="AG521" s="1">
        <v>0.0</v>
      </c>
      <c r="AH521" s="1">
        <v>0.0</v>
      </c>
      <c r="AI521" s="1">
        <v>0.0</v>
      </c>
      <c r="AJ521" s="1">
        <v>0.0</v>
      </c>
      <c r="AK521" s="1">
        <v>0.0</v>
      </c>
      <c r="AL521" s="1">
        <v>0.0</v>
      </c>
      <c r="AM521" s="4">
        <v>0.0</v>
      </c>
      <c r="AN521" s="1">
        <v>0.0</v>
      </c>
      <c r="AO521" s="4">
        <v>0.0</v>
      </c>
      <c r="AP521" s="1">
        <f t="shared" si="1"/>
        <v>1</v>
      </c>
      <c r="AU521" s="2"/>
      <c r="AV521" s="2">
        <v>46013.0375</v>
      </c>
      <c r="AW521" s="1">
        <v>0.0</v>
      </c>
      <c r="AX521" s="1">
        <v>0.0</v>
      </c>
      <c r="AY521" s="1">
        <v>0.0</v>
      </c>
      <c r="AZ521" s="1">
        <v>1.0</v>
      </c>
      <c r="BA521" s="1">
        <v>0.0</v>
      </c>
      <c r="BB521" s="1">
        <v>0.0</v>
      </c>
      <c r="BC521" s="2">
        <v>46011.0</v>
      </c>
      <c r="BD521" s="1">
        <v>50.0</v>
      </c>
      <c r="BE521" s="1" t="s">
        <v>550</v>
      </c>
      <c r="BF521" s="1">
        <v>2025.0</v>
      </c>
      <c r="BG521" s="1" t="s">
        <v>624</v>
      </c>
      <c r="BH521" s="7" t="str">
        <f>VLOOKUP(B521,CookieClicks!D:O,12,FALSE)</f>
        <v>https://grow.method.me/demo/?SOURCE=TOPNAV</v>
      </c>
      <c r="BI521" s="8" t="str">
        <f>IFERROR(__xludf.DUMMYFUNCTION("VLOOKUP(REGEXREPLACE(BH521,""[?].*"",""""),ContentBuckets!A:C,2,FALSE)"),"#N/A")</f>
        <v>#N/A</v>
      </c>
      <c r="BJ521" s="8" t="str">
        <f>IFERROR(__xludf.DUMMYFUNCTION("VLOOKUP(REGEXREPLACE(BH521,""[?].*"",""""),ContentBuckets!A:C,3,FALSE)"),"#N/A")</f>
        <v>#N/A</v>
      </c>
    </row>
    <row r="522" ht="14.25" customHeight="1">
      <c r="A522" s="1">
        <v>153774.0</v>
      </c>
      <c r="B522" s="1" t="s">
        <v>1271</v>
      </c>
      <c r="C522" s="2">
        <v>46011.1083333333</v>
      </c>
      <c r="D522" s="2"/>
      <c r="E522" s="2"/>
      <c r="F522" s="1" t="b">
        <v>1</v>
      </c>
      <c r="G522" s="4" t="b">
        <v>0</v>
      </c>
      <c r="H522" s="1" t="b">
        <v>0</v>
      </c>
      <c r="I522" s="1" t="b">
        <v>0</v>
      </c>
      <c r="J522" s="1" t="s">
        <v>534</v>
      </c>
      <c r="K522" s="1" t="s">
        <v>553</v>
      </c>
      <c r="L522" s="1" t="s">
        <v>599</v>
      </c>
      <c r="M522" s="1" t="s">
        <v>537</v>
      </c>
      <c r="N522" s="1">
        <v>0.0</v>
      </c>
      <c r="O522" s="1">
        <v>44.25</v>
      </c>
      <c r="P522" s="1">
        <v>0.0</v>
      </c>
      <c r="Q522" s="1">
        <v>0.0</v>
      </c>
      <c r="R522" s="1">
        <v>0.0</v>
      </c>
      <c r="S522" s="1" t="s">
        <v>538</v>
      </c>
      <c r="T522" s="1" t="s">
        <v>539</v>
      </c>
      <c r="V522" s="4">
        <v>7410879.0</v>
      </c>
      <c r="W522" s="4"/>
      <c r="X522" s="4">
        <v>0.0</v>
      </c>
      <c r="Y522" s="1">
        <v>0.0</v>
      </c>
      <c r="Z522" s="1">
        <v>0.0</v>
      </c>
      <c r="AA522" s="1">
        <v>0.0</v>
      </c>
      <c r="AB522" s="1">
        <v>0.0</v>
      </c>
      <c r="AC522" s="1">
        <v>0.0</v>
      </c>
      <c r="AD522" s="1">
        <v>0.0</v>
      </c>
      <c r="AE522" s="1">
        <v>0.0</v>
      </c>
      <c r="AF522" s="1">
        <v>0.0</v>
      </c>
      <c r="AG522" s="1">
        <v>0.0</v>
      </c>
      <c r="AH522" s="1">
        <v>0.0</v>
      </c>
      <c r="AI522" s="1">
        <v>0.0</v>
      </c>
      <c r="AJ522" s="1">
        <v>0.0</v>
      </c>
      <c r="AK522" s="1">
        <v>0.0</v>
      </c>
      <c r="AL522" s="1">
        <v>0.0</v>
      </c>
      <c r="AM522" s="4">
        <v>0.0</v>
      </c>
      <c r="AN522" s="1">
        <v>0.0</v>
      </c>
      <c r="AO522" s="4">
        <v>0.0</v>
      </c>
      <c r="AP522" s="1">
        <f t="shared" si="1"/>
        <v>1</v>
      </c>
      <c r="AU522" s="2"/>
      <c r="AV522" s="2">
        <v>46024.0430555556</v>
      </c>
      <c r="AW522" s="1">
        <v>0.0</v>
      </c>
      <c r="AX522" s="1">
        <v>0.0</v>
      </c>
      <c r="AY522" s="1">
        <v>0.0</v>
      </c>
      <c r="AZ522" s="1">
        <v>1.0</v>
      </c>
      <c r="BA522" s="1">
        <v>0.0</v>
      </c>
      <c r="BB522" s="1">
        <v>0.0</v>
      </c>
      <c r="BC522" s="2">
        <v>46011.0</v>
      </c>
      <c r="BD522" s="1">
        <v>50.0</v>
      </c>
      <c r="BE522" s="1" t="s">
        <v>550</v>
      </c>
      <c r="BF522" s="1">
        <v>2025.0</v>
      </c>
      <c r="BG522" s="1" t="s">
        <v>624</v>
      </c>
      <c r="BH522" s="7" t="str">
        <f>VLOOKUP(B522,CookieClicks!D:O,12,FALSE)</f>
        <v>https://grow.method.me/demo/?SOURCE=TOPNAV</v>
      </c>
      <c r="BI522" s="8" t="str">
        <f>IFERROR(__xludf.DUMMYFUNCTION("VLOOKUP(REGEXREPLACE(BH522,""[?].*"",""""),ContentBuckets!A:C,2,FALSE)"),"#N/A")</f>
        <v>#N/A</v>
      </c>
      <c r="BJ522" s="8" t="str">
        <f>IFERROR(__xludf.DUMMYFUNCTION("VLOOKUP(REGEXREPLACE(BH522,""[?].*"",""""),ContentBuckets!A:C,3,FALSE)"),"#N/A")</f>
        <v>#N/A</v>
      </c>
    </row>
    <row r="523" ht="14.25" customHeight="1">
      <c r="A523" s="1">
        <v>153775.0</v>
      </c>
      <c r="B523" s="1" t="s">
        <v>1272</v>
      </c>
      <c r="C523" s="2">
        <v>46011.2986111111</v>
      </c>
      <c r="D523" s="2"/>
      <c r="E523" s="2">
        <v>46021.8104166667</v>
      </c>
      <c r="F523" s="1" t="b">
        <v>1</v>
      </c>
      <c r="G523" s="4" t="b">
        <v>0</v>
      </c>
      <c r="H523" s="1" t="b">
        <v>0</v>
      </c>
      <c r="I523" s="1" t="b">
        <v>0</v>
      </c>
      <c r="J523" s="1" t="s">
        <v>534</v>
      </c>
      <c r="K523" s="1" t="s">
        <v>535</v>
      </c>
      <c r="L523" s="1" t="s">
        <v>536</v>
      </c>
      <c r="M523" s="1" t="s">
        <v>537</v>
      </c>
      <c r="N523" s="1">
        <v>0.0</v>
      </c>
      <c r="O523" s="1">
        <v>36.75</v>
      </c>
      <c r="P523" s="1">
        <v>0.0</v>
      </c>
      <c r="Q523" s="1">
        <v>0.0</v>
      </c>
      <c r="R523" s="1">
        <v>28.0</v>
      </c>
      <c r="S523" s="1" t="s">
        <v>538</v>
      </c>
      <c r="T523" s="1" t="s">
        <v>539</v>
      </c>
      <c r="V523" s="4">
        <v>7414207.0</v>
      </c>
      <c r="W523" s="4"/>
      <c r="X523" s="4">
        <v>0.0</v>
      </c>
      <c r="Y523" s="1">
        <v>0.0</v>
      </c>
      <c r="Z523" s="1">
        <v>0.0</v>
      </c>
      <c r="AA523" s="1">
        <v>1.0</v>
      </c>
      <c r="AB523" s="1">
        <v>0.0</v>
      </c>
      <c r="AC523" s="1">
        <v>0.0</v>
      </c>
      <c r="AD523" s="1">
        <v>0.0</v>
      </c>
      <c r="AE523" s="1">
        <v>0.0</v>
      </c>
      <c r="AF523" s="1">
        <v>0.0</v>
      </c>
      <c r="AG523" s="1">
        <v>0.0</v>
      </c>
      <c r="AH523" s="1">
        <v>0.0</v>
      </c>
      <c r="AI523" s="1">
        <v>0.0</v>
      </c>
      <c r="AJ523" s="1">
        <v>0.0</v>
      </c>
      <c r="AK523" s="1">
        <v>0.0</v>
      </c>
      <c r="AL523" s="1">
        <v>0.0</v>
      </c>
      <c r="AM523" s="4">
        <v>0.0</v>
      </c>
      <c r="AN523" s="1">
        <v>0.0</v>
      </c>
      <c r="AO523" s="4">
        <v>0.0</v>
      </c>
      <c r="AP523" s="1">
        <f t="shared" si="1"/>
        <v>0</v>
      </c>
      <c r="AQ523" s="1" t="s">
        <v>557</v>
      </c>
      <c r="AR523" s="1" t="s">
        <v>578</v>
      </c>
      <c r="AU523" s="2">
        <v>46011.0</v>
      </c>
      <c r="AV523" s="2">
        <v>46024.0020833333</v>
      </c>
      <c r="AW523" s="1">
        <v>35.0</v>
      </c>
      <c r="AX523" s="1">
        <v>254991.6</v>
      </c>
      <c r="AY523" s="1">
        <v>417.0</v>
      </c>
      <c r="AZ523" s="1">
        <v>1.0</v>
      </c>
      <c r="BA523" s="1">
        <v>0.0</v>
      </c>
      <c r="BB523" s="1">
        <v>0.0</v>
      </c>
      <c r="BC523" s="2">
        <v>46011.0</v>
      </c>
      <c r="BD523" s="1">
        <v>50.0</v>
      </c>
      <c r="BE523" s="1" t="s">
        <v>550</v>
      </c>
      <c r="BF523" s="1">
        <v>2025.0</v>
      </c>
      <c r="BG523" s="1" t="s">
        <v>558</v>
      </c>
      <c r="BH523" s="1" t="str">
        <f>VLOOKUP(B523,CookieClicks!D:O,12,FALSE)</f>
        <v>https://grow.method.me/qb-payment/?trc=81&amp;trk=quickbooks online payment&amp;trs=US-payment&amp;campaignid=19733246298&amp;adgroupid=146278163933&amp;adid=649435146420&amp;gad_source=1&amp;gad_campaignid=19733246298&amp;gbraid=0AAAAAD3ItnbmlLILOhQdCZFS2MwBcoIzo&amp;gclid=Cj0KCQiAr5nKBhCpARIsACa_NiMbgRhCCPdQcvx7-raUo7ZyyXgFe25Ib3jE7KnlSdVqUKOiULQMcpQaAvOAEALw_wcB</v>
      </c>
      <c r="BI523" s="8" t="str">
        <f>IFERROR(__xludf.DUMMYFUNCTION("VLOOKUP(REGEXREPLACE(BH523,""[?].*"",""""),ContentBuckets!A:C,2,FALSE)"),"#N/A")</f>
        <v>#N/A</v>
      </c>
      <c r="BJ523" s="8" t="str">
        <f>IFERROR(__xludf.DUMMYFUNCTION("VLOOKUP(REGEXREPLACE(BH523,""[?].*"",""""),ContentBuckets!A:C,3,FALSE)"),"#N/A")</f>
        <v>#N/A</v>
      </c>
    </row>
    <row r="524" ht="14.25" customHeight="1">
      <c r="A524" s="1">
        <v>153776.0</v>
      </c>
      <c r="B524" s="1" t="s">
        <v>1273</v>
      </c>
      <c r="C524" s="2">
        <v>46011.3472222222</v>
      </c>
      <c r="D524" s="2"/>
      <c r="E524" s="2"/>
      <c r="F524" s="1" t="b">
        <v>1</v>
      </c>
      <c r="G524" s="4" t="b">
        <v>0</v>
      </c>
      <c r="H524" s="1" t="b">
        <v>0</v>
      </c>
      <c r="I524" s="1" t="b">
        <v>0</v>
      </c>
      <c r="J524" s="1" t="s">
        <v>534</v>
      </c>
      <c r="K524" s="1" t="s">
        <v>535</v>
      </c>
      <c r="L524" s="1" t="s">
        <v>536</v>
      </c>
      <c r="M524" s="1" t="s">
        <v>537</v>
      </c>
      <c r="N524" s="1">
        <v>0.0</v>
      </c>
      <c r="O524" s="1">
        <v>53.25</v>
      </c>
      <c r="P524" s="1">
        <v>0.0</v>
      </c>
      <c r="Q524" s="1">
        <v>0.0</v>
      </c>
      <c r="R524" s="1">
        <v>28.0</v>
      </c>
      <c r="S524" s="1" t="s">
        <v>538</v>
      </c>
      <c r="T524" s="1" t="s">
        <v>539</v>
      </c>
      <c r="V524" s="4">
        <v>7414762.0</v>
      </c>
      <c r="W524" s="4" t="s">
        <v>540</v>
      </c>
      <c r="X524" s="4">
        <v>0.0</v>
      </c>
      <c r="Y524" s="1">
        <v>1.0</v>
      </c>
      <c r="Z524" s="1">
        <v>0.0</v>
      </c>
      <c r="AA524" s="1">
        <v>0.0</v>
      </c>
      <c r="AB524" s="1">
        <v>0.0</v>
      </c>
      <c r="AC524" s="1">
        <v>0.0</v>
      </c>
      <c r="AD524" s="1">
        <v>0.0</v>
      </c>
      <c r="AE524" s="1">
        <v>0.0</v>
      </c>
      <c r="AF524" s="1">
        <v>0.0</v>
      </c>
      <c r="AG524" s="1">
        <v>0.0</v>
      </c>
      <c r="AH524" s="1">
        <v>0.0</v>
      </c>
      <c r="AI524" s="1">
        <v>0.0</v>
      </c>
      <c r="AJ524" s="1">
        <v>0.0</v>
      </c>
      <c r="AK524" s="1">
        <v>0.0</v>
      </c>
      <c r="AL524" s="1">
        <v>0.0</v>
      </c>
      <c r="AM524" s="4">
        <v>0.0</v>
      </c>
      <c r="AN524" s="1">
        <v>0.0</v>
      </c>
      <c r="AO524" s="4">
        <v>0.0</v>
      </c>
      <c r="AP524" s="1">
        <f t="shared" si="1"/>
        <v>0</v>
      </c>
      <c r="AQ524" s="1" t="s">
        <v>557</v>
      </c>
      <c r="AR524" s="1" t="s">
        <v>608</v>
      </c>
      <c r="AT524" s="1" t="s">
        <v>908</v>
      </c>
      <c r="AU524" s="2">
        <v>46011.0</v>
      </c>
      <c r="AV524" s="2">
        <v>46023.9840277778</v>
      </c>
      <c r="AW524" s="1">
        <v>0.0</v>
      </c>
      <c r="AX524" s="1">
        <v>6480.0</v>
      </c>
      <c r="AY524" s="1">
        <v>1.0</v>
      </c>
      <c r="AZ524" s="1">
        <v>1.0</v>
      </c>
      <c r="BA524" s="1">
        <v>0.0</v>
      </c>
      <c r="BB524" s="1">
        <v>0.0</v>
      </c>
      <c r="BC524" s="2">
        <v>46011.0</v>
      </c>
      <c r="BD524" s="1">
        <v>50.0</v>
      </c>
      <c r="BE524" s="1" t="s">
        <v>550</v>
      </c>
      <c r="BF524" s="1">
        <v>2025.0</v>
      </c>
      <c r="BG524" s="1" t="s">
        <v>558</v>
      </c>
      <c r="BH524" s="7" t="str">
        <f>VLOOKUP(B524,CookieClicks!D:O,12,FALSE)</f>
        <v>https://www.method.me/proposals/</v>
      </c>
      <c r="BI524" s="8" t="str">
        <f>IFERROR(__xludf.DUMMYFUNCTION("VLOOKUP(REGEXREPLACE(BH524,""[?].*"",""""),ContentBuckets!A:C,2,FALSE)"),"Features page")</f>
        <v>Features page</v>
      </c>
      <c r="BJ524" s="8" t="str">
        <f>IFERROR(__xludf.DUMMYFUNCTION("VLOOKUP(REGEXREPLACE(BH524,""[?].*"",""""),ContentBuckets!A:C,3,FALSE)"),"Other page")</f>
        <v>Other page</v>
      </c>
    </row>
    <row r="525" ht="14.25" customHeight="1">
      <c r="A525" s="1">
        <v>153777.0</v>
      </c>
      <c r="B525" s="1" t="s">
        <v>1274</v>
      </c>
      <c r="C525" s="2">
        <v>46011.3541666667</v>
      </c>
      <c r="D525" s="2"/>
      <c r="E525" s="2"/>
      <c r="F525" s="1" t="b">
        <v>1</v>
      </c>
      <c r="G525" s="4" t="b">
        <v>0</v>
      </c>
      <c r="H525" s="1" t="b">
        <v>0</v>
      </c>
      <c r="I525" s="1" t="b">
        <v>0</v>
      </c>
      <c r="J525" s="1" t="s">
        <v>534</v>
      </c>
      <c r="K525" s="1" t="s">
        <v>535</v>
      </c>
      <c r="L525" s="1" t="s">
        <v>536</v>
      </c>
      <c r="M525" s="1" t="s">
        <v>537</v>
      </c>
      <c r="N525" s="1">
        <v>0.0</v>
      </c>
      <c r="O525" s="1">
        <v>53.25</v>
      </c>
      <c r="P525" s="1">
        <v>0.0</v>
      </c>
      <c r="Q525" s="1">
        <v>0.0</v>
      </c>
      <c r="R525" s="1">
        <v>28.0</v>
      </c>
      <c r="S525" s="1" t="s">
        <v>538</v>
      </c>
      <c r="T525" s="1" t="s">
        <v>539</v>
      </c>
      <c r="V525" s="4">
        <v>7415120.0</v>
      </c>
      <c r="W525" s="4"/>
      <c r="X525" s="4">
        <v>1.0</v>
      </c>
      <c r="Y525" s="1">
        <v>0.0</v>
      </c>
      <c r="Z525" s="1">
        <v>0.0</v>
      </c>
      <c r="AA525" s="1">
        <v>0.0</v>
      </c>
      <c r="AB525" s="1">
        <v>0.0</v>
      </c>
      <c r="AC525" s="1">
        <v>0.0</v>
      </c>
      <c r="AD525" s="1">
        <v>0.0</v>
      </c>
      <c r="AE525" s="1">
        <v>0.0</v>
      </c>
      <c r="AF525" s="1">
        <v>0.0</v>
      </c>
      <c r="AG525" s="1">
        <v>0.0</v>
      </c>
      <c r="AH525" s="1">
        <v>0.0</v>
      </c>
      <c r="AI525" s="1">
        <v>0.0</v>
      </c>
      <c r="AJ525" s="1">
        <v>0.0</v>
      </c>
      <c r="AK525" s="1">
        <v>0.0</v>
      </c>
      <c r="AL525" s="1">
        <v>0.0</v>
      </c>
      <c r="AM525" s="4">
        <v>0.0</v>
      </c>
      <c r="AN525" s="1">
        <v>0.0</v>
      </c>
      <c r="AO525" s="4">
        <v>0.0</v>
      </c>
      <c r="AP525" s="1">
        <f t="shared" si="1"/>
        <v>0</v>
      </c>
      <c r="AR525" s="1" t="s">
        <v>681</v>
      </c>
      <c r="AU525" s="2"/>
      <c r="AV525" s="2">
        <v>46024.0013888889</v>
      </c>
      <c r="AW525" s="1">
        <v>0.0</v>
      </c>
      <c r="AX525" s="1">
        <v>0.0</v>
      </c>
      <c r="AY525" s="1">
        <v>0.0</v>
      </c>
      <c r="AZ525" s="1">
        <v>1.0</v>
      </c>
      <c r="BA525" s="1">
        <v>0.0</v>
      </c>
      <c r="BB525" s="1">
        <v>0.0</v>
      </c>
      <c r="BC525" s="2">
        <v>46011.0</v>
      </c>
      <c r="BD525" s="1">
        <v>50.0</v>
      </c>
      <c r="BE525" s="1" t="s">
        <v>550</v>
      </c>
      <c r="BF525" s="1">
        <v>2025.0</v>
      </c>
      <c r="BG525" s="1" t="s">
        <v>558</v>
      </c>
      <c r="BH525" s="7" t="str">
        <f>VLOOKUP(B525,CookieClicks!D:O,12,FALSE)</f>
        <v>https://www.method.me/</v>
      </c>
      <c r="BI525" s="8" t="str">
        <f>IFERROR(__xludf.DUMMYFUNCTION("VLOOKUP(REGEXREPLACE(BH525,""[?].*"",""""),ContentBuckets!A:C,2,FALSE)"),"Homepage")</f>
        <v>Homepage</v>
      </c>
      <c r="BJ525" s="8" t="str">
        <f>IFERROR(__xludf.DUMMYFUNCTION("VLOOKUP(REGEXREPLACE(BH525,""[?].*"",""""),ContentBuckets!A:C,3,FALSE)"),"Other page")</f>
        <v>Other page</v>
      </c>
    </row>
    <row r="526" ht="14.25" customHeight="1">
      <c r="A526" s="1">
        <v>153778.0</v>
      </c>
      <c r="B526" s="1" t="s">
        <v>1275</v>
      </c>
      <c r="C526" s="2">
        <v>46011.4555555556</v>
      </c>
      <c r="D526" s="2"/>
      <c r="E526" s="2"/>
      <c r="F526" s="1" t="b">
        <v>1</v>
      </c>
      <c r="G526" s="4" t="b">
        <v>0</v>
      </c>
      <c r="H526" s="1" t="b">
        <v>0</v>
      </c>
      <c r="I526" s="1" t="b">
        <v>0</v>
      </c>
      <c r="J526" s="1" t="s">
        <v>534</v>
      </c>
      <c r="K526" s="1" t="s">
        <v>535</v>
      </c>
      <c r="L526" s="1" t="s">
        <v>536</v>
      </c>
      <c r="M526" s="1" t="s">
        <v>537</v>
      </c>
      <c r="N526" s="1">
        <v>0.0</v>
      </c>
      <c r="O526" s="1">
        <v>44.25</v>
      </c>
      <c r="P526" s="1">
        <v>0.0</v>
      </c>
      <c r="Q526" s="1">
        <v>0.0</v>
      </c>
      <c r="R526" s="1">
        <v>28.0</v>
      </c>
      <c r="S526" s="1" t="s">
        <v>538</v>
      </c>
      <c r="T526" s="1" t="s">
        <v>539</v>
      </c>
      <c r="V526" s="4">
        <v>7416598.0</v>
      </c>
      <c r="W526" s="4" t="s">
        <v>540</v>
      </c>
      <c r="X526" s="4">
        <v>0.0</v>
      </c>
      <c r="Y526" s="1">
        <v>1.0</v>
      </c>
      <c r="Z526" s="1">
        <v>0.0</v>
      </c>
      <c r="AA526" s="1">
        <v>0.0</v>
      </c>
      <c r="AB526" s="1">
        <v>0.0</v>
      </c>
      <c r="AC526" s="1">
        <v>0.0</v>
      </c>
      <c r="AD526" s="1">
        <v>0.0</v>
      </c>
      <c r="AE526" s="1">
        <v>0.0</v>
      </c>
      <c r="AF526" s="1">
        <v>0.0</v>
      </c>
      <c r="AG526" s="1">
        <v>0.0</v>
      </c>
      <c r="AH526" s="1">
        <v>0.0</v>
      </c>
      <c r="AI526" s="1">
        <v>0.0</v>
      </c>
      <c r="AJ526" s="1">
        <v>0.0</v>
      </c>
      <c r="AK526" s="1">
        <v>0.0</v>
      </c>
      <c r="AL526" s="1">
        <v>0.0</v>
      </c>
      <c r="AM526" s="4">
        <v>0.0</v>
      </c>
      <c r="AN526" s="1">
        <v>0.0</v>
      </c>
      <c r="AO526" s="4">
        <v>0.0</v>
      </c>
      <c r="AP526" s="1">
        <f t="shared" si="1"/>
        <v>0</v>
      </c>
      <c r="AQ526" s="1" t="s">
        <v>557</v>
      </c>
      <c r="AR526" s="1" t="s">
        <v>560</v>
      </c>
      <c r="AT526" s="1" t="s">
        <v>544</v>
      </c>
      <c r="AU526" s="2">
        <v>46011.0</v>
      </c>
      <c r="AV526" s="2">
        <v>46023.9930555556</v>
      </c>
      <c r="AW526" s="1">
        <v>0.0</v>
      </c>
      <c r="AX526" s="1">
        <v>0.0</v>
      </c>
      <c r="AY526" s="1">
        <v>0.0</v>
      </c>
      <c r="AZ526" s="1">
        <v>1.0</v>
      </c>
      <c r="BA526" s="1">
        <v>0.0</v>
      </c>
      <c r="BB526" s="1">
        <v>0.0</v>
      </c>
      <c r="BC526" s="2">
        <v>46011.0</v>
      </c>
      <c r="BD526" s="1">
        <v>50.0</v>
      </c>
      <c r="BE526" s="1" t="s">
        <v>550</v>
      </c>
      <c r="BF526" s="1">
        <v>2025.0</v>
      </c>
      <c r="BG526" s="1" t="s">
        <v>558</v>
      </c>
      <c r="BH526" s="7" t="str">
        <f>VLOOKUP(B526,CookieClicks!D:O,12,FALSE)</f>
        <v>https://www.method.me/</v>
      </c>
      <c r="BI526" s="8" t="str">
        <f>IFERROR(__xludf.DUMMYFUNCTION("VLOOKUP(REGEXREPLACE(BH526,""[?].*"",""""),ContentBuckets!A:C,2,FALSE)"),"Homepage")</f>
        <v>Homepage</v>
      </c>
      <c r="BJ526" s="8" t="str">
        <f>IFERROR(__xludf.DUMMYFUNCTION("VLOOKUP(REGEXREPLACE(BH526,""[?].*"",""""),ContentBuckets!A:C,3,FALSE)"),"Other page")</f>
        <v>Other page</v>
      </c>
    </row>
    <row r="527" ht="14.25" customHeight="1">
      <c r="A527" s="1">
        <v>153779.0</v>
      </c>
      <c r="B527" s="1" t="s">
        <v>1276</v>
      </c>
      <c r="C527" s="2">
        <v>46011.5027777778</v>
      </c>
      <c r="D527" s="2"/>
      <c r="E527" s="2"/>
      <c r="F527" s="1" t="b">
        <v>1</v>
      </c>
      <c r="G527" s="4" t="b">
        <v>0</v>
      </c>
      <c r="H527" s="1" t="b">
        <v>0</v>
      </c>
      <c r="I527" s="1" t="b">
        <v>0</v>
      </c>
      <c r="J527" s="1" t="s">
        <v>534</v>
      </c>
      <c r="K527" s="1" t="s">
        <v>535</v>
      </c>
      <c r="L527" s="1" t="s">
        <v>536</v>
      </c>
      <c r="M527" s="1" t="s">
        <v>537</v>
      </c>
      <c r="N527" s="1">
        <v>0.0</v>
      </c>
      <c r="O527" s="1">
        <v>63.75</v>
      </c>
      <c r="P527" s="1">
        <v>0.0</v>
      </c>
      <c r="Q527" s="1">
        <v>0.0</v>
      </c>
      <c r="R527" s="1">
        <v>28.0</v>
      </c>
      <c r="S527" s="1" t="s">
        <v>538</v>
      </c>
      <c r="T527" s="1" t="s">
        <v>539</v>
      </c>
      <c r="V527" s="4">
        <v>7416818.0</v>
      </c>
      <c r="W527" s="4"/>
      <c r="X527" s="4">
        <v>0.0</v>
      </c>
      <c r="Y527" s="1">
        <v>0.0</v>
      </c>
      <c r="Z527" s="1">
        <v>0.0</v>
      </c>
      <c r="AA527" s="1">
        <v>1.0</v>
      </c>
      <c r="AB527" s="1">
        <v>0.0</v>
      </c>
      <c r="AC527" s="1">
        <v>0.0</v>
      </c>
      <c r="AD527" s="1">
        <v>0.0</v>
      </c>
      <c r="AE527" s="1">
        <v>0.0</v>
      </c>
      <c r="AF527" s="1">
        <v>0.0</v>
      </c>
      <c r="AG527" s="1">
        <v>0.0</v>
      </c>
      <c r="AH527" s="1">
        <v>0.0</v>
      </c>
      <c r="AI527" s="1">
        <v>0.0</v>
      </c>
      <c r="AJ527" s="1">
        <v>0.0</v>
      </c>
      <c r="AK527" s="1">
        <v>0.0</v>
      </c>
      <c r="AL527" s="1">
        <v>0.0</v>
      </c>
      <c r="AM527" s="4">
        <v>0.0</v>
      </c>
      <c r="AN527" s="1">
        <v>0.0</v>
      </c>
      <c r="AO527" s="4">
        <v>0.0</v>
      </c>
      <c r="AP527" s="1">
        <f t="shared" si="1"/>
        <v>0</v>
      </c>
      <c r="AR527" s="1" t="s">
        <v>542</v>
      </c>
      <c r="AU527" s="2"/>
      <c r="AV527" s="2">
        <v>46024.0076388889</v>
      </c>
      <c r="AW527" s="1">
        <v>0.0</v>
      </c>
      <c r="AX527" s="1">
        <v>0.0</v>
      </c>
      <c r="AY527" s="1">
        <v>0.0</v>
      </c>
      <c r="AZ527" s="1">
        <v>1.0</v>
      </c>
      <c r="BA527" s="1">
        <v>0.0</v>
      </c>
      <c r="BB527" s="1">
        <v>0.0</v>
      </c>
      <c r="BC527" s="2">
        <v>46011.0</v>
      </c>
      <c r="BD527" s="1">
        <v>50.0</v>
      </c>
      <c r="BE527" s="1" t="s">
        <v>550</v>
      </c>
      <c r="BF527" s="1">
        <v>2025.0</v>
      </c>
      <c r="BG527" s="1" t="s">
        <v>558</v>
      </c>
      <c r="BH527" s="1" t="str">
        <f>VLOOKUP(B527,CookieClicks!D:O,12,FALSE)</f>
        <v>https://grow.method.me/crm-quickbooks/?trc=81&amp;trk=crm integration with quickbooks&amp;trs=US-QBInt-Ex&amp;campaignid=22265826203&amp;adgroupid=186545727779&amp;adid=777091446185&amp;gad_source=1&amp;gad_campaignid=22265826203&amp;gbraid=0AAAAAD3ItnbYltZlbIrZEvWRBD5YfnIme&amp;gclid=Cj0KCQiAr5nKBhCpARIsACa_NiOq_spt-7gPALK2AI7E2edjjlVOwA-R3CtTLnXnSDJvugB2M4v0BnAaAuKhEALw_wcB</v>
      </c>
      <c r="BI527" s="8" t="str">
        <f>IFERROR(__xludf.DUMMYFUNCTION("VLOOKUP(REGEXREPLACE(BH527,""[?].*"",""""),ContentBuckets!A:C,2,FALSE)"),"#N/A")</f>
        <v>#N/A</v>
      </c>
      <c r="BJ527" s="8" t="str">
        <f>IFERROR(__xludf.DUMMYFUNCTION("VLOOKUP(REGEXREPLACE(BH527,""[?].*"",""""),ContentBuckets!A:C,3,FALSE)"),"#N/A")</f>
        <v>#N/A</v>
      </c>
    </row>
    <row r="528" ht="14.25" customHeight="1">
      <c r="A528" s="1">
        <v>153780.0</v>
      </c>
      <c r="B528" s="1" t="s">
        <v>1277</v>
      </c>
      <c r="C528" s="2">
        <v>46011.5159722222</v>
      </c>
      <c r="D528" s="2"/>
      <c r="E528" s="2"/>
      <c r="F528" s="1" t="b">
        <v>1</v>
      </c>
      <c r="G528" s="4" t="b">
        <v>0</v>
      </c>
      <c r="H528" s="1" t="b">
        <v>0</v>
      </c>
      <c r="I528" s="1" t="b">
        <v>0</v>
      </c>
      <c r="J528" s="1" t="s">
        <v>534</v>
      </c>
      <c r="K528" s="1" t="s">
        <v>553</v>
      </c>
      <c r="L528" s="1" t="s">
        <v>599</v>
      </c>
      <c r="M528" s="1" t="s">
        <v>537</v>
      </c>
      <c r="N528" s="1">
        <v>0.0</v>
      </c>
      <c r="O528" s="1">
        <v>44.25</v>
      </c>
      <c r="P528" s="1">
        <v>0.0</v>
      </c>
      <c r="Q528" s="1">
        <v>0.0</v>
      </c>
      <c r="R528" s="1">
        <v>0.0</v>
      </c>
      <c r="S528" s="1" t="s">
        <v>538</v>
      </c>
      <c r="T528" s="1" t="s">
        <v>539</v>
      </c>
      <c r="V528" s="4">
        <v>7416913.0</v>
      </c>
      <c r="W528" s="4"/>
      <c r="X528" s="4">
        <v>0.0</v>
      </c>
      <c r="Y528" s="1">
        <v>0.0</v>
      </c>
      <c r="Z528" s="1">
        <v>0.0</v>
      </c>
      <c r="AA528" s="1">
        <v>0.0</v>
      </c>
      <c r="AB528" s="1">
        <v>0.0</v>
      </c>
      <c r="AC528" s="1">
        <v>0.0</v>
      </c>
      <c r="AD528" s="1">
        <v>0.0</v>
      </c>
      <c r="AE528" s="1">
        <v>0.0</v>
      </c>
      <c r="AF528" s="1">
        <v>0.0</v>
      </c>
      <c r="AG528" s="1">
        <v>0.0</v>
      </c>
      <c r="AH528" s="1">
        <v>0.0</v>
      </c>
      <c r="AI528" s="1">
        <v>0.0</v>
      </c>
      <c r="AJ528" s="1">
        <v>0.0</v>
      </c>
      <c r="AK528" s="1">
        <v>0.0</v>
      </c>
      <c r="AL528" s="1">
        <v>0.0</v>
      </c>
      <c r="AM528" s="4">
        <v>0.0</v>
      </c>
      <c r="AN528" s="1">
        <v>0.0</v>
      </c>
      <c r="AO528" s="4">
        <v>0.0</v>
      </c>
      <c r="AP528" s="1">
        <f t="shared" si="1"/>
        <v>1</v>
      </c>
      <c r="AU528" s="2"/>
      <c r="AV528" s="2">
        <v>46024.0020833333</v>
      </c>
      <c r="AW528" s="1">
        <v>0.0</v>
      </c>
      <c r="AX528" s="1">
        <v>0.0</v>
      </c>
      <c r="AY528" s="1">
        <v>0.0</v>
      </c>
      <c r="AZ528" s="1">
        <v>1.0</v>
      </c>
      <c r="BA528" s="1">
        <v>0.0</v>
      </c>
      <c r="BB528" s="1">
        <v>0.0</v>
      </c>
      <c r="BC528" s="2">
        <v>46011.0</v>
      </c>
      <c r="BD528" s="1">
        <v>50.0</v>
      </c>
      <c r="BE528" s="1" t="s">
        <v>550</v>
      </c>
      <c r="BF528" s="1">
        <v>2025.0</v>
      </c>
      <c r="BG528" s="1" t="s">
        <v>835</v>
      </c>
      <c r="BH528" s="7" t="str">
        <f>VLOOKUP(B528,CookieClicks!D:O,12,FALSE)</f>
        <v>https://signin.method.me/?returnUrl=https%3A%2F%2Fhaseeb212.method.me%2Fapps%2FDefault.aspx%23%2Fsubscription</v>
      </c>
      <c r="BI528" s="8" t="str">
        <f>IFERROR(__xludf.DUMMYFUNCTION("VLOOKUP(REGEXREPLACE(BH528,""[?].*"",""""),ContentBuckets!A:C,2,FALSE)"),"#N/A")</f>
        <v>#N/A</v>
      </c>
      <c r="BJ528" s="8" t="str">
        <f>IFERROR(__xludf.DUMMYFUNCTION("VLOOKUP(REGEXREPLACE(BH528,""[?].*"",""""),ContentBuckets!A:C,3,FALSE)"),"#N/A")</f>
        <v>#N/A</v>
      </c>
    </row>
    <row r="529" ht="14.25" customHeight="1">
      <c r="A529" s="1">
        <v>153781.0</v>
      </c>
      <c r="B529" s="1" t="s">
        <v>1278</v>
      </c>
      <c r="C529" s="2">
        <v>46011.6694444444</v>
      </c>
      <c r="D529" s="2"/>
      <c r="E529" s="2"/>
      <c r="F529" s="1" t="b">
        <v>1</v>
      </c>
      <c r="G529" s="4" t="b">
        <v>0</v>
      </c>
      <c r="H529" s="1" t="b">
        <v>0</v>
      </c>
      <c r="I529" s="1" t="b">
        <v>0</v>
      </c>
      <c r="J529" s="1" t="s">
        <v>534</v>
      </c>
      <c r="K529" s="1" t="s">
        <v>566</v>
      </c>
      <c r="L529" s="1" t="s">
        <v>567</v>
      </c>
      <c r="M529" s="1" t="s">
        <v>537</v>
      </c>
      <c r="N529" s="1">
        <v>0.0</v>
      </c>
      <c r="O529" s="1">
        <v>44.25</v>
      </c>
      <c r="P529" s="1">
        <v>0.0</v>
      </c>
      <c r="Q529" s="1">
        <v>0.0</v>
      </c>
      <c r="R529" s="1">
        <v>28.0</v>
      </c>
      <c r="S529" s="1" t="s">
        <v>538</v>
      </c>
      <c r="T529" s="1" t="s">
        <v>539</v>
      </c>
      <c r="V529" s="4">
        <v>7418642.0</v>
      </c>
      <c r="W529" s="4"/>
      <c r="X529" s="4">
        <v>1.0</v>
      </c>
      <c r="Y529" s="1">
        <v>0.0</v>
      </c>
      <c r="Z529" s="1">
        <v>0.0</v>
      </c>
      <c r="AA529" s="1">
        <v>0.0</v>
      </c>
      <c r="AB529" s="1">
        <v>0.0</v>
      </c>
      <c r="AC529" s="1">
        <v>0.0</v>
      </c>
      <c r="AD529" s="1">
        <v>0.0</v>
      </c>
      <c r="AE529" s="1">
        <v>0.0</v>
      </c>
      <c r="AF529" s="1">
        <v>0.0</v>
      </c>
      <c r="AG529" s="1">
        <v>0.0</v>
      </c>
      <c r="AH529" s="1">
        <v>0.0</v>
      </c>
      <c r="AI529" s="1">
        <v>0.0</v>
      </c>
      <c r="AJ529" s="1">
        <v>0.0</v>
      </c>
      <c r="AK529" s="1">
        <v>0.0</v>
      </c>
      <c r="AL529" s="1">
        <v>0.0</v>
      </c>
      <c r="AM529" s="4">
        <v>0.0</v>
      </c>
      <c r="AN529" s="1">
        <v>0.0</v>
      </c>
      <c r="AO529" s="4">
        <v>0.0</v>
      </c>
      <c r="AP529" s="1">
        <f t="shared" si="1"/>
        <v>0</v>
      </c>
      <c r="AR529" s="1" t="s">
        <v>608</v>
      </c>
      <c r="AU529" s="2"/>
      <c r="AV529" s="2">
        <v>46023.9819444444</v>
      </c>
      <c r="AW529" s="1">
        <v>0.0</v>
      </c>
      <c r="AX529" s="1">
        <v>0.0</v>
      </c>
      <c r="AY529" s="1">
        <v>0.0</v>
      </c>
      <c r="AZ529" s="1">
        <v>1.0</v>
      </c>
      <c r="BA529" s="1">
        <v>0.0</v>
      </c>
      <c r="BB529" s="1">
        <v>0.0</v>
      </c>
      <c r="BC529" s="2">
        <v>46011.0</v>
      </c>
      <c r="BD529" s="1">
        <v>50.0</v>
      </c>
      <c r="BE529" s="1" t="s">
        <v>550</v>
      </c>
      <c r="BF529" s="1">
        <v>2025.0</v>
      </c>
      <c r="BG529" s="1" t="s">
        <v>1279</v>
      </c>
      <c r="BH529" s="7" t="str">
        <f>VLOOKUP(B529,CookieClicks!D:O,12,FALSE)</f>
        <v>http://signup.method.me/methodcrm/</v>
      </c>
      <c r="BI529" s="8" t="str">
        <f>IFERROR(__xludf.DUMMYFUNCTION("VLOOKUP(REGEXREPLACE(BH529,""[?].*"",""""),ContentBuckets!A:C,2,FALSE)"),"#N/A")</f>
        <v>#N/A</v>
      </c>
      <c r="BJ529" s="8" t="str">
        <f>IFERROR(__xludf.DUMMYFUNCTION("VLOOKUP(REGEXREPLACE(BH529,""[?].*"",""""),ContentBuckets!A:C,3,FALSE)"),"#N/A")</f>
        <v>#N/A</v>
      </c>
    </row>
    <row r="530" ht="14.25" customHeight="1">
      <c r="A530" s="1">
        <v>153782.0</v>
      </c>
      <c r="B530" s="1" t="s">
        <v>1280</v>
      </c>
      <c r="C530" s="2">
        <v>46011.6701388889</v>
      </c>
      <c r="D530" s="2"/>
      <c r="E530" s="2"/>
      <c r="F530" s="1" t="b">
        <v>1</v>
      </c>
      <c r="G530" s="4" t="b">
        <v>0</v>
      </c>
      <c r="H530" s="1" t="b">
        <v>0</v>
      </c>
      <c r="I530" s="1" t="b">
        <v>0</v>
      </c>
      <c r="J530" s="1" t="s">
        <v>534</v>
      </c>
      <c r="K530" s="1" t="s">
        <v>566</v>
      </c>
      <c r="L530" s="1" t="s">
        <v>567</v>
      </c>
      <c r="M530" s="1" t="s">
        <v>537</v>
      </c>
      <c r="N530" s="1">
        <v>0.0</v>
      </c>
      <c r="O530" s="1">
        <v>44.25</v>
      </c>
      <c r="P530" s="1">
        <v>0.0</v>
      </c>
      <c r="Q530" s="1">
        <v>0.0</v>
      </c>
      <c r="R530" s="1">
        <v>28.0</v>
      </c>
      <c r="S530" s="1" t="s">
        <v>538</v>
      </c>
      <c r="T530" s="1" t="s">
        <v>539</v>
      </c>
      <c r="V530" s="4">
        <v>7418651.0</v>
      </c>
      <c r="W530" s="4"/>
      <c r="X530" s="4">
        <v>0.0</v>
      </c>
      <c r="Y530" s="1">
        <v>0.0</v>
      </c>
      <c r="Z530" s="1">
        <v>0.0</v>
      </c>
      <c r="AA530" s="1">
        <v>1.0</v>
      </c>
      <c r="AB530" s="1">
        <v>0.0</v>
      </c>
      <c r="AC530" s="1">
        <v>0.0</v>
      </c>
      <c r="AD530" s="1">
        <v>0.0</v>
      </c>
      <c r="AE530" s="1">
        <v>0.0</v>
      </c>
      <c r="AF530" s="1">
        <v>0.0</v>
      </c>
      <c r="AG530" s="1">
        <v>0.0</v>
      </c>
      <c r="AH530" s="1">
        <v>0.0</v>
      </c>
      <c r="AI530" s="1">
        <v>0.0</v>
      </c>
      <c r="AJ530" s="1">
        <v>0.0</v>
      </c>
      <c r="AK530" s="1">
        <v>0.0</v>
      </c>
      <c r="AL530" s="1">
        <v>0.0</v>
      </c>
      <c r="AM530" s="4">
        <v>0.0</v>
      </c>
      <c r="AN530" s="1">
        <v>0.0</v>
      </c>
      <c r="AO530" s="4">
        <v>0.0</v>
      </c>
      <c r="AP530" s="1">
        <f t="shared" si="1"/>
        <v>0</v>
      </c>
      <c r="AR530" s="1" t="s">
        <v>542</v>
      </c>
      <c r="AU530" s="2"/>
      <c r="AV530" s="2">
        <v>46024.0055555556</v>
      </c>
      <c r="AW530" s="1">
        <v>0.0</v>
      </c>
      <c r="AX530" s="1">
        <v>0.0</v>
      </c>
      <c r="AY530" s="1">
        <v>0.0</v>
      </c>
      <c r="AZ530" s="1">
        <v>1.0</v>
      </c>
      <c r="BA530" s="1">
        <v>0.0</v>
      </c>
      <c r="BB530" s="1">
        <v>0.0</v>
      </c>
      <c r="BC530" s="2">
        <v>46011.0</v>
      </c>
      <c r="BD530" s="1">
        <v>50.0</v>
      </c>
      <c r="BE530" s="1" t="s">
        <v>550</v>
      </c>
      <c r="BF530" s="1">
        <v>2025.0</v>
      </c>
      <c r="BG530" s="1" t="s">
        <v>558</v>
      </c>
      <c r="BH530" s="1" t="str">
        <f>VLOOKUP(B530,CookieClicks!D:O,12,FALSE)</f>
        <v>https://grow.method.me/crm-quickbooks/?trc=81&amp;trk=crm with quickbooks&amp;trs=USA-QB-G&amp;campaignid=1543381580&amp;adgroupid=61437797000&amp;adid=704678754673&amp;gad_source=1&amp;gad_campaignid=1543381580&amp;gbraid=0AAAAAD3ItnYf74VUkGH7GD_NKTDD4c7Tm&amp;gclid=Cj0KCQiAr5nKBhCpARIsACa_NiOagDcqj88zCfYxAcUXQSd6yX8DUYFHO3TPaRIHdIk_iZ0Nq-6L3_4aAt4VEALw_wcB</v>
      </c>
      <c r="BI530" s="8" t="str">
        <f>IFERROR(__xludf.DUMMYFUNCTION("VLOOKUP(REGEXREPLACE(BH530,""[?].*"",""""),ContentBuckets!A:C,2,FALSE)"),"#N/A")</f>
        <v>#N/A</v>
      </c>
      <c r="BJ530" s="8" t="str">
        <f>IFERROR(__xludf.DUMMYFUNCTION("VLOOKUP(REGEXREPLACE(BH530,""[?].*"",""""),ContentBuckets!A:C,3,FALSE)"),"#N/A")</f>
        <v>#N/A</v>
      </c>
    </row>
    <row r="531" ht="14.25" customHeight="1">
      <c r="A531" s="1">
        <v>153783.0</v>
      </c>
      <c r="B531" s="1" t="s">
        <v>1281</v>
      </c>
      <c r="C531" s="2">
        <v>46011.6743055556</v>
      </c>
      <c r="D531" s="2"/>
      <c r="E531" s="2"/>
      <c r="F531" s="1" t="b">
        <v>1</v>
      </c>
      <c r="G531" s="4" t="b">
        <v>0</v>
      </c>
      <c r="H531" s="1" t="b">
        <v>0</v>
      </c>
      <c r="I531" s="1" t="b">
        <v>0</v>
      </c>
      <c r="J531" s="1" t="s">
        <v>534</v>
      </c>
      <c r="K531" s="1" t="s">
        <v>535</v>
      </c>
      <c r="L531" s="1" t="s">
        <v>536</v>
      </c>
      <c r="M531" s="1" t="s">
        <v>537</v>
      </c>
      <c r="N531" s="1">
        <v>0.0</v>
      </c>
      <c r="O531" s="1">
        <v>44.25</v>
      </c>
      <c r="P531" s="1">
        <v>0.0</v>
      </c>
      <c r="Q531" s="1">
        <v>0.0</v>
      </c>
      <c r="R531" s="1">
        <v>0.0</v>
      </c>
      <c r="S531" s="1" t="s">
        <v>538</v>
      </c>
      <c r="T531" s="1" t="s">
        <v>539</v>
      </c>
      <c r="V531" s="4">
        <v>7418745.0</v>
      </c>
      <c r="W531" s="4"/>
      <c r="X531" s="4">
        <v>0.0</v>
      </c>
      <c r="Y531" s="1">
        <v>0.0</v>
      </c>
      <c r="Z531" s="1">
        <v>0.0</v>
      </c>
      <c r="AA531" s="1">
        <v>1.0</v>
      </c>
      <c r="AB531" s="1">
        <v>0.0</v>
      </c>
      <c r="AC531" s="1">
        <v>0.0</v>
      </c>
      <c r="AD531" s="1">
        <v>0.0</v>
      </c>
      <c r="AE531" s="1">
        <v>0.0</v>
      </c>
      <c r="AF531" s="1">
        <v>0.0</v>
      </c>
      <c r="AG531" s="1">
        <v>0.0</v>
      </c>
      <c r="AH531" s="1">
        <v>0.0</v>
      </c>
      <c r="AI531" s="1">
        <v>0.0</v>
      </c>
      <c r="AJ531" s="1">
        <v>0.0</v>
      </c>
      <c r="AK531" s="1">
        <v>0.0</v>
      </c>
      <c r="AL531" s="1">
        <v>0.0</v>
      </c>
      <c r="AM531" s="4">
        <v>0.0</v>
      </c>
      <c r="AN531" s="1">
        <v>0.0</v>
      </c>
      <c r="AO531" s="4">
        <v>0.0</v>
      </c>
      <c r="AP531" s="1">
        <f t="shared" si="1"/>
        <v>0</v>
      </c>
      <c r="AQ531" s="1" t="s">
        <v>557</v>
      </c>
      <c r="AU531" s="2">
        <v>46011.0</v>
      </c>
      <c r="AV531" s="2">
        <v>46024.0340277778</v>
      </c>
      <c r="AW531" s="1">
        <v>0.0</v>
      </c>
      <c r="AX531" s="1">
        <v>0.0</v>
      </c>
      <c r="AY531" s="1">
        <v>0.0</v>
      </c>
      <c r="AZ531" s="1">
        <v>1.0</v>
      </c>
      <c r="BA531" s="1">
        <v>0.0</v>
      </c>
      <c r="BB531" s="1">
        <v>0.0</v>
      </c>
      <c r="BC531" s="2">
        <v>46011.0</v>
      </c>
      <c r="BD531" s="1">
        <v>50.0</v>
      </c>
      <c r="BE531" s="1" t="s">
        <v>550</v>
      </c>
      <c r="BF531" s="1">
        <v>2025.0</v>
      </c>
      <c r="BG531" s="1" t="s">
        <v>558</v>
      </c>
      <c r="BH531" s="1" t="str">
        <f>VLOOKUP(B531,CookieClicks!D:O,12,FALSE)</f>
        <v>https://grow.method.me/crm-quickbooks/?trc=81&amp;trk=crm with quickbooks&amp;trs=USA-QB-G&amp;campaignid=1543381580&amp;adgroupid=61437797000&amp;adid=704678754673&amp;gad_source=1&amp;gad_campaignid=1543381580&amp;gbraid=0AAAAAD3ItnYf74VUkGH7GD_NKTDD4c7Tm&amp;gclid=EAIaIQobChMIosPu2YnNkQMVeUtHAR37_yvfEAAYAiAAEgJpG_D_BwE</v>
      </c>
      <c r="BI531" s="8" t="str">
        <f>IFERROR(__xludf.DUMMYFUNCTION("VLOOKUP(REGEXREPLACE(BH531,""[?].*"",""""),ContentBuckets!A:C,2,FALSE)"),"#N/A")</f>
        <v>#N/A</v>
      </c>
      <c r="BJ531" s="8" t="str">
        <f>IFERROR(__xludf.DUMMYFUNCTION("VLOOKUP(REGEXREPLACE(BH531,""[?].*"",""""),ContentBuckets!A:C,3,FALSE)"),"#N/A")</f>
        <v>#N/A</v>
      </c>
    </row>
    <row r="532" ht="14.25" customHeight="1">
      <c r="A532" s="1">
        <v>153784.0</v>
      </c>
      <c r="B532" s="1" t="s">
        <v>1282</v>
      </c>
      <c r="C532" s="2">
        <v>46011.6847222222</v>
      </c>
      <c r="D532" s="2"/>
      <c r="E532" s="2"/>
      <c r="F532" s="1" t="b">
        <v>1</v>
      </c>
      <c r="G532" s="4" t="b">
        <v>0</v>
      </c>
      <c r="H532" s="1" t="b">
        <v>0</v>
      </c>
      <c r="I532" s="1" t="b">
        <v>0</v>
      </c>
      <c r="J532" s="1" t="s">
        <v>534</v>
      </c>
      <c r="K532" s="1" t="s">
        <v>566</v>
      </c>
      <c r="L532" s="1" t="s">
        <v>567</v>
      </c>
      <c r="M532" s="1" t="s">
        <v>537</v>
      </c>
      <c r="N532" s="1">
        <v>0.0</v>
      </c>
      <c r="O532" s="1">
        <v>44.25</v>
      </c>
      <c r="P532" s="1">
        <v>0.0</v>
      </c>
      <c r="Q532" s="1">
        <v>0.0</v>
      </c>
      <c r="R532" s="1">
        <v>28.0</v>
      </c>
      <c r="S532" s="1" t="s">
        <v>538</v>
      </c>
      <c r="T532" s="1" t="s">
        <v>539</v>
      </c>
      <c r="V532" s="4">
        <v>7418956.0</v>
      </c>
      <c r="W532" s="4"/>
      <c r="X532" s="4">
        <v>0.0</v>
      </c>
      <c r="Y532" s="1">
        <v>0.0</v>
      </c>
      <c r="Z532" s="1">
        <v>0.0</v>
      </c>
      <c r="AA532" s="1">
        <v>1.0</v>
      </c>
      <c r="AB532" s="1">
        <v>0.0</v>
      </c>
      <c r="AC532" s="1">
        <v>0.0</v>
      </c>
      <c r="AD532" s="1">
        <v>0.0</v>
      </c>
      <c r="AE532" s="1">
        <v>0.0</v>
      </c>
      <c r="AF532" s="1">
        <v>0.0</v>
      </c>
      <c r="AG532" s="1">
        <v>0.0</v>
      </c>
      <c r="AH532" s="1">
        <v>0.0</v>
      </c>
      <c r="AI532" s="1">
        <v>0.0</v>
      </c>
      <c r="AJ532" s="1">
        <v>0.0</v>
      </c>
      <c r="AK532" s="1">
        <v>0.0</v>
      </c>
      <c r="AL532" s="1">
        <v>0.0</v>
      </c>
      <c r="AM532" s="4">
        <v>0.0</v>
      </c>
      <c r="AN532" s="1">
        <v>0.0</v>
      </c>
      <c r="AO532" s="4">
        <v>0.0</v>
      </c>
      <c r="AP532" s="1">
        <f t="shared" si="1"/>
        <v>0</v>
      </c>
      <c r="AR532" s="1" t="s">
        <v>608</v>
      </c>
      <c r="AU532" s="2"/>
      <c r="AV532" s="2">
        <v>46024.0201388889</v>
      </c>
      <c r="AW532" s="1">
        <v>0.0</v>
      </c>
      <c r="AX532" s="1">
        <v>0.0</v>
      </c>
      <c r="AY532" s="1">
        <v>0.0</v>
      </c>
      <c r="AZ532" s="1">
        <v>1.0</v>
      </c>
      <c r="BA532" s="1">
        <v>0.0</v>
      </c>
      <c r="BB532" s="1">
        <v>0.0</v>
      </c>
      <c r="BC532" s="2">
        <v>46011.0</v>
      </c>
      <c r="BD532" s="1">
        <v>50.0</v>
      </c>
      <c r="BE532" s="1" t="s">
        <v>550</v>
      </c>
      <c r="BF532" s="1">
        <v>2025.0</v>
      </c>
      <c r="BG532" s="1" t="s">
        <v>558</v>
      </c>
      <c r="BH532" s="1" t="str">
        <f>VLOOKUP(B532,CookieClicks!D:O,12,FALSE)</f>
        <v>https://grow.method.me/qb-payment/?trc=81&amp;trk=credit card processing that works with quickbooks&amp;trs=US-payment&amp;campaignid=19733246298&amp;adgroupid=146278163933&amp;adid=649435146420&amp;gad_source=1&amp;gad_campaignid=19733246298&amp;gbraid=0AAAAAD3ItnZEITFkTeOuWMFsiQt_yQmnQ&amp;gclid=Cj0KCQiAr5nKBhCpARIsACa_NiPgs4sjWvKD1sY4li-lGstfmYC2UtiLn98MyuBkCaGRaGvrQEzMVcoaAkTeEALw_wcB</v>
      </c>
      <c r="BI532" s="8" t="str">
        <f>IFERROR(__xludf.DUMMYFUNCTION("VLOOKUP(REGEXREPLACE(BH532,""[?].*"",""""),ContentBuckets!A:C,2,FALSE)"),"#N/A")</f>
        <v>#N/A</v>
      </c>
      <c r="BJ532" s="8" t="str">
        <f>IFERROR(__xludf.DUMMYFUNCTION("VLOOKUP(REGEXREPLACE(BH532,""[?].*"",""""),ContentBuckets!A:C,3,FALSE)"),"#N/A")</f>
        <v>#N/A</v>
      </c>
    </row>
    <row r="533" ht="14.25" customHeight="1">
      <c r="A533" s="1">
        <v>153785.0</v>
      </c>
      <c r="B533" s="1" t="s">
        <v>1283</v>
      </c>
      <c r="C533" s="2">
        <v>46011.6868055556</v>
      </c>
      <c r="D533" s="2"/>
      <c r="E533" s="2"/>
      <c r="F533" s="1" t="b">
        <v>1</v>
      </c>
      <c r="G533" s="4" t="b">
        <v>0</v>
      </c>
      <c r="H533" s="1" t="b">
        <v>0</v>
      </c>
      <c r="I533" s="1" t="b">
        <v>0</v>
      </c>
      <c r="J533" s="1" t="s">
        <v>534</v>
      </c>
      <c r="K533" s="1" t="s">
        <v>566</v>
      </c>
      <c r="L533" s="1" t="s">
        <v>567</v>
      </c>
      <c r="M533" s="1" t="s">
        <v>537</v>
      </c>
      <c r="N533" s="1">
        <v>0.0</v>
      </c>
      <c r="O533" s="1">
        <v>44.25</v>
      </c>
      <c r="P533" s="1">
        <v>0.0</v>
      </c>
      <c r="Q533" s="1">
        <v>0.0</v>
      </c>
      <c r="R533" s="1">
        <v>28.0</v>
      </c>
      <c r="S533" s="1" t="s">
        <v>538</v>
      </c>
      <c r="T533" s="1" t="s">
        <v>725</v>
      </c>
      <c r="U533" s="1" t="s">
        <v>726</v>
      </c>
      <c r="V533" s="4">
        <v>7419039.0</v>
      </c>
      <c r="W533" s="4"/>
      <c r="X533" s="4">
        <v>0.0</v>
      </c>
      <c r="Y533" s="1">
        <v>0.0</v>
      </c>
      <c r="Z533" s="1">
        <v>0.0</v>
      </c>
      <c r="AA533" s="1">
        <v>0.0</v>
      </c>
      <c r="AB533" s="1">
        <v>1.0</v>
      </c>
      <c r="AC533" s="1">
        <v>0.0</v>
      </c>
      <c r="AD533" s="1">
        <v>0.0</v>
      </c>
      <c r="AE533" s="1">
        <v>0.0</v>
      </c>
      <c r="AF533" s="1">
        <v>0.0</v>
      </c>
      <c r="AG533" s="1">
        <v>0.0</v>
      </c>
      <c r="AH533" s="1">
        <v>0.0</v>
      </c>
      <c r="AI533" s="1">
        <v>0.0</v>
      </c>
      <c r="AJ533" s="1">
        <v>0.0</v>
      </c>
      <c r="AK533" s="1">
        <v>0.0</v>
      </c>
      <c r="AL533" s="1">
        <v>0.0</v>
      </c>
      <c r="AM533" s="4">
        <v>0.0</v>
      </c>
      <c r="AN533" s="1">
        <v>0.0</v>
      </c>
      <c r="AO533" s="4">
        <v>0.0</v>
      </c>
      <c r="AP533" s="1">
        <f t="shared" si="1"/>
        <v>0</v>
      </c>
      <c r="AQ533" s="1" t="s">
        <v>557</v>
      </c>
      <c r="AR533" s="1" t="s">
        <v>608</v>
      </c>
      <c r="AT533" s="1" t="s">
        <v>589</v>
      </c>
      <c r="AU533" s="2">
        <v>46011.0</v>
      </c>
      <c r="AV533" s="2">
        <v>46024.0305555556</v>
      </c>
      <c r="AW533" s="1">
        <v>7.0</v>
      </c>
      <c r="AX533" s="1">
        <v>10500.0</v>
      </c>
      <c r="AY533" s="1">
        <v>273.0</v>
      </c>
      <c r="AZ533" s="1">
        <v>1.0</v>
      </c>
      <c r="BA533" s="1">
        <v>0.0</v>
      </c>
      <c r="BB533" s="1">
        <v>0.0</v>
      </c>
      <c r="BC533" s="2">
        <v>46011.0</v>
      </c>
      <c r="BD533" s="1">
        <v>50.0</v>
      </c>
      <c r="BE533" s="1" t="s">
        <v>550</v>
      </c>
      <c r="BF533" s="1">
        <v>2025.0</v>
      </c>
      <c r="BG533" s="1" t="s">
        <v>558</v>
      </c>
      <c r="BH533" s="7" t="str">
        <f>VLOOKUP(B533,CookieClicks!D:O,12,FALSE)</f>
        <v>https://www.method.me/</v>
      </c>
      <c r="BI533" s="8" t="str">
        <f>IFERROR(__xludf.DUMMYFUNCTION("VLOOKUP(REGEXREPLACE(BH533,""[?].*"",""""),ContentBuckets!A:C,2,FALSE)"),"Homepage")</f>
        <v>Homepage</v>
      </c>
      <c r="BJ533" s="8" t="str">
        <f>IFERROR(__xludf.DUMMYFUNCTION("VLOOKUP(REGEXREPLACE(BH533,""[?].*"",""""),ContentBuckets!A:C,3,FALSE)"),"Other page")</f>
        <v>Other page</v>
      </c>
    </row>
    <row r="534" ht="14.25" customHeight="1">
      <c r="A534" s="1">
        <v>153786.0</v>
      </c>
      <c r="B534" s="1" t="s">
        <v>1284</v>
      </c>
      <c r="C534" s="2">
        <v>46011.70625</v>
      </c>
      <c r="D534" s="2"/>
      <c r="E534" s="2"/>
      <c r="F534" s="1" t="b">
        <v>1</v>
      </c>
      <c r="G534" s="4" t="b">
        <v>0</v>
      </c>
      <c r="H534" s="1" t="b">
        <v>0</v>
      </c>
      <c r="I534" s="1" t="b">
        <v>0</v>
      </c>
      <c r="J534" s="1" t="s">
        <v>534</v>
      </c>
      <c r="K534" s="1" t="s">
        <v>535</v>
      </c>
      <c r="L534" s="1" t="s">
        <v>536</v>
      </c>
      <c r="M534" s="1" t="s">
        <v>537</v>
      </c>
      <c r="N534" s="1">
        <v>0.0</v>
      </c>
      <c r="O534" s="1">
        <v>54.75</v>
      </c>
      <c r="P534" s="1">
        <v>0.0</v>
      </c>
      <c r="Q534" s="1">
        <v>0.0</v>
      </c>
      <c r="R534" s="1">
        <v>28.0</v>
      </c>
      <c r="S534" s="1" t="s">
        <v>538</v>
      </c>
      <c r="T534" s="1" t="s">
        <v>539</v>
      </c>
      <c r="V534" s="4">
        <v>7418388.0</v>
      </c>
      <c r="W534" s="4"/>
      <c r="X534" s="4">
        <v>0.0</v>
      </c>
      <c r="Y534" s="1">
        <v>0.0</v>
      </c>
      <c r="Z534" s="1">
        <v>0.0</v>
      </c>
      <c r="AA534" s="1">
        <v>0.0</v>
      </c>
      <c r="AB534" s="1">
        <v>0.0</v>
      </c>
      <c r="AC534" s="1">
        <v>0.0</v>
      </c>
      <c r="AD534" s="1">
        <v>0.0</v>
      </c>
      <c r="AE534" s="1">
        <v>0.0</v>
      </c>
      <c r="AF534" s="1">
        <v>0.0</v>
      </c>
      <c r="AG534" s="1">
        <v>0.0</v>
      </c>
      <c r="AH534" s="1">
        <v>0.0</v>
      </c>
      <c r="AI534" s="1">
        <v>0.0</v>
      </c>
      <c r="AJ534" s="1">
        <v>0.0</v>
      </c>
      <c r="AK534" s="1">
        <v>0.0</v>
      </c>
      <c r="AL534" s="1">
        <v>0.0</v>
      </c>
      <c r="AM534" s="4">
        <v>0.0</v>
      </c>
      <c r="AN534" s="1">
        <v>0.0</v>
      </c>
      <c r="AO534" s="4">
        <v>0.0</v>
      </c>
      <c r="AP534" s="1">
        <f t="shared" si="1"/>
        <v>1</v>
      </c>
      <c r="AQ534" s="1" t="s">
        <v>557</v>
      </c>
      <c r="AR534" s="1" t="s">
        <v>568</v>
      </c>
      <c r="AT534" s="1" t="s">
        <v>1285</v>
      </c>
      <c r="AU534" s="2">
        <v>46011.0</v>
      </c>
      <c r="AV534" s="2">
        <v>46024.0395833333</v>
      </c>
      <c r="AW534" s="1">
        <v>0.0</v>
      </c>
      <c r="AX534" s="1">
        <v>0.0</v>
      </c>
      <c r="AY534" s="1">
        <v>2.0</v>
      </c>
      <c r="AZ534" s="1">
        <v>1.0</v>
      </c>
      <c r="BA534" s="1">
        <v>0.0</v>
      </c>
      <c r="BB534" s="1">
        <v>5.0</v>
      </c>
      <c r="BC534" s="2">
        <v>46011.0</v>
      </c>
      <c r="BD534" s="1">
        <v>50.0</v>
      </c>
      <c r="BE534" s="1" t="s">
        <v>550</v>
      </c>
      <c r="BF534" s="1">
        <v>2025.0</v>
      </c>
      <c r="BG534" s="1" t="s">
        <v>558</v>
      </c>
      <c r="BH534" s="7" t="str">
        <f>VLOOKUP(B534,CookieClicks!D:O,12,FALSE)</f>
        <v>http://signup.method.me/methodcrm/?_gl=1*mfrs3d*_gcl_au*MTE5Mzk1ODcwNS4xNzY2MjYzMTc5*_ga*OTA3NzM5NjE1LjE3NjYyNjMxNzk.*_ga_L2HEZNW53E*czE3NjYyNjMxNzkkbzEkZzAkdDE3NjYyNjMxODAkajU5JGwwJGg0NTkwNzI4Mjc.&amp;_ga=2.257689227.1043663843.1766263179-907739615.1766263179</v>
      </c>
      <c r="BI534" s="8" t="str">
        <f>IFERROR(__xludf.DUMMYFUNCTION("VLOOKUP(REGEXREPLACE(BH534,""[?].*"",""""),ContentBuckets!A:C,2,FALSE)"),"#N/A")</f>
        <v>#N/A</v>
      </c>
      <c r="BJ534" s="8" t="str">
        <f>IFERROR(__xludf.DUMMYFUNCTION("VLOOKUP(REGEXREPLACE(BH534,""[?].*"",""""),ContentBuckets!A:C,3,FALSE)"),"#N/A")</f>
        <v>#N/A</v>
      </c>
    </row>
    <row r="535" ht="14.25" customHeight="1">
      <c r="A535" s="1">
        <v>153787.0</v>
      </c>
      <c r="B535" s="1" t="s">
        <v>1286</v>
      </c>
      <c r="C535" s="2">
        <v>46011.7111111111</v>
      </c>
      <c r="D535" s="2"/>
      <c r="E535" s="2"/>
      <c r="F535" s="1" t="b">
        <v>1</v>
      </c>
      <c r="G535" s="4" t="b">
        <v>0</v>
      </c>
      <c r="H535" s="1" t="b">
        <v>0</v>
      </c>
      <c r="I535" s="1" t="b">
        <v>0</v>
      </c>
      <c r="J535" s="1" t="s">
        <v>534</v>
      </c>
      <c r="K535" s="1" t="s">
        <v>566</v>
      </c>
      <c r="L535" s="1" t="s">
        <v>567</v>
      </c>
      <c r="M535" s="1" t="s">
        <v>537</v>
      </c>
      <c r="N535" s="1">
        <v>0.0</v>
      </c>
      <c r="O535" s="1">
        <v>72.75</v>
      </c>
      <c r="P535" s="1">
        <v>0.0</v>
      </c>
      <c r="Q535" s="1">
        <v>0.0</v>
      </c>
      <c r="R535" s="1">
        <v>0.0</v>
      </c>
      <c r="S535" s="1" t="s">
        <v>538</v>
      </c>
      <c r="T535" s="1" t="s">
        <v>539</v>
      </c>
      <c r="V535" s="4">
        <v>7419583.0</v>
      </c>
      <c r="W535" s="4" t="s">
        <v>540</v>
      </c>
      <c r="X535" s="4">
        <v>0.0</v>
      </c>
      <c r="Y535" s="1">
        <v>1.0</v>
      </c>
      <c r="Z535" s="1">
        <v>0.0</v>
      </c>
      <c r="AA535" s="1">
        <v>0.0</v>
      </c>
      <c r="AB535" s="1">
        <v>0.0</v>
      </c>
      <c r="AC535" s="1">
        <v>0.0</v>
      </c>
      <c r="AD535" s="1">
        <v>0.0</v>
      </c>
      <c r="AE535" s="1">
        <v>0.0</v>
      </c>
      <c r="AF535" s="1">
        <v>0.0</v>
      </c>
      <c r="AG535" s="1">
        <v>0.0</v>
      </c>
      <c r="AH535" s="1">
        <v>0.0</v>
      </c>
      <c r="AI535" s="1">
        <v>0.0</v>
      </c>
      <c r="AJ535" s="1">
        <v>0.0</v>
      </c>
      <c r="AK535" s="1">
        <v>0.0</v>
      </c>
      <c r="AL535" s="1">
        <v>0.0</v>
      </c>
      <c r="AM535" s="4">
        <v>0.0</v>
      </c>
      <c r="AN535" s="1">
        <v>0.0</v>
      </c>
      <c r="AO535" s="4">
        <v>0.0</v>
      </c>
      <c r="AP535" s="1">
        <f t="shared" si="1"/>
        <v>0</v>
      </c>
      <c r="AQ535" s="1" t="s">
        <v>557</v>
      </c>
      <c r="AT535" s="1" t="s">
        <v>763</v>
      </c>
      <c r="AU535" s="2">
        <v>46011.0</v>
      </c>
      <c r="AV535" s="2">
        <v>46024.0055555556</v>
      </c>
      <c r="AW535" s="1">
        <v>0.0</v>
      </c>
      <c r="AX535" s="1">
        <v>1.1634606E7</v>
      </c>
      <c r="AY535" s="1">
        <v>4.0</v>
      </c>
      <c r="AZ535" s="1">
        <v>1.0</v>
      </c>
      <c r="BA535" s="1">
        <v>0.0</v>
      </c>
      <c r="BB535" s="1">
        <v>1.0</v>
      </c>
      <c r="BC535" s="2">
        <v>46011.0</v>
      </c>
      <c r="BD535" s="1">
        <v>50.0</v>
      </c>
      <c r="BE535" s="1" t="s">
        <v>550</v>
      </c>
      <c r="BF535" s="1">
        <v>2025.0</v>
      </c>
      <c r="BG535" s="1" t="s">
        <v>558</v>
      </c>
      <c r="BH535" s="7" t="str">
        <f>VLOOKUP(B535,CookieClicks!D:O,12,FALSE)</f>
        <v>https://www.method.me/</v>
      </c>
      <c r="BI535" s="8" t="str">
        <f>IFERROR(__xludf.DUMMYFUNCTION("VLOOKUP(REGEXREPLACE(BH535,""[?].*"",""""),ContentBuckets!A:C,2,FALSE)"),"Homepage")</f>
        <v>Homepage</v>
      </c>
      <c r="BJ535" s="8" t="str">
        <f>IFERROR(__xludf.DUMMYFUNCTION("VLOOKUP(REGEXREPLACE(BH535,""[?].*"",""""),ContentBuckets!A:C,3,FALSE)"),"Other page")</f>
        <v>Other page</v>
      </c>
    </row>
    <row r="536" ht="14.25" customHeight="1">
      <c r="A536" s="1">
        <v>153788.0</v>
      </c>
      <c r="B536" s="1" t="s">
        <v>1287</v>
      </c>
      <c r="C536" s="2">
        <v>46011.7201388889</v>
      </c>
      <c r="D536" s="2">
        <v>46011.7319444444</v>
      </c>
      <c r="E536" s="2"/>
      <c r="F536" s="1" t="b">
        <v>0</v>
      </c>
      <c r="G536" s="4" t="b">
        <v>0</v>
      </c>
      <c r="H536" s="1" t="b">
        <v>0</v>
      </c>
      <c r="I536" s="1" t="b">
        <v>0</v>
      </c>
      <c r="J536" s="1" t="s">
        <v>534</v>
      </c>
      <c r="K536" s="1" t="s">
        <v>535</v>
      </c>
      <c r="L536" s="1" t="s">
        <v>536</v>
      </c>
      <c r="M536" s="1" t="s">
        <v>537</v>
      </c>
      <c r="N536" s="1">
        <v>0.0</v>
      </c>
      <c r="O536" s="1">
        <v>0.0</v>
      </c>
      <c r="P536" s="1">
        <v>0.0</v>
      </c>
      <c r="Q536" s="1">
        <v>0.0</v>
      </c>
      <c r="R536" s="1">
        <v>28.0</v>
      </c>
      <c r="S536" s="1" t="s">
        <v>538</v>
      </c>
      <c r="T536" s="1" t="s">
        <v>539</v>
      </c>
      <c r="V536" s="4">
        <v>7419756.0</v>
      </c>
      <c r="W536" s="4"/>
      <c r="X536" s="4">
        <v>0.0</v>
      </c>
      <c r="Y536" s="1">
        <v>0.0</v>
      </c>
      <c r="Z536" s="1">
        <v>0.0</v>
      </c>
      <c r="AA536" s="1">
        <v>1.0</v>
      </c>
      <c r="AB536" s="1">
        <v>0.0</v>
      </c>
      <c r="AC536" s="1">
        <v>0.0</v>
      </c>
      <c r="AD536" s="1">
        <v>0.0</v>
      </c>
      <c r="AE536" s="1">
        <v>0.0</v>
      </c>
      <c r="AF536" s="1">
        <v>0.0</v>
      </c>
      <c r="AG536" s="1">
        <v>0.0</v>
      </c>
      <c r="AH536" s="1">
        <v>0.0</v>
      </c>
      <c r="AI536" s="1">
        <v>0.0</v>
      </c>
      <c r="AJ536" s="1">
        <v>0.0</v>
      </c>
      <c r="AK536" s="1">
        <v>0.0</v>
      </c>
      <c r="AL536" s="1">
        <v>0.0</v>
      </c>
      <c r="AM536" s="4">
        <v>0.0</v>
      </c>
      <c r="AN536" s="1">
        <v>0.0</v>
      </c>
      <c r="AO536" s="4">
        <v>0.0</v>
      </c>
      <c r="AP536" s="1">
        <f t="shared" si="1"/>
        <v>0</v>
      </c>
      <c r="AQ536" s="1" t="s">
        <v>557</v>
      </c>
      <c r="AR536" s="1" t="s">
        <v>542</v>
      </c>
      <c r="AU536" s="2"/>
      <c r="AV536" s="2"/>
      <c r="AW536" s="1">
        <v>0.0</v>
      </c>
      <c r="AX536" s="1">
        <v>0.0</v>
      </c>
      <c r="AY536" s="1">
        <v>0.0</v>
      </c>
      <c r="AZ536" s="1">
        <v>1.0</v>
      </c>
      <c r="BA536" s="1">
        <v>0.0</v>
      </c>
      <c r="BB536" s="1">
        <v>0.0</v>
      </c>
      <c r="BC536" s="2">
        <v>46011.0</v>
      </c>
      <c r="BD536" s="1">
        <v>50.0</v>
      </c>
      <c r="BE536" s="1" t="s">
        <v>550</v>
      </c>
      <c r="BF536" s="1">
        <v>2025.0</v>
      </c>
      <c r="BG536" s="1" t="s">
        <v>558</v>
      </c>
      <c r="BH536" s="1" t="str">
        <f>VLOOKUP(B536,CookieClicks!D:O,12,FALSE)</f>
        <v>https://grow.method.me/quickbooks-customization/?trc=81&amp;trk=quickbooks invoice customization&amp;trs=US-Customization&amp;campaignid=19733246298&amp;adgroupid=188113609150&amp;adid=770644740142&amp;gad_source=1&amp;gad_campaignid=19733246298&amp;gbraid=0AAAAAD3ItnZEITFkTeOuWMFsiQt_yQmnQ&amp;gclid=Cj0KCQiAr5nKBhCpARIsACa_NiMsclvHL4wiBDa28mVMBIQ5AoX2537XjVpXcDFmFG_ie2y3ZeunSn8aApDaEALw_wcB</v>
      </c>
      <c r="BI536" s="8" t="str">
        <f>IFERROR(__xludf.DUMMYFUNCTION("VLOOKUP(REGEXREPLACE(BH536,""[?].*"",""""),ContentBuckets!A:C,2,FALSE)"),"#N/A")</f>
        <v>#N/A</v>
      </c>
      <c r="BJ536" s="8" t="str">
        <f>IFERROR(__xludf.DUMMYFUNCTION("VLOOKUP(REGEXREPLACE(BH536,""[?].*"",""""),ContentBuckets!A:C,3,FALSE)"),"#N/A")</f>
        <v>#N/A</v>
      </c>
    </row>
    <row r="537" ht="14.25" customHeight="1">
      <c r="A537" s="1">
        <v>153789.0</v>
      </c>
      <c r="B537" s="1" t="s">
        <v>1288</v>
      </c>
      <c r="C537" s="2">
        <v>46011.78125</v>
      </c>
      <c r="D537" s="2"/>
      <c r="E537" s="2"/>
      <c r="F537" s="1" t="b">
        <v>1</v>
      </c>
      <c r="G537" s="4" t="b">
        <v>0</v>
      </c>
      <c r="H537" s="1" t="b">
        <v>0</v>
      </c>
      <c r="I537" s="1" t="b">
        <v>0</v>
      </c>
      <c r="J537" s="1" t="s">
        <v>534</v>
      </c>
      <c r="K537" s="1" t="s">
        <v>553</v>
      </c>
      <c r="L537" s="1" t="s">
        <v>599</v>
      </c>
      <c r="M537" s="1" t="s">
        <v>537</v>
      </c>
      <c r="N537" s="1">
        <v>0.0</v>
      </c>
      <c r="O537" s="1">
        <v>44.25</v>
      </c>
      <c r="P537" s="1">
        <v>0.0</v>
      </c>
      <c r="Q537" s="1">
        <v>0.0</v>
      </c>
      <c r="R537" s="1">
        <v>0.0</v>
      </c>
      <c r="S537" s="1" t="s">
        <v>538</v>
      </c>
      <c r="T537" s="1" t="s">
        <v>539</v>
      </c>
      <c r="V537" s="4">
        <v>7316090.0</v>
      </c>
      <c r="W537" s="4" t="s">
        <v>540</v>
      </c>
      <c r="X537" s="4">
        <v>0.0</v>
      </c>
      <c r="Y537" s="1">
        <v>1.0</v>
      </c>
      <c r="Z537" s="1">
        <v>0.0</v>
      </c>
      <c r="AA537" s="1">
        <v>0.0</v>
      </c>
      <c r="AB537" s="1">
        <v>0.0</v>
      </c>
      <c r="AC537" s="1">
        <v>0.0</v>
      </c>
      <c r="AD537" s="1">
        <v>0.0</v>
      </c>
      <c r="AE537" s="1">
        <v>0.0</v>
      </c>
      <c r="AF537" s="1">
        <v>0.0</v>
      </c>
      <c r="AG537" s="1">
        <v>0.0</v>
      </c>
      <c r="AH537" s="1">
        <v>0.0</v>
      </c>
      <c r="AI537" s="1">
        <v>0.0</v>
      </c>
      <c r="AJ537" s="1">
        <v>0.0</v>
      </c>
      <c r="AK537" s="1">
        <v>0.0</v>
      </c>
      <c r="AL537" s="1">
        <v>0.0</v>
      </c>
      <c r="AM537" s="4">
        <v>0.0</v>
      </c>
      <c r="AN537" s="1">
        <v>0.0</v>
      </c>
      <c r="AO537" s="4">
        <v>0.0</v>
      </c>
      <c r="AP537" s="1">
        <f t="shared" si="1"/>
        <v>0</v>
      </c>
      <c r="AU537" s="2"/>
      <c r="AV537" s="2">
        <v>46024.00625</v>
      </c>
      <c r="AW537" s="1">
        <v>0.0</v>
      </c>
      <c r="AX537" s="1">
        <v>0.0</v>
      </c>
      <c r="AY537" s="1">
        <v>0.0</v>
      </c>
      <c r="AZ537" s="1">
        <v>1.0</v>
      </c>
      <c r="BA537" s="1">
        <v>0.0</v>
      </c>
      <c r="BB537" s="1">
        <v>0.0</v>
      </c>
      <c r="BC537" s="2">
        <v>46011.0</v>
      </c>
      <c r="BD537" s="1">
        <v>50.0</v>
      </c>
      <c r="BE537" s="1" t="s">
        <v>550</v>
      </c>
      <c r="BF537" s="1">
        <v>2025.0</v>
      </c>
      <c r="BG537" s="1" t="s">
        <v>558</v>
      </c>
      <c r="BH537" s="7" t="str">
        <f>VLOOKUP(B537,CookieClicks!D:O,12,FALSE)</f>
        <v>https://www.method.me/blog/checklist-for-starting-a-cleaning-business/</v>
      </c>
      <c r="BI537" s="8" t="str">
        <f>IFERROR(__xludf.DUMMYFUNCTION("VLOOKUP(REGEXREPLACE(BH537,""[?].*"",""""),ContentBuckets!A:C,2,FALSE)"),"Field services / Contractors")</f>
        <v>Field services / Contractors</v>
      </c>
      <c r="BJ537" s="8" t="str">
        <f>IFERROR(__xludf.DUMMYFUNCTION("VLOOKUP(REGEXREPLACE(BH537,""[?].*"",""""),ContentBuckets!A:C,3,FALSE)"),"Blog")</f>
        <v>Blog</v>
      </c>
    </row>
    <row r="538" ht="14.25" customHeight="1">
      <c r="A538" s="1">
        <v>153790.0</v>
      </c>
      <c r="B538" s="1" t="s">
        <v>1289</v>
      </c>
      <c r="C538" s="2">
        <v>46011.8027777778</v>
      </c>
      <c r="D538" s="2"/>
      <c r="E538" s="2"/>
      <c r="F538" s="1" t="b">
        <v>1</v>
      </c>
      <c r="G538" s="4" t="b">
        <v>0</v>
      </c>
      <c r="H538" s="1" t="b">
        <v>0</v>
      </c>
      <c r="I538" s="1" t="b">
        <v>0</v>
      </c>
      <c r="J538" s="1" t="s">
        <v>534</v>
      </c>
      <c r="K538" s="1" t="s">
        <v>535</v>
      </c>
      <c r="L538" s="1" t="s">
        <v>536</v>
      </c>
      <c r="M538" s="1" t="s">
        <v>537</v>
      </c>
      <c r="N538" s="1">
        <v>0.0</v>
      </c>
      <c r="O538" s="1">
        <v>44.25</v>
      </c>
      <c r="P538" s="1">
        <v>0.0</v>
      </c>
      <c r="Q538" s="1">
        <v>0.0</v>
      </c>
      <c r="R538" s="1">
        <v>0.0</v>
      </c>
      <c r="S538" s="1" t="s">
        <v>538</v>
      </c>
      <c r="T538" s="1" t="s">
        <v>539</v>
      </c>
      <c r="V538" s="4">
        <v>7420421.0</v>
      </c>
      <c r="W538" s="4"/>
      <c r="X538" s="4">
        <v>0.0</v>
      </c>
      <c r="Y538" s="1">
        <v>0.0</v>
      </c>
      <c r="Z538" s="1">
        <v>0.0</v>
      </c>
      <c r="AA538" s="1">
        <v>1.0</v>
      </c>
      <c r="AB538" s="1">
        <v>0.0</v>
      </c>
      <c r="AC538" s="1">
        <v>0.0</v>
      </c>
      <c r="AD538" s="1">
        <v>0.0</v>
      </c>
      <c r="AE538" s="1">
        <v>0.0</v>
      </c>
      <c r="AF538" s="1">
        <v>0.0</v>
      </c>
      <c r="AG538" s="1">
        <v>0.0</v>
      </c>
      <c r="AH538" s="1">
        <v>0.0</v>
      </c>
      <c r="AI538" s="1">
        <v>0.0</v>
      </c>
      <c r="AJ538" s="1">
        <v>0.0</v>
      </c>
      <c r="AK538" s="1">
        <v>0.0</v>
      </c>
      <c r="AL538" s="1">
        <v>0.0</v>
      </c>
      <c r="AM538" s="4">
        <v>0.0</v>
      </c>
      <c r="AN538" s="1">
        <v>0.0</v>
      </c>
      <c r="AO538" s="4">
        <v>0.0</v>
      </c>
      <c r="AP538" s="1">
        <f t="shared" si="1"/>
        <v>0</v>
      </c>
      <c r="AQ538" s="1" t="s">
        <v>557</v>
      </c>
      <c r="AU538" s="2">
        <v>46011.0</v>
      </c>
      <c r="AV538" s="2">
        <v>46024.0138888889</v>
      </c>
      <c r="AW538" s="1">
        <v>0.0</v>
      </c>
      <c r="AX538" s="1">
        <v>0.0</v>
      </c>
      <c r="AY538" s="1">
        <v>0.0</v>
      </c>
      <c r="AZ538" s="1">
        <v>1.0</v>
      </c>
      <c r="BA538" s="1">
        <v>0.0</v>
      </c>
      <c r="BB538" s="1">
        <v>0.0</v>
      </c>
      <c r="BC538" s="2">
        <v>46011.0</v>
      </c>
      <c r="BD538" s="1">
        <v>50.0</v>
      </c>
      <c r="BE538" s="1" t="s">
        <v>550</v>
      </c>
      <c r="BF538" s="1">
        <v>2025.0</v>
      </c>
      <c r="BG538" s="1" t="s">
        <v>558</v>
      </c>
      <c r="BH538" s="1" t="str">
        <f>VLOOKUP(B538,CookieClicks!D:O,12,FALSE)</f>
        <v>https://grow.method.me/feature-estimate/?trc=81&amp;trk=creating invoices in quickbooks online&amp;trs=US-QBEstimates&amp;campaignid=19733246298&amp;adgroupid=160184660571&amp;adid=676701373566&amp;gad_source=1&amp;gad_campaignid=19733246298&amp;gbraid=0AAAAAD3ItnbTkgt13QGwYO1sJYcCaJawB&amp;gclid=Cj0KCQiAr5nKBhCpARIsACa_NiNjl6Z5lSEfayGbQy--hZEnnamS6qlIYWqJ9g6nZbPqWTxv8WOesqMaAkNpEALw_wcB</v>
      </c>
      <c r="BI538" s="8" t="str">
        <f>IFERROR(__xludf.DUMMYFUNCTION("VLOOKUP(REGEXREPLACE(BH538,""[?].*"",""""),ContentBuckets!A:C,2,FALSE)"),"#N/A")</f>
        <v>#N/A</v>
      </c>
      <c r="BJ538" s="8" t="str">
        <f>IFERROR(__xludf.DUMMYFUNCTION("VLOOKUP(REGEXREPLACE(BH538,""[?].*"",""""),ContentBuckets!A:C,3,FALSE)"),"#N/A")</f>
        <v>#N/A</v>
      </c>
    </row>
    <row r="539" ht="14.25" customHeight="1">
      <c r="A539" s="1">
        <v>153791.0</v>
      </c>
      <c r="B539" s="1" t="s">
        <v>1290</v>
      </c>
      <c r="C539" s="2">
        <v>46012.0527777778</v>
      </c>
      <c r="D539" s="2"/>
      <c r="E539" s="2"/>
      <c r="F539" s="1" t="b">
        <v>1</v>
      </c>
      <c r="G539" s="4" t="b">
        <v>0</v>
      </c>
      <c r="H539" s="1" t="b">
        <v>0</v>
      </c>
      <c r="I539" s="1" t="b">
        <v>0</v>
      </c>
      <c r="J539" s="1" t="s">
        <v>534</v>
      </c>
      <c r="K539" s="1" t="s">
        <v>535</v>
      </c>
      <c r="L539" s="1" t="s">
        <v>536</v>
      </c>
      <c r="M539" s="1" t="s">
        <v>537</v>
      </c>
      <c r="N539" s="1">
        <v>0.0</v>
      </c>
      <c r="O539" s="1">
        <v>72.75</v>
      </c>
      <c r="P539" s="1">
        <v>0.0</v>
      </c>
      <c r="Q539" s="1">
        <v>0.0</v>
      </c>
      <c r="R539" s="1">
        <v>0.0</v>
      </c>
      <c r="S539" s="1" t="s">
        <v>538</v>
      </c>
      <c r="T539" s="1" t="s">
        <v>539</v>
      </c>
      <c r="V539" s="4">
        <v>7425042.0</v>
      </c>
      <c r="W539" s="4"/>
      <c r="X539" s="4">
        <v>0.0</v>
      </c>
      <c r="Y539" s="1">
        <v>0.0</v>
      </c>
      <c r="Z539" s="1">
        <v>0.0</v>
      </c>
      <c r="AA539" s="1">
        <v>1.0</v>
      </c>
      <c r="AB539" s="1">
        <v>0.0</v>
      </c>
      <c r="AC539" s="1">
        <v>0.0</v>
      </c>
      <c r="AD539" s="1">
        <v>0.0</v>
      </c>
      <c r="AE539" s="1">
        <v>0.0</v>
      </c>
      <c r="AF539" s="1">
        <v>0.0</v>
      </c>
      <c r="AG539" s="1">
        <v>0.0</v>
      </c>
      <c r="AH539" s="1">
        <v>0.0</v>
      </c>
      <c r="AI539" s="1">
        <v>0.0</v>
      </c>
      <c r="AJ539" s="1">
        <v>0.0</v>
      </c>
      <c r="AK539" s="1">
        <v>0.0</v>
      </c>
      <c r="AL539" s="1">
        <v>0.0</v>
      </c>
      <c r="AM539" s="4">
        <v>0.0</v>
      </c>
      <c r="AN539" s="1">
        <v>0.0</v>
      </c>
      <c r="AO539" s="4">
        <v>0.0</v>
      </c>
      <c r="AP539" s="1">
        <f t="shared" si="1"/>
        <v>0</v>
      </c>
      <c r="AU539" s="2"/>
      <c r="AV539" s="2">
        <v>46023.9833333333</v>
      </c>
      <c r="AW539" s="1">
        <v>0.0</v>
      </c>
      <c r="AX539" s="1">
        <v>0.0</v>
      </c>
      <c r="AY539" s="1">
        <v>0.0</v>
      </c>
      <c r="AZ539" s="1">
        <v>1.0</v>
      </c>
      <c r="BA539" s="1">
        <v>0.0</v>
      </c>
      <c r="BB539" s="1">
        <v>0.0</v>
      </c>
      <c r="BC539" s="2">
        <v>46012.0</v>
      </c>
      <c r="BD539" s="1">
        <v>50.0</v>
      </c>
      <c r="BE539" s="1" t="s">
        <v>550</v>
      </c>
      <c r="BF539" s="1">
        <v>2025.0</v>
      </c>
      <c r="BG539" s="1" t="s">
        <v>558</v>
      </c>
      <c r="BH539" s="1" t="str">
        <f>VLOOKUP(B539,CookieClicks!D:O,12,FALSE)</f>
        <v>https://grow.method.me/crm-quickbooks/?trc=81&amp;trk=crm with quickbooks&amp;trs=USA-QB-G&amp;campaignid=1543381580&amp;adgroupid=61437797000&amp;adid=704678754673&amp;gad_source=1&amp;gad_campaignid=1543381580&amp;gbraid=0AAAAAD3ItnbtPY2BSip46NdhGioYTfn1n&amp;gclid=Cj0KCQiAr5nKBhCpARIsACa_NiPbWzlgLhR-4tXvrgifJpl7bHa3Qmw6ebhgHGDnhV9ttOwVBRysfTcaAqSQEALw_wcB</v>
      </c>
      <c r="BI539" s="8" t="str">
        <f>IFERROR(__xludf.DUMMYFUNCTION("VLOOKUP(REGEXREPLACE(BH539,""[?].*"",""""),ContentBuckets!A:C,2,FALSE)"),"#N/A")</f>
        <v>#N/A</v>
      </c>
      <c r="BJ539" s="8" t="str">
        <f>IFERROR(__xludf.DUMMYFUNCTION("VLOOKUP(REGEXREPLACE(BH539,""[?].*"",""""),ContentBuckets!A:C,3,FALSE)"),"#N/A")</f>
        <v>#N/A</v>
      </c>
    </row>
    <row r="540" ht="14.25" customHeight="1">
      <c r="A540" s="1">
        <v>153792.0</v>
      </c>
      <c r="B540" s="1" t="s">
        <v>1291</v>
      </c>
      <c r="C540" s="2">
        <v>46012.1861111111</v>
      </c>
      <c r="D540" s="2"/>
      <c r="E540" s="2">
        <v>46017.8902777778</v>
      </c>
      <c r="F540" s="1" t="b">
        <v>1</v>
      </c>
      <c r="G540" s="4" t="b">
        <v>0</v>
      </c>
      <c r="H540" s="1" t="b">
        <v>0</v>
      </c>
      <c r="I540" s="1" t="b">
        <v>0</v>
      </c>
      <c r="J540" s="1" t="s">
        <v>534</v>
      </c>
      <c r="K540" s="1" t="s">
        <v>535</v>
      </c>
      <c r="L540" s="1" t="s">
        <v>536</v>
      </c>
      <c r="M540" s="1" t="s">
        <v>537</v>
      </c>
      <c r="N540" s="1">
        <v>0.0</v>
      </c>
      <c r="O540" s="1">
        <v>63.75</v>
      </c>
      <c r="P540" s="1">
        <v>0.0</v>
      </c>
      <c r="Q540" s="1">
        <v>0.0</v>
      </c>
      <c r="R540" s="1">
        <v>28.0</v>
      </c>
      <c r="S540" s="1" t="s">
        <v>538</v>
      </c>
      <c r="T540" s="1" t="s">
        <v>539</v>
      </c>
      <c r="V540" s="4">
        <v>7392695.0</v>
      </c>
      <c r="W540" s="4" t="s">
        <v>831</v>
      </c>
      <c r="X540" s="4">
        <v>0.0</v>
      </c>
      <c r="Y540" s="1">
        <v>1.0</v>
      </c>
      <c r="Z540" s="1">
        <v>0.0</v>
      </c>
      <c r="AA540" s="1">
        <v>0.0</v>
      </c>
      <c r="AB540" s="1">
        <v>0.0</v>
      </c>
      <c r="AC540" s="1">
        <v>0.0</v>
      </c>
      <c r="AD540" s="1">
        <v>0.0</v>
      </c>
      <c r="AE540" s="1">
        <v>0.0</v>
      </c>
      <c r="AF540" s="1">
        <v>0.0</v>
      </c>
      <c r="AG540" s="1">
        <v>0.0</v>
      </c>
      <c r="AH540" s="1">
        <v>0.0</v>
      </c>
      <c r="AI540" s="1">
        <v>0.0</v>
      </c>
      <c r="AJ540" s="1">
        <v>0.0</v>
      </c>
      <c r="AK540" s="1">
        <v>0.0</v>
      </c>
      <c r="AL540" s="1">
        <v>0.0</v>
      </c>
      <c r="AM540" s="4">
        <v>0.0</v>
      </c>
      <c r="AN540" s="1">
        <v>0.0</v>
      </c>
      <c r="AO540" s="4">
        <v>0.0</v>
      </c>
      <c r="AP540" s="1">
        <f t="shared" si="1"/>
        <v>0</v>
      </c>
      <c r="AQ540" s="1" t="s">
        <v>557</v>
      </c>
      <c r="AR540" s="1" t="s">
        <v>560</v>
      </c>
      <c r="AT540" s="1" t="s">
        <v>1292</v>
      </c>
      <c r="AU540" s="2">
        <v>46012.0</v>
      </c>
      <c r="AV540" s="2">
        <v>46023.9923611111</v>
      </c>
      <c r="AW540" s="1">
        <v>0.0</v>
      </c>
      <c r="AX540" s="1">
        <v>60.0</v>
      </c>
      <c r="AY540" s="1">
        <v>11.0</v>
      </c>
      <c r="AZ540" s="1">
        <v>1.0</v>
      </c>
      <c r="BA540" s="1">
        <v>0.0</v>
      </c>
      <c r="BB540" s="1">
        <v>0.0</v>
      </c>
      <c r="BC540" s="2">
        <v>46012.0</v>
      </c>
      <c r="BD540" s="1">
        <v>50.0</v>
      </c>
      <c r="BE540" s="1" t="s">
        <v>550</v>
      </c>
      <c r="BF540" s="1">
        <v>2025.0</v>
      </c>
      <c r="BG540" s="1" t="s">
        <v>558</v>
      </c>
      <c r="BH540" s="7" t="str">
        <f>VLOOKUP(B540,CookieClicks!D:O,12,FALSE)</f>
        <v>https://www.method.me/</v>
      </c>
      <c r="BI540" s="8" t="str">
        <f>IFERROR(__xludf.DUMMYFUNCTION("VLOOKUP(REGEXREPLACE(BH540,""[?].*"",""""),ContentBuckets!A:C,2,FALSE)"),"Homepage")</f>
        <v>Homepage</v>
      </c>
      <c r="BJ540" s="8" t="str">
        <f>IFERROR(__xludf.DUMMYFUNCTION("VLOOKUP(REGEXREPLACE(BH540,""[?].*"",""""),ContentBuckets!A:C,3,FALSE)"),"Other page")</f>
        <v>Other page</v>
      </c>
    </row>
    <row r="541" ht="14.25" customHeight="1">
      <c r="A541" s="1">
        <v>153793.0</v>
      </c>
      <c r="B541" s="1" t="s">
        <v>1293</v>
      </c>
      <c r="C541" s="2">
        <v>46012.6625</v>
      </c>
      <c r="D541" s="2"/>
      <c r="E541" s="2"/>
      <c r="F541" s="1" t="b">
        <v>1</v>
      </c>
      <c r="G541" s="4" t="b">
        <v>0</v>
      </c>
      <c r="H541" s="1" t="b">
        <v>0</v>
      </c>
      <c r="I541" s="1" t="b">
        <v>0</v>
      </c>
      <c r="J541" s="1" t="s">
        <v>534</v>
      </c>
      <c r="K541" s="1" t="s">
        <v>981</v>
      </c>
      <c r="L541" s="1" t="s">
        <v>623</v>
      </c>
      <c r="M541" s="1" t="s">
        <v>537</v>
      </c>
      <c r="N541" s="1">
        <v>0.0</v>
      </c>
      <c r="O541" s="1">
        <v>44.25</v>
      </c>
      <c r="P541" s="1">
        <v>0.0</v>
      </c>
      <c r="Q541" s="1">
        <v>0.0</v>
      </c>
      <c r="R541" s="1">
        <v>0.0</v>
      </c>
      <c r="S541" s="1" t="s">
        <v>538</v>
      </c>
      <c r="T541" s="1" t="s">
        <v>539</v>
      </c>
      <c r="V541" s="4">
        <v>7407677.0</v>
      </c>
      <c r="W541" s="4"/>
      <c r="X541" s="4">
        <v>0.0</v>
      </c>
      <c r="Y541" s="1">
        <v>0.0</v>
      </c>
      <c r="Z541" s="1">
        <v>0.0</v>
      </c>
      <c r="AA541" s="1">
        <v>1.0</v>
      </c>
      <c r="AB541" s="1">
        <v>0.0</v>
      </c>
      <c r="AC541" s="1">
        <v>0.0</v>
      </c>
      <c r="AD541" s="1">
        <v>0.0</v>
      </c>
      <c r="AE541" s="1">
        <v>0.0</v>
      </c>
      <c r="AF541" s="1">
        <v>0.0</v>
      </c>
      <c r="AG541" s="1">
        <v>0.0</v>
      </c>
      <c r="AH541" s="1">
        <v>0.0</v>
      </c>
      <c r="AI541" s="1">
        <v>0.0</v>
      </c>
      <c r="AJ541" s="1">
        <v>0.0</v>
      </c>
      <c r="AK541" s="1">
        <v>0.0</v>
      </c>
      <c r="AL541" s="1">
        <v>0.0</v>
      </c>
      <c r="AM541" s="4">
        <v>0.0</v>
      </c>
      <c r="AN541" s="1">
        <v>0.0</v>
      </c>
      <c r="AO541" s="4">
        <v>0.0</v>
      </c>
      <c r="AP541" s="1">
        <f t="shared" si="1"/>
        <v>0</v>
      </c>
      <c r="AU541" s="2"/>
      <c r="AV541" s="2">
        <v>46024.0229166667</v>
      </c>
      <c r="AW541" s="1">
        <v>0.0</v>
      </c>
      <c r="AX541" s="1">
        <v>0.0</v>
      </c>
      <c r="AY541" s="1">
        <v>0.0</v>
      </c>
      <c r="AZ541" s="1">
        <v>1.0</v>
      </c>
      <c r="BA541" s="1">
        <v>0.0</v>
      </c>
      <c r="BB541" s="1">
        <v>0.0</v>
      </c>
      <c r="BC541" s="2">
        <v>46012.0</v>
      </c>
      <c r="BD541" s="1">
        <v>50.0</v>
      </c>
      <c r="BE541" s="1" t="s">
        <v>550</v>
      </c>
      <c r="BF541" s="1">
        <v>2025.0</v>
      </c>
      <c r="BG541" s="1" t="s">
        <v>558</v>
      </c>
      <c r="BH541" s="7" t="str">
        <f>VLOOKUP(B541,CookieClicks!D:O,12,FALSE)</f>
        <v>https://www.method.me/crm-quickbooks/job-scheduling-software/?trc=81&amp;trk=&amp;trs=USA-DSA&amp;campaignid=13038312612&amp;adgroupid=127756898611&amp;adid=771467139249&amp;gad_source=1&amp;gad_campaignid=13038312612&amp;gclid=Cj0KCQiAjJTKBhCjARIsAIMC448pX2W7Ag8wtUCsKXEQJYoET2I0lkr22DDHhbZ9fgzNESJKZ6ER8JMaAsS0EALw_wcB</v>
      </c>
      <c r="BI541" s="8" t="str">
        <f>IFERROR(__xludf.DUMMYFUNCTION("VLOOKUP(REGEXREPLACE(BH541,""[?].*"",""""),ContentBuckets!A:C,2,FALSE)"),"/crm-quickbooks/")</f>
        <v>/crm-quickbooks/</v>
      </c>
      <c r="BJ541" s="8" t="str">
        <f>IFERROR(__xludf.DUMMYFUNCTION("VLOOKUP(REGEXREPLACE(BH541,""[?].*"",""""),ContentBuckets!A:C,3,FALSE)"),"Other page")</f>
        <v>Other page</v>
      </c>
    </row>
    <row r="542" ht="14.25" customHeight="1">
      <c r="A542" s="1">
        <v>153795.0</v>
      </c>
      <c r="B542" s="1" t="s">
        <v>1294</v>
      </c>
      <c r="C542" s="2">
        <v>46012.9638888889</v>
      </c>
      <c r="D542" s="2"/>
      <c r="E542" s="2"/>
      <c r="F542" s="1" t="b">
        <v>1</v>
      </c>
      <c r="G542" s="4" t="b">
        <v>0</v>
      </c>
      <c r="H542" s="1" t="b">
        <v>0</v>
      </c>
      <c r="I542" s="1" t="b">
        <v>0</v>
      </c>
      <c r="J542" s="1" t="s">
        <v>534</v>
      </c>
      <c r="K542" s="1" t="s">
        <v>535</v>
      </c>
      <c r="L542" s="1" t="s">
        <v>536</v>
      </c>
      <c r="M542" s="1" t="s">
        <v>537</v>
      </c>
      <c r="N542" s="1">
        <v>0.0</v>
      </c>
      <c r="O542" s="1">
        <v>218.25</v>
      </c>
      <c r="P542" s="1">
        <v>0.0</v>
      </c>
      <c r="Q542" s="1">
        <v>0.0</v>
      </c>
      <c r="R542" s="1">
        <v>0.0</v>
      </c>
      <c r="S542" s="1" t="s">
        <v>538</v>
      </c>
      <c r="T542" s="1" t="s">
        <v>539</v>
      </c>
      <c r="V542" s="4">
        <v>7447047.0</v>
      </c>
      <c r="W542" s="4"/>
      <c r="X542" s="4">
        <v>0.0</v>
      </c>
      <c r="Y542" s="1">
        <v>0.0</v>
      </c>
      <c r="Z542" s="1">
        <v>0.0</v>
      </c>
      <c r="AA542" s="1">
        <v>1.0</v>
      </c>
      <c r="AB542" s="1">
        <v>0.0</v>
      </c>
      <c r="AC542" s="1">
        <v>0.0</v>
      </c>
      <c r="AD542" s="1">
        <v>0.0</v>
      </c>
      <c r="AE542" s="1">
        <v>0.0</v>
      </c>
      <c r="AF542" s="1">
        <v>0.0</v>
      </c>
      <c r="AG542" s="1">
        <v>0.0</v>
      </c>
      <c r="AH542" s="1">
        <v>0.0</v>
      </c>
      <c r="AI542" s="1">
        <v>0.0</v>
      </c>
      <c r="AJ542" s="1">
        <v>0.0</v>
      </c>
      <c r="AK542" s="1">
        <v>0.0</v>
      </c>
      <c r="AL542" s="1">
        <v>0.0</v>
      </c>
      <c r="AM542" s="4">
        <v>0.0</v>
      </c>
      <c r="AN542" s="1">
        <v>0.0</v>
      </c>
      <c r="AO542" s="4">
        <v>0.0</v>
      </c>
      <c r="AP542" s="1">
        <f t="shared" si="1"/>
        <v>0</v>
      </c>
      <c r="AQ542" s="1" t="s">
        <v>557</v>
      </c>
      <c r="AT542" s="1" t="s">
        <v>1295</v>
      </c>
      <c r="AU542" s="2">
        <v>46012.0</v>
      </c>
      <c r="AV542" s="2">
        <v>46023.9847222222</v>
      </c>
      <c r="AW542" s="1">
        <v>0.0</v>
      </c>
      <c r="AX542" s="1">
        <v>2340.0</v>
      </c>
      <c r="AY542" s="1">
        <v>4.0</v>
      </c>
      <c r="AZ542" s="1">
        <v>3.0</v>
      </c>
      <c r="BA542" s="1">
        <v>0.0</v>
      </c>
      <c r="BB542" s="1">
        <v>0.0</v>
      </c>
      <c r="BC542" s="2">
        <v>46012.0</v>
      </c>
      <c r="BD542" s="1">
        <v>50.0</v>
      </c>
      <c r="BE542" s="1" t="s">
        <v>550</v>
      </c>
      <c r="BF542" s="1">
        <v>2025.0</v>
      </c>
      <c r="BG542" s="1" t="s">
        <v>558</v>
      </c>
      <c r="BH542" s="1" t="str">
        <f>VLOOKUP(B542,CookieClicks!D:O,12,FALSE)</f>
        <v>https://grow.method.me/qb-payment/?trc=81&amp;trk=quickbooks credit card processing&amp;trs=US-payment&amp;campaignid=19733246298&amp;adgroupid=146278163933&amp;adid=649435146420&amp;gad_source=1&amp;gad_campaignid=19733246298&amp;gbraid=0AAAAAD3Itnb3XSwC0u3WzNZkqiz6UscaR&amp;gclid=Cj0KCQiA0p7KBhCkARIsAE6Xlam_L2GiBMa-_e2SuZYxQOn2Nv_JHc-x8zjVSsNfAg4PpN4tOru-1yYaAr6mEALw_wcB</v>
      </c>
      <c r="BI542" s="8" t="str">
        <f>IFERROR(__xludf.DUMMYFUNCTION("VLOOKUP(REGEXREPLACE(BH542,""[?].*"",""""),ContentBuckets!A:C,2,FALSE)"),"#N/A")</f>
        <v>#N/A</v>
      </c>
      <c r="BJ542" s="8" t="str">
        <f>IFERROR(__xludf.DUMMYFUNCTION("VLOOKUP(REGEXREPLACE(BH542,""[?].*"",""""),ContentBuckets!A:C,3,FALSE)"),"#N/A")</f>
        <v>#N/A</v>
      </c>
    </row>
    <row r="543" ht="14.25" customHeight="1">
      <c r="A543" s="1">
        <v>153796.0</v>
      </c>
      <c r="B543" s="1" t="s">
        <v>1296</v>
      </c>
      <c r="C543" s="2">
        <v>46013.0777777778</v>
      </c>
      <c r="D543" s="2"/>
      <c r="E543" s="2"/>
      <c r="F543" s="1" t="b">
        <v>1</v>
      </c>
      <c r="G543" s="4" t="b">
        <v>0</v>
      </c>
      <c r="H543" s="1" t="b">
        <v>0</v>
      </c>
      <c r="I543" s="1" t="b">
        <v>0</v>
      </c>
      <c r="J543" s="1" t="s">
        <v>534</v>
      </c>
      <c r="K543" s="1" t="s">
        <v>535</v>
      </c>
      <c r="L543" s="1" t="s">
        <v>536</v>
      </c>
      <c r="M543" s="1" t="s">
        <v>537</v>
      </c>
      <c r="N543" s="1">
        <v>0.0</v>
      </c>
      <c r="O543" s="1">
        <v>106.5</v>
      </c>
      <c r="P543" s="1">
        <v>0.0</v>
      </c>
      <c r="Q543" s="1">
        <v>0.0</v>
      </c>
      <c r="R543" s="1">
        <v>0.0</v>
      </c>
      <c r="S543" s="1" t="s">
        <v>538</v>
      </c>
      <c r="T543" s="1" t="s">
        <v>539</v>
      </c>
      <c r="V543" s="4">
        <v>7450566.0</v>
      </c>
      <c r="W543" s="4"/>
      <c r="X543" s="4">
        <v>1.0</v>
      </c>
      <c r="Y543" s="1">
        <v>0.0</v>
      </c>
      <c r="Z543" s="1">
        <v>0.0</v>
      </c>
      <c r="AA543" s="1">
        <v>0.0</v>
      </c>
      <c r="AB543" s="1">
        <v>0.0</v>
      </c>
      <c r="AC543" s="1">
        <v>0.0</v>
      </c>
      <c r="AD543" s="1">
        <v>0.0</v>
      </c>
      <c r="AE543" s="1">
        <v>0.0</v>
      </c>
      <c r="AF543" s="1">
        <v>0.0</v>
      </c>
      <c r="AG543" s="1">
        <v>0.0</v>
      </c>
      <c r="AH543" s="1">
        <v>0.0</v>
      </c>
      <c r="AI543" s="1">
        <v>0.0</v>
      </c>
      <c r="AJ543" s="1">
        <v>0.0</v>
      </c>
      <c r="AK543" s="1">
        <v>0.0</v>
      </c>
      <c r="AL543" s="1">
        <v>0.0</v>
      </c>
      <c r="AM543" s="4">
        <v>0.0</v>
      </c>
      <c r="AN543" s="1">
        <v>0.0</v>
      </c>
      <c r="AO543" s="4">
        <v>0.0</v>
      </c>
      <c r="AP543" s="1">
        <f t="shared" si="1"/>
        <v>0</v>
      </c>
      <c r="AQ543" s="1" t="s">
        <v>557</v>
      </c>
      <c r="AT543" s="1" t="s">
        <v>1297</v>
      </c>
      <c r="AU543" s="2">
        <v>46013.0</v>
      </c>
      <c r="AV543" s="2">
        <v>46024.0208333333</v>
      </c>
      <c r="AW543" s="1">
        <v>1.0</v>
      </c>
      <c r="AX543" s="1">
        <v>58602.84</v>
      </c>
      <c r="AY543" s="1">
        <v>122.0</v>
      </c>
      <c r="AZ543" s="1">
        <v>2.0</v>
      </c>
      <c r="BA543" s="1">
        <v>0.0</v>
      </c>
      <c r="BB543" s="1">
        <v>0.0</v>
      </c>
      <c r="BC543" s="2">
        <v>46013.0</v>
      </c>
      <c r="BD543" s="1">
        <v>51.0</v>
      </c>
      <c r="BE543" s="1" t="s">
        <v>550</v>
      </c>
      <c r="BF543" s="1">
        <v>2025.0</v>
      </c>
      <c r="BG543" s="1" t="s">
        <v>558</v>
      </c>
      <c r="BH543" s="7" t="str">
        <f>VLOOKUP(B543,CookieClicks!D:O,12,FALSE)</f>
        <v>https://www.method.me/</v>
      </c>
      <c r="BI543" s="8" t="str">
        <f>IFERROR(__xludf.DUMMYFUNCTION("VLOOKUP(REGEXREPLACE(BH543,""[?].*"",""""),ContentBuckets!A:C,2,FALSE)"),"Homepage")</f>
        <v>Homepage</v>
      </c>
      <c r="BJ543" s="8" t="str">
        <f>IFERROR(__xludf.DUMMYFUNCTION("VLOOKUP(REGEXREPLACE(BH543,""[?].*"",""""),ContentBuckets!A:C,3,FALSE)"),"Other page")</f>
        <v>Other page</v>
      </c>
    </row>
    <row r="544" ht="14.25" customHeight="1">
      <c r="A544" s="1">
        <v>153797.0</v>
      </c>
      <c r="B544" s="1" t="s">
        <v>1298</v>
      </c>
      <c r="C544" s="2">
        <v>46013.3416666667</v>
      </c>
      <c r="D544" s="2"/>
      <c r="E544" s="2"/>
      <c r="F544" s="1" t="b">
        <v>1</v>
      </c>
      <c r="G544" s="4" t="b">
        <v>0</v>
      </c>
      <c r="H544" s="1" t="b">
        <v>0</v>
      </c>
      <c r="I544" s="1" t="b">
        <v>0</v>
      </c>
      <c r="J544" s="1" t="s">
        <v>534</v>
      </c>
      <c r="K544" s="1" t="s">
        <v>566</v>
      </c>
      <c r="L544" s="1" t="s">
        <v>567</v>
      </c>
      <c r="M544" s="1" t="s">
        <v>537</v>
      </c>
      <c r="N544" s="1">
        <v>0.0</v>
      </c>
      <c r="O544" s="1">
        <v>44.25</v>
      </c>
      <c r="P544" s="1">
        <v>0.0</v>
      </c>
      <c r="Q544" s="1">
        <v>0.0</v>
      </c>
      <c r="R544" s="1">
        <v>28.0</v>
      </c>
      <c r="S544" s="1" t="s">
        <v>538</v>
      </c>
      <c r="T544" s="1" t="s">
        <v>539</v>
      </c>
      <c r="V544" s="4">
        <v>7454404.0</v>
      </c>
      <c r="W544" s="4"/>
      <c r="X544" s="4">
        <v>0.0</v>
      </c>
      <c r="Y544" s="1">
        <v>0.0</v>
      </c>
      <c r="Z544" s="1">
        <v>0.0</v>
      </c>
      <c r="AA544" s="1">
        <v>1.0</v>
      </c>
      <c r="AB544" s="1">
        <v>0.0</v>
      </c>
      <c r="AC544" s="1">
        <v>0.0</v>
      </c>
      <c r="AD544" s="1">
        <v>0.0</v>
      </c>
      <c r="AE544" s="1">
        <v>0.0</v>
      </c>
      <c r="AF544" s="1">
        <v>0.0</v>
      </c>
      <c r="AG544" s="1">
        <v>0.0</v>
      </c>
      <c r="AH544" s="1">
        <v>0.0</v>
      </c>
      <c r="AI544" s="1">
        <v>0.0</v>
      </c>
      <c r="AJ544" s="1">
        <v>0.0</v>
      </c>
      <c r="AK544" s="1">
        <v>0.0</v>
      </c>
      <c r="AL544" s="1">
        <v>0.0</v>
      </c>
      <c r="AM544" s="4">
        <v>0.0</v>
      </c>
      <c r="AN544" s="1">
        <v>0.0</v>
      </c>
      <c r="AO544" s="4">
        <v>0.0</v>
      </c>
      <c r="AP544" s="1">
        <f t="shared" si="1"/>
        <v>0</v>
      </c>
      <c r="AR544" s="1" t="s">
        <v>560</v>
      </c>
      <c r="AU544" s="2"/>
      <c r="AV544" s="2">
        <v>46023.9854166667</v>
      </c>
      <c r="AW544" s="1">
        <v>0.0</v>
      </c>
      <c r="AX544" s="1">
        <v>0.0</v>
      </c>
      <c r="AY544" s="1">
        <v>0.0</v>
      </c>
      <c r="AZ544" s="1">
        <v>1.0</v>
      </c>
      <c r="BA544" s="1">
        <v>0.0</v>
      </c>
      <c r="BB544" s="1">
        <v>0.0</v>
      </c>
      <c r="BC544" s="2">
        <v>46013.0</v>
      </c>
      <c r="BD544" s="1">
        <v>51.0</v>
      </c>
      <c r="BE544" s="1" t="s">
        <v>550</v>
      </c>
      <c r="BF544" s="1">
        <v>2025.0</v>
      </c>
      <c r="BG544" s="1" t="s">
        <v>558</v>
      </c>
      <c r="BH544" s="1" t="str">
        <f>VLOOKUP(B544,CookieClicks!D:O,12,FALSE)</f>
        <v>https://grow.method.me/multi-entity/?trc=86&amp;trk=quickbooks for multiple businesses&amp;trs=US-Multi-entity-Bing&amp;msclkid=d5583141928b17356c025808d0586a6a&amp;utm_source=bing&amp;utm_medium=cpc&amp;utm_campaign=US - Multi-entity&amp;utm_term=quickbooks for multiple businesses&amp;utm_content=Phrase Match KWs</v>
      </c>
      <c r="BI544" s="8" t="str">
        <f>IFERROR(__xludf.DUMMYFUNCTION("VLOOKUP(REGEXREPLACE(BH544,""[?].*"",""""),ContentBuckets!A:C,2,FALSE)"),"#N/A")</f>
        <v>#N/A</v>
      </c>
      <c r="BJ544" s="8" t="str">
        <f>IFERROR(__xludf.DUMMYFUNCTION("VLOOKUP(REGEXREPLACE(BH544,""[?].*"",""""),ContentBuckets!A:C,3,FALSE)"),"#N/A")</f>
        <v>#N/A</v>
      </c>
    </row>
    <row r="545" ht="14.25" customHeight="1">
      <c r="A545" s="1">
        <v>153806.0</v>
      </c>
      <c r="B545" s="1" t="s">
        <v>1299</v>
      </c>
      <c r="C545" s="2">
        <v>46013.4388888889</v>
      </c>
      <c r="D545" s="2"/>
      <c r="E545" s="2"/>
      <c r="F545" s="1" t="b">
        <v>1</v>
      </c>
      <c r="G545" s="4" t="b">
        <v>0</v>
      </c>
      <c r="H545" s="1" t="b">
        <v>0</v>
      </c>
      <c r="I545" s="1" t="b">
        <v>0</v>
      </c>
      <c r="J545" s="1" t="s">
        <v>534</v>
      </c>
      <c r="K545" s="1" t="s">
        <v>553</v>
      </c>
      <c r="L545" s="1" t="s">
        <v>554</v>
      </c>
      <c r="M545" s="1" t="s">
        <v>537</v>
      </c>
      <c r="N545" s="1">
        <v>0.0</v>
      </c>
      <c r="O545" s="1">
        <v>44.25</v>
      </c>
      <c r="P545" s="1">
        <v>0.0</v>
      </c>
      <c r="Q545" s="1">
        <v>0.0</v>
      </c>
      <c r="R545" s="1">
        <v>0.0</v>
      </c>
      <c r="S545" s="1" t="s">
        <v>538</v>
      </c>
      <c r="T545" s="1" t="s">
        <v>539</v>
      </c>
      <c r="V545" s="4">
        <v>7456580.0</v>
      </c>
      <c r="W545" s="4"/>
      <c r="X545" s="4">
        <v>0.0</v>
      </c>
      <c r="Y545" s="1">
        <v>0.0</v>
      </c>
      <c r="Z545" s="1">
        <v>0.0</v>
      </c>
      <c r="AA545" s="1">
        <v>0.0</v>
      </c>
      <c r="AB545" s="1">
        <v>0.0</v>
      </c>
      <c r="AC545" s="1">
        <v>1.0</v>
      </c>
      <c r="AD545" s="1">
        <v>0.0</v>
      </c>
      <c r="AE545" s="1">
        <v>0.0</v>
      </c>
      <c r="AF545" s="1">
        <v>0.0</v>
      </c>
      <c r="AG545" s="1">
        <v>0.0</v>
      </c>
      <c r="AH545" s="1">
        <v>0.0</v>
      </c>
      <c r="AI545" s="1">
        <v>0.0</v>
      </c>
      <c r="AJ545" s="1">
        <v>0.0</v>
      </c>
      <c r="AK545" s="1">
        <v>0.0</v>
      </c>
      <c r="AL545" s="1">
        <v>0.0</v>
      </c>
      <c r="AM545" s="4">
        <v>0.0</v>
      </c>
      <c r="AN545" s="1">
        <v>0.0</v>
      </c>
      <c r="AO545" s="4">
        <v>0.0</v>
      </c>
      <c r="AP545" s="1">
        <f t="shared" si="1"/>
        <v>0</v>
      </c>
      <c r="AU545" s="2"/>
      <c r="AV545" s="2">
        <v>46024.0361111111</v>
      </c>
      <c r="AW545" s="1">
        <v>0.0</v>
      </c>
      <c r="AX545" s="1">
        <v>0.0</v>
      </c>
      <c r="AY545" s="1">
        <v>0.0</v>
      </c>
      <c r="AZ545" s="1">
        <v>1.0</v>
      </c>
      <c r="BA545" s="1">
        <v>0.0</v>
      </c>
      <c r="BB545" s="1">
        <v>0.0</v>
      </c>
      <c r="BC545" s="2">
        <v>46013.0</v>
      </c>
      <c r="BD545" s="1">
        <v>51.0</v>
      </c>
      <c r="BE545" s="1" t="s">
        <v>550</v>
      </c>
      <c r="BF545" s="1">
        <v>2025.0</v>
      </c>
      <c r="BG545" s="1" t="s">
        <v>558</v>
      </c>
      <c r="BH545" s="7" t="str">
        <f>VLOOKUP(B545,CookieClicks!D:O,12,FALSE)</f>
        <v>https://grow.method.me/quickbooks-fsm/?trc=454&amp;trk=general-industry&amp;trs=AC&amp;utm_source=AC&amp;utm_medium=email&amp;utm_campaign=454&amp;vgo_ee=AyienjcQNCUxX7tshLtzPHC02ZacfQwCIRm60wyKF1r4Pgm9aIaixQ%3D%3D%3AY2wqU%2BHDp1NWwPMctQD2nQiEkdKWTLlw</v>
      </c>
      <c r="BI545" s="8" t="str">
        <f>IFERROR(__xludf.DUMMYFUNCTION("VLOOKUP(REGEXREPLACE(BH545,""[?].*"",""""),ContentBuckets!A:C,2,FALSE)"),"#N/A")</f>
        <v>#N/A</v>
      </c>
      <c r="BJ545" s="8" t="str">
        <f>IFERROR(__xludf.DUMMYFUNCTION("VLOOKUP(REGEXREPLACE(BH545,""[?].*"",""""),ContentBuckets!A:C,3,FALSE)"),"#N/A")</f>
        <v>#N/A</v>
      </c>
    </row>
    <row r="546" ht="14.25" customHeight="1">
      <c r="A546" s="1">
        <v>153809.0</v>
      </c>
      <c r="B546" s="1" t="s">
        <v>1300</v>
      </c>
      <c r="C546" s="2">
        <v>46013.4729166667</v>
      </c>
      <c r="D546" s="2"/>
      <c r="E546" s="2"/>
      <c r="F546" s="1" t="b">
        <v>1</v>
      </c>
      <c r="G546" s="4" t="b">
        <v>0</v>
      </c>
      <c r="H546" s="1" t="b">
        <v>0</v>
      </c>
      <c r="I546" s="1" t="b">
        <v>0</v>
      </c>
      <c r="J546" s="1" t="s">
        <v>534</v>
      </c>
      <c r="K546" s="1" t="s">
        <v>535</v>
      </c>
      <c r="L546" s="1" t="s">
        <v>536</v>
      </c>
      <c r="M546" s="1" t="s">
        <v>537</v>
      </c>
      <c r="N546" s="1">
        <v>0.0</v>
      </c>
      <c r="O546" s="1">
        <v>260.25</v>
      </c>
      <c r="P546" s="1">
        <v>0.0</v>
      </c>
      <c r="Q546" s="1">
        <v>0.0</v>
      </c>
      <c r="R546" s="1">
        <v>28.0</v>
      </c>
      <c r="S546" s="1" t="s">
        <v>538</v>
      </c>
      <c r="T546" s="1" t="s">
        <v>539</v>
      </c>
      <c r="V546" s="4">
        <v>7400785.0</v>
      </c>
      <c r="W546" s="4"/>
      <c r="X546" s="4">
        <v>1.0</v>
      </c>
      <c r="Y546" s="1">
        <v>0.0</v>
      </c>
      <c r="Z546" s="1">
        <v>0.0</v>
      </c>
      <c r="AA546" s="1">
        <v>0.0</v>
      </c>
      <c r="AB546" s="1">
        <v>0.0</v>
      </c>
      <c r="AC546" s="1">
        <v>0.0</v>
      </c>
      <c r="AD546" s="1">
        <v>0.0</v>
      </c>
      <c r="AE546" s="1">
        <v>0.0</v>
      </c>
      <c r="AF546" s="1">
        <v>0.0</v>
      </c>
      <c r="AG546" s="1">
        <v>0.0</v>
      </c>
      <c r="AH546" s="1">
        <v>0.0</v>
      </c>
      <c r="AI546" s="1">
        <v>0.0</v>
      </c>
      <c r="AJ546" s="1">
        <v>0.0</v>
      </c>
      <c r="AK546" s="1">
        <v>0.0</v>
      </c>
      <c r="AL546" s="1">
        <v>0.0</v>
      </c>
      <c r="AM546" s="4">
        <v>0.0</v>
      </c>
      <c r="AN546" s="1">
        <v>0.0</v>
      </c>
      <c r="AO546" s="4">
        <v>0.0</v>
      </c>
      <c r="AP546" s="1">
        <f t="shared" si="1"/>
        <v>0</v>
      </c>
      <c r="AQ546" s="1" t="s">
        <v>557</v>
      </c>
      <c r="AR546" s="1" t="s">
        <v>681</v>
      </c>
      <c r="AU546" s="2">
        <v>46013.0</v>
      </c>
      <c r="AV546" s="2">
        <v>46023.9826388889</v>
      </c>
      <c r="AW546" s="1">
        <v>0.0</v>
      </c>
      <c r="AX546" s="1">
        <v>2219271.0</v>
      </c>
      <c r="AY546" s="1">
        <v>1471.0</v>
      </c>
      <c r="AZ546" s="1">
        <v>5.0</v>
      </c>
      <c r="BA546" s="1">
        <v>0.0</v>
      </c>
      <c r="BB546" s="1">
        <v>0.0</v>
      </c>
      <c r="BC546" s="2">
        <v>46013.0</v>
      </c>
      <c r="BD546" s="1">
        <v>51.0</v>
      </c>
      <c r="BE546" s="1" t="s">
        <v>550</v>
      </c>
      <c r="BF546" s="1">
        <v>2025.0</v>
      </c>
      <c r="BG546" s="1" t="s">
        <v>558</v>
      </c>
      <c r="BH546" s="7" t="str">
        <f>VLOOKUP(B546,CookieClicks!D:O,12,FALSE)</f>
        <v>https://www.method.me/</v>
      </c>
      <c r="BI546" s="8" t="str">
        <f>IFERROR(__xludf.DUMMYFUNCTION("VLOOKUP(REGEXREPLACE(BH546,""[?].*"",""""),ContentBuckets!A:C,2,FALSE)"),"Homepage")</f>
        <v>Homepage</v>
      </c>
      <c r="BJ546" s="8" t="str">
        <f>IFERROR(__xludf.DUMMYFUNCTION("VLOOKUP(REGEXREPLACE(BH546,""[?].*"",""""),ContentBuckets!A:C,3,FALSE)"),"Other page")</f>
        <v>Other page</v>
      </c>
    </row>
    <row r="547" ht="14.25" customHeight="1">
      <c r="A547" s="1">
        <v>153810.0</v>
      </c>
      <c r="B547" s="1" t="s">
        <v>1301</v>
      </c>
      <c r="C547" s="2">
        <v>46013.4847222222</v>
      </c>
      <c r="D547" s="2"/>
      <c r="E547" s="2"/>
      <c r="F547" s="1" t="b">
        <v>1</v>
      </c>
      <c r="G547" s="4" t="b">
        <v>0</v>
      </c>
      <c r="H547" s="1" t="b">
        <v>0</v>
      </c>
      <c r="I547" s="1" t="b">
        <v>0</v>
      </c>
      <c r="J547" s="1" t="s">
        <v>534</v>
      </c>
      <c r="K547" s="1" t="s">
        <v>553</v>
      </c>
      <c r="L547" s="1" t="s">
        <v>554</v>
      </c>
      <c r="M547" s="1" t="s">
        <v>537</v>
      </c>
      <c r="N547" s="1">
        <v>0.0</v>
      </c>
      <c r="O547" s="1">
        <v>44.25</v>
      </c>
      <c r="P547" s="1">
        <v>0.0</v>
      </c>
      <c r="Q547" s="1">
        <v>0.0</v>
      </c>
      <c r="R547" s="1">
        <v>0.0</v>
      </c>
      <c r="S547" s="1" t="s">
        <v>538</v>
      </c>
      <c r="T547" s="1" t="s">
        <v>539</v>
      </c>
      <c r="V547" s="4">
        <v>7457140.0</v>
      </c>
      <c r="W547" s="4"/>
      <c r="X547" s="4">
        <v>0.0</v>
      </c>
      <c r="Y547" s="1">
        <v>0.0</v>
      </c>
      <c r="Z547" s="1">
        <v>0.0</v>
      </c>
      <c r="AA547" s="1">
        <v>1.0</v>
      </c>
      <c r="AB547" s="1">
        <v>0.0</v>
      </c>
      <c r="AC547" s="1">
        <v>0.0</v>
      </c>
      <c r="AD547" s="1">
        <v>0.0</v>
      </c>
      <c r="AE547" s="1">
        <v>0.0</v>
      </c>
      <c r="AF547" s="1">
        <v>0.0</v>
      </c>
      <c r="AG547" s="1">
        <v>0.0</v>
      </c>
      <c r="AH547" s="1">
        <v>0.0</v>
      </c>
      <c r="AI547" s="1">
        <v>0.0</v>
      </c>
      <c r="AJ547" s="1">
        <v>0.0</v>
      </c>
      <c r="AK547" s="1">
        <v>0.0</v>
      </c>
      <c r="AL547" s="1">
        <v>0.0</v>
      </c>
      <c r="AM547" s="4">
        <v>0.0</v>
      </c>
      <c r="AN547" s="1">
        <v>0.0</v>
      </c>
      <c r="AO547" s="4">
        <v>0.0</v>
      </c>
      <c r="AP547" s="1">
        <f t="shared" si="1"/>
        <v>0</v>
      </c>
      <c r="AU547" s="2"/>
      <c r="AV547" s="2">
        <v>46023.9895833333</v>
      </c>
      <c r="AW547" s="1">
        <v>0.0</v>
      </c>
      <c r="AX547" s="1">
        <v>0.0</v>
      </c>
      <c r="AY547" s="1">
        <v>0.0</v>
      </c>
      <c r="AZ547" s="1">
        <v>1.0</v>
      </c>
      <c r="BA547" s="1">
        <v>0.0</v>
      </c>
      <c r="BB547" s="1">
        <v>0.0</v>
      </c>
      <c r="BC547" s="2">
        <v>46013.0</v>
      </c>
      <c r="BD547" s="1">
        <v>51.0</v>
      </c>
      <c r="BE547" s="1" t="s">
        <v>550</v>
      </c>
      <c r="BF547" s="1">
        <v>2025.0</v>
      </c>
      <c r="BG547" s="1" t="s">
        <v>558</v>
      </c>
      <c r="BH547" s="1" t="str">
        <f>VLOOKUP(B547,CookieClicks!D:O,12,FALSE)</f>
        <v>https://grow.method.me/crm-quickbooks/?trc=81&amp;trk=crm with quickbooks&amp;trs=USA-QB-G&amp;campaignid=1543381580&amp;adgroupid=61437797000&amp;adid=704678754673&amp;gad_source=1&amp;gad_campaignid=1543381580&amp;gbraid=0AAAAAD3ItnYhx4QVuoDT-qnL0Z6dTzV7j&amp;gclid=CjwKCAiA9aPKBhBhEiwAyz82JzD8fVgcfvPLPYz6z5INg8Rlr1t16vSnVzJ_XzgleqOQd04hDXOL3hoCToAQAvD_BwE</v>
      </c>
      <c r="BI547" s="8" t="str">
        <f>IFERROR(__xludf.DUMMYFUNCTION("VLOOKUP(REGEXREPLACE(BH547,""[?].*"",""""),ContentBuckets!A:C,2,FALSE)"),"#N/A")</f>
        <v>#N/A</v>
      </c>
      <c r="BJ547" s="8" t="str">
        <f>IFERROR(__xludf.DUMMYFUNCTION("VLOOKUP(REGEXREPLACE(BH547,""[?].*"",""""),ContentBuckets!A:C,3,FALSE)"),"#N/A")</f>
        <v>#N/A</v>
      </c>
    </row>
    <row r="548" ht="14.25" customHeight="1">
      <c r="A548" s="1">
        <v>153812.0</v>
      </c>
      <c r="B548" s="1" t="s">
        <v>1302</v>
      </c>
      <c r="C548" s="2">
        <v>46013.5048611111</v>
      </c>
      <c r="D548" s="2"/>
      <c r="E548" s="2"/>
      <c r="F548" s="1" t="b">
        <v>1</v>
      </c>
      <c r="G548" s="4" t="b">
        <v>0</v>
      </c>
      <c r="H548" s="1" t="b">
        <v>0</v>
      </c>
      <c r="I548" s="1" t="b">
        <v>0</v>
      </c>
      <c r="J548" s="1" t="s">
        <v>534</v>
      </c>
      <c r="K548" s="1" t="s">
        <v>612</v>
      </c>
      <c r="L548" s="1" t="s">
        <v>567</v>
      </c>
      <c r="M548" s="1" t="s">
        <v>537</v>
      </c>
      <c r="N548" s="1">
        <v>0.0</v>
      </c>
      <c r="O548" s="1">
        <v>97.5</v>
      </c>
      <c r="P548" s="1">
        <v>0.0</v>
      </c>
      <c r="Q548" s="1">
        <v>0.0</v>
      </c>
      <c r="R548" s="1">
        <v>28.0</v>
      </c>
      <c r="S548" s="1" t="s">
        <v>538</v>
      </c>
      <c r="T548" s="1" t="s">
        <v>725</v>
      </c>
      <c r="U548" s="1" t="s">
        <v>1303</v>
      </c>
      <c r="V548" s="4">
        <v>6923940.0</v>
      </c>
      <c r="W548" s="4"/>
      <c r="X548" s="4">
        <v>0.0</v>
      </c>
      <c r="Y548" s="1">
        <v>0.0</v>
      </c>
      <c r="Z548" s="1">
        <v>0.0</v>
      </c>
      <c r="AA548" s="1">
        <v>0.0</v>
      </c>
      <c r="AB548" s="1">
        <v>1.0</v>
      </c>
      <c r="AC548" s="1">
        <v>0.0</v>
      </c>
      <c r="AD548" s="1">
        <v>0.0</v>
      </c>
      <c r="AE548" s="1">
        <v>0.0</v>
      </c>
      <c r="AF548" s="1">
        <v>0.0</v>
      </c>
      <c r="AG548" s="1">
        <v>0.0</v>
      </c>
      <c r="AH548" s="1">
        <v>0.0</v>
      </c>
      <c r="AI548" s="1">
        <v>0.0</v>
      </c>
      <c r="AJ548" s="1">
        <v>0.0</v>
      </c>
      <c r="AK548" s="1">
        <v>0.0</v>
      </c>
      <c r="AL548" s="1">
        <v>0.0</v>
      </c>
      <c r="AM548" s="4">
        <v>0.0</v>
      </c>
      <c r="AN548" s="1">
        <v>0.0</v>
      </c>
      <c r="AO548" s="4">
        <v>0.0</v>
      </c>
      <c r="AP548" s="1">
        <f t="shared" si="1"/>
        <v>0</v>
      </c>
      <c r="AQ548" s="1" t="s">
        <v>557</v>
      </c>
      <c r="AR548" s="1" t="s">
        <v>564</v>
      </c>
      <c r="AT548" s="1" t="s">
        <v>1304</v>
      </c>
      <c r="AU548" s="2">
        <v>46013.0</v>
      </c>
      <c r="AV548" s="2">
        <v>46024.0097222222</v>
      </c>
      <c r="AW548" s="1">
        <v>0.0</v>
      </c>
      <c r="AX548" s="1">
        <v>12240.0</v>
      </c>
      <c r="AY548" s="1">
        <v>2.0</v>
      </c>
      <c r="AZ548" s="1">
        <v>2.0</v>
      </c>
      <c r="BA548" s="1">
        <v>0.0</v>
      </c>
      <c r="BB548" s="1">
        <v>28.0</v>
      </c>
      <c r="BC548" s="2">
        <v>46013.0</v>
      </c>
      <c r="BD548" s="1">
        <v>51.0</v>
      </c>
      <c r="BE548" s="1" t="s">
        <v>550</v>
      </c>
      <c r="BF548" s="1">
        <v>2025.0</v>
      </c>
      <c r="BG548" s="1" t="s">
        <v>558</v>
      </c>
      <c r="BH548" s="7" t="str">
        <f>VLOOKUP(B548,CookieClicks!D:O,12,FALSE)</f>
        <v>https://www.method.me/</v>
      </c>
      <c r="BI548" s="8" t="str">
        <f>IFERROR(__xludf.DUMMYFUNCTION("VLOOKUP(REGEXREPLACE(BH548,""[?].*"",""""),ContentBuckets!A:C,2,FALSE)"),"Homepage")</f>
        <v>Homepage</v>
      </c>
      <c r="BJ548" s="8" t="str">
        <f>IFERROR(__xludf.DUMMYFUNCTION("VLOOKUP(REGEXREPLACE(BH548,""[?].*"",""""),ContentBuckets!A:C,3,FALSE)"),"Other page")</f>
        <v>Other page</v>
      </c>
    </row>
    <row r="549" ht="14.25" customHeight="1">
      <c r="A549" s="1">
        <v>153813.0</v>
      </c>
      <c r="B549" s="1" t="s">
        <v>1305</v>
      </c>
      <c r="C549" s="2">
        <v>46013.5145833333</v>
      </c>
      <c r="D549" s="2"/>
      <c r="E549" s="2"/>
      <c r="F549" s="1" t="b">
        <v>1</v>
      </c>
      <c r="G549" s="4" t="b">
        <v>0</v>
      </c>
      <c r="H549" s="1" t="b">
        <v>0</v>
      </c>
      <c r="I549" s="1" t="b">
        <v>0</v>
      </c>
      <c r="J549" s="1" t="s">
        <v>534</v>
      </c>
      <c r="K549" s="1" t="s">
        <v>703</v>
      </c>
      <c r="L549" s="1" t="s">
        <v>536</v>
      </c>
      <c r="M549" s="1" t="s">
        <v>537</v>
      </c>
      <c r="N549" s="1">
        <v>0.0</v>
      </c>
      <c r="O549" s="1">
        <v>72.75</v>
      </c>
      <c r="P549" s="1">
        <v>0.0</v>
      </c>
      <c r="Q549" s="1">
        <v>0.0</v>
      </c>
      <c r="R549" s="1">
        <v>0.0</v>
      </c>
      <c r="S549" s="1" t="s">
        <v>538</v>
      </c>
      <c r="T549" s="1" t="s">
        <v>539</v>
      </c>
      <c r="V549" s="4">
        <v>7457386.0</v>
      </c>
      <c r="W549" s="4"/>
      <c r="X549" s="4">
        <v>0.0</v>
      </c>
      <c r="Y549" s="1">
        <v>0.0</v>
      </c>
      <c r="Z549" s="1">
        <v>1.0</v>
      </c>
      <c r="AA549" s="1">
        <v>0.0</v>
      </c>
      <c r="AB549" s="1">
        <v>0.0</v>
      </c>
      <c r="AC549" s="1">
        <v>0.0</v>
      </c>
      <c r="AD549" s="1">
        <v>0.0</v>
      </c>
      <c r="AE549" s="1">
        <v>0.0</v>
      </c>
      <c r="AF549" s="1">
        <v>0.0</v>
      </c>
      <c r="AG549" s="1">
        <v>0.0</v>
      </c>
      <c r="AH549" s="1">
        <v>0.0</v>
      </c>
      <c r="AI549" s="1">
        <v>0.0</v>
      </c>
      <c r="AJ549" s="1">
        <v>0.0</v>
      </c>
      <c r="AK549" s="1">
        <v>0.0</v>
      </c>
      <c r="AL549" s="1">
        <v>0.0</v>
      </c>
      <c r="AM549" s="4">
        <v>0.0</v>
      </c>
      <c r="AN549" s="1">
        <v>0.0</v>
      </c>
      <c r="AO549" s="4">
        <v>0.0</v>
      </c>
      <c r="AP549" s="1">
        <f t="shared" si="1"/>
        <v>0</v>
      </c>
      <c r="AQ549" s="1" t="s">
        <v>541</v>
      </c>
      <c r="AT549" s="1" t="s">
        <v>1306</v>
      </c>
      <c r="AU549" s="2">
        <v>46013.0</v>
      </c>
      <c r="AV549" s="2">
        <v>46024.0361111111</v>
      </c>
      <c r="AW549" s="1">
        <v>0.0</v>
      </c>
      <c r="AX549" s="1">
        <v>727731.24</v>
      </c>
      <c r="AY549" s="1">
        <v>860.0</v>
      </c>
      <c r="AZ549" s="1">
        <v>1.0</v>
      </c>
      <c r="BA549" s="1">
        <v>0.0</v>
      </c>
      <c r="BB549" s="1">
        <v>0.0</v>
      </c>
      <c r="BC549" s="2">
        <v>46013.0</v>
      </c>
      <c r="BD549" s="1">
        <v>51.0</v>
      </c>
      <c r="BE549" s="1" t="s">
        <v>550</v>
      </c>
      <c r="BF549" s="1">
        <v>2025.0</v>
      </c>
      <c r="BG549" s="1" t="s">
        <v>546</v>
      </c>
      <c r="BH549" s="7" t="str">
        <f>VLOOKUP(B549,CookieClicks!D:O,12,FALSE)</f>
        <v>https://signin.method.me/accounts/identitynotfound?Code=%2FtyWXJRVSgU%2FdzgUKR3wBRQbEjuLQke4Am%2FV4rGD%2FNUnaDfX1tmPg9uGHqZsKLzg%2FYbzPT0OgeQ869UAp0VST7qDor8JzwWmwoh7qjy%2Bmreu4GCCxfuQ35zJmr7yU8IxG0oYNdZUlZq%2BZAe8RgZBAcChcZOlsqAO0EPgfW%2FDq2mP6TqzqwTkMf%2FDidbrdxLyLFANL4w4%2Fxu%2B0i96CK2s7t2%2F1YLHCaMmqwfCetSc3jOKhrjlllIHSdDUTKHwRCuWIrfreatErX4M3qMadYR3iLP6z3BaF%2FQ%2BDQdqeyiPl7TtOi%2B8eYRtpDNgF75RRM5q&amp;Email=marketing%40yyoung.com&amp;Provider=Intuit&amp;Offering=methodcrm</v>
      </c>
      <c r="BI549" s="8" t="str">
        <f>IFERROR(__xludf.DUMMYFUNCTION("VLOOKUP(REGEXREPLACE(BH549,""[?].*"",""""),ContentBuckets!A:C,2,FALSE)"),"#N/A")</f>
        <v>#N/A</v>
      </c>
      <c r="BJ549" s="8" t="str">
        <f>IFERROR(__xludf.DUMMYFUNCTION("VLOOKUP(REGEXREPLACE(BH549,""[?].*"",""""),ContentBuckets!A:C,3,FALSE)"),"#N/A")</f>
        <v>#N/A</v>
      </c>
    </row>
    <row r="550" ht="14.25" customHeight="1">
      <c r="A550" s="1">
        <v>153814.0</v>
      </c>
      <c r="B550" s="1" t="s">
        <v>1307</v>
      </c>
      <c r="C550" s="2">
        <v>46013.5152777778</v>
      </c>
      <c r="D550" s="2"/>
      <c r="E550" s="2"/>
      <c r="F550" s="1" t="b">
        <v>1</v>
      </c>
      <c r="G550" s="4" t="b">
        <v>0</v>
      </c>
      <c r="H550" s="1" t="b">
        <v>0</v>
      </c>
      <c r="I550" s="1" t="b">
        <v>0</v>
      </c>
      <c r="J550" s="1" t="s">
        <v>534</v>
      </c>
      <c r="K550" s="1" t="s">
        <v>553</v>
      </c>
      <c r="L550" s="1" t="s">
        <v>554</v>
      </c>
      <c r="M550" s="1" t="s">
        <v>537</v>
      </c>
      <c r="N550" s="1">
        <v>0.0</v>
      </c>
      <c r="O550" s="1">
        <v>44.25</v>
      </c>
      <c r="P550" s="1">
        <v>0.0</v>
      </c>
      <c r="Q550" s="1">
        <v>0.0</v>
      </c>
      <c r="R550" s="1">
        <v>0.0</v>
      </c>
      <c r="S550" s="1" t="s">
        <v>538</v>
      </c>
      <c r="T550" s="1" t="s">
        <v>539</v>
      </c>
      <c r="V550" s="4">
        <v>7457395.0</v>
      </c>
      <c r="W550" s="4"/>
      <c r="X550" s="4">
        <v>0.0</v>
      </c>
      <c r="Y550" s="1">
        <v>0.0</v>
      </c>
      <c r="Z550" s="1">
        <v>0.0</v>
      </c>
      <c r="AA550" s="1">
        <v>1.0</v>
      </c>
      <c r="AB550" s="1">
        <v>0.0</v>
      </c>
      <c r="AC550" s="1">
        <v>0.0</v>
      </c>
      <c r="AD550" s="1">
        <v>0.0</v>
      </c>
      <c r="AE550" s="1">
        <v>0.0</v>
      </c>
      <c r="AF550" s="1">
        <v>0.0</v>
      </c>
      <c r="AG550" s="1">
        <v>0.0</v>
      </c>
      <c r="AH550" s="1">
        <v>0.0</v>
      </c>
      <c r="AI550" s="1">
        <v>0.0</v>
      </c>
      <c r="AJ550" s="1">
        <v>0.0</v>
      </c>
      <c r="AK550" s="1">
        <v>0.0</v>
      </c>
      <c r="AL550" s="1">
        <v>0.0</v>
      </c>
      <c r="AM550" s="4">
        <v>0.0</v>
      </c>
      <c r="AN550" s="1">
        <v>0.0</v>
      </c>
      <c r="AO550" s="4">
        <v>0.0</v>
      </c>
      <c r="AP550" s="1">
        <f t="shared" si="1"/>
        <v>0</v>
      </c>
      <c r="AU550" s="2"/>
      <c r="AV550" s="2">
        <v>46024.025</v>
      </c>
      <c r="AW550" s="1">
        <v>0.0</v>
      </c>
      <c r="AX550" s="1">
        <v>0.0</v>
      </c>
      <c r="AY550" s="1">
        <v>0.0</v>
      </c>
      <c r="AZ550" s="1">
        <v>1.0</v>
      </c>
      <c r="BA550" s="1">
        <v>0.0</v>
      </c>
      <c r="BB550" s="1">
        <v>0.0</v>
      </c>
      <c r="BC550" s="2">
        <v>46013.0</v>
      </c>
      <c r="BD550" s="1">
        <v>51.0</v>
      </c>
      <c r="BE550" s="1" t="s">
        <v>550</v>
      </c>
      <c r="BF550" s="1">
        <v>2025.0</v>
      </c>
      <c r="BG550" s="1" t="s">
        <v>558</v>
      </c>
      <c r="BH550" s="1" t="str">
        <f>VLOOKUP(B550,CookieClicks!D:O,12,FALSE)</f>
        <v>https://grow.method.me/crm-quickbooks/?trc=81&amp;trk=crm with quickbooks&amp;trs=USA-QB-G&amp;campaignid=1543381580&amp;adgroupid=61437797000&amp;adid=704678754673&amp;gad_source=1&amp;gad_campaignid=1543381580&amp;gbraid=0AAAAAD3ItnYhx4QVuoDT-qnL0Z6dTzV7j&amp;gclid=EAIaIQobChMI9NLnzdnRkQMVESvUAR2o5yRLEAAYASAAEgJ-OvD_BwE</v>
      </c>
      <c r="BI550" s="8" t="str">
        <f>IFERROR(__xludf.DUMMYFUNCTION("VLOOKUP(REGEXREPLACE(BH550,""[?].*"",""""),ContentBuckets!A:C,2,FALSE)"),"#N/A")</f>
        <v>#N/A</v>
      </c>
      <c r="BJ550" s="8" t="str">
        <f>IFERROR(__xludf.DUMMYFUNCTION("VLOOKUP(REGEXREPLACE(BH550,""[?].*"",""""),ContentBuckets!A:C,3,FALSE)"),"#N/A")</f>
        <v>#N/A</v>
      </c>
    </row>
    <row r="551" ht="14.25" customHeight="1">
      <c r="A551" s="1">
        <v>153815.0</v>
      </c>
      <c r="B551" s="1" t="s">
        <v>1308</v>
      </c>
      <c r="C551" s="2">
        <v>46013.5319444444</v>
      </c>
      <c r="D551" s="2"/>
      <c r="E551" s="2"/>
      <c r="F551" s="1" t="b">
        <v>1</v>
      </c>
      <c r="G551" s="4" t="b">
        <v>0</v>
      </c>
      <c r="H551" s="1" t="b">
        <v>0</v>
      </c>
      <c r="I551" s="1" t="b">
        <v>0</v>
      </c>
      <c r="J551" s="1" t="s">
        <v>534</v>
      </c>
      <c r="K551" s="1" t="s">
        <v>535</v>
      </c>
      <c r="L551" s="1" t="s">
        <v>536</v>
      </c>
      <c r="M551" s="1" t="s">
        <v>537</v>
      </c>
      <c r="N551" s="1">
        <v>0.0</v>
      </c>
      <c r="O551" s="1">
        <v>44.25</v>
      </c>
      <c r="P551" s="1">
        <v>0.0</v>
      </c>
      <c r="Q551" s="1">
        <v>0.0</v>
      </c>
      <c r="R551" s="1">
        <v>0.0</v>
      </c>
      <c r="S551" s="1" t="s">
        <v>538</v>
      </c>
      <c r="T551" s="1" t="s">
        <v>539</v>
      </c>
      <c r="V551" s="4">
        <v>7457523.0</v>
      </c>
      <c r="W551" s="4" t="s">
        <v>540</v>
      </c>
      <c r="X551" s="4">
        <v>0.0</v>
      </c>
      <c r="Y551" s="1">
        <v>1.0</v>
      </c>
      <c r="Z551" s="1">
        <v>0.0</v>
      </c>
      <c r="AA551" s="1">
        <v>0.0</v>
      </c>
      <c r="AB551" s="1">
        <v>0.0</v>
      </c>
      <c r="AC551" s="1">
        <v>0.0</v>
      </c>
      <c r="AD551" s="1">
        <v>0.0</v>
      </c>
      <c r="AE551" s="1">
        <v>0.0</v>
      </c>
      <c r="AF551" s="1">
        <v>0.0</v>
      </c>
      <c r="AG551" s="1">
        <v>0.0</v>
      </c>
      <c r="AH551" s="1">
        <v>0.0</v>
      </c>
      <c r="AI551" s="1">
        <v>0.0</v>
      </c>
      <c r="AJ551" s="1">
        <v>0.0</v>
      </c>
      <c r="AK551" s="1">
        <v>0.0</v>
      </c>
      <c r="AL551" s="1">
        <v>0.0</v>
      </c>
      <c r="AM551" s="4">
        <v>0.0</v>
      </c>
      <c r="AN551" s="1">
        <v>0.0</v>
      </c>
      <c r="AO551" s="4">
        <v>0.0</v>
      </c>
      <c r="AP551" s="1">
        <f t="shared" si="1"/>
        <v>0</v>
      </c>
      <c r="AU551" s="2"/>
      <c r="AV551" s="2">
        <v>46024.0368055556</v>
      </c>
      <c r="AW551" s="1">
        <v>0.0</v>
      </c>
      <c r="AX551" s="1">
        <v>0.0</v>
      </c>
      <c r="AY551" s="1">
        <v>0.0</v>
      </c>
      <c r="AZ551" s="1">
        <v>1.0</v>
      </c>
      <c r="BA551" s="1">
        <v>0.0</v>
      </c>
      <c r="BB551" s="1">
        <v>0.0</v>
      </c>
      <c r="BC551" s="2">
        <v>46013.0</v>
      </c>
      <c r="BD551" s="1">
        <v>51.0</v>
      </c>
      <c r="BE551" s="1" t="s">
        <v>550</v>
      </c>
      <c r="BF551" s="1">
        <v>2025.0</v>
      </c>
      <c r="BG551" s="1" t="s">
        <v>624</v>
      </c>
      <c r="BH551" s="7" t="str">
        <f>VLOOKUP(B551,CookieClicks!D:O,12,FALSE)</f>
        <v>https://www.method.me/</v>
      </c>
      <c r="BI551" s="8" t="str">
        <f>IFERROR(__xludf.DUMMYFUNCTION("VLOOKUP(REGEXREPLACE(BH551,""[?].*"",""""),ContentBuckets!A:C,2,FALSE)"),"Homepage")</f>
        <v>Homepage</v>
      </c>
      <c r="BJ551" s="8" t="str">
        <f>IFERROR(__xludf.DUMMYFUNCTION("VLOOKUP(REGEXREPLACE(BH551,""[?].*"",""""),ContentBuckets!A:C,3,FALSE)"),"Other page")</f>
        <v>Other page</v>
      </c>
    </row>
    <row r="552" ht="14.25" customHeight="1">
      <c r="A552" s="1">
        <v>153816.0</v>
      </c>
      <c r="B552" s="1" t="s">
        <v>1309</v>
      </c>
      <c r="C552" s="2">
        <v>46013.5444444444</v>
      </c>
      <c r="D552" s="2"/>
      <c r="E552" s="2"/>
      <c r="F552" s="1" t="b">
        <v>1</v>
      </c>
      <c r="G552" s="4" t="b">
        <v>0</v>
      </c>
      <c r="H552" s="1" t="b">
        <v>0</v>
      </c>
      <c r="I552" s="1" t="b">
        <v>0</v>
      </c>
      <c r="J552" s="1" t="s">
        <v>534</v>
      </c>
      <c r="K552" s="1" t="s">
        <v>535</v>
      </c>
      <c r="L552" s="1" t="s">
        <v>536</v>
      </c>
      <c r="M552" s="1" t="s">
        <v>537</v>
      </c>
      <c r="N552" s="1">
        <v>0.0</v>
      </c>
      <c r="O552" s="1">
        <v>191.25</v>
      </c>
      <c r="P552" s="1">
        <v>0.0</v>
      </c>
      <c r="Q552" s="1">
        <v>0.0</v>
      </c>
      <c r="R552" s="1">
        <v>28.0</v>
      </c>
      <c r="S552" s="1" t="s">
        <v>538</v>
      </c>
      <c r="T552" s="1" t="s">
        <v>539</v>
      </c>
      <c r="V552" s="4">
        <v>7457595.0</v>
      </c>
      <c r="W552" s="4" t="s">
        <v>540</v>
      </c>
      <c r="X552" s="4">
        <v>0.0</v>
      </c>
      <c r="Y552" s="1">
        <v>0.5</v>
      </c>
      <c r="Z552" s="1">
        <v>0.5</v>
      </c>
      <c r="AA552" s="1">
        <v>0.0</v>
      </c>
      <c r="AB552" s="1">
        <v>0.0</v>
      </c>
      <c r="AC552" s="1">
        <v>0.0</v>
      </c>
      <c r="AD552" s="1">
        <v>0.0</v>
      </c>
      <c r="AE552" s="1">
        <v>0.0</v>
      </c>
      <c r="AF552" s="1">
        <v>0.0</v>
      </c>
      <c r="AG552" s="1">
        <v>0.0</v>
      </c>
      <c r="AH552" s="1">
        <v>0.0</v>
      </c>
      <c r="AI552" s="1">
        <v>0.0</v>
      </c>
      <c r="AJ552" s="1">
        <v>0.0</v>
      </c>
      <c r="AK552" s="1">
        <v>0.0</v>
      </c>
      <c r="AL552" s="1">
        <v>0.0</v>
      </c>
      <c r="AM552" s="4">
        <v>0.0</v>
      </c>
      <c r="AN552" s="1">
        <v>0.0</v>
      </c>
      <c r="AO552" s="4">
        <v>0.0</v>
      </c>
      <c r="AP552" s="1">
        <f t="shared" si="1"/>
        <v>0</v>
      </c>
      <c r="AQ552" s="1" t="s">
        <v>557</v>
      </c>
      <c r="AR552" s="1" t="s">
        <v>568</v>
      </c>
      <c r="AU552" s="2">
        <v>46013.0</v>
      </c>
      <c r="AV552" s="2">
        <v>46024.0430555556</v>
      </c>
      <c r="AW552" s="1">
        <v>19.0</v>
      </c>
      <c r="AX552" s="1">
        <v>1072463.64</v>
      </c>
      <c r="AY552" s="1">
        <v>5303.0</v>
      </c>
      <c r="AZ552" s="1">
        <v>3.0</v>
      </c>
      <c r="BA552" s="1">
        <v>0.0</v>
      </c>
      <c r="BB552" s="1">
        <v>0.0</v>
      </c>
      <c r="BC552" s="2">
        <v>46013.0</v>
      </c>
      <c r="BD552" s="1">
        <v>51.0</v>
      </c>
      <c r="BE552" s="1" t="s">
        <v>550</v>
      </c>
      <c r="BF552" s="1">
        <v>2025.0</v>
      </c>
      <c r="BG552" s="1" t="s">
        <v>558</v>
      </c>
      <c r="BH552" s="7" t="str">
        <f>VLOOKUP(B552,CookieClicks!D:O,12,FALSE)</f>
        <v>https://www.method.me/quickbooks-crm/</v>
      </c>
      <c r="BI552" s="8" t="str">
        <f>IFERROR(__xludf.DUMMYFUNCTION("VLOOKUP(REGEXREPLACE(BH552,""[?].*"",""""),ContentBuckets!A:C,2,FALSE)"),"/crm-quickbooks/")</f>
        <v>/crm-quickbooks/</v>
      </c>
      <c r="BJ552" s="8" t="str">
        <f>IFERROR(__xludf.DUMMYFUNCTION("VLOOKUP(REGEXREPLACE(BH552,""[?].*"",""""),ContentBuckets!A:C,3,FALSE)"),"Other page")</f>
        <v>Other page</v>
      </c>
    </row>
    <row r="553" ht="14.25" customHeight="1">
      <c r="A553" s="1">
        <v>153817.0</v>
      </c>
      <c r="B553" s="1" t="s">
        <v>1310</v>
      </c>
      <c r="C553" s="2">
        <v>46013.6645833333</v>
      </c>
      <c r="D553" s="2"/>
      <c r="E553" s="2"/>
      <c r="F553" s="1" t="b">
        <v>1</v>
      </c>
      <c r="G553" s="4" t="b">
        <v>0</v>
      </c>
      <c r="H553" s="1" t="b">
        <v>0</v>
      </c>
      <c r="I553" s="1" t="b">
        <v>0</v>
      </c>
      <c r="J553" s="1" t="s">
        <v>534</v>
      </c>
      <c r="K553" s="1" t="s">
        <v>535</v>
      </c>
      <c r="L553" s="1" t="s">
        <v>536</v>
      </c>
      <c r="M553" s="1" t="s">
        <v>537</v>
      </c>
      <c r="N553" s="1">
        <v>0.0</v>
      </c>
      <c r="O553" s="1">
        <v>63.75</v>
      </c>
      <c r="P553" s="1">
        <v>0.0</v>
      </c>
      <c r="Q553" s="1">
        <v>0.0</v>
      </c>
      <c r="R553" s="1">
        <v>28.0</v>
      </c>
      <c r="S553" s="1" t="s">
        <v>538</v>
      </c>
      <c r="T553" s="1" t="s">
        <v>539</v>
      </c>
      <c r="V553" s="4">
        <v>6858904.0</v>
      </c>
      <c r="W553" s="4"/>
      <c r="X553" s="4">
        <v>0.0</v>
      </c>
      <c r="Y553" s="1">
        <v>0.0</v>
      </c>
      <c r="Z553" s="1">
        <v>0.0</v>
      </c>
      <c r="AA553" s="1">
        <v>1.0</v>
      </c>
      <c r="AB553" s="1">
        <v>0.0</v>
      </c>
      <c r="AC553" s="1">
        <v>0.0</v>
      </c>
      <c r="AD553" s="1">
        <v>0.0</v>
      </c>
      <c r="AE553" s="1">
        <v>0.0</v>
      </c>
      <c r="AF553" s="1">
        <v>0.0</v>
      </c>
      <c r="AG553" s="1">
        <v>0.0</v>
      </c>
      <c r="AH553" s="1">
        <v>0.0</v>
      </c>
      <c r="AI553" s="1">
        <v>0.0</v>
      </c>
      <c r="AJ553" s="1">
        <v>0.0</v>
      </c>
      <c r="AK553" s="1">
        <v>0.0</v>
      </c>
      <c r="AL553" s="1">
        <v>0.0</v>
      </c>
      <c r="AM553" s="4">
        <v>0.0</v>
      </c>
      <c r="AN553" s="1">
        <v>0.0</v>
      </c>
      <c r="AO553" s="4">
        <v>0.0</v>
      </c>
      <c r="AP553" s="1">
        <f t="shared" si="1"/>
        <v>0</v>
      </c>
      <c r="AQ553" s="1" t="s">
        <v>557</v>
      </c>
      <c r="AR553" s="1" t="s">
        <v>560</v>
      </c>
      <c r="AT553" s="1" t="s">
        <v>1311</v>
      </c>
      <c r="AU553" s="2">
        <v>46013.0</v>
      </c>
      <c r="AV553" s="2">
        <v>46024.0375</v>
      </c>
      <c r="AW553" s="1">
        <v>10.0</v>
      </c>
      <c r="AX553" s="1">
        <v>57480.0</v>
      </c>
      <c r="AY553" s="1">
        <v>78.0</v>
      </c>
      <c r="AZ553" s="1">
        <v>1.0</v>
      </c>
      <c r="BA553" s="1">
        <v>0.0</v>
      </c>
      <c r="BB553" s="1">
        <v>1.0</v>
      </c>
      <c r="BC553" s="2">
        <v>46013.0</v>
      </c>
      <c r="BD553" s="1">
        <v>51.0</v>
      </c>
      <c r="BE553" s="1" t="s">
        <v>550</v>
      </c>
      <c r="BF553" s="1">
        <v>2025.0</v>
      </c>
      <c r="BG553" s="1" t="s">
        <v>558</v>
      </c>
      <c r="BH553" s="1" t="str">
        <f>VLOOKUP(B553,CookieClicks!D:O,12,FALSE)</f>
        <v>https://grow.method.me/crm-quickbooks/?trc=81&amp;trk=integrate with quickbooks&amp;trs=USA-QB-G_Ex&amp;campaignid=22265826203&amp;adgroupid=176758613473&amp;adid=734012603510&amp;gad_source=1&amp;gad_campaignid=22265826203&amp;gbraid=0AAAAAD3ItnZ3m3MycvnglnjN_XvLoigmA&amp;gclid=Cj0KCQjw_L_FBhDmARIsAItqgt4GZ0MtW9MXAWc21VeiY0O4dflILCzSXnj7z-XAdKSwkQGGDSC4xO4aAoyuEALw_wcB</v>
      </c>
      <c r="BI553" s="8" t="str">
        <f>IFERROR(__xludf.DUMMYFUNCTION("VLOOKUP(REGEXREPLACE(BH553,""[?].*"",""""),ContentBuckets!A:C,2,FALSE)"),"#N/A")</f>
        <v>#N/A</v>
      </c>
      <c r="BJ553" s="8" t="str">
        <f>IFERROR(__xludf.DUMMYFUNCTION("VLOOKUP(REGEXREPLACE(BH553,""[?].*"",""""),ContentBuckets!A:C,3,FALSE)"),"#N/A")</f>
        <v>#N/A</v>
      </c>
    </row>
    <row r="554" ht="14.25" customHeight="1">
      <c r="A554" s="1">
        <v>153818.0</v>
      </c>
      <c r="B554" s="1" t="s">
        <v>1312</v>
      </c>
      <c r="C554" s="2">
        <v>46013.7277777778</v>
      </c>
      <c r="D554" s="2"/>
      <c r="E554" s="2"/>
      <c r="F554" s="1" t="b">
        <v>1</v>
      </c>
      <c r="G554" s="4" t="b">
        <v>0</v>
      </c>
      <c r="H554" s="1" t="b">
        <v>0</v>
      </c>
      <c r="I554" s="1" t="b">
        <v>0</v>
      </c>
      <c r="J554" s="1" t="s">
        <v>534</v>
      </c>
      <c r="K554" s="1" t="s">
        <v>553</v>
      </c>
      <c r="L554" s="1" t="s">
        <v>599</v>
      </c>
      <c r="M554" s="1" t="s">
        <v>537</v>
      </c>
      <c r="N554" s="1">
        <v>0.0</v>
      </c>
      <c r="O554" s="1">
        <v>44.25</v>
      </c>
      <c r="P554" s="1">
        <v>0.0</v>
      </c>
      <c r="Q554" s="1">
        <v>0.0</v>
      </c>
      <c r="R554" s="1">
        <v>0.0</v>
      </c>
      <c r="S554" s="1" t="s">
        <v>538</v>
      </c>
      <c r="T554" s="1" t="s">
        <v>539</v>
      </c>
      <c r="V554" s="4">
        <v>7461684.0</v>
      </c>
      <c r="W554" s="4" t="s">
        <v>653</v>
      </c>
      <c r="X554" s="4">
        <v>0.0</v>
      </c>
      <c r="Y554" s="1">
        <v>1.0</v>
      </c>
      <c r="Z554" s="1">
        <v>0.0</v>
      </c>
      <c r="AA554" s="1">
        <v>0.0</v>
      </c>
      <c r="AB554" s="1">
        <v>0.0</v>
      </c>
      <c r="AC554" s="1">
        <v>0.0</v>
      </c>
      <c r="AD554" s="1">
        <v>0.0</v>
      </c>
      <c r="AE554" s="1">
        <v>0.0</v>
      </c>
      <c r="AF554" s="1">
        <v>0.0</v>
      </c>
      <c r="AG554" s="1">
        <v>0.0</v>
      </c>
      <c r="AH554" s="1">
        <v>0.0</v>
      </c>
      <c r="AI554" s="1">
        <v>0.0</v>
      </c>
      <c r="AJ554" s="1">
        <v>0.0</v>
      </c>
      <c r="AK554" s="1">
        <v>0.0</v>
      </c>
      <c r="AL554" s="1">
        <v>0.0</v>
      </c>
      <c r="AM554" s="4">
        <v>0.0</v>
      </c>
      <c r="AN554" s="1">
        <v>0.0</v>
      </c>
      <c r="AO554" s="4">
        <v>0.0</v>
      </c>
      <c r="AP554" s="1">
        <f t="shared" si="1"/>
        <v>0</v>
      </c>
      <c r="AU554" s="2"/>
      <c r="AV554" s="2">
        <v>46024.0375</v>
      </c>
      <c r="AW554" s="1">
        <v>0.0</v>
      </c>
      <c r="AX554" s="1">
        <v>0.0</v>
      </c>
      <c r="AY554" s="1">
        <v>0.0</v>
      </c>
      <c r="AZ554" s="1">
        <v>1.0</v>
      </c>
      <c r="BA554" s="1">
        <v>0.0</v>
      </c>
      <c r="BB554" s="1">
        <v>0.0</v>
      </c>
      <c r="BC554" s="2">
        <v>46013.0</v>
      </c>
      <c r="BD554" s="1">
        <v>51.0</v>
      </c>
      <c r="BE554" s="1" t="s">
        <v>550</v>
      </c>
      <c r="BF554" s="1">
        <v>2025.0</v>
      </c>
      <c r="BG554" s="1" t="s">
        <v>558</v>
      </c>
      <c r="BH554" s="7" t="str">
        <f>VLOOKUP(B554,CookieClicks!D:O,12,FALSE)</f>
        <v>https://www.method.me/crm-quickbooks/pricing/</v>
      </c>
      <c r="BI554" s="8" t="str">
        <f>IFERROR(__xludf.DUMMYFUNCTION("VLOOKUP(REGEXREPLACE(BH554,""[?].*"",""""),ContentBuckets!A:C,2,FALSE)"),"/crm-quickbooks/")</f>
        <v>/crm-quickbooks/</v>
      </c>
      <c r="BJ554" s="8" t="str">
        <f>IFERROR(__xludf.DUMMYFUNCTION("VLOOKUP(REGEXREPLACE(BH554,""[?].*"",""""),ContentBuckets!A:C,3,FALSE)"),"Other page")</f>
        <v>Other page</v>
      </c>
    </row>
    <row r="555" ht="14.25" customHeight="1">
      <c r="A555" s="1">
        <v>153819.0</v>
      </c>
      <c r="B555" s="1" t="s">
        <v>1313</v>
      </c>
      <c r="C555" s="2">
        <v>46013.7291666667</v>
      </c>
      <c r="D555" s="2"/>
      <c r="E555" s="2"/>
      <c r="F555" s="1" t="b">
        <v>1</v>
      </c>
      <c r="G555" s="4" t="b">
        <v>0</v>
      </c>
      <c r="H555" s="1" t="b">
        <v>0</v>
      </c>
      <c r="I555" s="1" t="b">
        <v>0</v>
      </c>
      <c r="J555" s="1" t="s">
        <v>534</v>
      </c>
      <c r="K555" s="1" t="s">
        <v>535</v>
      </c>
      <c r="L555" s="1" t="s">
        <v>536</v>
      </c>
      <c r="M555" s="1" t="s">
        <v>537</v>
      </c>
      <c r="N555" s="1">
        <v>0.0</v>
      </c>
      <c r="O555" s="1">
        <v>44.25</v>
      </c>
      <c r="P555" s="1">
        <v>0.0</v>
      </c>
      <c r="Q555" s="1">
        <v>0.0</v>
      </c>
      <c r="R555" s="1">
        <v>28.0</v>
      </c>
      <c r="S555" s="1" t="s">
        <v>538</v>
      </c>
      <c r="T555" s="1" t="s">
        <v>539</v>
      </c>
      <c r="V555" s="4">
        <v>7461671.0</v>
      </c>
      <c r="W555" s="4"/>
      <c r="X555" s="4">
        <v>0.0</v>
      </c>
      <c r="Y555" s="1">
        <v>0.0</v>
      </c>
      <c r="Z555" s="1">
        <v>0.0</v>
      </c>
      <c r="AA555" s="1">
        <v>1.0</v>
      </c>
      <c r="AB555" s="1">
        <v>0.0</v>
      </c>
      <c r="AC555" s="1">
        <v>0.0</v>
      </c>
      <c r="AD555" s="1">
        <v>0.0</v>
      </c>
      <c r="AE555" s="1">
        <v>0.0</v>
      </c>
      <c r="AF555" s="1">
        <v>0.0</v>
      </c>
      <c r="AG555" s="1">
        <v>0.0</v>
      </c>
      <c r="AH555" s="1">
        <v>0.0</v>
      </c>
      <c r="AI555" s="1">
        <v>0.0</v>
      </c>
      <c r="AJ555" s="1">
        <v>0.0</v>
      </c>
      <c r="AK555" s="1">
        <v>0.0</v>
      </c>
      <c r="AL555" s="1">
        <v>0.0</v>
      </c>
      <c r="AM555" s="4">
        <v>0.0</v>
      </c>
      <c r="AN555" s="1">
        <v>0.0</v>
      </c>
      <c r="AO555" s="4">
        <v>0.0</v>
      </c>
      <c r="AP555" s="1">
        <f t="shared" si="1"/>
        <v>0</v>
      </c>
      <c r="AQ555" s="1" t="s">
        <v>557</v>
      </c>
      <c r="AR555" s="1" t="s">
        <v>571</v>
      </c>
      <c r="AU555" s="2">
        <v>46013.0</v>
      </c>
      <c r="AV555" s="2">
        <v>46023.9979166667</v>
      </c>
      <c r="AW555" s="1">
        <v>0.0</v>
      </c>
      <c r="AX555" s="1">
        <v>640866.84</v>
      </c>
      <c r="AY555" s="1">
        <v>328.0</v>
      </c>
      <c r="AZ555" s="1">
        <v>1.0</v>
      </c>
      <c r="BA555" s="1">
        <v>0.0</v>
      </c>
      <c r="BB555" s="1">
        <v>0.0</v>
      </c>
      <c r="BC555" s="2">
        <v>46013.0</v>
      </c>
      <c r="BD555" s="1">
        <v>51.0</v>
      </c>
      <c r="BE555" s="1" t="s">
        <v>550</v>
      </c>
      <c r="BF555" s="1">
        <v>2025.0</v>
      </c>
      <c r="BG555" s="1" t="s">
        <v>558</v>
      </c>
      <c r="BH555" s="1" t="str">
        <f>VLOOKUP(B555,CookieClicks!D:O,12,FALSE)</f>
        <v>https://grow.method.me/method-proposals/?trc=81&amp;trk=does quickbooks have electronic signature&amp;trs=US-New-Proposal&amp;campaignid=19733246298&amp;adgroupid=156304156777&amp;adid=689695736138&amp;gad_source=1&amp;gad_campaignid=19733246298&amp;gbraid=0AAAAAD3Itnb3XSwC0u3WzNZkqiz6UscaR&amp;gclid=CjwKCAiA9aPKBhBhEiwAyz82J5HVyCKoLuxx96puO3zFRzgYIPJKEWqGu_wQP9Fhz7UAOy-n7lzYtRoCww4QAvD_BwE</v>
      </c>
      <c r="BI555" s="8" t="str">
        <f>IFERROR(__xludf.DUMMYFUNCTION("VLOOKUP(REGEXREPLACE(BH555,""[?].*"",""""),ContentBuckets!A:C,2,FALSE)"),"#N/A")</f>
        <v>#N/A</v>
      </c>
      <c r="BJ555" s="8" t="str">
        <f>IFERROR(__xludf.DUMMYFUNCTION("VLOOKUP(REGEXREPLACE(BH555,""[?].*"",""""),ContentBuckets!A:C,3,FALSE)"),"#N/A")</f>
        <v>#N/A</v>
      </c>
    </row>
    <row r="556" ht="14.25" customHeight="1">
      <c r="A556" s="1">
        <v>153820.0</v>
      </c>
      <c r="B556" s="1" t="s">
        <v>1314</v>
      </c>
      <c r="C556" s="2">
        <v>46013.7402777778</v>
      </c>
      <c r="D556" s="2"/>
      <c r="E556" s="2"/>
      <c r="F556" s="1" t="b">
        <v>1</v>
      </c>
      <c r="G556" s="4" t="b">
        <v>0</v>
      </c>
      <c r="H556" s="1" t="b">
        <v>0</v>
      </c>
      <c r="I556" s="1" t="b">
        <v>0</v>
      </c>
      <c r="J556" s="1" t="s">
        <v>534</v>
      </c>
      <c r="K556" s="1" t="s">
        <v>566</v>
      </c>
      <c r="L556" s="1" t="s">
        <v>567</v>
      </c>
      <c r="M556" s="1" t="s">
        <v>537</v>
      </c>
      <c r="N556" s="1">
        <v>0.0</v>
      </c>
      <c r="O556" s="1">
        <v>63.75</v>
      </c>
      <c r="P556" s="1">
        <v>0.0</v>
      </c>
      <c r="Q556" s="1">
        <v>0.0</v>
      </c>
      <c r="R556" s="1">
        <v>28.0</v>
      </c>
      <c r="S556" s="1" t="s">
        <v>538</v>
      </c>
      <c r="T556" s="1" t="s">
        <v>539</v>
      </c>
      <c r="V556" s="4">
        <v>7239387.0</v>
      </c>
      <c r="W556" s="4" t="s">
        <v>540</v>
      </c>
      <c r="X556" s="4">
        <v>0.0</v>
      </c>
      <c r="Y556" s="1">
        <v>1.0</v>
      </c>
      <c r="Z556" s="1">
        <v>0.0</v>
      </c>
      <c r="AA556" s="1">
        <v>0.0</v>
      </c>
      <c r="AB556" s="1">
        <v>0.0</v>
      </c>
      <c r="AC556" s="1">
        <v>0.0</v>
      </c>
      <c r="AD556" s="1">
        <v>0.0</v>
      </c>
      <c r="AE556" s="1">
        <v>0.0</v>
      </c>
      <c r="AF556" s="1">
        <v>0.0</v>
      </c>
      <c r="AG556" s="1">
        <v>0.0</v>
      </c>
      <c r="AH556" s="1">
        <v>0.0</v>
      </c>
      <c r="AI556" s="1">
        <v>0.0</v>
      </c>
      <c r="AJ556" s="1">
        <v>0.0</v>
      </c>
      <c r="AK556" s="1">
        <v>0.0</v>
      </c>
      <c r="AL556" s="1">
        <v>0.0</v>
      </c>
      <c r="AM556" s="4">
        <v>0.0</v>
      </c>
      <c r="AN556" s="1">
        <v>0.0</v>
      </c>
      <c r="AO556" s="4">
        <v>0.0</v>
      </c>
      <c r="AP556" s="1">
        <f t="shared" si="1"/>
        <v>0</v>
      </c>
      <c r="AR556" s="1" t="s">
        <v>560</v>
      </c>
      <c r="AU556" s="2"/>
      <c r="AV556" s="2">
        <v>46023.9819444444</v>
      </c>
      <c r="AW556" s="1">
        <v>0.0</v>
      </c>
      <c r="AX556" s="1">
        <v>0.0</v>
      </c>
      <c r="AY556" s="1">
        <v>0.0</v>
      </c>
      <c r="AZ556" s="1">
        <v>1.0</v>
      </c>
      <c r="BA556" s="1">
        <v>0.0</v>
      </c>
      <c r="BB556" s="1">
        <v>0.0</v>
      </c>
      <c r="BC556" s="2">
        <v>46013.0</v>
      </c>
      <c r="BD556" s="1">
        <v>51.0</v>
      </c>
      <c r="BE556" s="1" t="s">
        <v>550</v>
      </c>
      <c r="BF556" s="1">
        <v>2025.0</v>
      </c>
      <c r="BG556" s="1" t="s">
        <v>558</v>
      </c>
      <c r="BH556" s="7" t="str">
        <f>VLOOKUP(B556,CookieClicks!D:O,12,FALSE)</f>
        <v>https://www.method.me/</v>
      </c>
      <c r="BI556" s="8" t="str">
        <f>IFERROR(__xludf.DUMMYFUNCTION("VLOOKUP(REGEXREPLACE(BH556,""[?].*"",""""),ContentBuckets!A:C,2,FALSE)"),"Homepage")</f>
        <v>Homepage</v>
      </c>
      <c r="BJ556" s="8" t="str">
        <f>IFERROR(__xludf.DUMMYFUNCTION("VLOOKUP(REGEXREPLACE(BH556,""[?].*"",""""),ContentBuckets!A:C,3,FALSE)"),"Other page")</f>
        <v>Other page</v>
      </c>
    </row>
    <row r="557" ht="14.25" customHeight="1">
      <c r="A557" s="1">
        <v>153821.0</v>
      </c>
      <c r="B557" s="1" t="s">
        <v>1315</v>
      </c>
      <c r="C557" s="2">
        <v>46013.74375</v>
      </c>
      <c r="D557" s="2"/>
      <c r="E557" s="2"/>
      <c r="F557" s="1" t="b">
        <v>1</v>
      </c>
      <c r="G557" s="4" t="b">
        <v>0</v>
      </c>
      <c r="H557" s="1" t="b">
        <v>0</v>
      </c>
      <c r="I557" s="1" t="b">
        <v>0</v>
      </c>
      <c r="J557" s="1" t="s">
        <v>534</v>
      </c>
      <c r="K557" s="1" t="s">
        <v>553</v>
      </c>
      <c r="L557" s="1" t="s">
        <v>554</v>
      </c>
      <c r="M557" s="1" t="s">
        <v>537</v>
      </c>
      <c r="N557" s="1">
        <v>0.0</v>
      </c>
      <c r="O557" s="1">
        <v>44.25</v>
      </c>
      <c r="P557" s="1">
        <v>0.0</v>
      </c>
      <c r="Q557" s="1">
        <v>0.0</v>
      </c>
      <c r="R557" s="1">
        <v>0.0</v>
      </c>
      <c r="S557" s="1" t="s">
        <v>538</v>
      </c>
      <c r="T557" s="1" t="s">
        <v>539</v>
      </c>
      <c r="V557" s="4">
        <v>7462073.0</v>
      </c>
      <c r="W557" s="4"/>
      <c r="X557" s="4">
        <v>0.0</v>
      </c>
      <c r="Y557" s="1">
        <v>0.0</v>
      </c>
      <c r="Z557" s="1">
        <v>0.0</v>
      </c>
      <c r="AA557" s="1">
        <v>1.0</v>
      </c>
      <c r="AB557" s="1">
        <v>0.0</v>
      </c>
      <c r="AC557" s="1">
        <v>0.0</v>
      </c>
      <c r="AD557" s="1">
        <v>0.0</v>
      </c>
      <c r="AE557" s="1">
        <v>0.0</v>
      </c>
      <c r="AF557" s="1">
        <v>0.0</v>
      </c>
      <c r="AG557" s="1">
        <v>0.0</v>
      </c>
      <c r="AH557" s="1">
        <v>0.0</v>
      </c>
      <c r="AI557" s="1">
        <v>0.0</v>
      </c>
      <c r="AJ557" s="1">
        <v>0.0</v>
      </c>
      <c r="AK557" s="1">
        <v>0.0</v>
      </c>
      <c r="AL557" s="1">
        <v>0.0</v>
      </c>
      <c r="AM557" s="4">
        <v>0.0</v>
      </c>
      <c r="AN557" s="1">
        <v>0.0</v>
      </c>
      <c r="AO557" s="4">
        <v>0.0</v>
      </c>
      <c r="AP557" s="1">
        <f t="shared" si="1"/>
        <v>0</v>
      </c>
      <c r="AU557" s="2"/>
      <c r="AV557" s="2">
        <v>46023.9805555556</v>
      </c>
      <c r="AW557" s="1">
        <v>0.0</v>
      </c>
      <c r="AX557" s="1">
        <v>0.0</v>
      </c>
      <c r="AY557" s="1">
        <v>0.0</v>
      </c>
      <c r="AZ557" s="1">
        <v>1.0</v>
      </c>
      <c r="BA557" s="1">
        <v>0.0</v>
      </c>
      <c r="BB557" s="1">
        <v>0.0</v>
      </c>
      <c r="BC557" s="2">
        <v>46013.0</v>
      </c>
      <c r="BD557" s="1">
        <v>51.0</v>
      </c>
      <c r="BE557" s="1" t="s">
        <v>550</v>
      </c>
      <c r="BF557" s="1">
        <v>2025.0</v>
      </c>
      <c r="BG557" s="1" t="s">
        <v>546</v>
      </c>
      <c r="BH557" s="1" t="str">
        <f>VLOOKUP(B557,CookieClicks!D:O,12,FALSE)</f>
        <v>https://grow.method.me/request-demo/?adgroupid=61438895200&amp;adid=423725469350&amp;campaignid=1543604353&amp;gad_campaignid=1543604353&amp;gad_source=1&amp;gclid=CjwKCAiA9aPKBhBhEiwAyz82J-nhaNjh2JyFMZHP_7S4DqWptrNKiNvvmv9pAtbPBacjsp4pzwi0dhoCIbQQAvD_BwE&amp;trc=81&amp;trk=crm quickbooks online&amp;trs=CA_QBO_sitelink</v>
      </c>
      <c r="BI557" s="8" t="str">
        <f>IFERROR(__xludf.DUMMYFUNCTION("VLOOKUP(REGEXREPLACE(BH557,""[?].*"",""""),ContentBuckets!A:C,2,FALSE)"),"#N/A")</f>
        <v>#N/A</v>
      </c>
      <c r="BJ557" s="8" t="str">
        <f>IFERROR(__xludf.DUMMYFUNCTION("VLOOKUP(REGEXREPLACE(BH557,""[?].*"",""""),ContentBuckets!A:C,3,FALSE)"),"#N/A")</f>
        <v>#N/A</v>
      </c>
    </row>
    <row r="558" ht="14.25" customHeight="1">
      <c r="A558" s="1">
        <v>153822.0</v>
      </c>
      <c r="B558" s="1" t="s">
        <v>1316</v>
      </c>
      <c r="C558" s="2">
        <v>46013.8020833333</v>
      </c>
      <c r="D558" s="2"/>
      <c r="E558" s="2"/>
      <c r="F558" s="1" t="b">
        <v>1</v>
      </c>
      <c r="G558" s="4" t="b">
        <v>0</v>
      </c>
      <c r="H558" s="1" t="b">
        <v>0</v>
      </c>
      <c r="I558" s="1" t="b">
        <v>0</v>
      </c>
      <c r="J558" s="1" t="s">
        <v>534</v>
      </c>
      <c r="K558" s="1" t="s">
        <v>553</v>
      </c>
      <c r="L558" s="1" t="s">
        <v>554</v>
      </c>
      <c r="M558" s="1" t="s">
        <v>537</v>
      </c>
      <c r="N558" s="1">
        <v>0.0</v>
      </c>
      <c r="O558" s="1">
        <v>44.25</v>
      </c>
      <c r="P558" s="1">
        <v>0.0</v>
      </c>
      <c r="Q558" s="1">
        <v>0.0</v>
      </c>
      <c r="R558" s="1">
        <v>0.0</v>
      </c>
      <c r="S558" s="1" t="s">
        <v>538</v>
      </c>
      <c r="T558" s="1" t="s">
        <v>539</v>
      </c>
      <c r="V558" s="4">
        <v>7463015.0</v>
      </c>
      <c r="W558" s="4"/>
      <c r="X558" s="4">
        <v>0.0</v>
      </c>
      <c r="Y558" s="1">
        <v>0.0</v>
      </c>
      <c r="Z558" s="1">
        <v>0.0</v>
      </c>
      <c r="AA558" s="1">
        <v>1.0</v>
      </c>
      <c r="AB558" s="1">
        <v>0.0</v>
      </c>
      <c r="AC558" s="1">
        <v>0.0</v>
      </c>
      <c r="AD558" s="1">
        <v>0.0</v>
      </c>
      <c r="AE558" s="1">
        <v>0.0</v>
      </c>
      <c r="AF558" s="1">
        <v>0.0</v>
      </c>
      <c r="AG558" s="1">
        <v>0.0</v>
      </c>
      <c r="AH558" s="1">
        <v>0.0</v>
      </c>
      <c r="AI558" s="1">
        <v>0.0</v>
      </c>
      <c r="AJ558" s="1">
        <v>0.0</v>
      </c>
      <c r="AK558" s="1">
        <v>0.0</v>
      </c>
      <c r="AL558" s="1">
        <v>0.0</v>
      </c>
      <c r="AM558" s="4">
        <v>0.0</v>
      </c>
      <c r="AN558" s="1">
        <v>0.0</v>
      </c>
      <c r="AO558" s="4">
        <v>0.0</v>
      </c>
      <c r="AP558" s="1">
        <f t="shared" si="1"/>
        <v>0</v>
      </c>
      <c r="AU558" s="2"/>
      <c r="AV558" s="2">
        <v>46024.0333333333</v>
      </c>
      <c r="AW558" s="1">
        <v>0.0</v>
      </c>
      <c r="AX558" s="1">
        <v>0.0</v>
      </c>
      <c r="AY558" s="1">
        <v>0.0</v>
      </c>
      <c r="AZ558" s="1">
        <v>1.0</v>
      </c>
      <c r="BA558" s="1">
        <v>0.0</v>
      </c>
      <c r="BB558" s="1">
        <v>0.0</v>
      </c>
      <c r="BC558" s="2">
        <v>46013.0</v>
      </c>
      <c r="BD558" s="1">
        <v>51.0</v>
      </c>
      <c r="BE558" s="1" t="s">
        <v>550</v>
      </c>
      <c r="BF558" s="1">
        <v>2025.0</v>
      </c>
      <c r="BG558" s="1" t="s">
        <v>558</v>
      </c>
      <c r="BH558" s="1" t="str">
        <f>VLOOKUP(B558,CookieClicks!D:O,12,FALSE)</f>
        <v>https://grow.method.me/feature-estimate/?trc=81&amp;trk=how do estimates work in quickbooks&amp;trs=US-QBEstimates&amp;campaignid=19733246298&amp;adgroupid=160184660571&amp;adid=676701373566&amp;gad_source=1&amp;gad_campaignid=19733246298&amp;gbraid=0AAAAAD3ItnYV7w2DczF_LOXQAfAbUUdSZ&amp;gclid=EAIaIQobChMI856skbbSkQMVWcrCBB2SsSttEAAYASAAEgK4TfD_BwE</v>
      </c>
      <c r="BI558" s="8" t="str">
        <f>IFERROR(__xludf.DUMMYFUNCTION("VLOOKUP(REGEXREPLACE(BH558,""[?].*"",""""),ContentBuckets!A:C,2,FALSE)"),"#N/A")</f>
        <v>#N/A</v>
      </c>
      <c r="BJ558" s="8" t="str">
        <f>IFERROR(__xludf.DUMMYFUNCTION("VLOOKUP(REGEXREPLACE(BH558,""[?].*"",""""),ContentBuckets!A:C,3,FALSE)"),"#N/A")</f>
        <v>#N/A</v>
      </c>
    </row>
    <row r="559" ht="14.25" customHeight="1">
      <c r="A559" s="1">
        <v>153823.0</v>
      </c>
      <c r="B559" s="1" t="s">
        <v>1317</v>
      </c>
      <c r="C559" s="2">
        <v>46013.86875</v>
      </c>
      <c r="D559" s="2"/>
      <c r="E559" s="2">
        <v>46015.3902777778</v>
      </c>
      <c r="F559" s="1" t="b">
        <v>1</v>
      </c>
      <c r="G559" s="4" t="b">
        <v>0</v>
      </c>
      <c r="H559" s="1" t="b">
        <v>0</v>
      </c>
      <c r="I559" s="1" t="b">
        <v>0</v>
      </c>
      <c r="J559" s="1" t="s">
        <v>534</v>
      </c>
      <c r="K559" s="1" t="s">
        <v>535</v>
      </c>
      <c r="L559" s="1" t="s">
        <v>536</v>
      </c>
      <c r="M559" s="1" t="s">
        <v>537</v>
      </c>
      <c r="N559" s="1">
        <v>0.0</v>
      </c>
      <c r="O559" s="1">
        <v>88.5</v>
      </c>
      <c r="P559" s="1">
        <v>0.0</v>
      </c>
      <c r="Q559" s="1">
        <v>0.0</v>
      </c>
      <c r="R559" s="1">
        <v>0.0</v>
      </c>
      <c r="S559" s="1" t="s">
        <v>538</v>
      </c>
      <c r="T559" s="1" t="s">
        <v>539</v>
      </c>
      <c r="V559" s="4">
        <v>7463459.0</v>
      </c>
      <c r="W559" s="4"/>
      <c r="X559" s="4">
        <v>0.0</v>
      </c>
      <c r="Y559" s="1">
        <v>0.0</v>
      </c>
      <c r="Z559" s="1">
        <v>1.0</v>
      </c>
      <c r="AA559" s="1">
        <v>0.0</v>
      </c>
      <c r="AB559" s="1">
        <v>0.0</v>
      </c>
      <c r="AC559" s="1">
        <v>0.0</v>
      </c>
      <c r="AD559" s="1">
        <v>0.0</v>
      </c>
      <c r="AE559" s="1">
        <v>0.0</v>
      </c>
      <c r="AF559" s="1">
        <v>0.0</v>
      </c>
      <c r="AG559" s="1">
        <v>0.0</v>
      </c>
      <c r="AH559" s="1">
        <v>0.0</v>
      </c>
      <c r="AI559" s="1">
        <v>0.0</v>
      </c>
      <c r="AJ559" s="1">
        <v>0.0</v>
      </c>
      <c r="AK559" s="1">
        <v>0.0</v>
      </c>
      <c r="AL559" s="1">
        <v>0.0</v>
      </c>
      <c r="AM559" s="4">
        <v>0.0</v>
      </c>
      <c r="AN559" s="1">
        <v>0.0</v>
      </c>
      <c r="AO559" s="4">
        <v>0.0</v>
      </c>
      <c r="AP559" s="1">
        <f t="shared" si="1"/>
        <v>0</v>
      </c>
      <c r="AQ559" s="1" t="s">
        <v>541</v>
      </c>
      <c r="AT559" s="1" t="s">
        <v>780</v>
      </c>
      <c r="AU559" s="2">
        <v>46013.0</v>
      </c>
      <c r="AV559" s="2">
        <v>46023.9888888889</v>
      </c>
      <c r="AW559" s="1">
        <v>4.0</v>
      </c>
      <c r="AX559" s="1">
        <v>129608.16</v>
      </c>
      <c r="AY559" s="1">
        <v>726.0</v>
      </c>
      <c r="AZ559" s="1">
        <v>2.0</v>
      </c>
      <c r="BA559" s="1">
        <v>0.0</v>
      </c>
      <c r="BB559" s="1">
        <v>2.0</v>
      </c>
      <c r="BC559" s="2">
        <v>46013.0</v>
      </c>
      <c r="BD559" s="1">
        <v>51.0</v>
      </c>
      <c r="BE559" s="1" t="s">
        <v>550</v>
      </c>
      <c r="BF559" s="1">
        <v>2025.0</v>
      </c>
      <c r="BG559" s="1" t="s">
        <v>546</v>
      </c>
      <c r="BH559" s="7" t="str">
        <f>VLOOKUP(B559,CookieClicks!D:O,12,FALSE)</f>
        <v>https://signup.method.me/QBOAppstoreSignup?offering=methodcrm</v>
      </c>
      <c r="BI559" s="8" t="str">
        <f>IFERROR(__xludf.DUMMYFUNCTION("VLOOKUP(REGEXREPLACE(BH559,""[?].*"",""""),ContentBuckets!A:C,2,FALSE)"),"#N/A")</f>
        <v>#N/A</v>
      </c>
      <c r="BJ559" s="8" t="str">
        <f>IFERROR(__xludf.DUMMYFUNCTION("VLOOKUP(REGEXREPLACE(BH559,""[?].*"",""""),ContentBuckets!A:C,3,FALSE)"),"#N/A")</f>
        <v>#N/A</v>
      </c>
    </row>
    <row r="560" ht="14.25" customHeight="1">
      <c r="A560" s="1">
        <v>153824.0</v>
      </c>
      <c r="B560" s="1" t="s">
        <v>1318</v>
      </c>
      <c r="C560" s="2">
        <v>46013.9666666667</v>
      </c>
      <c r="D560" s="2"/>
      <c r="E560" s="2"/>
      <c r="F560" s="1" t="b">
        <v>1</v>
      </c>
      <c r="G560" s="4" t="b">
        <v>0</v>
      </c>
      <c r="H560" s="1" t="b">
        <v>0</v>
      </c>
      <c r="I560" s="1" t="b">
        <v>0</v>
      </c>
      <c r="J560" s="1" t="s">
        <v>534</v>
      </c>
      <c r="K560" s="1" t="s">
        <v>703</v>
      </c>
      <c r="L560" s="1" t="s">
        <v>536</v>
      </c>
      <c r="M560" s="1" t="s">
        <v>537</v>
      </c>
      <c r="N560" s="1">
        <v>0.0</v>
      </c>
      <c r="O560" s="1">
        <v>53.25</v>
      </c>
      <c r="P560" s="1">
        <v>0.0</v>
      </c>
      <c r="Q560" s="1">
        <v>0.0</v>
      </c>
      <c r="R560" s="1">
        <v>28.0</v>
      </c>
      <c r="S560" s="1" t="s">
        <v>538</v>
      </c>
      <c r="T560" s="1" t="s">
        <v>539</v>
      </c>
      <c r="V560" s="4">
        <v>7464033.0</v>
      </c>
      <c r="W560" s="4" t="s">
        <v>540</v>
      </c>
      <c r="X560" s="4">
        <v>0.0</v>
      </c>
      <c r="Y560" s="1">
        <v>1.0</v>
      </c>
      <c r="Z560" s="1">
        <v>0.0</v>
      </c>
      <c r="AA560" s="1">
        <v>0.0</v>
      </c>
      <c r="AB560" s="1">
        <v>0.0</v>
      </c>
      <c r="AC560" s="1">
        <v>0.0</v>
      </c>
      <c r="AD560" s="1">
        <v>0.0</v>
      </c>
      <c r="AE560" s="1">
        <v>0.0</v>
      </c>
      <c r="AF560" s="1">
        <v>0.0</v>
      </c>
      <c r="AG560" s="1">
        <v>0.0</v>
      </c>
      <c r="AH560" s="1">
        <v>0.0</v>
      </c>
      <c r="AI560" s="1">
        <v>0.0</v>
      </c>
      <c r="AJ560" s="1">
        <v>0.0</v>
      </c>
      <c r="AK560" s="1">
        <v>0.0</v>
      </c>
      <c r="AL560" s="1">
        <v>0.0</v>
      </c>
      <c r="AM560" s="4">
        <v>0.0</v>
      </c>
      <c r="AN560" s="1">
        <v>0.0</v>
      </c>
      <c r="AO560" s="4">
        <v>0.0</v>
      </c>
      <c r="AP560" s="1">
        <f t="shared" si="1"/>
        <v>0</v>
      </c>
      <c r="AQ560" s="1" t="s">
        <v>557</v>
      </c>
      <c r="AR560" s="1" t="s">
        <v>578</v>
      </c>
      <c r="AU560" s="2"/>
      <c r="AV560" s="2">
        <v>46024.04375</v>
      </c>
      <c r="AW560" s="1">
        <v>0.0</v>
      </c>
      <c r="AX560" s="1">
        <v>0.0</v>
      </c>
      <c r="AY560" s="1">
        <v>0.0</v>
      </c>
      <c r="AZ560" s="1">
        <v>1.0</v>
      </c>
      <c r="BA560" s="1">
        <v>0.0</v>
      </c>
      <c r="BB560" s="1">
        <v>0.0</v>
      </c>
      <c r="BC560" s="2">
        <v>46013.0</v>
      </c>
      <c r="BD560" s="1">
        <v>51.0</v>
      </c>
      <c r="BE560" s="1" t="s">
        <v>550</v>
      </c>
      <c r="BF560" s="1">
        <v>2025.0</v>
      </c>
      <c r="BG560" s="1" t="s">
        <v>558</v>
      </c>
      <c r="BH560" s="7" t="str">
        <f>VLOOKUP(B560,CookieClicks!D:O,12,FALSE)</f>
        <v>https://www.method.me/blog/start-a-cleaning-business-with-no-money/</v>
      </c>
      <c r="BI560" s="8" t="str">
        <f>IFERROR(__xludf.DUMMYFUNCTION("VLOOKUP(REGEXREPLACE(BH560,""[?].*"",""""),ContentBuckets!A:C,2,FALSE)"),"General how-to")</f>
        <v>General how-to</v>
      </c>
      <c r="BJ560" s="8" t="str">
        <f>IFERROR(__xludf.DUMMYFUNCTION("VLOOKUP(REGEXREPLACE(BH560,""[?].*"",""""),ContentBuckets!A:C,3,FALSE)"),"Blog")</f>
        <v>Blog</v>
      </c>
    </row>
    <row r="561" ht="14.25" customHeight="1">
      <c r="A561" s="1">
        <v>153825.0</v>
      </c>
      <c r="B561" s="1" t="s">
        <v>1319</v>
      </c>
      <c r="C561" s="2">
        <v>46014.0118055556</v>
      </c>
      <c r="D561" s="2"/>
      <c r="E561" s="2"/>
      <c r="F561" s="1" t="b">
        <v>1</v>
      </c>
      <c r="G561" s="4" t="b">
        <v>0</v>
      </c>
      <c r="H561" s="1" t="b">
        <v>0</v>
      </c>
      <c r="I561" s="1" t="b">
        <v>0</v>
      </c>
      <c r="J561" s="1" t="s">
        <v>534</v>
      </c>
      <c r="K561" s="1" t="s">
        <v>535</v>
      </c>
      <c r="L561" s="1" t="s">
        <v>536</v>
      </c>
      <c r="M561" s="1" t="s">
        <v>537</v>
      </c>
      <c r="N561" s="1">
        <v>0.0</v>
      </c>
      <c r="O561" s="1">
        <v>44.25</v>
      </c>
      <c r="P561" s="1">
        <v>0.0</v>
      </c>
      <c r="Q561" s="1">
        <v>0.0</v>
      </c>
      <c r="R561" s="1">
        <v>28.0</v>
      </c>
      <c r="S561" s="1" t="s">
        <v>538</v>
      </c>
      <c r="T561" s="1" t="s">
        <v>539</v>
      </c>
      <c r="V561" s="4">
        <v>7464452.0</v>
      </c>
      <c r="W561" s="4"/>
      <c r="X561" s="4">
        <v>0.0</v>
      </c>
      <c r="Y561" s="1">
        <v>0.0</v>
      </c>
      <c r="Z561" s="1">
        <v>0.0</v>
      </c>
      <c r="AA561" s="1">
        <v>1.0</v>
      </c>
      <c r="AB561" s="1">
        <v>0.0</v>
      </c>
      <c r="AC561" s="1">
        <v>0.0</v>
      </c>
      <c r="AD561" s="1">
        <v>0.0</v>
      </c>
      <c r="AE561" s="1">
        <v>0.0</v>
      </c>
      <c r="AF561" s="1">
        <v>0.0</v>
      </c>
      <c r="AG561" s="1">
        <v>0.0</v>
      </c>
      <c r="AH561" s="1">
        <v>0.0</v>
      </c>
      <c r="AI561" s="1">
        <v>0.0</v>
      </c>
      <c r="AJ561" s="1">
        <v>0.0</v>
      </c>
      <c r="AK561" s="1">
        <v>0.0</v>
      </c>
      <c r="AL561" s="1">
        <v>0.0</v>
      </c>
      <c r="AM561" s="4">
        <v>0.0</v>
      </c>
      <c r="AN561" s="1">
        <v>0.0</v>
      </c>
      <c r="AO561" s="4">
        <v>0.0</v>
      </c>
      <c r="AP561" s="1">
        <f t="shared" si="1"/>
        <v>0</v>
      </c>
      <c r="AQ561" s="1" t="s">
        <v>557</v>
      </c>
      <c r="AR561" s="1" t="s">
        <v>608</v>
      </c>
      <c r="AT561" s="1" t="s">
        <v>1320</v>
      </c>
      <c r="AU561" s="2">
        <v>46014.0</v>
      </c>
      <c r="AV561" s="2">
        <v>46024.0201388889</v>
      </c>
      <c r="AW561" s="1">
        <v>0.0</v>
      </c>
      <c r="AX561" s="1">
        <v>6000.0</v>
      </c>
      <c r="AY561" s="1">
        <v>6.0</v>
      </c>
      <c r="AZ561" s="1">
        <v>1.0</v>
      </c>
      <c r="BA561" s="1">
        <v>0.0</v>
      </c>
      <c r="BB561" s="1">
        <v>0.0</v>
      </c>
      <c r="BC561" s="2">
        <v>46014.0</v>
      </c>
      <c r="BD561" s="1">
        <v>51.0</v>
      </c>
      <c r="BE561" s="1" t="s">
        <v>550</v>
      </c>
      <c r="BF561" s="1">
        <v>2025.0</v>
      </c>
      <c r="BG561" s="1" t="s">
        <v>558</v>
      </c>
      <c r="BH561" s="1" t="str">
        <f>VLOOKUP(B561,CookieClicks!D:O,12,FALSE)</f>
        <v>https://grow.method.me/crm-quickbooks/?trc=86&amp;trk=crm that integrates with quickbooks&amp;trs=US-Bing-QB&amp;msclkid=e46d84c3731b16cb6457ed895781495a&amp;utm_source=bing&amp;utm_medium=cpc&amp;utm_campaign=US - Bing QB Broad&amp;utm_term=crm that integrates with quickbooks&amp;utm_content=Ad Group 1</v>
      </c>
      <c r="BI561" s="8" t="str">
        <f>IFERROR(__xludf.DUMMYFUNCTION("VLOOKUP(REGEXREPLACE(BH561,""[?].*"",""""),ContentBuckets!A:C,2,FALSE)"),"#N/A")</f>
        <v>#N/A</v>
      </c>
      <c r="BJ561" s="8" t="str">
        <f>IFERROR(__xludf.DUMMYFUNCTION("VLOOKUP(REGEXREPLACE(BH561,""[?].*"",""""),ContentBuckets!A:C,3,FALSE)"),"#N/A")</f>
        <v>#N/A</v>
      </c>
    </row>
    <row r="562" ht="14.25" customHeight="1">
      <c r="A562" s="1">
        <v>153826.0</v>
      </c>
      <c r="B562" s="1" t="s">
        <v>1321</v>
      </c>
      <c r="C562" s="2">
        <v>46014.0493055556</v>
      </c>
      <c r="D562" s="2"/>
      <c r="E562" s="2"/>
      <c r="F562" s="1" t="b">
        <v>1</v>
      </c>
      <c r="G562" s="4" t="b">
        <v>0</v>
      </c>
      <c r="H562" s="1" t="b">
        <v>0</v>
      </c>
      <c r="I562" s="1" t="b">
        <v>0</v>
      </c>
      <c r="J562" s="1" t="s">
        <v>534</v>
      </c>
      <c r="K562" s="1" t="s">
        <v>535</v>
      </c>
      <c r="L562" s="1" t="s">
        <v>536</v>
      </c>
      <c r="M562" s="1" t="s">
        <v>537</v>
      </c>
      <c r="N562" s="1">
        <v>0.0</v>
      </c>
      <c r="O562" s="1">
        <v>44.25</v>
      </c>
      <c r="P562" s="1">
        <v>0.0</v>
      </c>
      <c r="Q562" s="1">
        <v>0.0</v>
      </c>
      <c r="R562" s="1">
        <v>0.0</v>
      </c>
      <c r="S562" s="1" t="s">
        <v>538</v>
      </c>
      <c r="T562" s="1" t="s">
        <v>539</v>
      </c>
      <c r="V562" s="4">
        <v>7464685.0</v>
      </c>
      <c r="W562" s="4"/>
      <c r="X562" s="4">
        <v>0.0</v>
      </c>
      <c r="Y562" s="1">
        <v>0.0</v>
      </c>
      <c r="Z562" s="1">
        <v>0.0</v>
      </c>
      <c r="AA562" s="1">
        <v>1.0</v>
      </c>
      <c r="AB562" s="1">
        <v>0.0</v>
      </c>
      <c r="AC562" s="1">
        <v>0.0</v>
      </c>
      <c r="AD562" s="1">
        <v>0.0</v>
      </c>
      <c r="AE562" s="1">
        <v>0.0</v>
      </c>
      <c r="AF562" s="1">
        <v>0.0</v>
      </c>
      <c r="AG562" s="1">
        <v>0.0</v>
      </c>
      <c r="AH562" s="1">
        <v>0.0</v>
      </c>
      <c r="AI562" s="1">
        <v>0.0</v>
      </c>
      <c r="AJ562" s="1">
        <v>0.0</v>
      </c>
      <c r="AK562" s="1">
        <v>0.0</v>
      </c>
      <c r="AL562" s="1">
        <v>0.0</v>
      </c>
      <c r="AM562" s="4">
        <v>0.0</v>
      </c>
      <c r="AN562" s="1">
        <v>0.0</v>
      </c>
      <c r="AO562" s="4">
        <v>0.0</v>
      </c>
      <c r="AP562" s="1">
        <f t="shared" si="1"/>
        <v>0</v>
      </c>
      <c r="AT562" s="1" t="s">
        <v>689</v>
      </c>
      <c r="AU562" s="2">
        <v>46014.0</v>
      </c>
      <c r="AV562" s="2">
        <v>46024.0423611111</v>
      </c>
      <c r="AW562" s="1">
        <v>0.0</v>
      </c>
      <c r="AX562" s="1">
        <v>78012.0</v>
      </c>
      <c r="AY562" s="1">
        <v>11.0</v>
      </c>
      <c r="AZ562" s="1">
        <v>1.0</v>
      </c>
      <c r="BA562" s="1">
        <v>0.0</v>
      </c>
      <c r="BB562" s="1">
        <v>0.0</v>
      </c>
      <c r="BC562" s="2">
        <v>46014.0</v>
      </c>
      <c r="BD562" s="1">
        <v>51.0</v>
      </c>
      <c r="BE562" s="1" t="s">
        <v>550</v>
      </c>
      <c r="BF562" s="1">
        <v>2025.0</v>
      </c>
      <c r="BG562" s="1" t="s">
        <v>558</v>
      </c>
      <c r="BH562" s="1" t="str">
        <f>VLOOKUP(B562,CookieClicks!D:O,12,FALSE)</f>
        <v>https://grow.method.me/qb-payment/?trc=81&amp;trk=quickbooks online payment&amp;trs=US-payment&amp;campaignid=19733246298&amp;adgroupid=146278163933&amp;adid=649435146420&amp;gad_source=1&amp;gad_campaignid=19733246298&amp;gbraid=0AAAAAD3ItnYV7w2DczF_LOXQAfAbUUdSZ&amp;gclid=CjwKCAiA9aPKBhBhEiwAyz82J-FIrIpECxWdrT6RKe099iHx8hHNoLik6-gHgMZKjPGPRtBmBXXGTRoC3nIQAvD_BwE</v>
      </c>
      <c r="BI562" s="8" t="str">
        <f>IFERROR(__xludf.DUMMYFUNCTION("VLOOKUP(REGEXREPLACE(BH562,""[?].*"",""""),ContentBuckets!A:C,2,FALSE)"),"#N/A")</f>
        <v>#N/A</v>
      </c>
      <c r="BJ562" s="8" t="str">
        <f>IFERROR(__xludf.DUMMYFUNCTION("VLOOKUP(REGEXREPLACE(BH562,""[?].*"",""""),ContentBuckets!A:C,3,FALSE)"),"#N/A")</f>
        <v>#N/A</v>
      </c>
    </row>
    <row r="563" ht="14.25" customHeight="1">
      <c r="A563" s="1">
        <v>153827.0</v>
      </c>
      <c r="B563" s="1" t="s">
        <v>1322</v>
      </c>
      <c r="C563" s="2">
        <v>46014.05</v>
      </c>
      <c r="D563" s="2"/>
      <c r="E563" s="2"/>
      <c r="F563" s="1" t="b">
        <v>1</v>
      </c>
      <c r="G563" s="4" t="b">
        <v>0</v>
      </c>
      <c r="H563" s="1" t="b">
        <v>0</v>
      </c>
      <c r="I563" s="1" t="b">
        <v>0</v>
      </c>
      <c r="J563" s="1" t="s">
        <v>534</v>
      </c>
      <c r="K563" s="1" t="s">
        <v>535</v>
      </c>
      <c r="L563" s="1" t="s">
        <v>536</v>
      </c>
      <c r="M563" s="1" t="s">
        <v>537</v>
      </c>
      <c r="N563" s="1">
        <v>0.0</v>
      </c>
      <c r="O563" s="1">
        <v>54.75</v>
      </c>
      <c r="P563" s="1">
        <v>0.0</v>
      </c>
      <c r="Q563" s="1">
        <v>0.0</v>
      </c>
      <c r="R563" s="1">
        <v>0.0</v>
      </c>
      <c r="S563" s="1" t="s">
        <v>538</v>
      </c>
      <c r="T563" s="1" t="s">
        <v>539</v>
      </c>
      <c r="V563" s="4">
        <v>7464714.0</v>
      </c>
      <c r="W563" s="4"/>
      <c r="X563" s="4">
        <v>0.0</v>
      </c>
      <c r="Y563" s="1">
        <v>0.0</v>
      </c>
      <c r="Z563" s="1">
        <v>1.0</v>
      </c>
      <c r="AA563" s="1">
        <v>0.0</v>
      </c>
      <c r="AB563" s="1">
        <v>0.0</v>
      </c>
      <c r="AC563" s="1">
        <v>0.0</v>
      </c>
      <c r="AD563" s="1">
        <v>0.0</v>
      </c>
      <c r="AE563" s="1">
        <v>0.0</v>
      </c>
      <c r="AF563" s="1">
        <v>0.0</v>
      </c>
      <c r="AG563" s="1">
        <v>0.0</v>
      </c>
      <c r="AH563" s="1">
        <v>0.0</v>
      </c>
      <c r="AI563" s="1">
        <v>0.0</v>
      </c>
      <c r="AJ563" s="1">
        <v>0.0</v>
      </c>
      <c r="AK563" s="1">
        <v>0.0</v>
      </c>
      <c r="AL563" s="1">
        <v>0.0</v>
      </c>
      <c r="AM563" s="4">
        <v>0.0</v>
      </c>
      <c r="AN563" s="1">
        <v>0.0</v>
      </c>
      <c r="AO563" s="4">
        <v>0.0</v>
      </c>
      <c r="AP563" s="1">
        <f t="shared" si="1"/>
        <v>0</v>
      </c>
      <c r="AQ563" s="1" t="s">
        <v>557</v>
      </c>
      <c r="AT563" s="1" t="s">
        <v>1215</v>
      </c>
      <c r="AU563" s="2">
        <v>46014.0</v>
      </c>
      <c r="AV563" s="2">
        <v>46024.0395833333</v>
      </c>
      <c r="AW563" s="1">
        <v>2.0</v>
      </c>
      <c r="AX563" s="1">
        <v>222256.2</v>
      </c>
      <c r="AY563" s="1">
        <v>78.0</v>
      </c>
      <c r="AZ563" s="1">
        <v>1.0</v>
      </c>
      <c r="BA563" s="1">
        <v>0.0</v>
      </c>
      <c r="BB563" s="1">
        <v>4.0</v>
      </c>
      <c r="BC563" s="2">
        <v>46014.0</v>
      </c>
      <c r="BD563" s="1">
        <v>51.0</v>
      </c>
      <c r="BE563" s="1" t="s">
        <v>550</v>
      </c>
      <c r="BF563" s="1">
        <v>2025.0</v>
      </c>
      <c r="BG563" s="1" t="s">
        <v>558</v>
      </c>
      <c r="BH563" s="7" t="str">
        <f>VLOOKUP(B563,CookieClicks!D:O,12,FALSE)</f>
        <v>https://signup.method.me/QBOAppstoreSignup?offering=methodcrm</v>
      </c>
      <c r="BI563" s="8" t="str">
        <f>IFERROR(__xludf.DUMMYFUNCTION("VLOOKUP(REGEXREPLACE(BH563,""[?].*"",""""),ContentBuckets!A:C,2,FALSE)"),"#N/A")</f>
        <v>#N/A</v>
      </c>
      <c r="BJ563" s="8" t="str">
        <f>IFERROR(__xludf.DUMMYFUNCTION("VLOOKUP(REGEXREPLACE(BH563,""[?].*"",""""),ContentBuckets!A:C,3,FALSE)"),"#N/A")</f>
        <v>#N/A</v>
      </c>
    </row>
    <row r="564" ht="14.25" customHeight="1">
      <c r="A564" s="1">
        <v>153828.0</v>
      </c>
      <c r="B564" s="1" t="s">
        <v>1323</v>
      </c>
      <c r="C564" s="2">
        <v>46014.2402777778</v>
      </c>
      <c r="D564" s="2"/>
      <c r="E564" s="2"/>
      <c r="F564" s="1" t="b">
        <v>1</v>
      </c>
      <c r="G564" s="4" t="b">
        <v>0</v>
      </c>
      <c r="H564" s="1" t="b">
        <v>0</v>
      </c>
      <c r="I564" s="1" t="b">
        <v>0</v>
      </c>
      <c r="J564" s="1" t="s">
        <v>534</v>
      </c>
      <c r="K564" s="1" t="s">
        <v>622</v>
      </c>
      <c r="L564" s="1" t="s">
        <v>623</v>
      </c>
      <c r="M564" s="1" t="s">
        <v>537</v>
      </c>
      <c r="N564" s="1">
        <v>0.0</v>
      </c>
      <c r="O564" s="1">
        <v>44.25</v>
      </c>
      <c r="P564" s="1">
        <v>0.0</v>
      </c>
      <c r="Q564" s="1">
        <v>0.0</v>
      </c>
      <c r="R564" s="1">
        <v>0.0</v>
      </c>
      <c r="S564" s="1" t="s">
        <v>538</v>
      </c>
      <c r="T564" s="1" t="s">
        <v>539</v>
      </c>
      <c r="V564" s="4">
        <v>7466069.0</v>
      </c>
      <c r="W564" s="4" t="s">
        <v>540</v>
      </c>
      <c r="X564" s="4">
        <v>0.0</v>
      </c>
      <c r="Y564" s="1">
        <v>1.0</v>
      </c>
      <c r="Z564" s="1">
        <v>0.0</v>
      </c>
      <c r="AA564" s="1">
        <v>0.0</v>
      </c>
      <c r="AB564" s="1">
        <v>0.0</v>
      </c>
      <c r="AC564" s="1">
        <v>0.0</v>
      </c>
      <c r="AD564" s="1">
        <v>0.0</v>
      </c>
      <c r="AE564" s="1">
        <v>0.0</v>
      </c>
      <c r="AF564" s="1">
        <v>0.0</v>
      </c>
      <c r="AG564" s="1">
        <v>0.0</v>
      </c>
      <c r="AH564" s="1">
        <v>0.0</v>
      </c>
      <c r="AI564" s="1">
        <v>0.0</v>
      </c>
      <c r="AJ564" s="1">
        <v>0.0</v>
      </c>
      <c r="AK564" s="1">
        <v>0.0</v>
      </c>
      <c r="AL564" s="1">
        <v>0.0</v>
      </c>
      <c r="AM564" s="4">
        <v>0.0</v>
      </c>
      <c r="AN564" s="1">
        <v>0.0</v>
      </c>
      <c r="AO564" s="4">
        <v>0.0</v>
      </c>
      <c r="AP564" s="1">
        <f t="shared" si="1"/>
        <v>0</v>
      </c>
      <c r="AU564" s="2"/>
      <c r="AV564" s="2">
        <v>46023.9881944444</v>
      </c>
      <c r="AW564" s="1">
        <v>0.0</v>
      </c>
      <c r="AX564" s="1">
        <v>0.0</v>
      </c>
      <c r="AY564" s="1">
        <v>0.0</v>
      </c>
      <c r="AZ564" s="1">
        <v>1.0</v>
      </c>
      <c r="BA564" s="1">
        <v>0.0</v>
      </c>
      <c r="BB564" s="1">
        <v>0.0</v>
      </c>
      <c r="BC564" s="2">
        <v>46014.0</v>
      </c>
      <c r="BD564" s="1">
        <v>51.0</v>
      </c>
      <c r="BE564" s="1" t="s">
        <v>550</v>
      </c>
      <c r="BF564" s="1">
        <v>2025.0</v>
      </c>
      <c r="BG564" s="1" t="s">
        <v>558</v>
      </c>
      <c r="BH564" s="7" t="str">
        <f>VLOOKUP(B564,CookieClicks!D:O,12,FALSE)</f>
        <v>https://www.method.me/pricing-guides/house-cleaning-estimate-form/</v>
      </c>
      <c r="BI564" s="8" t="str">
        <f>IFERROR(__xludf.DUMMYFUNCTION("VLOOKUP(REGEXREPLACE(BH564,""[?].*"",""""),ContentBuckets!A:C,2,FALSE)"),"Pricing guide")</f>
        <v>Pricing guide</v>
      </c>
      <c r="BJ564" s="8" t="str">
        <f>IFERROR(__xludf.DUMMYFUNCTION("VLOOKUP(REGEXREPLACE(BH564,""[?].*"",""""),ContentBuckets!A:C,3,FALSE)"),"Other page")</f>
        <v>Other page</v>
      </c>
    </row>
    <row r="565" ht="14.25" customHeight="1">
      <c r="A565" s="1">
        <v>153829.0</v>
      </c>
      <c r="B565" s="1" t="s">
        <v>1324</v>
      </c>
      <c r="C565" s="2">
        <v>46014.3319444444</v>
      </c>
      <c r="D565" s="2"/>
      <c r="E565" s="2"/>
      <c r="F565" s="1" t="b">
        <v>1</v>
      </c>
      <c r="G565" s="4" t="b">
        <v>0</v>
      </c>
      <c r="H565" s="1" t="b">
        <v>0</v>
      </c>
      <c r="I565" s="1" t="b">
        <v>0</v>
      </c>
      <c r="J565" s="1" t="s">
        <v>534</v>
      </c>
      <c r="K565" s="1" t="s">
        <v>535</v>
      </c>
      <c r="L565" s="1" t="s">
        <v>536</v>
      </c>
      <c r="M565" s="1" t="s">
        <v>537</v>
      </c>
      <c r="N565" s="1">
        <v>0.0</v>
      </c>
      <c r="O565" s="1">
        <v>63.75</v>
      </c>
      <c r="P565" s="1">
        <v>0.0</v>
      </c>
      <c r="Q565" s="1">
        <v>0.0</v>
      </c>
      <c r="R565" s="1">
        <v>28.0</v>
      </c>
      <c r="S565" s="1" t="s">
        <v>538</v>
      </c>
      <c r="T565" s="1" t="s">
        <v>539</v>
      </c>
      <c r="V565" s="4">
        <v>7466227.0</v>
      </c>
      <c r="W565" s="4" t="s">
        <v>540</v>
      </c>
      <c r="X565" s="4">
        <v>0.0</v>
      </c>
      <c r="Y565" s="1">
        <v>1.0</v>
      </c>
      <c r="Z565" s="1">
        <v>0.0</v>
      </c>
      <c r="AA565" s="1">
        <v>0.0</v>
      </c>
      <c r="AB565" s="1">
        <v>0.0</v>
      </c>
      <c r="AC565" s="1">
        <v>0.0</v>
      </c>
      <c r="AD565" s="1">
        <v>0.0</v>
      </c>
      <c r="AE565" s="1">
        <v>0.0</v>
      </c>
      <c r="AF565" s="1">
        <v>0.0</v>
      </c>
      <c r="AG565" s="1">
        <v>0.0</v>
      </c>
      <c r="AH565" s="1">
        <v>0.0</v>
      </c>
      <c r="AI565" s="1">
        <v>0.0</v>
      </c>
      <c r="AJ565" s="1">
        <v>0.0</v>
      </c>
      <c r="AK565" s="1">
        <v>0.0</v>
      </c>
      <c r="AL565" s="1">
        <v>0.0</v>
      </c>
      <c r="AM565" s="4">
        <v>0.0</v>
      </c>
      <c r="AN565" s="1">
        <v>0.0</v>
      </c>
      <c r="AO565" s="4">
        <v>0.0</v>
      </c>
      <c r="AP565" s="1">
        <f t="shared" si="1"/>
        <v>0</v>
      </c>
      <c r="AQ565" s="1" t="s">
        <v>557</v>
      </c>
      <c r="AR565" s="1" t="s">
        <v>571</v>
      </c>
      <c r="AU565" s="2">
        <v>46014.0</v>
      </c>
      <c r="AV565" s="2">
        <v>46024.04375</v>
      </c>
      <c r="AW565" s="1">
        <v>0.0</v>
      </c>
      <c r="AX565" s="1">
        <v>0.0</v>
      </c>
      <c r="AY565" s="1">
        <v>42.0</v>
      </c>
      <c r="AZ565" s="1">
        <v>1.0</v>
      </c>
      <c r="BA565" s="1">
        <v>0.0</v>
      </c>
      <c r="BB565" s="1">
        <v>0.0</v>
      </c>
      <c r="BC565" s="2">
        <v>46014.0</v>
      </c>
      <c r="BD565" s="1">
        <v>51.0</v>
      </c>
      <c r="BE565" s="1" t="s">
        <v>550</v>
      </c>
      <c r="BF565" s="1">
        <v>2025.0</v>
      </c>
      <c r="BG565" s="1" t="s">
        <v>558</v>
      </c>
      <c r="BH565" s="7" t="str">
        <f>VLOOKUP(B565,CookieClicks!D:O,12,FALSE)</f>
        <v>https://www.method.me/</v>
      </c>
      <c r="BI565" s="8" t="str">
        <f>IFERROR(__xludf.DUMMYFUNCTION("VLOOKUP(REGEXREPLACE(BH565,""[?].*"",""""),ContentBuckets!A:C,2,FALSE)"),"Homepage")</f>
        <v>Homepage</v>
      </c>
      <c r="BJ565" s="8" t="str">
        <f>IFERROR(__xludf.DUMMYFUNCTION("VLOOKUP(REGEXREPLACE(BH565,""[?].*"",""""),ContentBuckets!A:C,3,FALSE)"),"Other page")</f>
        <v>Other page</v>
      </c>
    </row>
    <row r="566" ht="14.25" customHeight="1">
      <c r="A566" s="1">
        <v>153830.0</v>
      </c>
      <c r="B566" s="1" t="s">
        <v>1325</v>
      </c>
      <c r="C566" s="2">
        <v>46014.3541666667</v>
      </c>
      <c r="D566" s="2"/>
      <c r="E566" s="2"/>
      <c r="F566" s="1" t="b">
        <v>1</v>
      </c>
      <c r="G566" s="4" t="b">
        <v>0</v>
      </c>
      <c r="H566" s="1" t="b">
        <v>0</v>
      </c>
      <c r="I566" s="1" t="b">
        <v>0</v>
      </c>
      <c r="J566" s="1" t="s">
        <v>534</v>
      </c>
      <c r="K566" s="1" t="s">
        <v>535</v>
      </c>
      <c r="L566" s="1" t="s">
        <v>536</v>
      </c>
      <c r="M566" s="1" t="s">
        <v>537</v>
      </c>
      <c r="N566" s="1">
        <v>0.0</v>
      </c>
      <c r="O566" s="1">
        <v>72.75</v>
      </c>
      <c r="P566" s="1">
        <v>0.0</v>
      </c>
      <c r="Q566" s="1">
        <v>0.0</v>
      </c>
      <c r="R566" s="1">
        <v>28.0</v>
      </c>
      <c r="S566" s="1" t="s">
        <v>538</v>
      </c>
      <c r="T566" s="1" t="s">
        <v>539</v>
      </c>
      <c r="V566" s="4">
        <v>7466806.0</v>
      </c>
      <c r="W566" s="4"/>
      <c r="X566" s="4">
        <v>0.0</v>
      </c>
      <c r="Y566" s="1">
        <v>0.0</v>
      </c>
      <c r="Z566" s="1">
        <v>1.0</v>
      </c>
      <c r="AA566" s="1">
        <v>0.0</v>
      </c>
      <c r="AB566" s="1">
        <v>0.0</v>
      </c>
      <c r="AC566" s="1">
        <v>0.0</v>
      </c>
      <c r="AD566" s="1">
        <v>0.0</v>
      </c>
      <c r="AE566" s="1">
        <v>0.0</v>
      </c>
      <c r="AF566" s="1">
        <v>0.0</v>
      </c>
      <c r="AG566" s="1">
        <v>0.0</v>
      </c>
      <c r="AH566" s="1">
        <v>0.0</v>
      </c>
      <c r="AI566" s="1">
        <v>0.0</v>
      </c>
      <c r="AJ566" s="1">
        <v>0.0</v>
      </c>
      <c r="AK566" s="1">
        <v>0.0</v>
      </c>
      <c r="AL566" s="1">
        <v>0.0</v>
      </c>
      <c r="AM566" s="4">
        <v>0.0</v>
      </c>
      <c r="AN566" s="1">
        <v>0.0</v>
      </c>
      <c r="AO566" s="4">
        <v>0.0</v>
      </c>
      <c r="AP566" s="1">
        <f t="shared" si="1"/>
        <v>0</v>
      </c>
      <c r="AQ566" s="1" t="s">
        <v>826</v>
      </c>
      <c r="AR566" s="1" t="s">
        <v>857</v>
      </c>
      <c r="AT566" s="1" t="s">
        <v>1326</v>
      </c>
      <c r="AU566" s="2">
        <v>46014.0</v>
      </c>
      <c r="AV566" s="2">
        <v>46024.0208333333</v>
      </c>
      <c r="AW566" s="1">
        <v>2.0</v>
      </c>
      <c r="AX566" s="1">
        <v>6330705.24</v>
      </c>
      <c r="AY566" s="1">
        <v>184.0</v>
      </c>
      <c r="AZ566" s="1">
        <v>4.0</v>
      </c>
      <c r="BA566" s="1">
        <v>0.0</v>
      </c>
      <c r="BB566" s="1">
        <v>0.0</v>
      </c>
      <c r="BC566" s="2">
        <v>46014.0</v>
      </c>
      <c r="BD566" s="1">
        <v>51.0</v>
      </c>
      <c r="BE566" s="1" t="s">
        <v>550</v>
      </c>
      <c r="BF566" s="1">
        <v>2025.0</v>
      </c>
      <c r="BG566" s="1" t="s">
        <v>828</v>
      </c>
      <c r="BH566" s="7" t="str">
        <f>VLOOKUP(B566,CookieClicks!D:O,12,FALSE)</f>
        <v>https://signup.method.me/QBOAppstoreSignup?offering=methodcrm</v>
      </c>
      <c r="BI566" s="8" t="str">
        <f>IFERROR(__xludf.DUMMYFUNCTION("VLOOKUP(REGEXREPLACE(BH566,""[?].*"",""""),ContentBuckets!A:C,2,FALSE)"),"#N/A")</f>
        <v>#N/A</v>
      </c>
      <c r="BJ566" s="8" t="str">
        <f>IFERROR(__xludf.DUMMYFUNCTION("VLOOKUP(REGEXREPLACE(BH566,""[?].*"",""""),ContentBuckets!A:C,3,FALSE)"),"#N/A")</f>
        <v>#N/A</v>
      </c>
    </row>
    <row r="567" ht="14.25" customHeight="1">
      <c r="A567" s="1">
        <v>153831.0</v>
      </c>
      <c r="B567" s="1" t="s">
        <v>1327</v>
      </c>
      <c r="C567" s="2">
        <v>46014.3840277778</v>
      </c>
      <c r="D567" s="2"/>
      <c r="E567" s="2"/>
      <c r="F567" s="1" t="b">
        <v>1</v>
      </c>
      <c r="G567" s="4" t="b">
        <v>0</v>
      </c>
      <c r="H567" s="1" t="b">
        <v>0</v>
      </c>
      <c r="I567" s="1" t="b">
        <v>0</v>
      </c>
      <c r="J567" s="1" t="s">
        <v>534</v>
      </c>
      <c r="K567" s="1" t="s">
        <v>535</v>
      </c>
      <c r="L567" s="1" t="s">
        <v>536</v>
      </c>
      <c r="M567" s="1" t="s">
        <v>537</v>
      </c>
      <c r="N567" s="1">
        <v>0.0</v>
      </c>
      <c r="O567" s="1">
        <v>53.25</v>
      </c>
      <c r="P567" s="1">
        <v>0.0</v>
      </c>
      <c r="Q567" s="1">
        <v>0.0</v>
      </c>
      <c r="R567" s="1">
        <v>28.0</v>
      </c>
      <c r="S567" s="1" t="s">
        <v>538</v>
      </c>
      <c r="T567" s="1" t="s">
        <v>539</v>
      </c>
      <c r="V567" s="4">
        <v>7467094.0</v>
      </c>
      <c r="W567" s="4"/>
      <c r="X567" s="4">
        <v>0.0</v>
      </c>
      <c r="Y567" s="1">
        <v>0.0</v>
      </c>
      <c r="Z567" s="1">
        <v>1.0</v>
      </c>
      <c r="AA567" s="1">
        <v>0.0</v>
      </c>
      <c r="AB567" s="1">
        <v>0.0</v>
      </c>
      <c r="AC567" s="1">
        <v>0.0</v>
      </c>
      <c r="AD567" s="1">
        <v>0.0</v>
      </c>
      <c r="AE567" s="1">
        <v>0.0</v>
      </c>
      <c r="AF567" s="1">
        <v>0.0</v>
      </c>
      <c r="AG567" s="1">
        <v>0.0</v>
      </c>
      <c r="AH567" s="1">
        <v>0.0</v>
      </c>
      <c r="AI567" s="1">
        <v>0.0</v>
      </c>
      <c r="AJ567" s="1">
        <v>0.0</v>
      </c>
      <c r="AK567" s="1">
        <v>0.0</v>
      </c>
      <c r="AL567" s="1">
        <v>0.0</v>
      </c>
      <c r="AM567" s="4">
        <v>0.0</v>
      </c>
      <c r="AN567" s="1">
        <v>0.0</v>
      </c>
      <c r="AO567" s="4">
        <v>0.0</v>
      </c>
      <c r="AP567" s="1">
        <f t="shared" si="1"/>
        <v>0</v>
      </c>
      <c r="AQ567" s="1" t="s">
        <v>541</v>
      </c>
      <c r="AR567" s="1" t="s">
        <v>564</v>
      </c>
      <c r="AT567" s="1" t="s">
        <v>1328</v>
      </c>
      <c r="AU567" s="2">
        <v>46014.0</v>
      </c>
      <c r="AV567" s="2">
        <v>46024.025</v>
      </c>
      <c r="AW567" s="1">
        <v>4.0</v>
      </c>
      <c r="AX567" s="1">
        <v>179436.0</v>
      </c>
      <c r="AY567" s="1">
        <v>79.0</v>
      </c>
      <c r="AZ567" s="1">
        <v>2.0</v>
      </c>
      <c r="BA567" s="1">
        <v>0.0</v>
      </c>
      <c r="BB567" s="1">
        <v>0.0</v>
      </c>
      <c r="BC567" s="2">
        <v>46014.0</v>
      </c>
      <c r="BD567" s="1">
        <v>51.0</v>
      </c>
      <c r="BE567" s="1" t="s">
        <v>550</v>
      </c>
      <c r="BF567" s="1">
        <v>2025.0</v>
      </c>
      <c r="BG567" s="1" t="s">
        <v>546</v>
      </c>
      <c r="BH567" s="7" t="str">
        <f>VLOOKUP(B567,CookieClicks!D:O,12,FALSE)</f>
        <v>https://signup.method.me/QBOAppstoreSignup?offering=methodcrm</v>
      </c>
      <c r="BI567" s="8" t="str">
        <f>IFERROR(__xludf.DUMMYFUNCTION("VLOOKUP(REGEXREPLACE(BH567,""[?].*"",""""),ContentBuckets!A:C,2,FALSE)"),"#N/A")</f>
        <v>#N/A</v>
      </c>
      <c r="BJ567" s="8" t="str">
        <f>IFERROR(__xludf.DUMMYFUNCTION("VLOOKUP(REGEXREPLACE(BH567,""[?].*"",""""),ContentBuckets!A:C,3,FALSE)"),"#N/A")</f>
        <v>#N/A</v>
      </c>
    </row>
    <row r="568" ht="14.25" customHeight="1">
      <c r="A568" s="1">
        <v>153835.0</v>
      </c>
      <c r="B568" s="1" t="s">
        <v>1329</v>
      </c>
      <c r="C568" s="2">
        <v>46014.4402777778</v>
      </c>
      <c r="D568" s="2"/>
      <c r="E568" s="2"/>
      <c r="F568" s="1" t="b">
        <v>1</v>
      </c>
      <c r="G568" s="4" t="b">
        <v>0</v>
      </c>
      <c r="H568" s="1" t="b">
        <v>0</v>
      </c>
      <c r="I568" s="1" t="b">
        <v>0</v>
      </c>
      <c r="J568" s="1" t="s">
        <v>534</v>
      </c>
      <c r="K568" s="1" t="s">
        <v>535</v>
      </c>
      <c r="L568" s="1" t="s">
        <v>536</v>
      </c>
      <c r="M568" s="1" t="s">
        <v>537</v>
      </c>
      <c r="N568" s="1">
        <v>0.0</v>
      </c>
      <c r="O568" s="1">
        <v>44.25</v>
      </c>
      <c r="P568" s="1">
        <v>0.0</v>
      </c>
      <c r="Q568" s="1">
        <v>0.0</v>
      </c>
      <c r="R568" s="1">
        <v>28.0</v>
      </c>
      <c r="S568" s="1" t="s">
        <v>538</v>
      </c>
      <c r="T568" s="1" t="s">
        <v>539</v>
      </c>
      <c r="V568" s="4">
        <v>7467584.0</v>
      </c>
      <c r="W568" s="4"/>
      <c r="X568" s="4">
        <v>0.0</v>
      </c>
      <c r="Y568" s="1">
        <v>0.0</v>
      </c>
      <c r="Z568" s="1">
        <v>1.0</v>
      </c>
      <c r="AA568" s="1">
        <v>0.0</v>
      </c>
      <c r="AB568" s="1">
        <v>0.0</v>
      </c>
      <c r="AC568" s="1">
        <v>0.0</v>
      </c>
      <c r="AD568" s="1">
        <v>0.0</v>
      </c>
      <c r="AE568" s="1">
        <v>0.0</v>
      </c>
      <c r="AF568" s="1">
        <v>0.0</v>
      </c>
      <c r="AG568" s="1">
        <v>0.0</v>
      </c>
      <c r="AH568" s="1">
        <v>0.0</v>
      </c>
      <c r="AI568" s="1">
        <v>0.0</v>
      </c>
      <c r="AJ568" s="1">
        <v>0.0</v>
      </c>
      <c r="AK568" s="1">
        <v>0.0</v>
      </c>
      <c r="AL568" s="1">
        <v>0.0</v>
      </c>
      <c r="AM568" s="4">
        <v>0.0</v>
      </c>
      <c r="AN568" s="1">
        <v>0.0</v>
      </c>
      <c r="AO568" s="4">
        <v>0.0</v>
      </c>
      <c r="AP568" s="1">
        <f t="shared" si="1"/>
        <v>0</v>
      </c>
      <c r="AQ568" s="1" t="s">
        <v>557</v>
      </c>
      <c r="AR568" s="1" t="s">
        <v>542</v>
      </c>
      <c r="AT568" s="1" t="s">
        <v>1330</v>
      </c>
      <c r="AU568" s="2">
        <v>46014.0</v>
      </c>
      <c r="AV568" s="2">
        <v>46023.9854166667</v>
      </c>
      <c r="AW568" s="1">
        <v>4.0</v>
      </c>
      <c r="AX568" s="1">
        <v>6816318.12</v>
      </c>
      <c r="AY568" s="1">
        <v>156.0</v>
      </c>
      <c r="AZ568" s="1">
        <v>1.0</v>
      </c>
      <c r="BA568" s="1">
        <v>0.0</v>
      </c>
      <c r="BB568" s="1">
        <v>0.0</v>
      </c>
      <c r="BC568" s="2">
        <v>46014.0</v>
      </c>
      <c r="BD568" s="1">
        <v>51.0</v>
      </c>
      <c r="BE568" s="1" t="s">
        <v>550</v>
      </c>
      <c r="BF568" s="1">
        <v>2025.0</v>
      </c>
      <c r="BG568" s="1" t="s">
        <v>558</v>
      </c>
      <c r="BH568" s="7" t="str">
        <f>VLOOKUP(B568,CookieClicks!D:O,12,FALSE)</f>
        <v>https://signup.method.me/QBOAppstoreSignup?offering=methodcrm</v>
      </c>
      <c r="BI568" s="8" t="str">
        <f>IFERROR(__xludf.DUMMYFUNCTION("VLOOKUP(REGEXREPLACE(BH568,""[?].*"",""""),ContentBuckets!A:C,2,FALSE)"),"#N/A")</f>
        <v>#N/A</v>
      </c>
      <c r="BJ568" s="8" t="str">
        <f>IFERROR(__xludf.DUMMYFUNCTION("VLOOKUP(REGEXREPLACE(BH568,""[?].*"",""""),ContentBuckets!A:C,3,FALSE)"),"#N/A")</f>
        <v>#N/A</v>
      </c>
    </row>
    <row r="569" ht="14.25" customHeight="1">
      <c r="A569" s="1">
        <v>153836.0</v>
      </c>
      <c r="B569" s="1" t="s">
        <v>1331</v>
      </c>
      <c r="C569" s="2">
        <v>46014.4416666667</v>
      </c>
      <c r="D569" s="2"/>
      <c r="E569" s="2"/>
      <c r="F569" s="1" t="b">
        <v>1</v>
      </c>
      <c r="G569" s="4" t="b">
        <v>0</v>
      </c>
      <c r="H569" s="1" t="b">
        <v>0</v>
      </c>
      <c r="I569" s="1" t="b">
        <v>0</v>
      </c>
      <c r="J569" s="1" t="s">
        <v>534</v>
      </c>
      <c r="K569" s="1" t="s">
        <v>553</v>
      </c>
      <c r="L569" s="1" t="s">
        <v>554</v>
      </c>
      <c r="M569" s="1" t="s">
        <v>537</v>
      </c>
      <c r="N569" s="1">
        <v>0.0</v>
      </c>
      <c r="O569" s="1">
        <v>44.25</v>
      </c>
      <c r="P569" s="1">
        <v>0.0</v>
      </c>
      <c r="Q569" s="1">
        <v>0.0</v>
      </c>
      <c r="R569" s="1">
        <v>0.0</v>
      </c>
      <c r="S569" s="1" t="s">
        <v>538</v>
      </c>
      <c r="T569" s="1" t="s">
        <v>539</v>
      </c>
      <c r="V569" s="4">
        <v>7467688.0</v>
      </c>
      <c r="W569" s="4" t="s">
        <v>540</v>
      </c>
      <c r="X569" s="4">
        <v>0.0</v>
      </c>
      <c r="Y569" s="1">
        <v>1.0</v>
      </c>
      <c r="Z569" s="1">
        <v>0.0</v>
      </c>
      <c r="AA569" s="1">
        <v>0.0</v>
      </c>
      <c r="AB569" s="1">
        <v>0.0</v>
      </c>
      <c r="AC569" s="1">
        <v>0.0</v>
      </c>
      <c r="AD569" s="1">
        <v>0.0</v>
      </c>
      <c r="AE569" s="1">
        <v>0.0</v>
      </c>
      <c r="AF569" s="1">
        <v>0.0</v>
      </c>
      <c r="AG569" s="1">
        <v>0.0</v>
      </c>
      <c r="AH569" s="1">
        <v>0.0</v>
      </c>
      <c r="AI569" s="1">
        <v>0.0</v>
      </c>
      <c r="AJ569" s="1">
        <v>0.0</v>
      </c>
      <c r="AK569" s="1">
        <v>0.0</v>
      </c>
      <c r="AL569" s="1">
        <v>0.0</v>
      </c>
      <c r="AM569" s="4">
        <v>0.0</v>
      </c>
      <c r="AN569" s="1">
        <v>0.0</v>
      </c>
      <c r="AO569" s="4">
        <v>0.0</v>
      </c>
      <c r="AP569" s="1">
        <f t="shared" si="1"/>
        <v>0</v>
      </c>
      <c r="AU569" s="2"/>
      <c r="AV569" s="2">
        <v>46024.0430555556</v>
      </c>
      <c r="AW569" s="1">
        <v>0.0</v>
      </c>
      <c r="AX569" s="1">
        <v>0.0</v>
      </c>
      <c r="AY569" s="1">
        <v>0.0</v>
      </c>
      <c r="AZ569" s="1">
        <v>1.0</v>
      </c>
      <c r="BA569" s="1">
        <v>0.0</v>
      </c>
      <c r="BB569" s="1">
        <v>0.0</v>
      </c>
      <c r="BC569" s="2">
        <v>46014.0</v>
      </c>
      <c r="BD569" s="1">
        <v>51.0</v>
      </c>
      <c r="BE569" s="1" t="s">
        <v>550</v>
      </c>
      <c r="BF569" s="1">
        <v>2025.0</v>
      </c>
      <c r="BG569" s="1" t="s">
        <v>546</v>
      </c>
      <c r="BH569" s="7" t="str">
        <f>VLOOKUP(B569,CookieClicks!D:O,12,FALSE)</f>
        <v>https://www.method.me/pricing-guides/carpet-cleaning-estimate-template/</v>
      </c>
      <c r="BI569" s="8" t="str">
        <f>IFERROR(__xludf.DUMMYFUNCTION("VLOOKUP(REGEXREPLACE(BH569,""[?].*"",""""),ContentBuckets!A:C,2,FALSE)"),"Pricing guide")</f>
        <v>Pricing guide</v>
      </c>
      <c r="BJ569" s="8" t="str">
        <f>IFERROR(__xludf.DUMMYFUNCTION("VLOOKUP(REGEXREPLACE(BH569,""[?].*"",""""),ContentBuckets!A:C,3,FALSE)"),"Other page")</f>
        <v>Other page</v>
      </c>
    </row>
    <row r="570" ht="14.25" customHeight="1">
      <c r="A570" s="1">
        <v>153837.0</v>
      </c>
      <c r="B570" s="1" t="s">
        <v>1332</v>
      </c>
      <c r="C570" s="2">
        <v>46014.45</v>
      </c>
      <c r="D570" s="2"/>
      <c r="E570" s="2"/>
      <c r="F570" s="1" t="b">
        <v>1</v>
      </c>
      <c r="G570" s="4" t="b">
        <v>0</v>
      </c>
      <c r="H570" s="1" t="b">
        <v>0</v>
      </c>
      <c r="I570" s="1" t="b">
        <v>0</v>
      </c>
      <c r="J570" s="1" t="s">
        <v>534</v>
      </c>
      <c r="K570" s="1" t="s">
        <v>535</v>
      </c>
      <c r="L570" s="1" t="s">
        <v>536</v>
      </c>
      <c r="M570" s="1" t="s">
        <v>537</v>
      </c>
      <c r="N570" s="1">
        <v>0.0</v>
      </c>
      <c r="O570" s="1">
        <v>54.75</v>
      </c>
      <c r="P570" s="1">
        <v>0.0</v>
      </c>
      <c r="Q570" s="1">
        <v>0.0</v>
      </c>
      <c r="R570" s="1">
        <v>28.0</v>
      </c>
      <c r="S570" s="1" t="s">
        <v>538</v>
      </c>
      <c r="T570" s="1" t="s">
        <v>539</v>
      </c>
      <c r="V570" s="4">
        <v>7467776.0</v>
      </c>
      <c r="W570" s="4"/>
      <c r="X570" s="4">
        <v>0.0</v>
      </c>
      <c r="Y570" s="1">
        <v>0.0</v>
      </c>
      <c r="Z570" s="1">
        <v>0.0</v>
      </c>
      <c r="AA570" s="1">
        <v>1.0</v>
      </c>
      <c r="AB570" s="1">
        <v>0.0</v>
      </c>
      <c r="AC570" s="1">
        <v>0.0</v>
      </c>
      <c r="AD570" s="1">
        <v>0.0</v>
      </c>
      <c r="AE570" s="1">
        <v>0.0</v>
      </c>
      <c r="AF570" s="1">
        <v>0.0</v>
      </c>
      <c r="AG570" s="1">
        <v>0.0</v>
      </c>
      <c r="AH570" s="1">
        <v>0.0</v>
      </c>
      <c r="AI570" s="1">
        <v>0.0</v>
      </c>
      <c r="AJ570" s="1">
        <v>0.0</v>
      </c>
      <c r="AK570" s="1">
        <v>0.0</v>
      </c>
      <c r="AL570" s="1">
        <v>0.0</v>
      </c>
      <c r="AM570" s="4">
        <v>0.0</v>
      </c>
      <c r="AN570" s="1">
        <v>0.0</v>
      </c>
      <c r="AO570" s="4">
        <v>0.0</v>
      </c>
      <c r="AP570" s="1">
        <f t="shared" si="1"/>
        <v>0</v>
      </c>
      <c r="AQ570" s="1" t="s">
        <v>557</v>
      </c>
      <c r="AR570" s="1" t="s">
        <v>608</v>
      </c>
      <c r="AU570" s="2">
        <v>46014.0</v>
      </c>
      <c r="AV570" s="2">
        <v>46024.0104166667</v>
      </c>
      <c r="AW570" s="1">
        <v>1.0</v>
      </c>
      <c r="AX570" s="1">
        <v>190850.64</v>
      </c>
      <c r="AY570" s="1">
        <v>54.0</v>
      </c>
      <c r="AZ570" s="1">
        <v>1.0</v>
      </c>
      <c r="BA570" s="1">
        <v>0.0</v>
      </c>
      <c r="BB570" s="1">
        <v>0.0</v>
      </c>
      <c r="BC570" s="2">
        <v>46014.0</v>
      </c>
      <c r="BD570" s="1">
        <v>51.0</v>
      </c>
      <c r="BE570" s="1" t="s">
        <v>550</v>
      </c>
      <c r="BF570" s="1">
        <v>2025.0</v>
      </c>
      <c r="BG570" s="1" t="s">
        <v>558</v>
      </c>
      <c r="BH570" s="1" t="str">
        <f>VLOOKUP(B570,CookieClicks!D:O,12,FALSE)</f>
        <v>https://grow.method.me/qb-payment/?trc=81&amp;trk=quickbooks payment processor&amp;trs=US-payment&amp;campaignid=19733246298&amp;adgroupid=146278163933&amp;adid=649435146420&amp;gad_source=1&amp;gad_campaignid=19733246298&amp;gbraid=0AAAAAD3Itna30BAf5Wk2oRNYxmyK0Ae-v&amp;gclid=EAIaIQobChMI5aXT4YbUkQMVoLMDAB2JDjRjEAAYAiAAEgL42_D_BwE</v>
      </c>
      <c r="BI570" s="8" t="str">
        <f>IFERROR(__xludf.DUMMYFUNCTION("VLOOKUP(REGEXREPLACE(BH570,""[?].*"",""""),ContentBuckets!A:C,2,FALSE)"),"#N/A")</f>
        <v>#N/A</v>
      </c>
      <c r="BJ570" s="8" t="str">
        <f>IFERROR(__xludf.DUMMYFUNCTION("VLOOKUP(REGEXREPLACE(BH570,""[?].*"",""""),ContentBuckets!A:C,3,FALSE)"),"#N/A")</f>
        <v>#N/A</v>
      </c>
    </row>
    <row r="571" ht="14.25" customHeight="1">
      <c r="A571" s="1">
        <v>153838.0</v>
      </c>
      <c r="B571" s="1" t="s">
        <v>1333</v>
      </c>
      <c r="C571" s="2">
        <v>46014.48125</v>
      </c>
      <c r="D571" s="2">
        <v>46014.4979166667</v>
      </c>
      <c r="E571" s="2"/>
      <c r="F571" s="1" t="b">
        <v>0</v>
      </c>
      <c r="G571" s="4" t="b">
        <v>0</v>
      </c>
      <c r="H571" s="1" t="b">
        <v>0</v>
      </c>
      <c r="I571" s="1" t="b">
        <v>0</v>
      </c>
      <c r="J571" s="1" t="s">
        <v>534</v>
      </c>
      <c r="K571" s="1" t="s">
        <v>535</v>
      </c>
      <c r="L571" s="1" t="s">
        <v>536</v>
      </c>
      <c r="M571" s="1" t="s">
        <v>537</v>
      </c>
      <c r="N571" s="1">
        <v>0.0</v>
      </c>
      <c r="O571" s="1">
        <v>0.0</v>
      </c>
      <c r="P571" s="1">
        <v>0.0</v>
      </c>
      <c r="Q571" s="1">
        <v>0.0</v>
      </c>
      <c r="R571" s="1">
        <v>28.0</v>
      </c>
      <c r="S571" s="1" t="s">
        <v>538</v>
      </c>
      <c r="T571" s="1" t="s">
        <v>539</v>
      </c>
      <c r="V571" s="4">
        <v>7468068.0</v>
      </c>
      <c r="W571" s="4" t="s">
        <v>540</v>
      </c>
      <c r="X571" s="4">
        <v>0.0</v>
      </c>
      <c r="Y571" s="1">
        <v>1.0</v>
      </c>
      <c r="Z571" s="1">
        <v>0.0</v>
      </c>
      <c r="AA571" s="1">
        <v>0.0</v>
      </c>
      <c r="AB571" s="1">
        <v>0.0</v>
      </c>
      <c r="AC571" s="1">
        <v>0.0</v>
      </c>
      <c r="AD571" s="1">
        <v>0.0</v>
      </c>
      <c r="AE571" s="1">
        <v>0.0</v>
      </c>
      <c r="AF571" s="1">
        <v>0.0</v>
      </c>
      <c r="AG571" s="1">
        <v>0.0</v>
      </c>
      <c r="AH571" s="1">
        <v>0.0</v>
      </c>
      <c r="AI571" s="1">
        <v>0.0</v>
      </c>
      <c r="AJ571" s="1">
        <v>0.0</v>
      </c>
      <c r="AK571" s="1">
        <v>0.0</v>
      </c>
      <c r="AL571" s="1">
        <v>0.0</v>
      </c>
      <c r="AM571" s="4">
        <v>0.0</v>
      </c>
      <c r="AN571" s="1">
        <v>0.0</v>
      </c>
      <c r="AO571" s="4">
        <v>0.0</v>
      </c>
      <c r="AP571" s="1">
        <f t="shared" si="1"/>
        <v>0</v>
      </c>
      <c r="AQ571" s="1" t="s">
        <v>557</v>
      </c>
      <c r="AR571" s="1" t="s">
        <v>571</v>
      </c>
      <c r="AU571" s="2"/>
      <c r="AV571" s="2"/>
      <c r="AW571" s="1">
        <v>0.0</v>
      </c>
      <c r="AX571" s="1">
        <v>0.0</v>
      </c>
      <c r="AY571" s="1">
        <v>0.0</v>
      </c>
      <c r="AZ571" s="1">
        <v>1.0</v>
      </c>
      <c r="BA571" s="1">
        <v>0.0</v>
      </c>
      <c r="BB571" s="1">
        <v>0.0</v>
      </c>
      <c r="BC571" s="2">
        <v>46014.0</v>
      </c>
      <c r="BD571" s="1">
        <v>51.0</v>
      </c>
      <c r="BE571" s="1" t="s">
        <v>550</v>
      </c>
      <c r="BF571" s="1">
        <v>2025.0</v>
      </c>
      <c r="BG571" s="1" t="s">
        <v>558</v>
      </c>
      <c r="BH571" s="7" t="str">
        <f>VLOOKUP(B571,CookieClicks!D:O,12,FALSE)</f>
        <v>https://www.method.me/</v>
      </c>
      <c r="BI571" s="8" t="str">
        <f>IFERROR(__xludf.DUMMYFUNCTION("VLOOKUP(REGEXREPLACE(BH571,""[?].*"",""""),ContentBuckets!A:C,2,FALSE)"),"Homepage")</f>
        <v>Homepage</v>
      </c>
      <c r="BJ571" s="8" t="str">
        <f>IFERROR(__xludf.DUMMYFUNCTION("VLOOKUP(REGEXREPLACE(BH571,""[?].*"",""""),ContentBuckets!A:C,3,FALSE)"),"Other page")</f>
        <v>Other page</v>
      </c>
    </row>
    <row r="572" ht="14.25" customHeight="1">
      <c r="A572" s="1">
        <v>153840.0</v>
      </c>
      <c r="B572" s="1" t="s">
        <v>1334</v>
      </c>
      <c r="C572" s="2">
        <v>46014.5180555556</v>
      </c>
      <c r="D572" s="2"/>
      <c r="E572" s="2"/>
      <c r="F572" s="1" t="b">
        <v>1</v>
      </c>
      <c r="G572" s="4" t="b">
        <v>0</v>
      </c>
      <c r="H572" s="1" t="b">
        <v>0</v>
      </c>
      <c r="I572" s="1" t="b">
        <v>0</v>
      </c>
      <c r="J572" s="1" t="s">
        <v>534</v>
      </c>
      <c r="K572" s="1" t="s">
        <v>535</v>
      </c>
      <c r="L572" s="1" t="s">
        <v>536</v>
      </c>
      <c r="M572" s="1" t="s">
        <v>537</v>
      </c>
      <c r="N572" s="1">
        <v>0.0</v>
      </c>
      <c r="O572" s="1">
        <v>44.25</v>
      </c>
      <c r="P572" s="1">
        <v>0.0</v>
      </c>
      <c r="Q572" s="1">
        <v>0.0</v>
      </c>
      <c r="R572" s="1">
        <v>0.0</v>
      </c>
      <c r="S572" s="1" t="s">
        <v>538</v>
      </c>
      <c r="T572" s="1" t="s">
        <v>539</v>
      </c>
      <c r="V572" s="4">
        <v>7468556.0</v>
      </c>
      <c r="W572" s="4" t="s">
        <v>540</v>
      </c>
      <c r="X572" s="4">
        <v>0.0</v>
      </c>
      <c r="Y572" s="1">
        <v>1.0</v>
      </c>
      <c r="Z572" s="1">
        <v>0.0</v>
      </c>
      <c r="AA572" s="1">
        <v>0.0</v>
      </c>
      <c r="AB572" s="1">
        <v>0.0</v>
      </c>
      <c r="AC572" s="1">
        <v>0.0</v>
      </c>
      <c r="AD572" s="1">
        <v>0.0</v>
      </c>
      <c r="AE572" s="1">
        <v>0.0</v>
      </c>
      <c r="AF572" s="1">
        <v>0.0</v>
      </c>
      <c r="AG572" s="1">
        <v>0.0</v>
      </c>
      <c r="AH572" s="1">
        <v>0.0</v>
      </c>
      <c r="AI572" s="1">
        <v>0.0</v>
      </c>
      <c r="AJ572" s="1">
        <v>0.0</v>
      </c>
      <c r="AK572" s="1">
        <v>0.0</v>
      </c>
      <c r="AL572" s="1">
        <v>0.0</v>
      </c>
      <c r="AM572" s="4">
        <v>0.0</v>
      </c>
      <c r="AN572" s="1">
        <v>0.0</v>
      </c>
      <c r="AO572" s="4">
        <v>0.0</v>
      </c>
      <c r="AP572" s="1">
        <f t="shared" si="1"/>
        <v>0</v>
      </c>
      <c r="AU572" s="2"/>
      <c r="AV572" s="2">
        <v>46024.0159722222</v>
      </c>
      <c r="AW572" s="1">
        <v>0.0</v>
      </c>
      <c r="AX572" s="1">
        <v>0.0</v>
      </c>
      <c r="AY572" s="1">
        <v>0.0</v>
      </c>
      <c r="AZ572" s="1">
        <v>1.0</v>
      </c>
      <c r="BA572" s="1">
        <v>0.0</v>
      </c>
      <c r="BB572" s="1">
        <v>0.0</v>
      </c>
      <c r="BC572" s="2">
        <v>46014.0</v>
      </c>
      <c r="BD572" s="1">
        <v>51.0</v>
      </c>
      <c r="BE572" s="1" t="s">
        <v>550</v>
      </c>
      <c r="BF572" s="1">
        <v>2025.0</v>
      </c>
      <c r="BG572" s="1" t="s">
        <v>558</v>
      </c>
      <c r="BH572" s="7" t="str">
        <f>VLOOKUP(B572,CookieClicks!D:O,12,FALSE)</f>
        <v>https://www.method.me/</v>
      </c>
      <c r="BI572" s="8" t="str">
        <f>IFERROR(__xludf.DUMMYFUNCTION("VLOOKUP(REGEXREPLACE(BH572,""[?].*"",""""),ContentBuckets!A:C,2,FALSE)"),"Homepage")</f>
        <v>Homepage</v>
      </c>
      <c r="BJ572" s="8" t="str">
        <f>IFERROR(__xludf.DUMMYFUNCTION("VLOOKUP(REGEXREPLACE(BH572,""[?].*"",""""),ContentBuckets!A:C,3,FALSE)"),"Other page")</f>
        <v>Other page</v>
      </c>
    </row>
    <row r="573" ht="14.25" customHeight="1">
      <c r="A573" s="1">
        <v>153842.0</v>
      </c>
      <c r="B573" s="1" t="s">
        <v>1335</v>
      </c>
      <c r="C573" s="2">
        <v>46014.5368055556</v>
      </c>
      <c r="D573" s="2"/>
      <c r="E573" s="2"/>
      <c r="F573" s="1" t="b">
        <v>1</v>
      </c>
      <c r="G573" s="4" t="b">
        <v>0</v>
      </c>
      <c r="H573" s="1" t="b">
        <v>0</v>
      </c>
      <c r="I573" s="1" t="b">
        <v>0</v>
      </c>
      <c r="J573" s="1" t="s">
        <v>534</v>
      </c>
      <c r="K573" s="1" t="s">
        <v>535</v>
      </c>
      <c r="L573" s="1" t="s">
        <v>536</v>
      </c>
      <c r="M573" s="1" t="s">
        <v>537</v>
      </c>
      <c r="N573" s="1">
        <v>0.0</v>
      </c>
      <c r="O573" s="1">
        <v>0.0</v>
      </c>
      <c r="P573" s="1">
        <v>0.0</v>
      </c>
      <c r="Q573" s="1">
        <v>0.0</v>
      </c>
      <c r="R573" s="1">
        <v>28.0</v>
      </c>
      <c r="S573" s="1" t="s">
        <v>1136</v>
      </c>
      <c r="T573" s="1" t="s">
        <v>539</v>
      </c>
      <c r="V573" s="4">
        <v>7466833.0</v>
      </c>
      <c r="W573" s="4"/>
      <c r="X573" s="4">
        <v>1.0</v>
      </c>
      <c r="Y573" s="1">
        <v>0.0</v>
      </c>
      <c r="Z573" s="1">
        <v>0.0</v>
      </c>
      <c r="AA573" s="1">
        <v>0.0</v>
      </c>
      <c r="AB573" s="1">
        <v>0.0</v>
      </c>
      <c r="AC573" s="1">
        <v>0.0</v>
      </c>
      <c r="AD573" s="1">
        <v>0.0</v>
      </c>
      <c r="AE573" s="1">
        <v>0.0</v>
      </c>
      <c r="AF573" s="1">
        <v>0.0</v>
      </c>
      <c r="AG573" s="1">
        <v>0.0</v>
      </c>
      <c r="AH573" s="1">
        <v>0.0</v>
      </c>
      <c r="AI573" s="1">
        <v>0.0</v>
      </c>
      <c r="AJ573" s="1">
        <v>0.0</v>
      </c>
      <c r="AK573" s="1">
        <v>0.0</v>
      </c>
      <c r="AL573" s="1">
        <v>0.0</v>
      </c>
      <c r="AM573" s="4">
        <v>0.0</v>
      </c>
      <c r="AN573" s="1">
        <v>0.0</v>
      </c>
      <c r="AO573" s="4">
        <v>0.0</v>
      </c>
      <c r="AP573" s="1">
        <f t="shared" si="1"/>
        <v>0</v>
      </c>
      <c r="AQ573" s="1" t="s">
        <v>557</v>
      </c>
      <c r="AR573" s="1" t="s">
        <v>608</v>
      </c>
      <c r="AU573" s="2">
        <v>46014.0</v>
      </c>
      <c r="AV573" s="2">
        <v>46023.9833333333</v>
      </c>
      <c r="AW573" s="1">
        <v>1.0</v>
      </c>
      <c r="AX573" s="1">
        <v>1096583.76</v>
      </c>
      <c r="AY573" s="1">
        <v>18.0</v>
      </c>
      <c r="AZ573" s="1">
        <v>2.0</v>
      </c>
      <c r="BA573" s="1">
        <v>0.0</v>
      </c>
      <c r="BB573" s="1">
        <v>2.0</v>
      </c>
      <c r="BC573" s="2">
        <v>46014.0</v>
      </c>
      <c r="BD573" s="1">
        <v>51.0</v>
      </c>
      <c r="BE573" s="1" t="s">
        <v>550</v>
      </c>
      <c r="BF573" s="1">
        <v>2025.0</v>
      </c>
      <c r="BG573" s="1" t="s">
        <v>558</v>
      </c>
      <c r="BH573" s="7" t="str">
        <f>VLOOKUP(B573,CookieClicks!D:O,12,FALSE)</f>
        <v>https://www.method.me/legal/terms-of-service/</v>
      </c>
      <c r="BI573" s="8" t="str">
        <f>IFERROR(__xludf.DUMMYFUNCTION("VLOOKUP(REGEXREPLACE(BH573,""[?].*"",""""),ContentBuckets!A:C,2,FALSE)"),"Other page")</f>
        <v>Other page</v>
      </c>
      <c r="BJ573" s="8" t="str">
        <f>IFERROR(__xludf.DUMMYFUNCTION("VLOOKUP(REGEXREPLACE(BH573,""[?].*"",""""),ContentBuckets!A:C,3,FALSE)"),"Other page")</f>
        <v>Other page</v>
      </c>
    </row>
    <row r="574" ht="14.25" customHeight="1">
      <c r="A574" s="1">
        <v>153845.0</v>
      </c>
      <c r="B574" s="1" t="s">
        <v>1336</v>
      </c>
      <c r="C574" s="2">
        <v>46014.5548611111</v>
      </c>
      <c r="D574" s="2"/>
      <c r="E574" s="2"/>
      <c r="F574" s="1" t="b">
        <v>1</v>
      </c>
      <c r="G574" s="4" t="b">
        <v>0</v>
      </c>
      <c r="H574" s="1" t="b">
        <v>0</v>
      </c>
      <c r="I574" s="1" t="b">
        <v>0</v>
      </c>
      <c r="J574" s="1" t="s">
        <v>534</v>
      </c>
      <c r="K574" s="1" t="s">
        <v>566</v>
      </c>
      <c r="L574" s="1" t="s">
        <v>567</v>
      </c>
      <c r="M574" s="1" t="s">
        <v>537</v>
      </c>
      <c r="N574" s="1">
        <v>0.0</v>
      </c>
      <c r="O574" s="1">
        <v>44.25</v>
      </c>
      <c r="P574" s="1">
        <v>0.0</v>
      </c>
      <c r="Q574" s="1">
        <v>0.0</v>
      </c>
      <c r="R574" s="1">
        <v>0.0</v>
      </c>
      <c r="S574" s="1" t="s">
        <v>538</v>
      </c>
      <c r="T574" s="1" t="s">
        <v>539</v>
      </c>
      <c r="V574" s="4">
        <v>7469016.0</v>
      </c>
      <c r="W574" s="4" t="s">
        <v>540</v>
      </c>
      <c r="X574" s="4">
        <v>0.0</v>
      </c>
      <c r="Y574" s="1">
        <v>1.0</v>
      </c>
      <c r="Z574" s="1">
        <v>0.0</v>
      </c>
      <c r="AA574" s="1">
        <v>0.0</v>
      </c>
      <c r="AB574" s="1">
        <v>0.0</v>
      </c>
      <c r="AC574" s="1">
        <v>0.0</v>
      </c>
      <c r="AD574" s="1">
        <v>0.0</v>
      </c>
      <c r="AE574" s="1">
        <v>0.0</v>
      </c>
      <c r="AF574" s="1">
        <v>0.0</v>
      </c>
      <c r="AG574" s="1">
        <v>0.0</v>
      </c>
      <c r="AH574" s="1">
        <v>0.0</v>
      </c>
      <c r="AI574" s="1">
        <v>0.0</v>
      </c>
      <c r="AJ574" s="1">
        <v>0.0</v>
      </c>
      <c r="AK574" s="1">
        <v>0.0</v>
      </c>
      <c r="AL574" s="1">
        <v>0.0</v>
      </c>
      <c r="AM574" s="4">
        <v>0.0</v>
      </c>
      <c r="AN574" s="1">
        <v>0.0</v>
      </c>
      <c r="AO574" s="4">
        <v>0.0</v>
      </c>
      <c r="AP574" s="1">
        <f t="shared" si="1"/>
        <v>0</v>
      </c>
      <c r="AU574" s="2"/>
      <c r="AV574" s="2">
        <v>46024.0145833333</v>
      </c>
      <c r="AW574" s="1">
        <v>0.0</v>
      </c>
      <c r="AX574" s="1">
        <v>0.0</v>
      </c>
      <c r="AY574" s="1">
        <v>0.0</v>
      </c>
      <c r="AZ574" s="1">
        <v>1.0</v>
      </c>
      <c r="BA574" s="1">
        <v>0.0</v>
      </c>
      <c r="BB574" s="1">
        <v>0.0</v>
      </c>
      <c r="BC574" s="2">
        <v>46014.0</v>
      </c>
      <c r="BD574" s="1">
        <v>51.0</v>
      </c>
      <c r="BE574" s="1" t="s">
        <v>550</v>
      </c>
      <c r="BF574" s="1">
        <v>2025.0</v>
      </c>
      <c r="BG574" s="1" t="s">
        <v>594</v>
      </c>
      <c r="BH574" s="7" t="str">
        <f>VLOOKUP(B574,CookieClicks!D:O,12,FALSE)</f>
        <v>https://www.method.me/blog/does-google-have-a-free-crm/</v>
      </c>
      <c r="BI574" s="8" t="str">
        <f>IFERROR(__xludf.DUMMYFUNCTION("VLOOKUP(REGEXREPLACE(BH574,""[?].*"",""""),ContentBuckets!A:C,2,FALSE)"),"Listicle - CRM")</f>
        <v>Listicle - CRM</v>
      </c>
      <c r="BJ574" s="8" t="str">
        <f>IFERROR(__xludf.DUMMYFUNCTION("VLOOKUP(REGEXREPLACE(BH574,""[?].*"",""""),ContentBuckets!A:C,3,FALSE)"),"Blog")</f>
        <v>Blog</v>
      </c>
    </row>
    <row r="575" ht="14.25" customHeight="1">
      <c r="A575" s="1">
        <v>153849.0</v>
      </c>
      <c r="B575" s="1" t="s">
        <v>1337</v>
      </c>
      <c r="C575" s="2">
        <v>46014.7222222222</v>
      </c>
      <c r="D575" s="2"/>
      <c r="E575" s="2"/>
      <c r="F575" s="1" t="b">
        <v>1</v>
      </c>
      <c r="G575" s="4" t="b">
        <v>0</v>
      </c>
      <c r="H575" s="1" t="b">
        <v>0</v>
      </c>
      <c r="I575" s="1" t="b">
        <v>0</v>
      </c>
      <c r="J575" s="1" t="s">
        <v>534</v>
      </c>
      <c r="K575" s="1" t="s">
        <v>535</v>
      </c>
      <c r="L575" s="1" t="s">
        <v>536</v>
      </c>
      <c r="M575" s="1" t="s">
        <v>537</v>
      </c>
      <c r="N575" s="1">
        <v>0.0</v>
      </c>
      <c r="O575" s="1">
        <v>72.75</v>
      </c>
      <c r="P575" s="1">
        <v>0.0</v>
      </c>
      <c r="Q575" s="1">
        <v>0.0</v>
      </c>
      <c r="R575" s="1">
        <v>0.0</v>
      </c>
      <c r="S575" s="1" t="s">
        <v>538</v>
      </c>
      <c r="T575" s="1" t="s">
        <v>539</v>
      </c>
      <c r="V575" s="4">
        <v>7470645.0</v>
      </c>
      <c r="W575" s="4"/>
      <c r="X575" s="4">
        <v>1.0</v>
      </c>
      <c r="Y575" s="1">
        <v>0.0</v>
      </c>
      <c r="Z575" s="1">
        <v>0.0</v>
      </c>
      <c r="AA575" s="1">
        <v>0.0</v>
      </c>
      <c r="AB575" s="1">
        <v>0.0</v>
      </c>
      <c r="AC575" s="1">
        <v>0.0</v>
      </c>
      <c r="AD575" s="1">
        <v>0.0</v>
      </c>
      <c r="AE575" s="1">
        <v>0.0</v>
      </c>
      <c r="AF575" s="1">
        <v>0.0</v>
      </c>
      <c r="AG575" s="1">
        <v>0.0</v>
      </c>
      <c r="AH575" s="1">
        <v>0.0</v>
      </c>
      <c r="AI575" s="1">
        <v>0.0</v>
      </c>
      <c r="AJ575" s="1">
        <v>0.0</v>
      </c>
      <c r="AK575" s="1">
        <v>0.0</v>
      </c>
      <c r="AL575" s="1">
        <v>0.0</v>
      </c>
      <c r="AM575" s="4">
        <v>0.0</v>
      </c>
      <c r="AN575" s="1">
        <v>0.0</v>
      </c>
      <c r="AO575" s="4">
        <v>0.0</v>
      </c>
      <c r="AP575" s="1">
        <f t="shared" si="1"/>
        <v>0</v>
      </c>
      <c r="AU575" s="2"/>
      <c r="AV575" s="2">
        <v>46024.0340277778</v>
      </c>
      <c r="AW575" s="1">
        <v>0.0</v>
      </c>
      <c r="AX575" s="1">
        <v>0.0</v>
      </c>
      <c r="AY575" s="1">
        <v>0.0</v>
      </c>
      <c r="AZ575" s="1">
        <v>1.0</v>
      </c>
      <c r="BA575" s="1">
        <v>0.0</v>
      </c>
      <c r="BB575" s="1">
        <v>0.0</v>
      </c>
      <c r="BC575" s="2">
        <v>46014.0</v>
      </c>
      <c r="BD575" s="1">
        <v>51.0</v>
      </c>
      <c r="BE575" s="1" t="s">
        <v>550</v>
      </c>
      <c r="BF575" s="1">
        <v>2025.0</v>
      </c>
      <c r="BG575" s="1" t="s">
        <v>1019</v>
      </c>
      <c r="BH575" s="7" t="str">
        <f>VLOOKUP(B575,CookieClicks!D:O,12,FALSE)</f>
        <v>https://www.method.me/</v>
      </c>
      <c r="BI575" s="8" t="str">
        <f>IFERROR(__xludf.DUMMYFUNCTION("VLOOKUP(REGEXREPLACE(BH575,""[?].*"",""""),ContentBuckets!A:C,2,FALSE)"),"Homepage")</f>
        <v>Homepage</v>
      </c>
      <c r="BJ575" s="8" t="str">
        <f>IFERROR(__xludf.DUMMYFUNCTION("VLOOKUP(REGEXREPLACE(BH575,""[?].*"",""""),ContentBuckets!A:C,3,FALSE)"),"Other page")</f>
        <v>Other page</v>
      </c>
    </row>
    <row r="576" ht="14.25" customHeight="1">
      <c r="A576" s="1">
        <v>153852.0</v>
      </c>
      <c r="B576" s="1" t="s">
        <v>1338</v>
      </c>
      <c r="C576" s="2">
        <v>46014.8375</v>
      </c>
      <c r="D576" s="2"/>
      <c r="E576" s="2"/>
      <c r="F576" s="1" t="b">
        <v>1</v>
      </c>
      <c r="G576" s="4" t="b">
        <v>0</v>
      </c>
      <c r="H576" s="1" t="b">
        <v>0</v>
      </c>
      <c r="I576" s="1" t="b">
        <v>0</v>
      </c>
      <c r="J576" s="1" t="s">
        <v>534</v>
      </c>
      <c r="K576" s="1" t="s">
        <v>535</v>
      </c>
      <c r="L576" s="1" t="s">
        <v>536</v>
      </c>
      <c r="M576" s="1" t="s">
        <v>537</v>
      </c>
      <c r="N576" s="1">
        <v>0.0</v>
      </c>
      <c r="O576" s="1">
        <v>62.25</v>
      </c>
      <c r="P576" s="1">
        <v>0.0</v>
      </c>
      <c r="Q576" s="1">
        <v>0.0</v>
      </c>
      <c r="R576" s="1">
        <v>28.0</v>
      </c>
      <c r="S576" s="1" t="s">
        <v>538</v>
      </c>
      <c r="T576" s="1" t="s">
        <v>539</v>
      </c>
      <c r="V576" s="4">
        <v>7473585.0</v>
      </c>
      <c r="W576" s="4"/>
      <c r="X576" s="4">
        <v>0.0</v>
      </c>
      <c r="Y576" s="1">
        <v>0.0</v>
      </c>
      <c r="Z576" s="1">
        <v>0.0</v>
      </c>
      <c r="AA576" s="1">
        <v>0.0</v>
      </c>
      <c r="AB576" s="1">
        <v>0.0</v>
      </c>
      <c r="AC576" s="1">
        <v>0.0</v>
      </c>
      <c r="AD576" s="1">
        <v>0.0</v>
      </c>
      <c r="AE576" s="1">
        <v>0.0</v>
      </c>
      <c r="AF576" s="1">
        <v>0.0</v>
      </c>
      <c r="AG576" s="1">
        <v>0.0</v>
      </c>
      <c r="AH576" s="1">
        <v>1.0</v>
      </c>
      <c r="AI576" s="1">
        <v>0.0</v>
      </c>
      <c r="AJ576" s="1">
        <v>0.0</v>
      </c>
      <c r="AK576" s="1">
        <v>0.0</v>
      </c>
      <c r="AL576" s="1">
        <v>0.0</v>
      </c>
      <c r="AM576" s="4">
        <v>0.0</v>
      </c>
      <c r="AN576" s="1">
        <v>0.0</v>
      </c>
      <c r="AO576" s="4">
        <v>0.0</v>
      </c>
      <c r="AP576" s="1">
        <f t="shared" si="1"/>
        <v>0</v>
      </c>
      <c r="AQ576" s="1" t="s">
        <v>557</v>
      </c>
      <c r="AR576" s="1" t="s">
        <v>857</v>
      </c>
      <c r="AU576" s="2">
        <v>46014.0</v>
      </c>
      <c r="AV576" s="2">
        <v>46023.9798611111</v>
      </c>
      <c r="AW576" s="1">
        <v>0.0</v>
      </c>
      <c r="AX576" s="1">
        <v>225847.44</v>
      </c>
      <c r="AY576" s="1">
        <v>227.0</v>
      </c>
      <c r="AZ576" s="1">
        <v>1.0</v>
      </c>
      <c r="BA576" s="1">
        <v>0.0</v>
      </c>
      <c r="BB576" s="1">
        <v>0.0</v>
      </c>
      <c r="BC576" s="2">
        <v>46014.0</v>
      </c>
      <c r="BD576" s="1">
        <v>51.0</v>
      </c>
      <c r="BE576" s="1" t="s">
        <v>550</v>
      </c>
      <c r="BF576" s="1">
        <v>2025.0</v>
      </c>
      <c r="BG576" s="1" t="s">
        <v>558</v>
      </c>
      <c r="BH576" s="1" t="str">
        <f>VLOOKUP(B576,CookieClicks!D:O,12,FALSE)</f>
        <v>https://grow.method.me/2025-customization-awards-register/?trc=699&amp;&amp;trs=customization-awards&amp;utm_source=ActiveCampaign&amp;utm_medium=email&amp;utm_content=🏆 Today at 1pm ET%3A Method Customization Awards&amp;utm_campaign=Customization Awards - Email %234 %28Copy%29&amp;vgo_ee=JxsX646T3cDyWLRuw0bw61LsR41TrXkznBTeLbQklFU%3D%3AilXIsOJZiNJiYzQJUItj2qKtskPr8Ia4</v>
      </c>
      <c r="BI576" s="8" t="str">
        <f>IFERROR(__xludf.DUMMYFUNCTION("VLOOKUP(REGEXREPLACE(BH576,""[?].*"",""""),ContentBuckets!A:C,2,FALSE)"),"#N/A")</f>
        <v>#N/A</v>
      </c>
      <c r="BJ576" s="8" t="str">
        <f>IFERROR(__xludf.DUMMYFUNCTION("VLOOKUP(REGEXREPLACE(BH576,""[?].*"",""""),ContentBuckets!A:C,3,FALSE)"),"#N/A")</f>
        <v>#N/A</v>
      </c>
    </row>
    <row r="577" ht="14.25" customHeight="1">
      <c r="A577" s="1">
        <v>153853.0</v>
      </c>
      <c r="B577" s="1" t="s">
        <v>1339</v>
      </c>
      <c r="C577" s="2">
        <v>46015.0145833333</v>
      </c>
      <c r="D577" s="2"/>
      <c r="E577" s="2"/>
      <c r="F577" s="1" t="b">
        <v>1</v>
      </c>
      <c r="G577" s="4" t="b">
        <v>0</v>
      </c>
      <c r="H577" s="1" t="b">
        <v>0</v>
      </c>
      <c r="I577" s="1" t="b">
        <v>0</v>
      </c>
      <c r="J577" s="1" t="s">
        <v>534</v>
      </c>
      <c r="K577" s="1" t="s">
        <v>535</v>
      </c>
      <c r="L577" s="1" t="s">
        <v>536</v>
      </c>
      <c r="M577" s="1" t="s">
        <v>537</v>
      </c>
      <c r="N577" s="1">
        <v>0.0</v>
      </c>
      <c r="O577" s="1">
        <v>44.25</v>
      </c>
      <c r="P577" s="1">
        <v>0.0</v>
      </c>
      <c r="Q577" s="1">
        <v>0.0</v>
      </c>
      <c r="R577" s="1">
        <v>28.0</v>
      </c>
      <c r="S577" s="1" t="s">
        <v>538</v>
      </c>
      <c r="T577" s="1" t="s">
        <v>539</v>
      </c>
      <c r="V577" s="4">
        <v>7475754.0</v>
      </c>
      <c r="W577" s="4"/>
      <c r="X577" s="4">
        <v>0.0</v>
      </c>
      <c r="Y577" s="1">
        <v>0.0</v>
      </c>
      <c r="Z577" s="1">
        <v>0.0</v>
      </c>
      <c r="AA577" s="1">
        <v>1.0</v>
      </c>
      <c r="AB577" s="1">
        <v>0.0</v>
      </c>
      <c r="AC577" s="1">
        <v>0.0</v>
      </c>
      <c r="AD577" s="1">
        <v>0.0</v>
      </c>
      <c r="AE577" s="1">
        <v>0.0</v>
      </c>
      <c r="AF577" s="1">
        <v>0.0</v>
      </c>
      <c r="AG577" s="1">
        <v>0.0</v>
      </c>
      <c r="AH577" s="1">
        <v>0.0</v>
      </c>
      <c r="AI577" s="1">
        <v>0.0</v>
      </c>
      <c r="AJ577" s="1">
        <v>0.0</v>
      </c>
      <c r="AK577" s="1">
        <v>0.0</v>
      </c>
      <c r="AL577" s="1">
        <v>0.0</v>
      </c>
      <c r="AM577" s="4">
        <v>0.0</v>
      </c>
      <c r="AN577" s="1">
        <v>0.0</v>
      </c>
      <c r="AO577" s="4">
        <v>0.0</v>
      </c>
      <c r="AP577" s="1">
        <f t="shared" si="1"/>
        <v>0</v>
      </c>
      <c r="AR577" s="1" t="s">
        <v>542</v>
      </c>
      <c r="AU577" s="2"/>
      <c r="AV577" s="2">
        <v>46023.9979166667</v>
      </c>
      <c r="AW577" s="1">
        <v>0.0</v>
      </c>
      <c r="AX577" s="1">
        <v>0.0</v>
      </c>
      <c r="AY577" s="1">
        <v>0.0</v>
      </c>
      <c r="AZ577" s="1">
        <v>1.0</v>
      </c>
      <c r="BA577" s="1">
        <v>0.0</v>
      </c>
      <c r="BB577" s="1">
        <v>0.0</v>
      </c>
      <c r="BC577" s="2">
        <v>46015.0</v>
      </c>
      <c r="BD577" s="1">
        <v>51.0</v>
      </c>
      <c r="BE577" s="1" t="s">
        <v>550</v>
      </c>
      <c r="BF577" s="1">
        <v>2025.0</v>
      </c>
      <c r="BG577" s="1" t="s">
        <v>546</v>
      </c>
      <c r="BH577" s="1" t="str">
        <f>VLOOKUP(B577,CookieClicks!D:O,12,FALSE)</f>
        <v>https://grow.method.me/quickbooks-method-cad/?trc=81&amp;trk=crm quickbooks online&amp;trs=CA-QB-O&amp;campaignid=1543604353&amp;adgroupid=61438895200&amp;adid=423725469350&amp;gad_source=1&amp;gad_campaignid=1543604353&amp;gbraid=0AAAAAD3ItnatXinqTlBk9I63OqJ62RYyu&amp;gclid=CjwKCAiAmKnKBhBrEiwAaqAnZ8795e--we7OQqCNU5Yci6gZraTtWo7_4ffi0c1x7g_intBBFyVLIhoCL1wQAvD_BwE</v>
      </c>
      <c r="BI577" s="8" t="str">
        <f>IFERROR(__xludf.DUMMYFUNCTION("VLOOKUP(REGEXREPLACE(BH577,""[?].*"",""""),ContentBuckets!A:C,2,FALSE)"),"#N/A")</f>
        <v>#N/A</v>
      </c>
      <c r="BJ577" s="8" t="str">
        <f>IFERROR(__xludf.DUMMYFUNCTION("VLOOKUP(REGEXREPLACE(BH577,""[?].*"",""""),ContentBuckets!A:C,3,FALSE)"),"#N/A")</f>
        <v>#N/A</v>
      </c>
    </row>
    <row r="578" ht="14.25" customHeight="1">
      <c r="A578" s="1">
        <v>153854.0</v>
      </c>
      <c r="B578" s="1" t="s">
        <v>1340</v>
      </c>
      <c r="C578" s="2">
        <v>46015.2395833333</v>
      </c>
      <c r="D578" s="2"/>
      <c r="E578" s="2"/>
      <c r="F578" s="1" t="b">
        <v>1</v>
      </c>
      <c r="G578" s="4" t="b">
        <v>0</v>
      </c>
      <c r="H578" s="1" t="b">
        <v>0</v>
      </c>
      <c r="I578" s="1" t="b">
        <v>0</v>
      </c>
      <c r="J578" s="1" t="s">
        <v>534</v>
      </c>
      <c r="K578" s="1" t="s">
        <v>553</v>
      </c>
      <c r="L578" s="1" t="s">
        <v>554</v>
      </c>
      <c r="M578" s="1" t="s">
        <v>537</v>
      </c>
      <c r="N578" s="1">
        <v>0.0</v>
      </c>
      <c r="O578" s="1">
        <v>44.25</v>
      </c>
      <c r="P578" s="1">
        <v>0.0</v>
      </c>
      <c r="Q578" s="1">
        <v>0.0</v>
      </c>
      <c r="R578" s="1">
        <v>0.0</v>
      </c>
      <c r="S578" s="1" t="s">
        <v>538</v>
      </c>
      <c r="T578" s="1" t="s">
        <v>539</v>
      </c>
      <c r="V578" s="4">
        <v>7477627.0</v>
      </c>
      <c r="W578" s="4" t="s">
        <v>540</v>
      </c>
      <c r="X578" s="4">
        <v>0.0</v>
      </c>
      <c r="Y578" s="1">
        <v>1.0</v>
      </c>
      <c r="Z578" s="1">
        <v>0.0</v>
      </c>
      <c r="AA578" s="1">
        <v>0.0</v>
      </c>
      <c r="AB578" s="1">
        <v>0.0</v>
      </c>
      <c r="AC578" s="1">
        <v>0.0</v>
      </c>
      <c r="AD578" s="1">
        <v>0.0</v>
      </c>
      <c r="AE578" s="1">
        <v>0.0</v>
      </c>
      <c r="AF578" s="1">
        <v>0.0</v>
      </c>
      <c r="AG578" s="1">
        <v>0.0</v>
      </c>
      <c r="AH578" s="1">
        <v>0.0</v>
      </c>
      <c r="AI578" s="1">
        <v>0.0</v>
      </c>
      <c r="AJ578" s="1">
        <v>0.0</v>
      </c>
      <c r="AK578" s="1">
        <v>0.0</v>
      </c>
      <c r="AL578" s="1">
        <v>0.0</v>
      </c>
      <c r="AM578" s="4">
        <v>0.0</v>
      </c>
      <c r="AN578" s="1">
        <v>0.0</v>
      </c>
      <c r="AO578" s="4">
        <v>0.0</v>
      </c>
      <c r="AP578" s="1">
        <f t="shared" si="1"/>
        <v>0</v>
      </c>
      <c r="AU578" s="2"/>
      <c r="AV578" s="2">
        <v>46024.0409722222</v>
      </c>
      <c r="AW578" s="1">
        <v>0.0</v>
      </c>
      <c r="AX578" s="1">
        <v>0.0</v>
      </c>
      <c r="AY578" s="1">
        <v>0.0</v>
      </c>
      <c r="AZ578" s="1">
        <v>1.0</v>
      </c>
      <c r="BA578" s="1">
        <v>0.0</v>
      </c>
      <c r="BB578" s="1">
        <v>0.0</v>
      </c>
      <c r="BC578" s="2">
        <v>46015.0</v>
      </c>
      <c r="BD578" s="1">
        <v>51.0</v>
      </c>
      <c r="BE578" s="1" t="s">
        <v>550</v>
      </c>
      <c r="BF578" s="1">
        <v>2025.0</v>
      </c>
      <c r="BG578" s="1" t="s">
        <v>655</v>
      </c>
      <c r="BH578" s="7" t="str">
        <f>VLOOKUP(B578,CookieClicks!D:O,12,FALSE)</f>
        <v>https://www.method.me/pricing-guides/hvac-estimating-spreadsheet/</v>
      </c>
      <c r="BI578" s="8" t="str">
        <f>IFERROR(__xludf.DUMMYFUNCTION("VLOOKUP(REGEXREPLACE(BH578,""[?].*"",""""),ContentBuckets!A:C,2,FALSE)"),"Pricing guide")</f>
        <v>Pricing guide</v>
      </c>
      <c r="BJ578" s="8" t="str">
        <f>IFERROR(__xludf.DUMMYFUNCTION("VLOOKUP(REGEXREPLACE(BH578,""[?].*"",""""),ContentBuckets!A:C,3,FALSE)"),"Other page")</f>
        <v>Other page</v>
      </c>
    </row>
    <row r="579" ht="14.25" customHeight="1">
      <c r="A579" s="1">
        <v>153855.0</v>
      </c>
      <c r="B579" s="1" t="s">
        <v>1341</v>
      </c>
      <c r="C579" s="2">
        <v>46015.2826388889</v>
      </c>
      <c r="D579" s="2"/>
      <c r="E579" s="2"/>
      <c r="F579" s="1" t="b">
        <v>1</v>
      </c>
      <c r="G579" s="4" t="b">
        <v>0</v>
      </c>
      <c r="H579" s="1" t="b">
        <v>0</v>
      </c>
      <c r="I579" s="1" t="b">
        <v>0</v>
      </c>
      <c r="J579" s="1" t="s">
        <v>534</v>
      </c>
      <c r="K579" s="1" t="s">
        <v>553</v>
      </c>
      <c r="L579" s="1" t="s">
        <v>554</v>
      </c>
      <c r="M579" s="1" t="s">
        <v>537</v>
      </c>
      <c r="N579" s="1">
        <v>0.0</v>
      </c>
      <c r="O579" s="1">
        <v>44.25</v>
      </c>
      <c r="P579" s="1">
        <v>0.0</v>
      </c>
      <c r="Q579" s="1">
        <v>0.0</v>
      </c>
      <c r="R579" s="1">
        <v>0.0</v>
      </c>
      <c r="S579" s="1" t="s">
        <v>538</v>
      </c>
      <c r="T579" s="1" t="s">
        <v>539</v>
      </c>
      <c r="V579" s="4">
        <v>7481009.0</v>
      </c>
      <c r="W579" s="4" t="s">
        <v>1342</v>
      </c>
      <c r="X579" s="4">
        <v>0.0</v>
      </c>
      <c r="Y579" s="1">
        <v>1.0</v>
      </c>
      <c r="Z579" s="1">
        <v>0.0</v>
      </c>
      <c r="AA579" s="1">
        <v>0.0</v>
      </c>
      <c r="AB579" s="1">
        <v>0.0</v>
      </c>
      <c r="AC579" s="1">
        <v>0.0</v>
      </c>
      <c r="AD579" s="1">
        <v>0.0</v>
      </c>
      <c r="AE579" s="1">
        <v>0.0</v>
      </c>
      <c r="AF579" s="1">
        <v>0.0</v>
      </c>
      <c r="AG579" s="1">
        <v>0.0</v>
      </c>
      <c r="AH579" s="1">
        <v>0.0</v>
      </c>
      <c r="AI579" s="1">
        <v>0.0</v>
      </c>
      <c r="AJ579" s="1">
        <v>0.0</v>
      </c>
      <c r="AK579" s="1">
        <v>0.0</v>
      </c>
      <c r="AL579" s="1">
        <v>0.0</v>
      </c>
      <c r="AM579" s="4">
        <v>0.0</v>
      </c>
      <c r="AN579" s="1">
        <v>0.0</v>
      </c>
      <c r="AO579" s="4">
        <v>0.0</v>
      </c>
      <c r="AP579" s="1">
        <f t="shared" si="1"/>
        <v>0</v>
      </c>
      <c r="AU579" s="2"/>
      <c r="AV579" s="2">
        <v>46024.03125</v>
      </c>
      <c r="AW579" s="1">
        <v>0.0</v>
      </c>
      <c r="AX579" s="1">
        <v>0.0</v>
      </c>
      <c r="AY579" s="1">
        <v>0.0</v>
      </c>
      <c r="AZ579" s="1">
        <v>1.0</v>
      </c>
      <c r="BA579" s="1">
        <v>0.0</v>
      </c>
      <c r="BB579" s="1">
        <v>0.0</v>
      </c>
      <c r="BC579" s="2">
        <v>46015.0</v>
      </c>
      <c r="BD579" s="1">
        <v>51.0</v>
      </c>
      <c r="BE579" s="1" t="s">
        <v>550</v>
      </c>
      <c r="BF579" s="1">
        <v>2025.0</v>
      </c>
      <c r="BG579" s="1" t="s">
        <v>624</v>
      </c>
      <c r="BH579" s="7" t="str">
        <f>VLOOKUP(B579,CookieClicks!D:O,12,FALSE)</f>
        <v>https://signin.method.me/</v>
      </c>
      <c r="BI579" s="8" t="str">
        <f>IFERROR(__xludf.DUMMYFUNCTION("VLOOKUP(REGEXREPLACE(BH579,""[?].*"",""""),ContentBuckets!A:C,2,FALSE)"),"#N/A")</f>
        <v>#N/A</v>
      </c>
      <c r="BJ579" s="8" t="str">
        <f>IFERROR(__xludf.DUMMYFUNCTION("VLOOKUP(REGEXREPLACE(BH579,""[?].*"",""""),ContentBuckets!A:C,3,FALSE)"),"#N/A")</f>
        <v>#N/A</v>
      </c>
    </row>
    <row r="580" ht="14.25" customHeight="1">
      <c r="A580" s="1">
        <v>153861.0</v>
      </c>
      <c r="B580" s="1" t="s">
        <v>1343</v>
      </c>
      <c r="C580" s="2">
        <v>46015.3986111111</v>
      </c>
      <c r="D580" s="2"/>
      <c r="E580" s="2"/>
      <c r="F580" s="1" t="b">
        <v>1</v>
      </c>
      <c r="G580" s="4" t="b">
        <v>0</v>
      </c>
      <c r="H580" s="1" t="b">
        <v>0</v>
      </c>
      <c r="I580" s="1" t="b">
        <v>0</v>
      </c>
      <c r="J580" s="1" t="s">
        <v>534</v>
      </c>
      <c r="K580" s="1" t="s">
        <v>703</v>
      </c>
      <c r="L580" s="1" t="s">
        <v>536</v>
      </c>
      <c r="M580" s="1" t="s">
        <v>537</v>
      </c>
      <c r="N580" s="1">
        <v>0.0</v>
      </c>
      <c r="O580" s="1">
        <v>72.75</v>
      </c>
      <c r="P580" s="1">
        <v>0.0</v>
      </c>
      <c r="Q580" s="1">
        <v>0.0</v>
      </c>
      <c r="R580" s="1">
        <v>28.0</v>
      </c>
      <c r="S580" s="1" t="s">
        <v>538</v>
      </c>
      <c r="T580" s="1" t="s">
        <v>539</v>
      </c>
      <c r="V580" s="4">
        <v>7483343.0</v>
      </c>
      <c r="W580" s="4"/>
      <c r="X580" s="4">
        <v>0.0</v>
      </c>
      <c r="Y580" s="1">
        <v>0.0</v>
      </c>
      <c r="Z580" s="1">
        <v>0.0</v>
      </c>
      <c r="AA580" s="1">
        <v>1.0</v>
      </c>
      <c r="AB580" s="1">
        <v>0.0</v>
      </c>
      <c r="AC580" s="1">
        <v>0.0</v>
      </c>
      <c r="AD580" s="1">
        <v>0.0</v>
      </c>
      <c r="AE580" s="1">
        <v>0.0</v>
      </c>
      <c r="AF580" s="1">
        <v>0.0</v>
      </c>
      <c r="AG580" s="1">
        <v>0.0</v>
      </c>
      <c r="AH580" s="1">
        <v>0.0</v>
      </c>
      <c r="AI580" s="1">
        <v>0.0</v>
      </c>
      <c r="AJ580" s="1">
        <v>0.0</v>
      </c>
      <c r="AK580" s="1">
        <v>0.0</v>
      </c>
      <c r="AL580" s="1">
        <v>0.0</v>
      </c>
      <c r="AM580" s="4">
        <v>0.0</v>
      </c>
      <c r="AN580" s="1">
        <v>0.0</v>
      </c>
      <c r="AO580" s="4">
        <v>0.0</v>
      </c>
      <c r="AP580" s="1">
        <f t="shared" si="1"/>
        <v>0</v>
      </c>
      <c r="AR580" s="1" t="s">
        <v>549</v>
      </c>
      <c r="AU580" s="2"/>
      <c r="AV580" s="2">
        <v>46024.0222222222</v>
      </c>
      <c r="AW580" s="1">
        <v>0.0</v>
      </c>
      <c r="AX580" s="1">
        <v>0.0</v>
      </c>
      <c r="AY580" s="1">
        <v>0.0</v>
      </c>
      <c r="AZ580" s="1">
        <v>1.0</v>
      </c>
      <c r="BA580" s="1">
        <v>0.0</v>
      </c>
      <c r="BB580" s="1">
        <v>0.0</v>
      </c>
      <c r="BC580" s="2">
        <v>46015.0</v>
      </c>
      <c r="BD580" s="1">
        <v>51.0</v>
      </c>
      <c r="BE580" s="1" t="s">
        <v>550</v>
      </c>
      <c r="BF580" s="1">
        <v>2025.0</v>
      </c>
      <c r="BG580" s="1" t="s">
        <v>558</v>
      </c>
      <c r="BH580" s="1" t="str">
        <f>VLOOKUP(B580,CookieClicks!D:O,12,FALSE)</f>
        <v>https://grow.method.me/quickbooks-fsm/?trc=81&amp;trk=field service quickbooks crm&amp;trs=US-FS&amp;campaignid=12406628869&amp;adgroupid=118144098677&amp;adid=500417359889&amp;gad_source=1&amp;gad_campaignid=12406628869&amp;gbraid=0AAAAAD3Itna0gEglXYLjG8xnCJbQ09ycV&amp;gclid=CjwKCAiAu67KBhAkEiwAY0jAlWWjAoedl5QPNeY4KaRK9idQ3H7BZIOPdQRKQlgKZFyiwGtyWUYGRxoCpUcQAvD_BwE</v>
      </c>
      <c r="BI580" s="8" t="str">
        <f>IFERROR(__xludf.DUMMYFUNCTION("VLOOKUP(REGEXREPLACE(BH580,""[?].*"",""""),ContentBuckets!A:C,2,FALSE)"),"#N/A")</f>
        <v>#N/A</v>
      </c>
      <c r="BJ580" s="8" t="str">
        <f>IFERROR(__xludf.DUMMYFUNCTION("VLOOKUP(REGEXREPLACE(BH580,""[?].*"",""""),ContentBuckets!A:C,3,FALSE)"),"#N/A")</f>
        <v>#N/A</v>
      </c>
    </row>
    <row r="581" ht="14.25" customHeight="1">
      <c r="A581" s="1">
        <v>153864.0</v>
      </c>
      <c r="B581" s="1" t="s">
        <v>1344</v>
      </c>
      <c r="C581" s="2">
        <v>46015.4256944444</v>
      </c>
      <c r="D581" s="2"/>
      <c r="E581" s="2"/>
      <c r="F581" s="1" t="b">
        <v>1</v>
      </c>
      <c r="G581" s="4" t="b">
        <v>0</v>
      </c>
      <c r="H581" s="1" t="b">
        <v>0</v>
      </c>
      <c r="I581" s="1" t="b">
        <v>0</v>
      </c>
      <c r="J581" s="1" t="s">
        <v>534</v>
      </c>
      <c r="K581" s="1" t="s">
        <v>535</v>
      </c>
      <c r="L581" s="1" t="s">
        <v>536</v>
      </c>
      <c r="M581" s="1" t="s">
        <v>537</v>
      </c>
      <c r="N581" s="1">
        <v>0.0</v>
      </c>
      <c r="O581" s="1">
        <v>257.25</v>
      </c>
      <c r="P581" s="1">
        <v>0.0</v>
      </c>
      <c r="Q581" s="1">
        <v>0.0</v>
      </c>
      <c r="R581" s="1">
        <v>28.0</v>
      </c>
      <c r="S581" s="1" t="s">
        <v>538</v>
      </c>
      <c r="T581" s="1" t="s">
        <v>539</v>
      </c>
      <c r="V581" s="4">
        <v>6951325.0</v>
      </c>
      <c r="W581" s="4"/>
      <c r="X581" s="4">
        <v>0.0</v>
      </c>
      <c r="Y581" s="1">
        <v>0.0</v>
      </c>
      <c r="Z581" s="1">
        <v>0.0</v>
      </c>
      <c r="AA581" s="1">
        <v>1.0</v>
      </c>
      <c r="AB581" s="1">
        <v>0.0</v>
      </c>
      <c r="AC581" s="1">
        <v>0.0</v>
      </c>
      <c r="AD581" s="1">
        <v>0.0</v>
      </c>
      <c r="AE581" s="1">
        <v>0.0</v>
      </c>
      <c r="AF581" s="1">
        <v>0.0</v>
      </c>
      <c r="AG581" s="1">
        <v>0.0</v>
      </c>
      <c r="AH581" s="1">
        <v>0.0</v>
      </c>
      <c r="AI581" s="1">
        <v>0.0</v>
      </c>
      <c r="AJ581" s="1">
        <v>0.0</v>
      </c>
      <c r="AK581" s="1">
        <v>0.0</v>
      </c>
      <c r="AL581" s="1">
        <v>0.0</v>
      </c>
      <c r="AM581" s="4">
        <v>0.0</v>
      </c>
      <c r="AN581" s="1">
        <v>0.0</v>
      </c>
      <c r="AO581" s="4">
        <v>0.0</v>
      </c>
      <c r="AP581" s="1">
        <f t="shared" si="1"/>
        <v>0</v>
      </c>
      <c r="AQ581" s="1" t="s">
        <v>557</v>
      </c>
      <c r="AR581" s="1" t="s">
        <v>568</v>
      </c>
      <c r="AU581" s="2">
        <v>46015.0</v>
      </c>
      <c r="AV581" s="2">
        <v>46024.0111111111</v>
      </c>
      <c r="AW581" s="1">
        <v>0.0</v>
      </c>
      <c r="AX581" s="1">
        <v>1795260.12</v>
      </c>
      <c r="AY581" s="1">
        <v>8548.0</v>
      </c>
      <c r="AZ581" s="1">
        <v>5.0</v>
      </c>
      <c r="BA581" s="1">
        <v>0.0</v>
      </c>
      <c r="BB581" s="1">
        <v>0.0</v>
      </c>
      <c r="BC581" s="2">
        <v>46015.0</v>
      </c>
      <c r="BD581" s="1">
        <v>51.0</v>
      </c>
      <c r="BE581" s="1" t="s">
        <v>550</v>
      </c>
      <c r="BF581" s="1">
        <v>2025.0</v>
      </c>
      <c r="BG581" s="1" t="s">
        <v>558</v>
      </c>
      <c r="BH581" s="7" t="str">
        <f>VLOOKUP(B581,CookieClicks!D:O,12,FALSE)</f>
        <v>https://www.method.me/quickbooks-crm/?trc=81&amp;trk=&amp;trs=USA-DSA-QB&amp;campaignid=13038312612&amp;adgroupid=128764620688&amp;adid=776480461340&amp;gad_source=1&amp;gad_campaignid=13038312612&amp;gbraid=0AAAAAD3ItnZ0mgjvUmbEYhOlHYAXqpZym&amp;gclid=Cj0KCQjw3OjGBhDYARIsADd-uX5Rwf5JTar1IlvzIgfKgkOKcKhOczPwfs_BW_N0ESKT3qg51wyJ90waAvPmEALw_wcB</v>
      </c>
      <c r="BI581" s="8" t="str">
        <f>IFERROR(__xludf.DUMMYFUNCTION("VLOOKUP(REGEXREPLACE(BH581,""[?].*"",""""),ContentBuckets!A:C,2,FALSE)"),"/crm-quickbooks/")</f>
        <v>/crm-quickbooks/</v>
      </c>
      <c r="BJ581" s="8" t="str">
        <f>IFERROR(__xludf.DUMMYFUNCTION("VLOOKUP(REGEXREPLACE(BH581,""[?].*"",""""),ContentBuckets!A:C,3,FALSE)"),"Other page")</f>
        <v>Other page</v>
      </c>
    </row>
    <row r="582" ht="14.25" customHeight="1">
      <c r="A582" s="1">
        <v>153866.0</v>
      </c>
      <c r="B582" s="1" t="s">
        <v>1345</v>
      </c>
      <c r="C582" s="2">
        <v>46015.4868055556</v>
      </c>
      <c r="D582" s="2"/>
      <c r="E582" s="2"/>
      <c r="F582" s="1" t="b">
        <v>1</v>
      </c>
      <c r="G582" s="4" t="b">
        <v>0</v>
      </c>
      <c r="H582" s="1" t="b">
        <v>0</v>
      </c>
      <c r="I582" s="1" t="b">
        <v>0</v>
      </c>
      <c r="J582" s="1" t="s">
        <v>534</v>
      </c>
      <c r="K582" s="1" t="s">
        <v>535</v>
      </c>
      <c r="L582" s="1" t="s">
        <v>536</v>
      </c>
      <c r="M582" s="1" t="s">
        <v>537</v>
      </c>
      <c r="N582" s="1">
        <v>0.0</v>
      </c>
      <c r="O582" s="1">
        <v>44.25</v>
      </c>
      <c r="P582" s="1">
        <v>0.0</v>
      </c>
      <c r="Q582" s="1">
        <v>0.0</v>
      </c>
      <c r="R582" s="1">
        <v>28.0</v>
      </c>
      <c r="S582" s="1" t="s">
        <v>538</v>
      </c>
      <c r="T582" s="1" t="s">
        <v>539</v>
      </c>
      <c r="V582" s="4">
        <v>7484300.0</v>
      </c>
      <c r="W582" s="4" t="s">
        <v>540</v>
      </c>
      <c r="X582" s="4">
        <v>0.0</v>
      </c>
      <c r="Y582" s="1">
        <v>1.0</v>
      </c>
      <c r="Z582" s="1">
        <v>0.0</v>
      </c>
      <c r="AA582" s="1">
        <v>0.0</v>
      </c>
      <c r="AB582" s="1">
        <v>0.0</v>
      </c>
      <c r="AC582" s="1">
        <v>0.0</v>
      </c>
      <c r="AD582" s="1">
        <v>0.0</v>
      </c>
      <c r="AE582" s="1">
        <v>0.0</v>
      </c>
      <c r="AF582" s="1">
        <v>0.0</v>
      </c>
      <c r="AG582" s="1">
        <v>0.0</v>
      </c>
      <c r="AH582" s="1">
        <v>0.0</v>
      </c>
      <c r="AI582" s="1">
        <v>0.0</v>
      </c>
      <c r="AJ582" s="1">
        <v>0.0</v>
      </c>
      <c r="AK582" s="1">
        <v>0.0</v>
      </c>
      <c r="AL582" s="1">
        <v>0.0</v>
      </c>
      <c r="AM582" s="4">
        <v>0.0</v>
      </c>
      <c r="AN582" s="1">
        <v>0.0</v>
      </c>
      <c r="AO582" s="4">
        <v>0.0</v>
      </c>
      <c r="AP582" s="1">
        <f t="shared" si="1"/>
        <v>0</v>
      </c>
      <c r="AR582" s="1" t="s">
        <v>571</v>
      </c>
      <c r="AU582" s="2"/>
      <c r="AV582" s="2">
        <v>46024.0173611111</v>
      </c>
      <c r="AW582" s="1">
        <v>0.0</v>
      </c>
      <c r="AX582" s="1">
        <v>0.0</v>
      </c>
      <c r="AY582" s="1">
        <v>0.0</v>
      </c>
      <c r="AZ582" s="1">
        <v>1.0</v>
      </c>
      <c r="BA582" s="1">
        <v>0.0</v>
      </c>
      <c r="BB582" s="1">
        <v>0.0</v>
      </c>
      <c r="BC582" s="2">
        <v>46015.0</v>
      </c>
      <c r="BD582" s="1">
        <v>51.0</v>
      </c>
      <c r="BE582" s="1" t="s">
        <v>550</v>
      </c>
      <c r="BF582" s="1">
        <v>2025.0</v>
      </c>
      <c r="BG582" s="1" t="s">
        <v>558</v>
      </c>
      <c r="BH582" s="7" t="str">
        <f>VLOOKUP(B582,CookieClicks!D:O,12,FALSE)</f>
        <v>https://www.method.me/</v>
      </c>
      <c r="BI582" s="8" t="str">
        <f>IFERROR(__xludf.DUMMYFUNCTION("VLOOKUP(REGEXREPLACE(BH582,""[?].*"",""""),ContentBuckets!A:C,2,FALSE)"),"Homepage")</f>
        <v>Homepage</v>
      </c>
      <c r="BJ582" s="8" t="str">
        <f>IFERROR(__xludf.DUMMYFUNCTION("VLOOKUP(REGEXREPLACE(BH582,""[?].*"",""""),ContentBuckets!A:C,3,FALSE)"),"Other page")</f>
        <v>Other page</v>
      </c>
    </row>
    <row r="583" ht="14.25" customHeight="1">
      <c r="A583" s="1">
        <v>153867.0</v>
      </c>
      <c r="B583" s="1" t="s">
        <v>1346</v>
      </c>
      <c r="C583" s="2">
        <v>46015.4951388889</v>
      </c>
      <c r="D583" s="2"/>
      <c r="E583" s="2"/>
      <c r="F583" s="1" t="b">
        <v>1</v>
      </c>
      <c r="G583" s="4" t="b">
        <v>0</v>
      </c>
      <c r="H583" s="1" t="b">
        <v>0</v>
      </c>
      <c r="I583" s="1" t="b">
        <v>0</v>
      </c>
      <c r="J583" s="1" t="s">
        <v>534</v>
      </c>
      <c r="K583" s="1" t="s">
        <v>535</v>
      </c>
      <c r="L583" s="1" t="s">
        <v>536</v>
      </c>
      <c r="M583" s="1" t="s">
        <v>537</v>
      </c>
      <c r="N583" s="1">
        <v>0.0</v>
      </c>
      <c r="O583" s="1">
        <v>147.0</v>
      </c>
      <c r="P583" s="1">
        <v>0.0</v>
      </c>
      <c r="Q583" s="1">
        <v>0.0</v>
      </c>
      <c r="R583" s="1">
        <v>28.0</v>
      </c>
      <c r="S583" s="1" t="s">
        <v>538</v>
      </c>
      <c r="T583" s="1" t="s">
        <v>725</v>
      </c>
      <c r="U583" s="1" t="s">
        <v>1347</v>
      </c>
      <c r="V583" s="4">
        <v>7274989.0</v>
      </c>
      <c r="W583" s="4"/>
      <c r="X583" s="4">
        <v>0.0</v>
      </c>
      <c r="Y583" s="1">
        <v>0.0</v>
      </c>
      <c r="Z583" s="1">
        <v>0.0</v>
      </c>
      <c r="AA583" s="1">
        <v>0.0</v>
      </c>
      <c r="AB583" s="1">
        <v>1.0</v>
      </c>
      <c r="AC583" s="1">
        <v>0.0</v>
      </c>
      <c r="AD583" s="1">
        <v>0.0</v>
      </c>
      <c r="AE583" s="1">
        <v>0.0</v>
      </c>
      <c r="AF583" s="1">
        <v>0.0</v>
      </c>
      <c r="AG583" s="1">
        <v>0.0</v>
      </c>
      <c r="AH583" s="1">
        <v>0.0</v>
      </c>
      <c r="AI583" s="1">
        <v>0.0</v>
      </c>
      <c r="AJ583" s="1">
        <v>0.0</v>
      </c>
      <c r="AK583" s="1">
        <v>0.0</v>
      </c>
      <c r="AL583" s="1">
        <v>0.0</v>
      </c>
      <c r="AM583" s="4">
        <v>0.0</v>
      </c>
      <c r="AN583" s="1">
        <v>0.0</v>
      </c>
      <c r="AO583" s="4">
        <v>0.0</v>
      </c>
      <c r="AP583" s="1">
        <f t="shared" si="1"/>
        <v>0</v>
      </c>
      <c r="AQ583" s="1" t="s">
        <v>557</v>
      </c>
      <c r="AR583" s="1" t="s">
        <v>542</v>
      </c>
      <c r="AT583" s="1" t="s">
        <v>1348</v>
      </c>
      <c r="AU583" s="2">
        <v>46015.0</v>
      </c>
      <c r="AV583" s="2">
        <v>46023.9909722222</v>
      </c>
      <c r="AW583" s="1">
        <v>54.0</v>
      </c>
      <c r="AX583" s="1">
        <v>1078185.72</v>
      </c>
      <c r="AY583" s="1">
        <v>2646.0</v>
      </c>
      <c r="AZ583" s="1">
        <v>4.0</v>
      </c>
      <c r="BA583" s="1">
        <v>0.0</v>
      </c>
      <c r="BB583" s="1">
        <v>0.0</v>
      </c>
      <c r="BC583" s="2">
        <v>46015.0</v>
      </c>
      <c r="BD583" s="1">
        <v>51.0</v>
      </c>
      <c r="BE583" s="1" t="s">
        <v>550</v>
      </c>
      <c r="BF583" s="1">
        <v>2025.0</v>
      </c>
      <c r="BG583" s="1" t="s">
        <v>558</v>
      </c>
      <c r="BH583" s="7" t="str">
        <f>VLOOKUP(B583,CookieClicks!D:O,12,FALSE)</f>
        <v>https://signin.method.me/?returnUrl=https%3A%2F%2Fdesertarc2.method.me%2Fapps%2FDefault.aspx%3Fdobnsjjmhvp7q7a4orwiyi7hci%3DyB0j2W29IbgOcIXyVQjvjYW6AwFy0l4Aq353xmQyFdwW0d9dPgsiUPQ1qQlbhRyXk3ClfzOa%23%2F28573cd2-a490-4bd0-af53-2cf83e4b3e9c</v>
      </c>
      <c r="BI583" s="8" t="str">
        <f>IFERROR(__xludf.DUMMYFUNCTION("VLOOKUP(REGEXREPLACE(BH583,""[?].*"",""""),ContentBuckets!A:C,2,FALSE)"),"#N/A")</f>
        <v>#N/A</v>
      </c>
      <c r="BJ583" s="8" t="str">
        <f>IFERROR(__xludf.DUMMYFUNCTION("VLOOKUP(REGEXREPLACE(BH583,""[?].*"",""""),ContentBuckets!A:C,3,FALSE)"),"#N/A")</f>
        <v>#N/A</v>
      </c>
    </row>
    <row r="584" ht="14.25" customHeight="1">
      <c r="A584" s="1">
        <v>153868.0</v>
      </c>
      <c r="B584" s="1" t="s">
        <v>1349</v>
      </c>
      <c r="C584" s="2">
        <v>46015.5270833333</v>
      </c>
      <c r="D584" s="2"/>
      <c r="E584" s="2"/>
      <c r="F584" s="1" t="b">
        <v>1</v>
      </c>
      <c r="G584" s="4" t="b">
        <v>0</v>
      </c>
      <c r="H584" s="1" t="b">
        <v>0</v>
      </c>
      <c r="I584" s="1" t="b">
        <v>0</v>
      </c>
      <c r="J584" s="1" t="s">
        <v>534</v>
      </c>
      <c r="K584" s="1" t="s">
        <v>566</v>
      </c>
      <c r="L584" s="1" t="s">
        <v>567</v>
      </c>
      <c r="M584" s="1" t="s">
        <v>537</v>
      </c>
      <c r="N584" s="1">
        <v>0.0</v>
      </c>
      <c r="O584" s="1">
        <v>44.25</v>
      </c>
      <c r="P584" s="1">
        <v>0.0</v>
      </c>
      <c r="Q584" s="1">
        <v>0.0</v>
      </c>
      <c r="R584" s="1">
        <v>28.0</v>
      </c>
      <c r="S584" s="1" t="s">
        <v>538</v>
      </c>
      <c r="T584" s="1" t="s">
        <v>539</v>
      </c>
      <c r="V584" s="4">
        <v>7485094.0</v>
      </c>
      <c r="W584" s="4"/>
      <c r="X584" s="4">
        <v>0.0</v>
      </c>
      <c r="Y584" s="1">
        <v>0.0</v>
      </c>
      <c r="Z584" s="1">
        <v>0.0</v>
      </c>
      <c r="AA584" s="1">
        <v>1.0</v>
      </c>
      <c r="AB584" s="1">
        <v>0.0</v>
      </c>
      <c r="AC584" s="1">
        <v>0.0</v>
      </c>
      <c r="AD584" s="1">
        <v>0.0</v>
      </c>
      <c r="AE584" s="1">
        <v>0.0</v>
      </c>
      <c r="AF584" s="1">
        <v>0.0</v>
      </c>
      <c r="AG584" s="1">
        <v>0.0</v>
      </c>
      <c r="AH584" s="1">
        <v>0.0</v>
      </c>
      <c r="AI584" s="1">
        <v>0.0</v>
      </c>
      <c r="AJ584" s="1">
        <v>0.0</v>
      </c>
      <c r="AK584" s="1">
        <v>0.0</v>
      </c>
      <c r="AL584" s="1">
        <v>0.0</v>
      </c>
      <c r="AM584" s="4">
        <v>0.0</v>
      </c>
      <c r="AN584" s="1">
        <v>0.0</v>
      </c>
      <c r="AO584" s="4">
        <v>0.0</v>
      </c>
      <c r="AP584" s="1">
        <f t="shared" si="1"/>
        <v>0</v>
      </c>
      <c r="AR584" s="1" t="s">
        <v>542</v>
      </c>
      <c r="AU584" s="2"/>
      <c r="AV584" s="2">
        <v>46024.0159722222</v>
      </c>
      <c r="AW584" s="1">
        <v>0.0</v>
      </c>
      <c r="AX584" s="1">
        <v>0.0</v>
      </c>
      <c r="AY584" s="1">
        <v>0.0</v>
      </c>
      <c r="AZ584" s="1">
        <v>1.0</v>
      </c>
      <c r="BA584" s="1">
        <v>0.0</v>
      </c>
      <c r="BB584" s="1">
        <v>0.0</v>
      </c>
      <c r="BC584" s="2">
        <v>46015.0</v>
      </c>
      <c r="BD584" s="1">
        <v>51.0</v>
      </c>
      <c r="BE584" s="1" t="s">
        <v>550</v>
      </c>
      <c r="BF584" s="1">
        <v>2025.0</v>
      </c>
      <c r="BG584" s="1" t="s">
        <v>558</v>
      </c>
      <c r="BH584" s="1" t="str">
        <f>VLOOKUP(B584,CookieClicks!D:O,12,FALSE)</f>
        <v>https://grow.method.me/crm-quickbooks/?trc=86&amp;trk=quickbooks desktop integration&amp;trs=USA-G-QB-Bing&amp;msclkid=a0abc68a4fb41ec93f77afc66b9db960&amp;utm_source=bing&amp;utm_medium=cpc&amp;utm_campaign=US - Generic 2020&amp;utm_term=quickbooks desktop integration&amp;utm_content=Generic</v>
      </c>
      <c r="BI584" s="8" t="str">
        <f>IFERROR(__xludf.DUMMYFUNCTION("VLOOKUP(REGEXREPLACE(BH584,""[?].*"",""""),ContentBuckets!A:C,2,FALSE)"),"#N/A")</f>
        <v>#N/A</v>
      </c>
      <c r="BJ584" s="8" t="str">
        <f>IFERROR(__xludf.DUMMYFUNCTION("VLOOKUP(REGEXREPLACE(BH584,""[?].*"",""""),ContentBuckets!A:C,3,FALSE)"),"#N/A")</f>
        <v>#N/A</v>
      </c>
    </row>
    <row r="585" ht="14.25" customHeight="1">
      <c r="A585" s="1">
        <v>153870.0</v>
      </c>
      <c r="B585" s="1" t="s">
        <v>1350</v>
      </c>
      <c r="C585" s="2">
        <v>46015.5868055556</v>
      </c>
      <c r="D585" s="2"/>
      <c r="E585" s="2"/>
      <c r="F585" s="1" t="b">
        <v>1</v>
      </c>
      <c r="G585" s="4" t="b">
        <v>0</v>
      </c>
      <c r="H585" s="1" t="b">
        <v>0</v>
      </c>
      <c r="I585" s="1" t="b">
        <v>0</v>
      </c>
      <c r="J585" s="1" t="s">
        <v>534</v>
      </c>
      <c r="K585" s="1" t="s">
        <v>535</v>
      </c>
      <c r="L585" s="1" t="s">
        <v>536</v>
      </c>
      <c r="M585" s="1" t="s">
        <v>537</v>
      </c>
      <c r="N585" s="1">
        <v>0.0</v>
      </c>
      <c r="O585" s="1">
        <v>191.25</v>
      </c>
      <c r="P585" s="1">
        <v>0.0</v>
      </c>
      <c r="Q585" s="1">
        <v>0.0</v>
      </c>
      <c r="R585" s="1">
        <v>28.0</v>
      </c>
      <c r="S585" s="1" t="s">
        <v>538</v>
      </c>
      <c r="T585" s="1" t="s">
        <v>539</v>
      </c>
      <c r="V585" s="4">
        <v>7447047.0</v>
      </c>
      <c r="W585" s="4"/>
      <c r="X585" s="4">
        <v>0.0</v>
      </c>
      <c r="Y585" s="1">
        <v>0.0</v>
      </c>
      <c r="Z585" s="1">
        <v>0.0</v>
      </c>
      <c r="AA585" s="1">
        <v>1.0</v>
      </c>
      <c r="AB585" s="1">
        <v>0.0</v>
      </c>
      <c r="AC585" s="1">
        <v>0.0</v>
      </c>
      <c r="AD585" s="1">
        <v>0.0</v>
      </c>
      <c r="AE585" s="1">
        <v>0.0</v>
      </c>
      <c r="AF585" s="1">
        <v>0.0</v>
      </c>
      <c r="AG585" s="1">
        <v>0.0</v>
      </c>
      <c r="AH585" s="1">
        <v>0.0</v>
      </c>
      <c r="AI585" s="1">
        <v>0.0</v>
      </c>
      <c r="AJ585" s="1">
        <v>0.0</v>
      </c>
      <c r="AK585" s="1">
        <v>0.0</v>
      </c>
      <c r="AL585" s="1">
        <v>0.0</v>
      </c>
      <c r="AM585" s="4">
        <v>0.0</v>
      </c>
      <c r="AN585" s="1">
        <v>0.0</v>
      </c>
      <c r="AO585" s="4">
        <v>0.0</v>
      </c>
      <c r="AP585" s="1">
        <f t="shared" si="1"/>
        <v>0</v>
      </c>
      <c r="AQ585" s="1" t="s">
        <v>557</v>
      </c>
      <c r="AR585" s="1" t="s">
        <v>571</v>
      </c>
      <c r="AT585" s="1" t="s">
        <v>1351</v>
      </c>
      <c r="AU585" s="2">
        <v>46015.0</v>
      </c>
      <c r="AV585" s="2">
        <v>46024.0013888889</v>
      </c>
      <c r="AW585" s="1">
        <v>0.0</v>
      </c>
      <c r="AX585" s="1">
        <v>42072.0</v>
      </c>
      <c r="AY585" s="1">
        <v>5.0</v>
      </c>
      <c r="AZ585" s="1">
        <v>3.0</v>
      </c>
      <c r="BA585" s="1">
        <v>0.0</v>
      </c>
      <c r="BB585" s="1">
        <v>0.0</v>
      </c>
      <c r="BC585" s="2">
        <v>46015.0</v>
      </c>
      <c r="BD585" s="1">
        <v>51.0</v>
      </c>
      <c r="BE585" s="1" t="s">
        <v>550</v>
      </c>
      <c r="BF585" s="1">
        <v>2025.0</v>
      </c>
      <c r="BG585" s="1" t="s">
        <v>558</v>
      </c>
      <c r="BH585" s="1" t="str">
        <f>VLOOKUP(B585,CookieClicks!D:O,12,FALSE)</f>
        <v>https://grow.method.me/qb-payment/?trc=81&amp;trk=quickbooks credit card processing&amp;trs=US-payment&amp;campaignid=19733246298&amp;adgroupid=146278163933&amp;adid=649435146420&amp;gad_source=1&amp;gad_campaignid=19733246298&amp;gbraid=0AAAAAD3Itnb3XSwC0u3WzNZkqiz6UscaR&amp;gclid=Cj0KCQiA0p7KBhCkARIsAE6Xlam_L2GiBMa-_e2SuZYxQOn2Nv_JHc-x8zjVSsNfAg4PpN4tOru-1yYaAr6mEALw_wcB</v>
      </c>
      <c r="BI585" s="8" t="str">
        <f>IFERROR(__xludf.DUMMYFUNCTION("VLOOKUP(REGEXREPLACE(BH585,""[?].*"",""""),ContentBuckets!A:C,2,FALSE)"),"#N/A")</f>
        <v>#N/A</v>
      </c>
      <c r="BJ585" s="8" t="str">
        <f>IFERROR(__xludf.DUMMYFUNCTION("VLOOKUP(REGEXREPLACE(BH585,""[?].*"",""""),ContentBuckets!A:C,3,FALSE)"),"#N/A")</f>
        <v>#N/A</v>
      </c>
    </row>
    <row r="586" ht="14.25" customHeight="1">
      <c r="A586" s="1">
        <v>153871.0</v>
      </c>
      <c r="B586" s="1" t="s">
        <v>1352</v>
      </c>
      <c r="C586" s="2">
        <v>46015.6097222222</v>
      </c>
      <c r="D586" s="2"/>
      <c r="E586" s="2"/>
      <c r="F586" s="1" t="b">
        <v>1</v>
      </c>
      <c r="G586" s="4" t="b">
        <v>0</v>
      </c>
      <c r="H586" s="1" t="b">
        <v>0</v>
      </c>
      <c r="I586" s="1" t="b">
        <v>0</v>
      </c>
      <c r="J586" s="1" t="s">
        <v>534</v>
      </c>
      <c r="K586" s="1" t="s">
        <v>553</v>
      </c>
      <c r="L586" s="1" t="s">
        <v>554</v>
      </c>
      <c r="M586" s="1" t="s">
        <v>537</v>
      </c>
      <c r="N586" s="1">
        <v>0.0</v>
      </c>
      <c r="O586" s="1">
        <v>44.25</v>
      </c>
      <c r="P586" s="1">
        <v>0.0</v>
      </c>
      <c r="Q586" s="1">
        <v>0.0</v>
      </c>
      <c r="R586" s="1">
        <v>0.0</v>
      </c>
      <c r="S586" s="1" t="s">
        <v>538</v>
      </c>
      <c r="T586" s="1" t="s">
        <v>539</v>
      </c>
      <c r="V586" s="4">
        <v>7487526.0</v>
      </c>
      <c r="W586" s="4"/>
      <c r="X586" s="4">
        <v>0.0</v>
      </c>
      <c r="Y586" s="1">
        <v>0.0</v>
      </c>
      <c r="Z586" s="1">
        <v>0.0</v>
      </c>
      <c r="AA586" s="1">
        <v>1.0</v>
      </c>
      <c r="AB586" s="1">
        <v>0.0</v>
      </c>
      <c r="AC586" s="1">
        <v>0.0</v>
      </c>
      <c r="AD586" s="1">
        <v>0.0</v>
      </c>
      <c r="AE586" s="1">
        <v>0.0</v>
      </c>
      <c r="AF586" s="1">
        <v>0.0</v>
      </c>
      <c r="AG586" s="1">
        <v>0.0</v>
      </c>
      <c r="AH586" s="1">
        <v>0.0</v>
      </c>
      <c r="AI586" s="1">
        <v>0.0</v>
      </c>
      <c r="AJ586" s="1">
        <v>0.0</v>
      </c>
      <c r="AK586" s="1">
        <v>0.0</v>
      </c>
      <c r="AL586" s="1">
        <v>0.0</v>
      </c>
      <c r="AM586" s="4">
        <v>0.0</v>
      </c>
      <c r="AN586" s="1">
        <v>0.0</v>
      </c>
      <c r="AO586" s="4">
        <v>0.0</v>
      </c>
      <c r="AP586" s="1">
        <f t="shared" si="1"/>
        <v>0</v>
      </c>
      <c r="AU586" s="2"/>
      <c r="AV586" s="2">
        <v>46023.9972222222</v>
      </c>
      <c r="AW586" s="1">
        <v>0.0</v>
      </c>
      <c r="AX586" s="1">
        <v>0.0</v>
      </c>
      <c r="AY586" s="1">
        <v>0.0</v>
      </c>
      <c r="AZ586" s="1">
        <v>1.0</v>
      </c>
      <c r="BA586" s="1">
        <v>0.0</v>
      </c>
      <c r="BB586" s="1">
        <v>0.0</v>
      </c>
      <c r="BC586" s="2">
        <v>46015.0</v>
      </c>
      <c r="BD586" s="1">
        <v>51.0</v>
      </c>
      <c r="BE586" s="1" t="s">
        <v>550</v>
      </c>
      <c r="BF586" s="1">
        <v>2025.0</v>
      </c>
      <c r="BG586" s="1" t="s">
        <v>558</v>
      </c>
      <c r="BH586" s="1" t="str">
        <f>VLOOKUP(B586,CookieClicks!D:O,12,FALSE)</f>
        <v>https://grow.method.me/feature-estimate/?trc=81&amp;trk=creating invoices in quickbooks online&amp;trs=US-QBEstimates&amp;campaignid=19733246298&amp;adgroupid=160184660571&amp;adid=676701373566&amp;gad_source=1&amp;gad_campaignid=19733246298&amp;gbraid=0AAAAAD3ItnblVQxF2jnlcj80pd1Sgm5Gp&amp;gclid=EAIaIQobChMInMjpo_zWkQMVPinUAR1Q1QVYEAAYAiAAEgK6l_D_BwE</v>
      </c>
      <c r="BI586" s="8" t="str">
        <f>IFERROR(__xludf.DUMMYFUNCTION("VLOOKUP(REGEXREPLACE(BH586,""[?].*"",""""),ContentBuckets!A:C,2,FALSE)"),"#N/A")</f>
        <v>#N/A</v>
      </c>
      <c r="BJ586" s="8" t="str">
        <f>IFERROR(__xludf.DUMMYFUNCTION("VLOOKUP(REGEXREPLACE(BH586,""[?].*"",""""),ContentBuckets!A:C,3,FALSE)"),"#N/A")</f>
        <v>#N/A</v>
      </c>
    </row>
    <row r="587" ht="14.25" customHeight="1">
      <c r="A587" s="1">
        <v>153872.0</v>
      </c>
      <c r="B587" s="1" t="s">
        <v>1353</v>
      </c>
      <c r="C587" s="2">
        <v>46015.6256944444</v>
      </c>
      <c r="D587" s="2"/>
      <c r="E587" s="2"/>
      <c r="F587" s="1" t="b">
        <v>1</v>
      </c>
      <c r="G587" s="4" t="b">
        <v>1</v>
      </c>
      <c r="H587" s="1" t="b">
        <v>0</v>
      </c>
      <c r="I587" s="1" t="b">
        <v>0</v>
      </c>
      <c r="J587" s="1" t="s">
        <v>534</v>
      </c>
      <c r="K587" s="1" t="s">
        <v>535</v>
      </c>
      <c r="L587" s="1" t="s">
        <v>536</v>
      </c>
      <c r="M587" s="1" t="s">
        <v>537</v>
      </c>
      <c r="N587" s="1">
        <v>0.0</v>
      </c>
      <c r="O587" s="1">
        <v>40.0</v>
      </c>
      <c r="P587" s="1">
        <v>0.0</v>
      </c>
      <c r="Q587" s="1">
        <v>0.0</v>
      </c>
      <c r="R587" s="1">
        <v>0.0</v>
      </c>
      <c r="S587" s="1" t="s">
        <v>538</v>
      </c>
      <c r="T587" s="1" t="s">
        <v>539</v>
      </c>
      <c r="V587" s="4">
        <v>0.0</v>
      </c>
      <c r="W587" s="4"/>
      <c r="X587" s="4">
        <v>0.0</v>
      </c>
      <c r="Y587" s="1">
        <v>0.0</v>
      </c>
      <c r="Z587" s="1">
        <v>0.0</v>
      </c>
      <c r="AA587" s="1">
        <v>0.0</v>
      </c>
      <c r="AB587" s="1">
        <v>0.0</v>
      </c>
      <c r="AC587" s="1">
        <v>0.0</v>
      </c>
      <c r="AD587" s="1">
        <v>0.0</v>
      </c>
      <c r="AE587" s="1">
        <v>0.0</v>
      </c>
      <c r="AF587" s="1">
        <v>0.0</v>
      </c>
      <c r="AG587" s="1">
        <v>0.0</v>
      </c>
      <c r="AH587" s="1">
        <v>0.0</v>
      </c>
      <c r="AI587" s="1">
        <v>0.0</v>
      </c>
      <c r="AJ587" s="1">
        <v>0.0</v>
      </c>
      <c r="AK587" s="1">
        <v>0.0</v>
      </c>
      <c r="AL587" s="1">
        <v>0.0</v>
      </c>
      <c r="AM587" s="4">
        <v>0.0</v>
      </c>
      <c r="AN587" s="1">
        <v>0.0</v>
      </c>
      <c r="AO587" s="4">
        <v>0.0</v>
      </c>
      <c r="AP587" s="1">
        <f t="shared" si="1"/>
        <v>1</v>
      </c>
      <c r="AU587" s="2"/>
      <c r="AV587" s="2">
        <v>46023.9854166667</v>
      </c>
      <c r="AW587" s="1">
        <v>0.0</v>
      </c>
      <c r="AX587" s="1">
        <v>0.0</v>
      </c>
      <c r="AY587" s="1">
        <v>0.0</v>
      </c>
      <c r="AZ587" s="1">
        <v>1.0</v>
      </c>
      <c r="BA587" s="1">
        <v>0.0</v>
      </c>
      <c r="BB587" s="1">
        <v>0.0</v>
      </c>
      <c r="BC587" s="2">
        <v>46015.0</v>
      </c>
      <c r="BD587" s="1">
        <v>51.0</v>
      </c>
      <c r="BE587" s="1" t="s">
        <v>550</v>
      </c>
      <c r="BF587" s="1">
        <v>2025.0</v>
      </c>
      <c r="BG587" s="1" t="s">
        <v>558</v>
      </c>
      <c r="BH587" s="1" t="str">
        <f>VLOOKUP(B587,CookieClicks!D:O,12,FALSE)</f>
        <v>#N/A</v>
      </c>
      <c r="BI587" s="8" t="str">
        <f>IFERROR(__xludf.DUMMYFUNCTION("VLOOKUP(REGEXREPLACE(BH587,""[?].*"",""""),ContentBuckets!A:C,2,FALSE)"),"#N/A")</f>
        <v>#N/A</v>
      </c>
      <c r="BJ587" s="8" t="str">
        <f>IFERROR(__xludf.DUMMYFUNCTION("VLOOKUP(REGEXREPLACE(BH587,""[?].*"",""""),ContentBuckets!A:C,3,FALSE)"),"#N/A")</f>
        <v>#N/A</v>
      </c>
    </row>
    <row r="588" ht="14.25" customHeight="1">
      <c r="A588" s="1">
        <v>153873.0</v>
      </c>
      <c r="B588" s="1" t="s">
        <v>1354</v>
      </c>
      <c r="C588" s="2">
        <v>46015.6833333333</v>
      </c>
      <c r="D588" s="2"/>
      <c r="E588" s="2"/>
      <c r="F588" s="1" t="b">
        <v>1</v>
      </c>
      <c r="G588" s="4" t="b">
        <v>0</v>
      </c>
      <c r="H588" s="1" t="b">
        <v>0</v>
      </c>
      <c r="I588" s="1" t="b">
        <v>0</v>
      </c>
      <c r="J588" s="1" t="s">
        <v>534</v>
      </c>
      <c r="K588" s="1" t="s">
        <v>535</v>
      </c>
      <c r="L588" s="1" t="s">
        <v>536</v>
      </c>
      <c r="M588" s="1" t="s">
        <v>537</v>
      </c>
      <c r="N588" s="1">
        <v>0.0</v>
      </c>
      <c r="O588" s="1">
        <v>191.25</v>
      </c>
      <c r="P588" s="1">
        <v>0.0</v>
      </c>
      <c r="Q588" s="1">
        <v>0.0</v>
      </c>
      <c r="R588" s="1">
        <v>28.0</v>
      </c>
      <c r="S588" s="1" t="s">
        <v>538</v>
      </c>
      <c r="T588" s="1" t="s">
        <v>539</v>
      </c>
      <c r="V588" s="4">
        <v>7457343.0</v>
      </c>
      <c r="W588" s="4" t="s">
        <v>540</v>
      </c>
      <c r="X588" s="4">
        <v>0.0</v>
      </c>
      <c r="Y588" s="1">
        <v>1.0</v>
      </c>
      <c r="Z588" s="1">
        <v>0.0</v>
      </c>
      <c r="AA588" s="1">
        <v>0.0</v>
      </c>
      <c r="AB588" s="1">
        <v>0.0</v>
      </c>
      <c r="AC588" s="1">
        <v>0.0</v>
      </c>
      <c r="AD588" s="1">
        <v>0.0</v>
      </c>
      <c r="AE588" s="1">
        <v>0.0</v>
      </c>
      <c r="AF588" s="1">
        <v>0.0</v>
      </c>
      <c r="AG588" s="1">
        <v>0.0</v>
      </c>
      <c r="AH588" s="1">
        <v>0.0</v>
      </c>
      <c r="AI588" s="1">
        <v>0.0</v>
      </c>
      <c r="AJ588" s="1">
        <v>0.0</v>
      </c>
      <c r="AK588" s="1">
        <v>0.0</v>
      </c>
      <c r="AL588" s="1">
        <v>0.0</v>
      </c>
      <c r="AM588" s="4">
        <v>0.0</v>
      </c>
      <c r="AN588" s="1">
        <v>0.0</v>
      </c>
      <c r="AO588" s="4">
        <v>0.0</v>
      </c>
      <c r="AP588" s="1">
        <f t="shared" si="1"/>
        <v>0</v>
      </c>
      <c r="AQ588" s="1" t="s">
        <v>541</v>
      </c>
      <c r="AR588" s="1" t="s">
        <v>564</v>
      </c>
      <c r="AT588" s="1" t="s">
        <v>1059</v>
      </c>
      <c r="AU588" s="2">
        <v>46015.0</v>
      </c>
      <c r="AV588" s="2">
        <v>46023.9868055556</v>
      </c>
      <c r="AW588" s="1">
        <v>0.0</v>
      </c>
      <c r="AX588" s="1">
        <v>60.0</v>
      </c>
      <c r="AY588" s="1">
        <v>3.0</v>
      </c>
      <c r="AZ588" s="1">
        <v>3.0</v>
      </c>
      <c r="BA588" s="1">
        <v>0.0</v>
      </c>
      <c r="BB588" s="1">
        <v>0.0</v>
      </c>
      <c r="BC588" s="2">
        <v>46015.0</v>
      </c>
      <c r="BD588" s="1">
        <v>51.0</v>
      </c>
      <c r="BE588" s="1" t="s">
        <v>550</v>
      </c>
      <c r="BF588" s="1">
        <v>2025.0</v>
      </c>
      <c r="BG588" s="1" t="s">
        <v>546</v>
      </c>
      <c r="BH588" s="7" t="str">
        <f>VLOOKUP(B588,CookieClicks!D:O,12,FALSE)</f>
        <v>https://forums.method.me/</v>
      </c>
      <c r="BI588" s="8" t="str">
        <f>IFERROR(__xludf.DUMMYFUNCTION("VLOOKUP(REGEXREPLACE(BH588,""[?].*"",""""),ContentBuckets!A:C,2,FALSE)"),"#N/A")</f>
        <v>#N/A</v>
      </c>
      <c r="BJ588" s="8" t="str">
        <f>IFERROR(__xludf.DUMMYFUNCTION("VLOOKUP(REGEXREPLACE(BH588,""[?].*"",""""),ContentBuckets!A:C,3,FALSE)"),"#N/A")</f>
        <v>#N/A</v>
      </c>
    </row>
    <row r="589" ht="14.25" customHeight="1">
      <c r="A589" s="1">
        <v>153874.0</v>
      </c>
      <c r="B589" s="1" t="s">
        <v>1355</v>
      </c>
      <c r="C589" s="2">
        <v>46015.7444444444</v>
      </c>
      <c r="D589" s="2"/>
      <c r="E589" s="2"/>
      <c r="F589" s="1" t="b">
        <v>1</v>
      </c>
      <c r="G589" s="4" t="b">
        <v>0</v>
      </c>
      <c r="H589" s="1" t="b">
        <v>0</v>
      </c>
      <c r="I589" s="1" t="b">
        <v>0</v>
      </c>
      <c r="J589" s="1" t="s">
        <v>534</v>
      </c>
      <c r="K589" s="1" t="s">
        <v>535</v>
      </c>
      <c r="L589" s="1" t="s">
        <v>536</v>
      </c>
      <c r="M589" s="1" t="s">
        <v>537</v>
      </c>
      <c r="N589" s="1">
        <v>0.0</v>
      </c>
      <c r="O589" s="1">
        <v>44.25</v>
      </c>
      <c r="P589" s="1">
        <v>0.0</v>
      </c>
      <c r="Q589" s="1">
        <v>0.0</v>
      </c>
      <c r="R589" s="1">
        <v>28.0</v>
      </c>
      <c r="S589" s="1" t="s">
        <v>538</v>
      </c>
      <c r="T589" s="1" t="s">
        <v>539</v>
      </c>
      <c r="V589" s="4">
        <v>7490185.0</v>
      </c>
      <c r="W589" s="4"/>
      <c r="X589" s="4">
        <v>0.0</v>
      </c>
      <c r="Y589" s="1">
        <v>0.0</v>
      </c>
      <c r="Z589" s="1">
        <v>0.0</v>
      </c>
      <c r="AA589" s="1">
        <v>1.0</v>
      </c>
      <c r="AB589" s="1">
        <v>0.0</v>
      </c>
      <c r="AC589" s="1">
        <v>0.0</v>
      </c>
      <c r="AD589" s="1">
        <v>0.0</v>
      </c>
      <c r="AE589" s="1">
        <v>0.0</v>
      </c>
      <c r="AF589" s="1">
        <v>0.0</v>
      </c>
      <c r="AG589" s="1">
        <v>0.0</v>
      </c>
      <c r="AH589" s="1">
        <v>0.0</v>
      </c>
      <c r="AI589" s="1">
        <v>0.0</v>
      </c>
      <c r="AJ589" s="1">
        <v>0.0</v>
      </c>
      <c r="AK589" s="1">
        <v>0.0</v>
      </c>
      <c r="AL589" s="1">
        <v>0.0</v>
      </c>
      <c r="AM589" s="4">
        <v>0.0</v>
      </c>
      <c r="AN589" s="1">
        <v>0.0</v>
      </c>
      <c r="AO589" s="4">
        <v>0.0</v>
      </c>
      <c r="AP589" s="1">
        <f t="shared" si="1"/>
        <v>0</v>
      </c>
      <c r="AR589" s="1" t="s">
        <v>608</v>
      </c>
      <c r="AU589" s="2"/>
      <c r="AV589" s="2">
        <v>46024.0069444444</v>
      </c>
      <c r="AW589" s="1">
        <v>0.0</v>
      </c>
      <c r="AX589" s="1">
        <v>0.0</v>
      </c>
      <c r="AY589" s="1">
        <v>0.0</v>
      </c>
      <c r="AZ589" s="1">
        <v>1.0</v>
      </c>
      <c r="BA589" s="1">
        <v>0.0</v>
      </c>
      <c r="BB589" s="1">
        <v>0.0</v>
      </c>
      <c r="BC589" s="2">
        <v>46015.0</v>
      </c>
      <c r="BD589" s="1">
        <v>51.0</v>
      </c>
      <c r="BE589" s="1" t="s">
        <v>550</v>
      </c>
      <c r="BF589" s="1">
        <v>2025.0</v>
      </c>
      <c r="BG589" s="1" t="s">
        <v>546</v>
      </c>
      <c r="BH589" s="1" t="str">
        <f>VLOOKUP(B589,CookieClicks!D:O,12,FALSE)</f>
        <v>https://grow.method.me/quickbooks-method-cad/?trc=81&amp;trk=crm quickbooks online&amp;trs=CA-QB-O&amp;campaignid=1543604353&amp;adgroupid=61438895200&amp;adid=423725469350&amp;gad_source=1&amp;gad_campaignid=1543604353&amp;gbraid=0AAAAAD3ItnatXinqTlBk9I63OqJ62RYyu&amp;gclid=CjwKCAiAu67KBhAkEiwAY0jAlbzYduV_7CLjyueiqfOjVqmH0YmW34PNfDR75mnofUSGHzKWhhZgpxoCW7cQAvD_BwE</v>
      </c>
      <c r="BI589" s="8" t="str">
        <f>IFERROR(__xludf.DUMMYFUNCTION("VLOOKUP(REGEXREPLACE(BH589,""[?].*"",""""),ContentBuckets!A:C,2,FALSE)"),"#N/A")</f>
        <v>#N/A</v>
      </c>
      <c r="BJ589" s="8" t="str">
        <f>IFERROR(__xludf.DUMMYFUNCTION("VLOOKUP(REGEXREPLACE(BH589,""[?].*"",""""),ContentBuckets!A:C,3,FALSE)"),"#N/A")</f>
        <v>#N/A</v>
      </c>
    </row>
    <row r="590" ht="14.25" customHeight="1">
      <c r="A590" s="1">
        <v>153875.0</v>
      </c>
      <c r="B590" s="1" t="s">
        <v>1356</v>
      </c>
      <c r="C590" s="2">
        <v>46015.7451388889</v>
      </c>
      <c r="D590" s="2">
        <v>46015.7506944444</v>
      </c>
      <c r="E590" s="2">
        <v>46015.75</v>
      </c>
      <c r="F590" s="1" t="b">
        <v>0</v>
      </c>
      <c r="G590" s="4" t="b">
        <v>1</v>
      </c>
      <c r="H590" s="1" t="b">
        <v>0</v>
      </c>
      <c r="I590" s="1" t="b">
        <v>0</v>
      </c>
      <c r="J590" s="1" t="s">
        <v>534</v>
      </c>
      <c r="K590" s="1" t="s">
        <v>622</v>
      </c>
      <c r="L590" s="1" t="s">
        <v>623</v>
      </c>
      <c r="M590" s="1" t="s">
        <v>537</v>
      </c>
      <c r="N590" s="1">
        <v>0.0</v>
      </c>
      <c r="O590" s="1">
        <v>0.0</v>
      </c>
      <c r="P590" s="1">
        <v>0.0</v>
      </c>
      <c r="Q590" s="1">
        <v>0.0</v>
      </c>
      <c r="R590" s="1">
        <v>0.0</v>
      </c>
      <c r="S590" s="1" t="s">
        <v>538</v>
      </c>
      <c r="T590" s="1" t="s">
        <v>539</v>
      </c>
      <c r="V590" s="4">
        <v>7333901.0</v>
      </c>
      <c r="W590" s="4"/>
      <c r="X590" s="4">
        <v>1.0</v>
      </c>
      <c r="Y590" s="1">
        <v>0.0</v>
      </c>
      <c r="Z590" s="1">
        <v>0.0</v>
      </c>
      <c r="AA590" s="1">
        <v>0.0</v>
      </c>
      <c r="AB590" s="1">
        <v>0.0</v>
      </c>
      <c r="AC590" s="1">
        <v>0.0</v>
      </c>
      <c r="AD590" s="1">
        <v>0.0</v>
      </c>
      <c r="AE590" s="1">
        <v>0.0</v>
      </c>
      <c r="AF590" s="1">
        <v>0.0</v>
      </c>
      <c r="AG590" s="1">
        <v>0.0</v>
      </c>
      <c r="AH590" s="1">
        <v>0.0</v>
      </c>
      <c r="AI590" s="1">
        <v>0.0</v>
      </c>
      <c r="AJ590" s="1">
        <v>0.0</v>
      </c>
      <c r="AK590" s="1">
        <v>0.0</v>
      </c>
      <c r="AL590" s="1">
        <v>0.0</v>
      </c>
      <c r="AM590" s="4">
        <v>0.0</v>
      </c>
      <c r="AN590" s="1">
        <v>0.0</v>
      </c>
      <c r="AO590" s="4">
        <v>0.0</v>
      </c>
      <c r="AP590" s="1">
        <f t="shared" si="1"/>
        <v>0</v>
      </c>
      <c r="AQ590" s="1" t="s">
        <v>557</v>
      </c>
      <c r="AU590" s="2"/>
      <c r="AV590" s="2"/>
      <c r="AW590" s="1">
        <v>0.0</v>
      </c>
      <c r="AX590" s="1">
        <v>0.0</v>
      </c>
      <c r="AY590" s="1">
        <v>0.0</v>
      </c>
      <c r="AZ590" s="1">
        <v>1.0</v>
      </c>
      <c r="BA590" s="1">
        <v>0.0</v>
      </c>
      <c r="BB590" s="1">
        <v>0.0</v>
      </c>
      <c r="BC590" s="2">
        <v>46015.0</v>
      </c>
      <c r="BD590" s="1">
        <v>51.0</v>
      </c>
      <c r="BE590" s="1" t="s">
        <v>550</v>
      </c>
      <c r="BF590" s="1">
        <v>2025.0</v>
      </c>
      <c r="BG590" s="1" t="s">
        <v>673</v>
      </c>
      <c r="BH590" s="7" t="str">
        <f>VLOOKUP(B590,CookieClicks!D:O,12,FALSE)</f>
        <v>https://www.method.me/</v>
      </c>
      <c r="BI590" s="8" t="str">
        <f>IFERROR(__xludf.DUMMYFUNCTION("VLOOKUP(REGEXREPLACE(BH590,""[?].*"",""""),ContentBuckets!A:C,2,FALSE)"),"Homepage")</f>
        <v>Homepage</v>
      </c>
      <c r="BJ590" s="8" t="str">
        <f>IFERROR(__xludf.DUMMYFUNCTION("VLOOKUP(REGEXREPLACE(BH590,""[?].*"",""""),ContentBuckets!A:C,3,FALSE)"),"Other page")</f>
        <v>Other page</v>
      </c>
    </row>
    <row r="591" ht="14.25" customHeight="1">
      <c r="A591" s="1">
        <v>153876.0</v>
      </c>
      <c r="B591" s="1" t="s">
        <v>1357</v>
      </c>
      <c r="C591" s="2">
        <v>46015.7541666667</v>
      </c>
      <c r="D591" s="2">
        <v>46015.7611111111</v>
      </c>
      <c r="E591" s="2"/>
      <c r="F591" s="1" t="b">
        <v>0</v>
      </c>
      <c r="G591" s="4" t="b">
        <v>1</v>
      </c>
      <c r="H591" s="1" t="b">
        <v>0</v>
      </c>
      <c r="I591" s="1" t="b">
        <v>0</v>
      </c>
      <c r="J591" s="1" t="s">
        <v>534</v>
      </c>
      <c r="K591" s="1" t="s">
        <v>622</v>
      </c>
      <c r="L591" s="1" t="s">
        <v>623</v>
      </c>
      <c r="M591" s="1" t="s">
        <v>537</v>
      </c>
      <c r="N591" s="1">
        <v>0.0</v>
      </c>
      <c r="O591" s="1">
        <v>0.0</v>
      </c>
      <c r="P591" s="1">
        <v>0.0</v>
      </c>
      <c r="Q591" s="1">
        <v>0.0</v>
      </c>
      <c r="R591" s="1">
        <v>0.0</v>
      </c>
      <c r="S591" s="1" t="s">
        <v>538</v>
      </c>
      <c r="T591" s="1" t="s">
        <v>539</v>
      </c>
      <c r="V591" s="4">
        <v>7333901.0</v>
      </c>
      <c r="W591" s="4"/>
      <c r="X591" s="4">
        <v>1.0</v>
      </c>
      <c r="Y591" s="1">
        <v>0.0</v>
      </c>
      <c r="Z591" s="1">
        <v>0.0</v>
      </c>
      <c r="AA591" s="1">
        <v>0.0</v>
      </c>
      <c r="AB591" s="1">
        <v>0.0</v>
      </c>
      <c r="AC591" s="1">
        <v>0.0</v>
      </c>
      <c r="AD591" s="1">
        <v>0.0</v>
      </c>
      <c r="AE591" s="1">
        <v>0.0</v>
      </c>
      <c r="AF591" s="1">
        <v>0.0</v>
      </c>
      <c r="AG591" s="1">
        <v>0.0</v>
      </c>
      <c r="AH591" s="1">
        <v>0.0</v>
      </c>
      <c r="AI591" s="1">
        <v>0.0</v>
      </c>
      <c r="AJ591" s="1">
        <v>0.0</v>
      </c>
      <c r="AK591" s="1">
        <v>0.0</v>
      </c>
      <c r="AL591" s="1">
        <v>0.0</v>
      </c>
      <c r="AM591" s="4">
        <v>0.0</v>
      </c>
      <c r="AN591" s="1">
        <v>0.0</v>
      </c>
      <c r="AO591" s="4">
        <v>0.0</v>
      </c>
      <c r="AP591" s="1">
        <f t="shared" si="1"/>
        <v>0</v>
      </c>
      <c r="AQ591" s="1" t="s">
        <v>557</v>
      </c>
      <c r="AU591" s="2"/>
      <c r="AV591" s="2"/>
      <c r="AW591" s="1">
        <v>0.0</v>
      </c>
      <c r="AX591" s="1">
        <v>0.0</v>
      </c>
      <c r="AY591" s="1">
        <v>0.0</v>
      </c>
      <c r="AZ591" s="1">
        <v>1.0</v>
      </c>
      <c r="BA591" s="1">
        <v>0.0</v>
      </c>
      <c r="BB591" s="1">
        <v>0.0</v>
      </c>
      <c r="BC591" s="2">
        <v>46015.0</v>
      </c>
      <c r="BD591" s="1">
        <v>51.0</v>
      </c>
      <c r="BE591" s="1" t="s">
        <v>550</v>
      </c>
      <c r="BF591" s="1">
        <v>2025.0</v>
      </c>
      <c r="BG591" s="1" t="s">
        <v>673</v>
      </c>
      <c r="BH591" s="7" t="str">
        <f>VLOOKUP(B591,CookieClicks!D:O,12,FALSE)</f>
        <v>https://www.method.me/</v>
      </c>
      <c r="BI591" s="8" t="str">
        <f>IFERROR(__xludf.DUMMYFUNCTION("VLOOKUP(REGEXREPLACE(BH591,""[?].*"",""""),ContentBuckets!A:C,2,FALSE)"),"Homepage")</f>
        <v>Homepage</v>
      </c>
      <c r="BJ591" s="8" t="str">
        <f>IFERROR(__xludf.DUMMYFUNCTION("VLOOKUP(REGEXREPLACE(BH591,""[?].*"",""""),ContentBuckets!A:C,3,FALSE)"),"Other page")</f>
        <v>Other page</v>
      </c>
    </row>
    <row r="592" ht="14.25" customHeight="1">
      <c r="A592" s="1">
        <v>153877.0</v>
      </c>
      <c r="B592" s="1" t="s">
        <v>1358</v>
      </c>
      <c r="C592" s="2">
        <v>46015.8715277778</v>
      </c>
      <c r="D592" s="2"/>
      <c r="E592" s="2"/>
      <c r="F592" s="1" t="b">
        <v>1</v>
      </c>
      <c r="G592" s="4" t="b">
        <v>0</v>
      </c>
      <c r="H592" s="1" t="b">
        <v>0</v>
      </c>
      <c r="I592" s="1" t="b">
        <v>0</v>
      </c>
      <c r="J592" s="1" t="s">
        <v>534</v>
      </c>
      <c r="K592" s="1" t="s">
        <v>535</v>
      </c>
      <c r="L592" s="1" t="s">
        <v>536</v>
      </c>
      <c r="M592" s="1" t="s">
        <v>537</v>
      </c>
      <c r="N592" s="1">
        <v>0.0</v>
      </c>
      <c r="O592" s="1">
        <v>44.25</v>
      </c>
      <c r="P592" s="1">
        <v>0.0</v>
      </c>
      <c r="Q592" s="1">
        <v>0.0</v>
      </c>
      <c r="R592" s="1">
        <v>28.0</v>
      </c>
      <c r="S592" s="1" t="s">
        <v>538</v>
      </c>
      <c r="T592" s="1" t="s">
        <v>539</v>
      </c>
      <c r="V592" s="4">
        <v>7493259.0</v>
      </c>
      <c r="W592" s="4"/>
      <c r="X592" s="4">
        <v>0.0</v>
      </c>
      <c r="Y592" s="1">
        <v>0.0</v>
      </c>
      <c r="Z592" s="1">
        <v>0.0</v>
      </c>
      <c r="AA592" s="1">
        <v>1.0</v>
      </c>
      <c r="AB592" s="1">
        <v>0.0</v>
      </c>
      <c r="AC592" s="1">
        <v>0.0</v>
      </c>
      <c r="AD592" s="1">
        <v>0.0</v>
      </c>
      <c r="AE592" s="1">
        <v>0.0</v>
      </c>
      <c r="AF592" s="1">
        <v>0.0</v>
      </c>
      <c r="AG592" s="1">
        <v>0.0</v>
      </c>
      <c r="AH592" s="1">
        <v>0.0</v>
      </c>
      <c r="AI592" s="1">
        <v>0.0</v>
      </c>
      <c r="AJ592" s="1">
        <v>0.0</v>
      </c>
      <c r="AK592" s="1">
        <v>0.0</v>
      </c>
      <c r="AL592" s="1">
        <v>0.0</v>
      </c>
      <c r="AM592" s="4">
        <v>0.0</v>
      </c>
      <c r="AN592" s="1">
        <v>0.0</v>
      </c>
      <c r="AO592" s="4">
        <v>0.0</v>
      </c>
      <c r="AP592" s="1">
        <f t="shared" si="1"/>
        <v>0</v>
      </c>
      <c r="AR592" s="1" t="s">
        <v>542</v>
      </c>
      <c r="AU592" s="2"/>
      <c r="AV592" s="2">
        <v>46023.98125</v>
      </c>
      <c r="AW592" s="1">
        <v>0.0</v>
      </c>
      <c r="AX592" s="1">
        <v>0.0</v>
      </c>
      <c r="AY592" s="1">
        <v>0.0</v>
      </c>
      <c r="AZ592" s="1">
        <v>1.0</v>
      </c>
      <c r="BA592" s="1">
        <v>0.0</v>
      </c>
      <c r="BB592" s="1">
        <v>0.0</v>
      </c>
      <c r="BC592" s="2">
        <v>46015.0</v>
      </c>
      <c r="BD592" s="1">
        <v>51.0</v>
      </c>
      <c r="BE592" s="1" t="s">
        <v>550</v>
      </c>
      <c r="BF592" s="1">
        <v>2025.0</v>
      </c>
      <c r="BG592" s="1" t="s">
        <v>558</v>
      </c>
      <c r="BH592" s="1" t="str">
        <f>VLOOKUP(B592,CookieClicks!D:O,12,FALSE)</f>
        <v>https://grow.method.me/request-demo/?adgroupid=61437797000&amp;adid=704678754673&amp;campaignid=1543381580&amp;gad_campaignid=1543381580&amp;gad_source=1&amp;gbraid=0AAAAAD3ItnbGgdUZ_AHS9vWvhwczWLypq&amp;gclid=CjwKCAiAu67KBhAkEiwAY0jAlcA4yRaPI0bhSEJ9qnb9xntAnm1nUbNpaTmdA_OlJKh1S62iVXuZ4xoCcu4QAvD_BwE&amp;trc=81&amp;trk=crm with quickbooks&amp;trs=US_QB_sitelinks</v>
      </c>
      <c r="BI592" s="8" t="str">
        <f>IFERROR(__xludf.DUMMYFUNCTION("VLOOKUP(REGEXREPLACE(BH592,""[?].*"",""""),ContentBuckets!A:C,2,FALSE)"),"#N/A")</f>
        <v>#N/A</v>
      </c>
      <c r="BJ592" s="8" t="str">
        <f>IFERROR(__xludf.DUMMYFUNCTION("VLOOKUP(REGEXREPLACE(BH592,""[?].*"",""""),ContentBuckets!A:C,3,FALSE)"),"#N/A")</f>
        <v>#N/A</v>
      </c>
    </row>
    <row r="593" ht="14.25" customHeight="1">
      <c r="A593" s="1">
        <v>153878.0</v>
      </c>
      <c r="B593" s="1" t="s">
        <v>1359</v>
      </c>
      <c r="C593" s="2">
        <v>46016.18125</v>
      </c>
      <c r="D593" s="2"/>
      <c r="E593" s="2"/>
      <c r="F593" s="1" t="b">
        <v>1</v>
      </c>
      <c r="G593" s="4" t="b">
        <v>0</v>
      </c>
      <c r="H593" s="1" t="b">
        <v>0</v>
      </c>
      <c r="I593" s="1" t="b">
        <v>0</v>
      </c>
      <c r="J593" s="1" t="s">
        <v>534</v>
      </c>
      <c r="K593" s="1" t="s">
        <v>535</v>
      </c>
      <c r="L593" s="1" t="s">
        <v>536</v>
      </c>
      <c r="M593" s="1" t="s">
        <v>537</v>
      </c>
      <c r="N593" s="1">
        <v>0.0</v>
      </c>
      <c r="O593" s="1">
        <v>54.75</v>
      </c>
      <c r="P593" s="1">
        <v>0.0</v>
      </c>
      <c r="Q593" s="1">
        <v>0.0</v>
      </c>
      <c r="R593" s="1">
        <v>28.0</v>
      </c>
      <c r="S593" s="1" t="s">
        <v>538</v>
      </c>
      <c r="T593" s="1" t="s">
        <v>539</v>
      </c>
      <c r="V593" s="4">
        <v>7498568.0</v>
      </c>
      <c r="W593" s="4"/>
      <c r="X593" s="4">
        <v>0.0</v>
      </c>
      <c r="Y593" s="1">
        <v>0.0</v>
      </c>
      <c r="Z593" s="1">
        <v>1.0</v>
      </c>
      <c r="AA593" s="1">
        <v>0.0</v>
      </c>
      <c r="AB593" s="1">
        <v>0.0</v>
      </c>
      <c r="AC593" s="1">
        <v>0.0</v>
      </c>
      <c r="AD593" s="1">
        <v>0.0</v>
      </c>
      <c r="AE593" s="1">
        <v>0.0</v>
      </c>
      <c r="AF593" s="1">
        <v>0.0</v>
      </c>
      <c r="AG593" s="1">
        <v>0.0</v>
      </c>
      <c r="AH593" s="1">
        <v>0.0</v>
      </c>
      <c r="AI593" s="1">
        <v>0.0</v>
      </c>
      <c r="AJ593" s="1">
        <v>0.0</v>
      </c>
      <c r="AK593" s="1">
        <v>0.0</v>
      </c>
      <c r="AL593" s="1">
        <v>0.0</v>
      </c>
      <c r="AM593" s="4">
        <v>0.0</v>
      </c>
      <c r="AN593" s="1">
        <v>0.0</v>
      </c>
      <c r="AO593" s="4">
        <v>0.0</v>
      </c>
      <c r="AP593" s="1">
        <f t="shared" si="1"/>
        <v>0</v>
      </c>
      <c r="AQ593" s="1" t="s">
        <v>853</v>
      </c>
      <c r="AR593" s="1" t="s">
        <v>681</v>
      </c>
      <c r="AU593" s="2">
        <v>46016.0</v>
      </c>
      <c r="AV593" s="2">
        <v>46023.9847222222</v>
      </c>
      <c r="AW593" s="1">
        <v>0.0</v>
      </c>
      <c r="AX593" s="1">
        <v>120000.0</v>
      </c>
      <c r="AY593" s="1">
        <v>29.0</v>
      </c>
      <c r="AZ593" s="1">
        <v>1.0</v>
      </c>
      <c r="BA593" s="1">
        <v>0.0</v>
      </c>
      <c r="BB593" s="1">
        <v>0.0</v>
      </c>
      <c r="BC593" s="2">
        <v>46016.0</v>
      </c>
      <c r="BD593" s="1">
        <v>51.0</v>
      </c>
      <c r="BE593" s="1" t="s">
        <v>550</v>
      </c>
      <c r="BF593" s="1">
        <v>2025.0</v>
      </c>
      <c r="BG593" s="1" t="s">
        <v>835</v>
      </c>
      <c r="BH593" s="7" t="str">
        <f>VLOOKUP(B593,CookieClicks!D:O,12,FALSE)</f>
        <v>https://signup.method.me/QBOAppstoreSignup?offering=methodcrm</v>
      </c>
      <c r="BI593" s="8" t="str">
        <f>IFERROR(__xludf.DUMMYFUNCTION("VLOOKUP(REGEXREPLACE(BH593,""[?].*"",""""),ContentBuckets!A:C,2,FALSE)"),"#N/A")</f>
        <v>#N/A</v>
      </c>
      <c r="BJ593" s="8" t="str">
        <f>IFERROR(__xludf.DUMMYFUNCTION("VLOOKUP(REGEXREPLACE(BH593,""[?].*"",""""),ContentBuckets!A:C,3,FALSE)"),"#N/A")</f>
        <v>#N/A</v>
      </c>
    </row>
    <row r="594" ht="14.25" customHeight="1">
      <c r="A594" s="1">
        <v>153879.0</v>
      </c>
      <c r="B594" s="1" t="s">
        <v>1360</v>
      </c>
      <c r="C594" s="2">
        <v>46016.1909722222</v>
      </c>
      <c r="D594" s="2"/>
      <c r="E594" s="2"/>
      <c r="F594" s="1" t="b">
        <v>1</v>
      </c>
      <c r="G594" s="4" t="b">
        <v>0</v>
      </c>
      <c r="H594" s="1" t="b">
        <v>0</v>
      </c>
      <c r="I594" s="1" t="b">
        <v>0</v>
      </c>
      <c r="J594" s="1" t="s">
        <v>534</v>
      </c>
      <c r="K594" s="1" t="s">
        <v>553</v>
      </c>
      <c r="L594" s="1" t="s">
        <v>554</v>
      </c>
      <c r="M594" s="1" t="s">
        <v>537</v>
      </c>
      <c r="N594" s="1">
        <v>0.0</v>
      </c>
      <c r="O594" s="1">
        <v>44.25</v>
      </c>
      <c r="P594" s="1">
        <v>0.0</v>
      </c>
      <c r="Q594" s="1">
        <v>0.0</v>
      </c>
      <c r="R594" s="1">
        <v>0.0</v>
      </c>
      <c r="S594" s="1" t="s">
        <v>538</v>
      </c>
      <c r="T594" s="1" t="s">
        <v>539</v>
      </c>
      <c r="V594" s="4">
        <v>7498731.0</v>
      </c>
      <c r="W594" s="4" t="s">
        <v>540</v>
      </c>
      <c r="X594" s="4">
        <v>0.0</v>
      </c>
      <c r="Y594" s="1">
        <v>1.0</v>
      </c>
      <c r="Z594" s="1">
        <v>0.0</v>
      </c>
      <c r="AA594" s="1">
        <v>0.0</v>
      </c>
      <c r="AB594" s="1">
        <v>0.0</v>
      </c>
      <c r="AC594" s="1">
        <v>0.0</v>
      </c>
      <c r="AD594" s="1">
        <v>0.0</v>
      </c>
      <c r="AE594" s="1">
        <v>0.0</v>
      </c>
      <c r="AF594" s="1">
        <v>0.0</v>
      </c>
      <c r="AG594" s="1">
        <v>0.0</v>
      </c>
      <c r="AH594" s="1">
        <v>0.0</v>
      </c>
      <c r="AI594" s="1">
        <v>0.0</v>
      </c>
      <c r="AJ594" s="1">
        <v>0.0</v>
      </c>
      <c r="AK594" s="1">
        <v>0.0</v>
      </c>
      <c r="AL594" s="1">
        <v>0.0</v>
      </c>
      <c r="AM594" s="4">
        <v>0.0</v>
      </c>
      <c r="AN594" s="1">
        <v>0.0</v>
      </c>
      <c r="AO594" s="4">
        <v>0.0</v>
      </c>
      <c r="AP594" s="1">
        <f t="shared" si="1"/>
        <v>0</v>
      </c>
      <c r="AU594" s="2"/>
      <c r="AV594" s="2">
        <v>46024.0013888889</v>
      </c>
      <c r="AW594" s="1">
        <v>0.0</v>
      </c>
      <c r="AX594" s="1">
        <v>0.0</v>
      </c>
      <c r="AY594" s="1">
        <v>0.0</v>
      </c>
      <c r="AZ594" s="1">
        <v>1.0</v>
      </c>
      <c r="BA594" s="1">
        <v>0.0</v>
      </c>
      <c r="BB594" s="1">
        <v>0.0</v>
      </c>
      <c r="BC594" s="2">
        <v>46016.0</v>
      </c>
      <c r="BD594" s="1">
        <v>51.0</v>
      </c>
      <c r="BE594" s="1" t="s">
        <v>550</v>
      </c>
      <c r="BF594" s="1">
        <v>2025.0</v>
      </c>
      <c r="BG594" s="1" t="s">
        <v>558</v>
      </c>
      <c r="BH594" s="7" t="str">
        <f>VLOOKUP(B594,CookieClicks!D:O,12,FALSE)</f>
        <v>https://www.method.me/blog/start-a-cleaning-business-with-no-money/</v>
      </c>
      <c r="BI594" s="8" t="str">
        <f>IFERROR(__xludf.DUMMYFUNCTION("VLOOKUP(REGEXREPLACE(BH594,""[?].*"",""""),ContentBuckets!A:C,2,FALSE)"),"General how-to")</f>
        <v>General how-to</v>
      </c>
      <c r="BJ594" s="8" t="str">
        <f>IFERROR(__xludf.DUMMYFUNCTION("VLOOKUP(REGEXREPLACE(BH594,""[?].*"",""""),ContentBuckets!A:C,3,FALSE)"),"Blog")</f>
        <v>Blog</v>
      </c>
    </row>
    <row r="595" ht="14.25" customHeight="1">
      <c r="A595" s="1">
        <v>153880.0</v>
      </c>
      <c r="B595" s="1" t="s">
        <v>1361</v>
      </c>
      <c r="C595" s="2">
        <v>46016.2152777778</v>
      </c>
      <c r="D595" s="2"/>
      <c r="E595" s="2"/>
      <c r="F595" s="1" t="b">
        <v>1</v>
      </c>
      <c r="G595" s="4" t="b">
        <v>0</v>
      </c>
      <c r="H595" s="1" t="b">
        <v>0</v>
      </c>
      <c r="I595" s="1" t="b">
        <v>0</v>
      </c>
      <c r="J595" s="1" t="s">
        <v>534</v>
      </c>
      <c r="K595" s="1" t="s">
        <v>535</v>
      </c>
      <c r="L595" s="1" t="s">
        <v>536</v>
      </c>
      <c r="M595" s="1" t="s">
        <v>537</v>
      </c>
      <c r="N595" s="1">
        <v>0.0</v>
      </c>
      <c r="O595" s="1">
        <v>53.25</v>
      </c>
      <c r="P595" s="1">
        <v>0.0</v>
      </c>
      <c r="Q595" s="1">
        <v>0.0</v>
      </c>
      <c r="R595" s="1">
        <v>0.0</v>
      </c>
      <c r="S595" s="1" t="s">
        <v>538</v>
      </c>
      <c r="T595" s="1" t="s">
        <v>539</v>
      </c>
      <c r="V595" s="4">
        <v>7499398.0</v>
      </c>
      <c r="W595" s="4" t="s">
        <v>540</v>
      </c>
      <c r="X595" s="4">
        <v>0.0</v>
      </c>
      <c r="Y595" s="1">
        <v>1.0</v>
      </c>
      <c r="Z595" s="1">
        <v>0.0</v>
      </c>
      <c r="AA595" s="1">
        <v>0.0</v>
      </c>
      <c r="AB595" s="1">
        <v>0.0</v>
      </c>
      <c r="AC595" s="1">
        <v>0.0</v>
      </c>
      <c r="AD595" s="1">
        <v>0.0</v>
      </c>
      <c r="AE595" s="1">
        <v>0.0</v>
      </c>
      <c r="AF595" s="1">
        <v>0.0</v>
      </c>
      <c r="AG595" s="1">
        <v>0.0</v>
      </c>
      <c r="AH595" s="1">
        <v>0.0</v>
      </c>
      <c r="AI595" s="1">
        <v>0.0</v>
      </c>
      <c r="AJ595" s="1">
        <v>0.0</v>
      </c>
      <c r="AK595" s="1">
        <v>0.0</v>
      </c>
      <c r="AL595" s="1">
        <v>0.0</v>
      </c>
      <c r="AM595" s="4">
        <v>0.0</v>
      </c>
      <c r="AN595" s="1">
        <v>0.0</v>
      </c>
      <c r="AO595" s="4">
        <v>0.0</v>
      </c>
      <c r="AP595" s="1">
        <f t="shared" si="1"/>
        <v>0</v>
      </c>
      <c r="AU595" s="2"/>
      <c r="AV595" s="2">
        <v>46023.9840277778</v>
      </c>
      <c r="AW595" s="1">
        <v>0.0</v>
      </c>
      <c r="AX595" s="1">
        <v>0.0</v>
      </c>
      <c r="AY595" s="1">
        <v>0.0</v>
      </c>
      <c r="AZ595" s="1">
        <v>1.0</v>
      </c>
      <c r="BA595" s="1">
        <v>0.0</v>
      </c>
      <c r="BB595" s="1">
        <v>0.0</v>
      </c>
      <c r="BC595" s="2">
        <v>46016.0</v>
      </c>
      <c r="BD595" s="1">
        <v>51.0</v>
      </c>
      <c r="BE595" s="1" t="s">
        <v>550</v>
      </c>
      <c r="BF595" s="1">
        <v>2025.0</v>
      </c>
      <c r="BG595" s="1" t="s">
        <v>1362</v>
      </c>
      <c r="BH595" s="7" t="str">
        <f>VLOOKUP(B595,CookieClicks!D:O,12,FALSE)</f>
        <v>http://signup.method.me/methodcrm</v>
      </c>
      <c r="BI595" s="8" t="str">
        <f>IFERROR(__xludf.DUMMYFUNCTION("VLOOKUP(REGEXREPLACE(BH595,""[?].*"",""""),ContentBuckets!A:C,2,FALSE)"),"#N/A")</f>
        <v>#N/A</v>
      </c>
      <c r="BJ595" s="8" t="str">
        <f>IFERROR(__xludf.DUMMYFUNCTION("VLOOKUP(REGEXREPLACE(BH595,""[?].*"",""""),ContentBuckets!A:C,3,FALSE)"),"#N/A")</f>
        <v>#N/A</v>
      </c>
    </row>
    <row r="596" ht="14.25" customHeight="1">
      <c r="A596" s="1">
        <v>153881.0</v>
      </c>
      <c r="B596" s="1" t="s">
        <v>1363</v>
      </c>
      <c r="C596" s="2">
        <v>46016.4125</v>
      </c>
      <c r="D596" s="2"/>
      <c r="E596" s="2"/>
      <c r="F596" s="1" t="b">
        <v>1</v>
      </c>
      <c r="G596" s="4" t="b">
        <v>0</v>
      </c>
      <c r="H596" s="1" t="b">
        <v>0</v>
      </c>
      <c r="I596" s="1" t="b">
        <v>0</v>
      </c>
      <c r="J596" s="1" t="s">
        <v>534</v>
      </c>
      <c r="K596" s="1" t="s">
        <v>553</v>
      </c>
      <c r="L596" s="1" t="s">
        <v>599</v>
      </c>
      <c r="M596" s="1" t="s">
        <v>537</v>
      </c>
      <c r="N596" s="1">
        <v>0.0</v>
      </c>
      <c r="O596" s="1">
        <v>44.25</v>
      </c>
      <c r="P596" s="1">
        <v>0.0</v>
      </c>
      <c r="Q596" s="1">
        <v>0.0</v>
      </c>
      <c r="R596" s="1">
        <v>0.0</v>
      </c>
      <c r="S596" s="1" t="s">
        <v>538</v>
      </c>
      <c r="T596" s="1" t="s">
        <v>539</v>
      </c>
      <c r="V596" s="4">
        <v>7502873.0</v>
      </c>
      <c r="W596" s="4"/>
      <c r="X596" s="4">
        <v>0.0</v>
      </c>
      <c r="Y596" s="1">
        <v>0.0</v>
      </c>
      <c r="Z596" s="1">
        <v>0.0</v>
      </c>
      <c r="AA596" s="1">
        <v>1.0</v>
      </c>
      <c r="AB596" s="1">
        <v>0.0</v>
      </c>
      <c r="AC596" s="1">
        <v>0.0</v>
      </c>
      <c r="AD596" s="1">
        <v>0.0</v>
      </c>
      <c r="AE596" s="1">
        <v>0.0</v>
      </c>
      <c r="AF596" s="1">
        <v>0.0</v>
      </c>
      <c r="AG596" s="1">
        <v>0.0</v>
      </c>
      <c r="AH596" s="1">
        <v>0.0</v>
      </c>
      <c r="AI596" s="1">
        <v>0.0</v>
      </c>
      <c r="AJ596" s="1">
        <v>0.0</v>
      </c>
      <c r="AK596" s="1">
        <v>0.0</v>
      </c>
      <c r="AL596" s="1">
        <v>0.0</v>
      </c>
      <c r="AM596" s="4">
        <v>0.0</v>
      </c>
      <c r="AN596" s="1">
        <v>0.0</v>
      </c>
      <c r="AO596" s="4">
        <v>0.0</v>
      </c>
      <c r="AP596" s="1">
        <f t="shared" si="1"/>
        <v>0</v>
      </c>
      <c r="AU596" s="2"/>
      <c r="AV596" s="2">
        <v>46024.0090277778</v>
      </c>
      <c r="AW596" s="1">
        <v>0.0</v>
      </c>
      <c r="AX596" s="1">
        <v>0.0</v>
      </c>
      <c r="AY596" s="1">
        <v>0.0</v>
      </c>
      <c r="AZ596" s="1">
        <v>1.0</v>
      </c>
      <c r="BA596" s="1">
        <v>0.0</v>
      </c>
      <c r="BB596" s="1">
        <v>0.0</v>
      </c>
      <c r="BC596" s="2">
        <v>46016.0</v>
      </c>
      <c r="BD596" s="1">
        <v>51.0</v>
      </c>
      <c r="BE596" s="1" t="s">
        <v>550</v>
      </c>
      <c r="BF596" s="1">
        <v>2025.0</v>
      </c>
      <c r="BG596" s="1" t="s">
        <v>558</v>
      </c>
      <c r="BH596" s="7" t="str">
        <f>VLOOKUP(B596,CookieClicks!D:O,12,FALSE)</f>
        <v>http://signup.method.me/methodcrm</v>
      </c>
      <c r="BI596" s="8" t="str">
        <f>IFERROR(__xludf.DUMMYFUNCTION("VLOOKUP(REGEXREPLACE(BH596,""[?].*"",""""),ContentBuckets!A:C,2,FALSE)"),"#N/A")</f>
        <v>#N/A</v>
      </c>
      <c r="BJ596" s="8" t="str">
        <f>IFERROR(__xludf.DUMMYFUNCTION("VLOOKUP(REGEXREPLACE(BH596,""[?].*"",""""),ContentBuckets!A:C,3,FALSE)"),"#N/A")</f>
        <v>#N/A</v>
      </c>
    </row>
    <row r="597" ht="14.25" customHeight="1">
      <c r="A597" s="1">
        <v>153882.0</v>
      </c>
      <c r="B597" s="1" t="s">
        <v>1364</v>
      </c>
      <c r="C597" s="2">
        <v>46016.4368055556</v>
      </c>
      <c r="D597" s="2"/>
      <c r="E597" s="2"/>
      <c r="F597" s="1" t="b">
        <v>1</v>
      </c>
      <c r="G597" s="4" t="b">
        <v>0</v>
      </c>
      <c r="H597" s="1" t="b">
        <v>0</v>
      </c>
      <c r="I597" s="1" t="b">
        <v>0</v>
      </c>
      <c r="J597" s="1" t="s">
        <v>534</v>
      </c>
      <c r="K597" s="1" t="s">
        <v>871</v>
      </c>
      <c r="L597" s="1" t="s">
        <v>536</v>
      </c>
      <c r="M597" s="1" t="s">
        <v>537</v>
      </c>
      <c r="N597" s="1">
        <v>0.0</v>
      </c>
      <c r="O597" s="1">
        <v>35.25</v>
      </c>
      <c r="P597" s="1">
        <v>0.0</v>
      </c>
      <c r="Q597" s="1">
        <v>0.0</v>
      </c>
      <c r="R597" s="1">
        <v>28.0</v>
      </c>
      <c r="S597" s="1" t="s">
        <v>538</v>
      </c>
      <c r="T597" s="1" t="s">
        <v>539</v>
      </c>
      <c r="V597" s="4">
        <v>7502316.0</v>
      </c>
      <c r="W597" s="4"/>
      <c r="X597" s="4">
        <v>0.0</v>
      </c>
      <c r="Y597" s="1">
        <v>0.0</v>
      </c>
      <c r="Z597" s="1">
        <v>1.0</v>
      </c>
      <c r="AA597" s="1">
        <v>0.0</v>
      </c>
      <c r="AB597" s="1">
        <v>0.0</v>
      </c>
      <c r="AC597" s="1">
        <v>0.0</v>
      </c>
      <c r="AD597" s="1">
        <v>0.0</v>
      </c>
      <c r="AE597" s="1">
        <v>0.0</v>
      </c>
      <c r="AF597" s="1">
        <v>0.0</v>
      </c>
      <c r="AG597" s="1">
        <v>0.0</v>
      </c>
      <c r="AH597" s="1">
        <v>0.0</v>
      </c>
      <c r="AI597" s="1">
        <v>0.0</v>
      </c>
      <c r="AJ597" s="1">
        <v>0.0</v>
      </c>
      <c r="AK597" s="1">
        <v>0.0</v>
      </c>
      <c r="AL597" s="1">
        <v>0.0</v>
      </c>
      <c r="AM597" s="4">
        <v>0.0</v>
      </c>
      <c r="AN597" s="1">
        <v>0.0</v>
      </c>
      <c r="AO597" s="4">
        <v>0.0</v>
      </c>
      <c r="AP597" s="1">
        <f t="shared" si="1"/>
        <v>0</v>
      </c>
      <c r="AQ597" s="1" t="s">
        <v>557</v>
      </c>
      <c r="AR597" s="1" t="s">
        <v>578</v>
      </c>
      <c r="AT597" s="1" t="s">
        <v>1365</v>
      </c>
      <c r="AU597" s="2">
        <v>46016.0</v>
      </c>
      <c r="AV597" s="2">
        <v>46023.9895833333</v>
      </c>
      <c r="AW597" s="1">
        <v>10.0</v>
      </c>
      <c r="AX597" s="1">
        <v>0.0</v>
      </c>
      <c r="AY597" s="1">
        <v>11.0</v>
      </c>
      <c r="AZ597" s="1">
        <v>1.0</v>
      </c>
      <c r="BA597" s="1">
        <v>0.0</v>
      </c>
      <c r="BB597" s="1">
        <v>0.0</v>
      </c>
      <c r="BC597" s="2">
        <v>46016.0</v>
      </c>
      <c r="BD597" s="1">
        <v>51.0</v>
      </c>
      <c r="BE597" s="1" t="s">
        <v>550</v>
      </c>
      <c r="BF597" s="1">
        <v>2025.0</v>
      </c>
      <c r="BG597" s="1" t="s">
        <v>558</v>
      </c>
      <c r="BH597" s="7" t="str">
        <f>VLOOKUP(B597,CookieClicks!D:O,12,FALSE)</f>
        <v>https://signup.method.me/QBOAppstoreSignup?offering=donor</v>
      </c>
      <c r="BI597" s="8" t="str">
        <f>IFERROR(__xludf.DUMMYFUNCTION("VLOOKUP(REGEXREPLACE(BH597,""[?].*"",""""),ContentBuckets!A:C,2,FALSE)"),"#N/A")</f>
        <v>#N/A</v>
      </c>
      <c r="BJ597" s="8" t="str">
        <f>IFERROR(__xludf.DUMMYFUNCTION("VLOOKUP(REGEXREPLACE(BH597,""[?].*"",""""),ContentBuckets!A:C,3,FALSE)"),"#N/A")</f>
        <v>#N/A</v>
      </c>
    </row>
    <row r="598" ht="14.25" customHeight="1">
      <c r="A598" s="1">
        <v>153883.0</v>
      </c>
      <c r="B598" s="1" t="s">
        <v>1366</v>
      </c>
      <c r="C598" s="2">
        <v>46016.5673611111</v>
      </c>
      <c r="D598" s="2"/>
      <c r="E598" s="2"/>
      <c r="F598" s="1" t="b">
        <v>1</v>
      </c>
      <c r="G598" s="4" t="b">
        <v>0</v>
      </c>
      <c r="H598" s="1" t="b">
        <v>0</v>
      </c>
      <c r="I598" s="1" t="b">
        <v>0</v>
      </c>
      <c r="J598" s="1" t="s">
        <v>534</v>
      </c>
      <c r="K598" s="1" t="s">
        <v>535</v>
      </c>
      <c r="L598" s="1" t="s">
        <v>536</v>
      </c>
      <c r="M598" s="1" t="s">
        <v>537</v>
      </c>
      <c r="N598" s="1">
        <v>0.0</v>
      </c>
      <c r="O598" s="1">
        <v>63.75</v>
      </c>
      <c r="P598" s="1">
        <v>0.0</v>
      </c>
      <c r="Q598" s="1">
        <v>0.0</v>
      </c>
      <c r="R598" s="1">
        <v>28.0</v>
      </c>
      <c r="S598" s="1" t="s">
        <v>538</v>
      </c>
      <c r="T598" s="1" t="s">
        <v>539</v>
      </c>
      <c r="V598" s="4">
        <v>7505399.0</v>
      </c>
      <c r="W598" s="4"/>
      <c r="X598" s="4">
        <v>0.0</v>
      </c>
      <c r="Y598" s="1">
        <v>0.0</v>
      </c>
      <c r="Z598" s="1">
        <v>0.0</v>
      </c>
      <c r="AA598" s="1">
        <v>1.0</v>
      </c>
      <c r="AB598" s="1">
        <v>0.0</v>
      </c>
      <c r="AC598" s="1">
        <v>0.0</v>
      </c>
      <c r="AD598" s="1">
        <v>0.0</v>
      </c>
      <c r="AE598" s="1">
        <v>0.0</v>
      </c>
      <c r="AF598" s="1">
        <v>0.0</v>
      </c>
      <c r="AG598" s="1">
        <v>0.0</v>
      </c>
      <c r="AH598" s="1">
        <v>0.0</v>
      </c>
      <c r="AI598" s="1">
        <v>0.0</v>
      </c>
      <c r="AJ598" s="1">
        <v>0.0</v>
      </c>
      <c r="AK598" s="1">
        <v>0.0</v>
      </c>
      <c r="AL598" s="1">
        <v>0.0</v>
      </c>
      <c r="AM598" s="4">
        <v>0.0</v>
      </c>
      <c r="AN598" s="1">
        <v>0.0</v>
      </c>
      <c r="AO598" s="4">
        <v>0.0</v>
      </c>
      <c r="AP598" s="1">
        <f t="shared" si="1"/>
        <v>0</v>
      </c>
      <c r="AQ598" s="1" t="s">
        <v>557</v>
      </c>
      <c r="AR598" s="1" t="s">
        <v>608</v>
      </c>
      <c r="AU598" s="2">
        <v>46017.0</v>
      </c>
      <c r="AV598" s="2">
        <v>46024.025</v>
      </c>
      <c r="AW598" s="1">
        <v>0.0</v>
      </c>
      <c r="AX598" s="1">
        <v>0.0</v>
      </c>
      <c r="AY598" s="1">
        <v>2.0</v>
      </c>
      <c r="AZ598" s="1">
        <v>1.0</v>
      </c>
      <c r="BA598" s="1">
        <v>0.0</v>
      </c>
      <c r="BB598" s="1">
        <v>0.0</v>
      </c>
      <c r="BC598" s="2">
        <v>46016.0</v>
      </c>
      <c r="BD598" s="1">
        <v>51.0</v>
      </c>
      <c r="BE598" s="1" t="s">
        <v>550</v>
      </c>
      <c r="BF598" s="1">
        <v>2025.0</v>
      </c>
      <c r="BG598" s="1" t="s">
        <v>558</v>
      </c>
      <c r="BH598" s="1" t="str">
        <f>VLOOKUP(B598,CookieClicks!D:O,12,FALSE)</f>
        <v>https://grow.method.me/multi-entity/?trc=81&amp;trk=multi entity management&amp;trs=US-Multi-entity&amp;campaignid=22836319657&amp;adgroupid=183992915458&amp;adid=765768443211&amp;gad_source=1&amp;gad_campaignid=22836319657&amp;gbraid=0AAAAAD3ItnYuEHDT1Wr_bG-rETiBz6mKQ&amp;gclid=CjwKCAiA3rPKBhBZEiwAhPNFQNwLxOY-ICnH79nH7oKOOSyDvwG7w5DSUyWjuaRXcJnBbZeX3dcLPhoCCs0QAvD_BwE</v>
      </c>
      <c r="BI598" s="8" t="str">
        <f>IFERROR(__xludf.DUMMYFUNCTION("VLOOKUP(REGEXREPLACE(BH598,""[?].*"",""""),ContentBuckets!A:C,2,FALSE)"),"#N/A")</f>
        <v>#N/A</v>
      </c>
      <c r="BJ598" s="8" t="str">
        <f>IFERROR(__xludf.DUMMYFUNCTION("VLOOKUP(REGEXREPLACE(BH598,""[?].*"",""""),ContentBuckets!A:C,3,FALSE)"),"#N/A")</f>
        <v>#N/A</v>
      </c>
    </row>
    <row r="599" ht="14.25" customHeight="1">
      <c r="A599" s="1">
        <v>153884.0</v>
      </c>
      <c r="B599" s="1" t="s">
        <v>1367</v>
      </c>
      <c r="C599" s="2">
        <v>46016.7402777778</v>
      </c>
      <c r="D599" s="2"/>
      <c r="E599" s="2"/>
      <c r="F599" s="1" t="b">
        <v>1</v>
      </c>
      <c r="G599" s="4" t="b">
        <v>0</v>
      </c>
      <c r="H599" s="1" t="b">
        <v>0</v>
      </c>
      <c r="I599" s="1" t="b">
        <v>0</v>
      </c>
      <c r="J599" s="1" t="s">
        <v>534</v>
      </c>
      <c r="K599" s="1" t="s">
        <v>535</v>
      </c>
      <c r="L599" s="1" t="s">
        <v>536</v>
      </c>
      <c r="M599" s="1" t="s">
        <v>537</v>
      </c>
      <c r="N599" s="1">
        <v>0.0</v>
      </c>
      <c r="O599" s="1">
        <v>44.25</v>
      </c>
      <c r="P599" s="1">
        <v>0.0</v>
      </c>
      <c r="Q599" s="1">
        <v>0.0</v>
      </c>
      <c r="R599" s="1">
        <v>0.0</v>
      </c>
      <c r="S599" s="1" t="s">
        <v>538</v>
      </c>
      <c r="T599" s="1" t="s">
        <v>539</v>
      </c>
      <c r="V599" s="4">
        <v>6312958.0</v>
      </c>
      <c r="W599" s="4"/>
      <c r="X599" s="4">
        <v>0.0</v>
      </c>
      <c r="Y599" s="1">
        <v>0.0</v>
      </c>
      <c r="Z599" s="1">
        <v>0.0</v>
      </c>
      <c r="AA599" s="1">
        <v>0.0</v>
      </c>
      <c r="AB599" s="1">
        <v>0.0</v>
      </c>
      <c r="AC599" s="1">
        <v>1.0</v>
      </c>
      <c r="AD599" s="1">
        <v>0.0</v>
      </c>
      <c r="AE599" s="1">
        <v>0.0</v>
      </c>
      <c r="AF599" s="1">
        <v>0.0</v>
      </c>
      <c r="AG599" s="1">
        <v>0.0</v>
      </c>
      <c r="AH599" s="1">
        <v>0.0</v>
      </c>
      <c r="AI599" s="1">
        <v>0.0</v>
      </c>
      <c r="AJ599" s="1">
        <v>0.0</v>
      </c>
      <c r="AK599" s="1">
        <v>0.0</v>
      </c>
      <c r="AL599" s="1">
        <v>0.0</v>
      </c>
      <c r="AM599" s="4">
        <v>0.0</v>
      </c>
      <c r="AN599" s="1">
        <v>0.0</v>
      </c>
      <c r="AO599" s="4">
        <v>0.0</v>
      </c>
      <c r="AP599" s="1">
        <f t="shared" si="1"/>
        <v>0</v>
      </c>
      <c r="AQ599" s="1" t="s">
        <v>1368</v>
      </c>
      <c r="AT599" s="1" t="s">
        <v>1369</v>
      </c>
      <c r="AU599" s="2">
        <v>46016.0</v>
      </c>
      <c r="AV599" s="2">
        <v>46023.9861111111</v>
      </c>
      <c r="AW599" s="1">
        <v>0.0</v>
      </c>
      <c r="AX599" s="1">
        <v>1.142615844E8</v>
      </c>
      <c r="AY599" s="1">
        <v>1946.0</v>
      </c>
      <c r="AZ599" s="1">
        <v>1.0</v>
      </c>
      <c r="BA599" s="1">
        <v>0.0</v>
      </c>
      <c r="BB599" s="1">
        <v>0.0</v>
      </c>
      <c r="BC599" s="2">
        <v>46016.0</v>
      </c>
      <c r="BD599" s="1">
        <v>51.0</v>
      </c>
      <c r="BE599" s="1" t="s">
        <v>550</v>
      </c>
      <c r="BF599" s="1">
        <v>2025.0</v>
      </c>
      <c r="BG599" s="1" t="s">
        <v>1370</v>
      </c>
      <c r="BH599" s="1" t="str">
        <f>VLOOKUP(B599,CookieClicks!D:O,12,FALSE)</f>
        <v>https://grow.method.me/march-2025-winback/?trc=669&amp;trk=March-Winback&amp;trs=1st&amp;utm_source=ActiveCampaign&amp;utm_medium=email&amp;utm_content=Get 50  off when you try Method again 👀&amp;utm_campaign=%5B6319%5D%3A 1 0 March Winback Promo&amp;vgo_ee=OyiqwLOxc8ByUEj%2BA8%2Bqy4ItvDkKWVQJ5IG9laF3tPGwC7kcWnwWoFXJ6Rv%2Bbfk%3D%3AFdf0I%2FaItJoc96HGP2IyqzhC4jKJS6jD</v>
      </c>
      <c r="BI599" s="8" t="str">
        <f>IFERROR(__xludf.DUMMYFUNCTION("VLOOKUP(REGEXREPLACE(BH599,""[?].*"",""""),ContentBuckets!A:C,2,FALSE)"),"#N/A")</f>
        <v>#N/A</v>
      </c>
      <c r="BJ599" s="8" t="str">
        <f>IFERROR(__xludf.DUMMYFUNCTION("VLOOKUP(REGEXREPLACE(BH599,""[?].*"",""""),ContentBuckets!A:C,3,FALSE)"),"#N/A")</f>
        <v>#N/A</v>
      </c>
    </row>
    <row r="600" ht="14.25" customHeight="1">
      <c r="A600" s="1">
        <v>153885.0</v>
      </c>
      <c r="B600" s="1" t="s">
        <v>1371</v>
      </c>
      <c r="C600" s="2">
        <v>46016.80625</v>
      </c>
      <c r="D600" s="2"/>
      <c r="E600" s="2"/>
      <c r="F600" s="1" t="b">
        <v>1</v>
      </c>
      <c r="G600" s="4" t="b">
        <v>0</v>
      </c>
      <c r="H600" s="1" t="b">
        <v>0</v>
      </c>
      <c r="I600" s="1" t="b">
        <v>0</v>
      </c>
      <c r="J600" s="1" t="s">
        <v>534</v>
      </c>
      <c r="K600" s="1" t="s">
        <v>553</v>
      </c>
      <c r="L600" s="1" t="s">
        <v>554</v>
      </c>
      <c r="M600" s="1" t="s">
        <v>537</v>
      </c>
      <c r="N600" s="1">
        <v>0.0</v>
      </c>
      <c r="O600" s="1">
        <v>44.25</v>
      </c>
      <c r="P600" s="1">
        <v>0.0</v>
      </c>
      <c r="Q600" s="1">
        <v>0.0</v>
      </c>
      <c r="R600" s="1">
        <v>0.0</v>
      </c>
      <c r="S600" s="1" t="s">
        <v>538</v>
      </c>
      <c r="T600" s="1" t="s">
        <v>539</v>
      </c>
      <c r="V600" s="4">
        <v>7509326.0</v>
      </c>
      <c r="W600" s="4" t="s">
        <v>540</v>
      </c>
      <c r="X600" s="4">
        <v>0.0</v>
      </c>
      <c r="Y600" s="1">
        <v>1.0</v>
      </c>
      <c r="Z600" s="1">
        <v>0.0</v>
      </c>
      <c r="AA600" s="1">
        <v>0.0</v>
      </c>
      <c r="AB600" s="1">
        <v>0.0</v>
      </c>
      <c r="AC600" s="1">
        <v>0.0</v>
      </c>
      <c r="AD600" s="1">
        <v>0.0</v>
      </c>
      <c r="AE600" s="1">
        <v>0.0</v>
      </c>
      <c r="AF600" s="1">
        <v>0.0</v>
      </c>
      <c r="AG600" s="1">
        <v>0.0</v>
      </c>
      <c r="AH600" s="1">
        <v>0.0</v>
      </c>
      <c r="AI600" s="1">
        <v>0.0</v>
      </c>
      <c r="AJ600" s="1">
        <v>0.0</v>
      </c>
      <c r="AK600" s="1">
        <v>0.0</v>
      </c>
      <c r="AL600" s="1">
        <v>0.0</v>
      </c>
      <c r="AM600" s="4">
        <v>0.0</v>
      </c>
      <c r="AN600" s="1">
        <v>0.0</v>
      </c>
      <c r="AO600" s="4">
        <v>0.0</v>
      </c>
      <c r="AP600" s="1">
        <f t="shared" si="1"/>
        <v>0</v>
      </c>
      <c r="AU600" s="2"/>
      <c r="AV600" s="2">
        <v>46024.0388888889</v>
      </c>
      <c r="AW600" s="1">
        <v>0.0</v>
      </c>
      <c r="AX600" s="1">
        <v>0.0</v>
      </c>
      <c r="AY600" s="1">
        <v>0.0</v>
      </c>
      <c r="AZ600" s="1">
        <v>1.0</v>
      </c>
      <c r="BA600" s="1">
        <v>0.0</v>
      </c>
      <c r="BB600" s="1">
        <v>0.0</v>
      </c>
      <c r="BC600" s="2">
        <v>46016.0</v>
      </c>
      <c r="BD600" s="1">
        <v>51.0</v>
      </c>
      <c r="BE600" s="1" t="s">
        <v>550</v>
      </c>
      <c r="BF600" s="1">
        <v>2025.0</v>
      </c>
      <c r="BG600" s="1" t="s">
        <v>558</v>
      </c>
      <c r="BH600" s="7" t="str">
        <f>VLOOKUP(B600,CookieClicks!D:O,12,FALSE)</f>
        <v>https://www.method.me/pricing-guides/estimate-residential-electrical-work/</v>
      </c>
      <c r="BI600" s="8" t="str">
        <f>IFERROR(__xludf.DUMMYFUNCTION("VLOOKUP(REGEXREPLACE(BH600,""[?].*"",""""),ContentBuckets!A:C,2,FALSE)"),"Pricing guide")</f>
        <v>Pricing guide</v>
      </c>
      <c r="BJ600" s="8" t="str">
        <f>IFERROR(__xludf.DUMMYFUNCTION("VLOOKUP(REGEXREPLACE(BH600,""[?].*"",""""),ContentBuckets!A:C,3,FALSE)"),"Other page")</f>
        <v>Other page</v>
      </c>
    </row>
    <row r="601" ht="14.25" customHeight="1">
      <c r="A601" s="1">
        <v>153886.0</v>
      </c>
      <c r="B601" s="1" t="s">
        <v>1372</v>
      </c>
      <c r="C601" s="2">
        <v>46016.8430555556</v>
      </c>
      <c r="D601" s="2">
        <v>46016.8465277778</v>
      </c>
      <c r="E601" s="2"/>
      <c r="F601" s="1" t="b">
        <v>0</v>
      </c>
      <c r="G601" s="4" t="b">
        <v>0</v>
      </c>
      <c r="H601" s="1" t="b">
        <v>0</v>
      </c>
      <c r="I601" s="1" t="b">
        <v>0</v>
      </c>
      <c r="J601" s="1" t="s">
        <v>534</v>
      </c>
      <c r="K601" s="1" t="s">
        <v>535</v>
      </c>
      <c r="L601" s="1" t="s">
        <v>536</v>
      </c>
      <c r="M601" s="1" t="s">
        <v>537</v>
      </c>
      <c r="N601" s="1">
        <v>0.0</v>
      </c>
      <c r="O601" s="1">
        <v>0.0</v>
      </c>
      <c r="P601" s="1">
        <v>0.0</v>
      </c>
      <c r="Q601" s="1">
        <v>0.0</v>
      </c>
      <c r="R601" s="1">
        <v>28.0</v>
      </c>
      <c r="S601" s="1" t="s">
        <v>538</v>
      </c>
      <c r="T601" s="1" t="s">
        <v>539</v>
      </c>
      <c r="V601" s="4">
        <v>7509508.0</v>
      </c>
      <c r="W601" s="4" t="s">
        <v>540</v>
      </c>
      <c r="X601" s="4">
        <v>0.0</v>
      </c>
      <c r="Y601" s="1">
        <v>1.0</v>
      </c>
      <c r="Z601" s="1">
        <v>0.0</v>
      </c>
      <c r="AA601" s="1">
        <v>0.0</v>
      </c>
      <c r="AB601" s="1">
        <v>0.0</v>
      </c>
      <c r="AC601" s="1">
        <v>0.0</v>
      </c>
      <c r="AD601" s="1">
        <v>0.0</v>
      </c>
      <c r="AE601" s="1">
        <v>0.0</v>
      </c>
      <c r="AF601" s="1">
        <v>0.0</v>
      </c>
      <c r="AG601" s="1">
        <v>0.0</v>
      </c>
      <c r="AH601" s="1">
        <v>0.0</v>
      </c>
      <c r="AI601" s="1">
        <v>0.0</v>
      </c>
      <c r="AJ601" s="1">
        <v>0.0</v>
      </c>
      <c r="AK601" s="1">
        <v>0.0</v>
      </c>
      <c r="AL601" s="1">
        <v>0.0</v>
      </c>
      <c r="AM601" s="4">
        <v>0.0</v>
      </c>
      <c r="AN601" s="1">
        <v>0.0</v>
      </c>
      <c r="AO601" s="4">
        <v>0.0</v>
      </c>
      <c r="AP601" s="1">
        <f t="shared" si="1"/>
        <v>0</v>
      </c>
      <c r="AQ601" s="1" t="s">
        <v>541</v>
      </c>
      <c r="AR601" s="1" t="s">
        <v>571</v>
      </c>
      <c r="AU601" s="2"/>
      <c r="AV601" s="2"/>
      <c r="AW601" s="1">
        <v>0.0</v>
      </c>
      <c r="AX601" s="1">
        <v>0.0</v>
      </c>
      <c r="AY601" s="1">
        <v>0.0</v>
      </c>
      <c r="AZ601" s="1">
        <v>1.0</v>
      </c>
      <c r="BA601" s="1">
        <v>0.0</v>
      </c>
      <c r="BB601" s="1">
        <v>0.0</v>
      </c>
      <c r="BC601" s="2">
        <v>46016.0</v>
      </c>
      <c r="BD601" s="1">
        <v>51.0</v>
      </c>
      <c r="BE601" s="1" t="s">
        <v>550</v>
      </c>
      <c r="BF601" s="1">
        <v>2025.0</v>
      </c>
      <c r="BG601" s="1" t="s">
        <v>546</v>
      </c>
      <c r="BH601" s="7" t="str">
        <f>VLOOKUP(B601,CookieClicks!D:O,12,FALSE)</f>
        <v>https://www.method.me/</v>
      </c>
      <c r="BI601" s="8" t="str">
        <f>IFERROR(__xludf.DUMMYFUNCTION("VLOOKUP(REGEXREPLACE(BH601,""[?].*"",""""),ContentBuckets!A:C,2,FALSE)"),"Homepage")</f>
        <v>Homepage</v>
      </c>
      <c r="BJ601" s="8" t="str">
        <f>IFERROR(__xludf.DUMMYFUNCTION("VLOOKUP(REGEXREPLACE(BH601,""[?].*"",""""),ContentBuckets!A:C,3,FALSE)"),"Other page")</f>
        <v>Other page</v>
      </c>
    </row>
    <row r="602" ht="14.25" customHeight="1">
      <c r="A602" s="1">
        <v>153887.0</v>
      </c>
      <c r="B602" s="1" t="s">
        <v>1373</v>
      </c>
      <c r="C602" s="2">
        <v>46017.0381944444</v>
      </c>
      <c r="D602" s="2"/>
      <c r="E602" s="2"/>
      <c r="F602" s="1" t="b">
        <v>1</v>
      </c>
      <c r="G602" s="4" t="b">
        <v>0</v>
      </c>
      <c r="H602" s="1" t="b">
        <v>0</v>
      </c>
      <c r="I602" s="1" t="b">
        <v>0</v>
      </c>
      <c r="J602" s="1" t="s">
        <v>534</v>
      </c>
      <c r="K602" s="1" t="s">
        <v>535</v>
      </c>
      <c r="L602" s="1" t="s">
        <v>536</v>
      </c>
      <c r="M602" s="1" t="s">
        <v>537</v>
      </c>
      <c r="N602" s="1">
        <v>0.0</v>
      </c>
      <c r="O602" s="1">
        <v>54.75</v>
      </c>
      <c r="P602" s="1">
        <v>0.0</v>
      </c>
      <c r="Q602" s="1">
        <v>0.0</v>
      </c>
      <c r="R602" s="1">
        <v>28.0</v>
      </c>
      <c r="S602" s="1" t="s">
        <v>538</v>
      </c>
      <c r="T602" s="1" t="s">
        <v>539</v>
      </c>
      <c r="V602" s="4">
        <v>7510482.0</v>
      </c>
      <c r="W602" s="4" t="s">
        <v>831</v>
      </c>
      <c r="X602" s="4">
        <v>0.0</v>
      </c>
      <c r="Y602" s="1">
        <v>1.0</v>
      </c>
      <c r="Z602" s="1">
        <v>0.0</v>
      </c>
      <c r="AA602" s="1">
        <v>0.0</v>
      </c>
      <c r="AB602" s="1">
        <v>0.0</v>
      </c>
      <c r="AC602" s="1">
        <v>0.0</v>
      </c>
      <c r="AD602" s="1">
        <v>0.0</v>
      </c>
      <c r="AE602" s="1">
        <v>0.0</v>
      </c>
      <c r="AF602" s="1">
        <v>0.0</v>
      </c>
      <c r="AG602" s="1">
        <v>0.0</v>
      </c>
      <c r="AH602" s="1">
        <v>0.0</v>
      </c>
      <c r="AI602" s="1">
        <v>0.0</v>
      </c>
      <c r="AJ602" s="1">
        <v>0.0</v>
      </c>
      <c r="AK602" s="1">
        <v>0.0</v>
      </c>
      <c r="AL602" s="1">
        <v>0.0</v>
      </c>
      <c r="AM602" s="4">
        <v>0.0</v>
      </c>
      <c r="AN602" s="1">
        <v>0.0</v>
      </c>
      <c r="AO602" s="4">
        <v>0.0</v>
      </c>
      <c r="AP602" s="1">
        <f t="shared" si="1"/>
        <v>0</v>
      </c>
      <c r="AQ602" s="1" t="s">
        <v>541</v>
      </c>
      <c r="AR602" s="1" t="s">
        <v>542</v>
      </c>
      <c r="AU602" s="2">
        <v>46017.0</v>
      </c>
      <c r="AV602" s="2">
        <v>46024.0166666667</v>
      </c>
      <c r="AW602" s="1">
        <v>7.0</v>
      </c>
      <c r="AX602" s="1">
        <v>7995800.64</v>
      </c>
      <c r="AY602" s="1">
        <v>486.0</v>
      </c>
      <c r="AZ602" s="1">
        <v>1.0</v>
      </c>
      <c r="BA602" s="1">
        <v>0.0</v>
      </c>
      <c r="BB602" s="1">
        <v>0.0</v>
      </c>
      <c r="BC602" s="2">
        <v>46017.0</v>
      </c>
      <c r="BD602" s="1">
        <v>51.0</v>
      </c>
      <c r="BE602" s="1" t="s">
        <v>550</v>
      </c>
      <c r="BF602" s="1">
        <v>2025.0</v>
      </c>
      <c r="BG602" s="1" t="s">
        <v>546</v>
      </c>
      <c r="BH602" s="7" t="str">
        <f>VLOOKUP(B602,CookieClicks!D:O,12,FALSE)</f>
        <v>https://www.method.me/</v>
      </c>
      <c r="BI602" s="8" t="str">
        <f>IFERROR(__xludf.DUMMYFUNCTION("VLOOKUP(REGEXREPLACE(BH602,""[?].*"",""""),ContentBuckets!A:C,2,FALSE)"),"Homepage")</f>
        <v>Homepage</v>
      </c>
      <c r="BJ602" s="8" t="str">
        <f>IFERROR(__xludf.DUMMYFUNCTION("VLOOKUP(REGEXREPLACE(BH602,""[?].*"",""""),ContentBuckets!A:C,3,FALSE)"),"Other page")</f>
        <v>Other page</v>
      </c>
    </row>
    <row r="603" ht="14.25" customHeight="1">
      <c r="A603" s="1">
        <v>153888.0</v>
      </c>
      <c r="B603" s="1" t="s">
        <v>1374</v>
      </c>
      <c r="C603" s="2">
        <v>46017.1298611111</v>
      </c>
      <c r="D603" s="2"/>
      <c r="E603" s="2"/>
      <c r="F603" s="1" t="b">
        <v>1</v>
      </c>
      <c r="G603" s="4" t="b">
        <v>0</v>
      </c>
      <c r="H603" s="1" t="b">
        <v>0</v>
      </c>
      <c r="I603" s="1" t="b">
        <v>0</v>
      </c>
      <c r="J603" s="1" t="s">
        <v>534</v>
      </c>
      <c r="K603" s="1" t="s">
        <v>871</v>
      </c>
      <c r="L603" s="1" t="s">
        <v>536</v>
      </c>
      <c r="M603" s="1" t="s">
        <v>537</v>
      </c>
      <c r="N603" s="1">
        <v>0.0</v>
      </c>
      <c r="O603" s="1">
        <v>40.0</v>
      </c>
      <c r="P603" s="1">
        <v>0.0</v>
      </c>
      <c r="Q603" s="1">
        <v>0.0</v>
      </c>
      <c r="R603" s="1">
        <v>0.0</v>
      </c>
      <c r="S603" s="1" t="s">
        <v>538</v>
      </c>
      <c r="T603" s="1" t="s">
        <v>539</v>
      </c>
      <c r="V603" s="4">
        <v>0.0</v>
      </c>
      <c r="W603" s="4"/>
      <c r="X603" s="4">
        <v>0.0</v>
      </c>
      <c r="Y603" s="1">
        <v>0.0</v>
      </c>
      <c r="Z603" s="1">
        <v>0.0</v>
      </c>
      <c r="AA603" s="1">
        <v>0.0</v>
      </c>
      <c r="AB603" s="1">
        <v>0.0</v>
      </c>
      <c r="AC603" s="1">
        <v>0.0</v>
      </c>
      <c r="AD603" s="1">
        <v>0.0</v>
      </c>
      <c r="AE603" s="1">
        <v>0.0</v>
      </c>
      <c r="AF603" s="1">
        <v>0.0</v>
      </c>
      <c r="AG603" s="1">
        <v>0.0</v>
      </c>
      <c r="AH603" s="1">
        <v>0.0</v>
      </c>
      <c r="AI603" s="1">
        <v>0.0</v>
      </c>
      <c r="AJ603" s="1">
        <v>0.0</v>
      </c>
      <c r="AK603" s="1">
        <v>0.0</v>
      </c>
      <c r="AL603" s="1">
        <v>0.0</v>
      </c>
      <c r="AM603" s="4">
        <v>0.0</v>
      </c>
      <c r="AN603" s="1">
        <v>0.0</v>
      </c>
      <c r="AO603" s="4">
        <v>0.0</v>
      </c>
      <c r="AP603" s="1">
        <f t="shared" si="1"/>
        <v>1</v>
      </c>
      <c r="AU603" s="2"/>
      <c r="AV603" s="2">
        <v>46023.9868055556</v>
      </c>
      <c r="AW603" s="1">
        <v>0.0</v>
      </c>
      <c r="AX603" s="1">
        <v>0.0</v>
      </c>
      <c r="AY603" s="1">
        <v>0.0</v>
      </c>
      <c r="AZ603" s="1">
        <v>1.0</v>
      </c>
      <c r="BA603" s="1">
        <v>0.0</v>
      </c>
      <c r="BB603" s="1">
        <v>0.0</v>
      </c>
      <c r="BC603" s="2">
        <v>46017.0</v>
      </c>
      <c r="BD603" s="1">
        <v>51.0</v>
      </c>
      <c r="BE603" s="1" t="s">
        <v>550</v>
      </c>
      <c r="BF603" s="1">
        <v>2025.0</v>
      </c>
      <c r="BG603" s="1" t="s">
        <v>558</v>
      </c>
      <c r="BH603" s="1" t="str">
        <f>VLOOKUP(B603,CookieClicks!D:O,12,FALSE)</f>
        <v>#N/A</v>
      </c>
      <c r="BI603" s="8" t="str">
        <f>IFERROR(__xludf.DUMMYFUNCTION("VLOOKUP(REGEXREPLACE(BH603,""[?].*"",""""),ContentBuckets!A:C,2,FALSE)"),"#N/A")</f>
        <v>#N/A</v>
      </c>
      <c r="BJ603" s="8" t="str">
        <f>IFERROR(__xludf.DUMMYFUNCTION("VLOOKUP(REGEXREPLACE(BH603,""[?].*"",""""),ContentBuckets!A:C,3,FALSE)"),"#N/A")</f>
        <v>#N/A</v>
      </c>
    </row>
    <row r="604" ht="14.25" customHeight="1">
      <c r="A604" s="1">
        <v>153889.0</v>
      </c>
      <c r="B604" s="1" t="s">
        <v>1375</v>
      </c>
      <c r="C604" s="2">
        <v>46017.1305555556</v>
      </c>
      <c r="D604" s="2"/>
      <c r="E604" s="2"/>
      <c r="F604" s="1" t="b">
        <v>1</v>
      </c>
      <c r="G604" s="4" t="b">
        <v>1</v>
      </c>
      <c r="H604" s="1" t="b">
        <v>0</v>
      </c>
      <c r="I604" s="1" t="b">
        <v>0</v>
      </c>
      <c r="J604" s="1" t="s">
        <v>534</v>
      </c>
      <c r="K604" s="1" t="s">
        <v>871</v>
      </c>
      <c r="L604" s="1" t="s">
        <v>536</v>
      </c>
      <c r="M604" s="1" t="s">
        <v>537</v>
      </c>
      <c r="N604" s="1">
        <v>0.0</v>
      </c>
      <c r="O604" s="1">
        <v>40.0</v>
      </c>
      <c r="P604" s="1">
        <v>0.0</v>
      </c>
      <c r="Q604" s="1">
        <v>0.0</v>
      </c>
      <c r="R604" s="1">
        <v>0.0</v>
      </c>
      <c r="S604" s="1" t="s">
        <v>538</v>
      </c>
      <c r="T604" s="1" t="s">
        <v>539</v>
      </c>
      <c r="V604" s="4">
        <v>0.0</v>
      </c>
      <c r="W604" s="4"/>
      <c r="X604" s="4">
        <v>0.0</v>
      </c>
      <c r="Y604" s="1">
        <v>0.0</v>
      </c>
      <c r="Z604" s="1">
        <v>0.0</v>
      </c>
      <c r="AA604" s="1">
        <v>0.0</v>
      </c>
      <c r="AB604" s="1">
        <v>0.0</v>
      </c>
      <c r="AC604" s="1">
        <v>0.0</v>
      </c>
      <c r="AD604" s="1">
        <v>0.0</v>
      </c>
      <c r="AE604" s="1">
        <v>0.0</v>
      </c>
      <c r="AF604" s="1">
        <v>0.0</v>
      </c>
      <c r="AG604" s="1">
        <v>0.0</v>
      </c>
      <c r="AH604" s="1">
        <v>0.0</v>
      </c>
      <c r="AI604" s="1">
        <v>0.0</v>
      </c>
      <c r="AJ604" s="1">
        <v>0.0</v>
      </c>
      <c r="AK604" s="1">
        <v>0.0</v>
      </c>
      <c r="AL604" s="1">
        <v>0.0</v>
      </c>
      <c r="AM604" s="4">
        <v>0.0</v>
      </c>
      <c r="AN604" s="1">
        <v>0.0</v>
      </c>
      <c r="AO604" s="4">
        <v>0.0</v>
      </c>
      <c r="AP604" s="1">
        <f t="shared" si="1"/>
        <v>1</v>
      </c>
      <c r="AU604" s="2"/>
      <c r="AV604" s="2">
        <v>46023.9847222222</v>
      </c>
      <c r="AW604" s="1">
        <v>0.0</v>
      </c>
      <c r="AX604" s="1">
        <v>0.0</v>
      </c>
      <c r="AY604" s="1">
        <v>0.0</v>
      </c>
      <c r="AZ604" s="1">
        <v>1.0</v>
      </c>
      <c r="BA604" s="1">
        <v>0.0</v>
      </c>
      <c r="BB604" s="1">
        <v>0.0</v>
      </c>
      <c r="BC604" s="2">
        <v>46017.0</v>
      </c>
      <c r="BD604" s="1">
        <v>51.0</v>
      </c>
      <c r="BE604" s="1" t="s">
        <v>550</v>
      </c>
      <c r="BF604" s="1">
        <v>2025.0</v>
      </c>
      <c r="BG604" s="1" t="s">
        <v>558</v>
      </c>
      <c r="BH604" s="1" t="str">
        <f>VLOOKUP(B604,CookieClicks!D:O,12,FALSE)</f>
        <v>#N/A</v>
      </c>
      <c r="BI604" s="8" t="str">
        <f>IFERROR(__xludf.DUMMYFUNCTION("VLOOKUP(REGEXREPLACE(BH604,""[?].*"",""""),ContentBuckets!A:C,2,FALSE)"),"#N/A")</f>
        <v>#N/A</v>
      </c>
      <c r="BJ604" s="8" t="str">
        <f>IFERROR(__xludf.DUMMYFUNCTION("VLOOKUP(REGEXREPLACE(BH604,""[?].*"",""""),ContentBuckets!A:C,3,FALSE)"),"#N/A")</f>
        <v>#N/A</v>
      </c>
    </row>
    <row r="605" ht="14.25" customHeight="1">
      <c r="A605" s="1">
        <v>153890.0</v>
      </c>
      <c r="B605" s="1" t="s">
        <v>1376</v>
      </c>
      <c r="C605" s="2">
        <v>46017.2055555556</v>
      </c>
      <c r="D605" s="2">
        <v>46017.4409722222</v>
      </c>
      <c r="E605" s="2"/>
      <c r="F605" s="1" t="b">
        <v>0</v>
      </c>
      <c r="G605" s="4" t="b">
        <v>1</v>
      </c>
      <c r="H605" s="1" t="b">
        <v>0</v>
      </c>
      <c r="I605" s="1" t="b">
        <v>0</v>
      </c>
      <c r="J605" s="1" t="s">
        <v>534</v>
      </c>
      <c r="K605" s="1" t="s">
        <v>535</v>
      </c>
      <c r="L605" s="1" t="s">
        <v>536</v>
      </c>
      <c r="M605" s="1" t="s">
        <v>537</v>
      </c>
      <c r="N605" s="1">
        <v>0.0</v>
      </c>
      <c r="O605" s="1">
        <v>0.0</v>
      </c>
      <c r="P605" s="1">
        <v>0.0</v>
      </c>
      <c r="Q605" s="1">
        <v>0.0</v>
      </c>
      <c r="R605" s="1">
        <v>28.0</v>
      </c>
      <c r="S605" s="1" t="s">
        <v>538</v>
      </c>
      <c r="T605" s="1" t="s">
        <v>539</v>
      </c>
      <c r="V605" s="4">
        <v>7511335.0</v>
      </c>
      <c r="W605" s="4"/>
      <c r="X605" s="4">
        <v>1.0</v>
      </c>
      <c r="Y605" s="1">
        <v>0.0</v>
      </c>
      <c r="Z605" s="1">
        <v>0.0</v>
      </c>
      <c r="AA605" s="1">
        <v>0.0</v>
      </c>
      <c r="AB605" s="1">
        <v>0.0</v>
      </c>
      <c r="AC605" s="1">
        <v>0.0</v>
      </c>
      <c r="AD605" s="1">
        <v>0.0</v>
      </c>
      <c r="AE605" s="1">
        <v>0.0</v>
      </c>
      <c r="AF605" s="1">
        <v>0.0</v>
      </c>
      <c r="AG605" s="1">
        <v>0.0</v>
      </c>
      <c r="AH605" s="1">
        <v>0.0</v>
      </c>
      <c r="AI605" s="1">
        <v>0.0</v>
      </c>
      <c r="AJ605" s="1">
        <v>0.0</v>
      </c>
      <c r="AK605" s="1">
        <v>0.0</v>
      </c>
      <c r="AL605" s="1">
        <v>0.0</v>
      </c>
      <c r="AM605" s="4">
        <v>0.0</v>
      </c>
      <c r="AN605" s="1">
        <v>0.0</v>
      </c>
      <c r="AO605" s="4">
        <v>0.0</v>
      </c>
      <c r="AP605" s="1">
        <f t="shared" si="1"/>
        <v>0</v>
      </c>
      <c r="AR605" s="1" t="s">
        <v>578</v>
      </c>
      <c r="AU605" s="2"/>
      <c r="AV605" s="2"/>
      <c r="AW605" s="1">
        <v>0.0</v>
      </c>
      <c r="AX605" s="1">
        <v>0.0</v>
      </c>
      <c r="AY605" s="1">
        <v>0.0</v>
      </c>
      <c r="AZ605" s="1">
        <v>1.0</v>
      </c>
      <c r="BA605" s="1">
        <v>0.0</v>
      </c>
      <c r="BB605" s="1">
        <v>0.0</v>
      </c>
      <c r="BC605" s="2">
        <v>46017.0</v>
      </c>
      <c r="BD605" s="1">
        <v>51.0</v>
      </c>
      <c r="BE605" s="1" t="s">
        <v>550</v>
      </c>
      <c r="BF605" s="1">
        <v>2025.0</v>
      </c>
      <c r="BG605" s="1" t="s">
        <v>835</v>
      </c>
      <c r="BH605" s="7" t="str">
        <f>VLOOKUP(B605,CookieClicks!D:O,12,FALSE)</f>
        <v>https://www.method.me/</v>
      </c>
      <c r="BI605" s="8" t="str">
        <f>IFERROR(__xludf.DUMMYFUNCTION("VLOOKUP(REGEXREPLACE(BH605,""[?].*"",""""),ContentBuckets!A:C,2,FALSE)"),"Homepage")</f>
        <v>Homepage</v>
      </c>
      <c r="BJ605" s="8" t="str">
        <f>IFERROR(__xludf.DUMMYFUNCTION("VLOOKUP(REGEXREPLACE(BH605,""[?].*"",""""),ContentBuckets!A:C,3,FALSE)"),"Other page")</f>
        <v>Other page</v>
      </c>
    </row>
    <row r="606" ht="14.25" customHeight="1">
      <c r="A606" s="1">
        <v>153891.0</v>
      </c>
      <c r="B606" s="1" t="s">
        <v>1377</v>
      </c>
      <c r="C606" s="2">
        <v>46017.3173611111</v>
      </c>
      <c r="D606" s="2"/>
      <c r="E606" s="2"/>
      <c r="F606" s="1" t="b">
        <v>1</v>
      </c>
      <c r="G606" s="4" t="b">
        <v>0</v>
      </c>
      <c r="H606" s="1" t="b">
        <v>0</v>
      </c>
      <c r="I606" s="1" t="b">
        <v>0</v>
      </c>
      <c r="J606" s="1" t="s">
        <v>534</v>
      </c>
      <c r="K606" s="1" t="s">
        <v>622</v>
      </c>
      <c r="L606" s="1" t="s">
        <v>623</v>
      </c>
      <c r="M606" s="1" t="s">
        <v>537</v>
      </c>
      <c r="N606" s="1">
        <v>0.0</v>
      </c>
      <c r="O606" s="1">
        <v>53.25</v>
      </c>
      <c r="P606" s="1">
        <v>0.0</v>
      </c>
      <c r="Q606" s="1">
        <v>0.0</v>
      </c>
      <c r="R606" s="1">
        <v>0.0</v>
      </c>
      <c r="S606" s="1" t="s">
        <v>538</v>
      </c>
      <c r="T606" s="1" t="s">
        <v>539</v>
      </c>
      <c r="V606" s="4">
        <v>7511932.0</v>
      </c>
      <c r="W606" s="4"/>
      <c r="X606" s="4">
        <v>0.0</v>
      </c>
      <c r="Y606" s="1">
        <v>0.0</v>
      </c>
      <c r="Z606" s="1">
        <v>0.0</v>
      </c>
      <c r="AA606" s="1">
        <v>0.0</v>
      </c>
      <c r="AB606" s="1">
        <v>0.0</v>
      </c>
      <c r="AC606" s="1">
        <v>0.0</v>
      </c>
      <c r="AD606" s="1">
        <v>0.0</v>
      </c>
      <c r="AE606" s="1">
        <v>0.0</v>
      </c>
      <c r="AF606" s="1">
        <v>0.0</v>
      </c>
      <c r="AG606" s="1">
        <v>0.0</v>
      </c>
      <c r="AH606" s="1">
        <v>0.0</v>
      </c>
      <c r="AI606" s="1">
        <v>0.0</v>
      </c>
      <c r="AJ606" s="1">
        <v>0.0</v>
      </c>
      <c r="AK606" s="1">
        <v>0.0</v>
      </c>
      <c r="AL606" s="1">
        <v>0.0</v>
      </c>
      <c r="AM606" s="4">
        <v>0.0</v>
      </c>
      <c r="AN606" s="1">
        <v>0.0</v>
      </c>
      <c r="AO606" s="4">
        <v>0.0</v>
      </c>
      <c r="AP606" s="1">
        <f t="shared" si="1"/>
        <v>1</v>
      </c>
      <c r="AU606" s="2"/>
      <c r="AV606" s="2">
        <v>46024.0076388889</v>
      </c>
      <c r="AW606" s="1">
        <v>0.0</v>
      </c>
      <c r="AX606" s="1">
        <v>0.0</v>
      </c>
      <c r="AY606" s="1">
        <v>0.0</v>
      </c>
      <c r="AZ606" s="1">
        <v>1.0</v>
      </c>
      <c r="BA606" s="1">
        <v>0.0</v>
      </c>
      <c r="BB606" s="1">
        <v>0.0</v>
      </c>
      <c r="BC606" s="2">
        <v>46017.0</v>
      </c>
      <c r="BD606" s="1">
        <v>51.0</v>
      </c>
      <c r="BE606" s="1" t="s">
        <v>550</v>
      </c>
      <c r="BF606" s="1">
        <v>2025.0</v>
      </c>
      <c r="BG606" s="1" t="s">
        <v>786</v>
      </c>
      <c r="BH606" s="7" t="str">
        <f>VLOOKUP(B606,CookieClicks!D:O,12,FALSE)</f>
        <v>http://signup.method.me/methodcrm/?_gl=1*1ukatl5*_gcl_au*MTk4OTQ1MzcxMy4xNzY2NzUyNjEz</v>
      </c>
      <c r="BI606" s="8" t="str">
        <f>IFERROR(__xludf.DUMMYFUNCTION("VLOOKUP(REGEXREPLACE(BH606,""[?].*"",""""),ContentBuckets!A:C,2,FALSE)"),"#N/A")</f>
        <v>#N/A</v>
      </c>
      <c r="BJ606" s="8" t="str">
        <f>IFERROR(__xludf.DUMMYFUNCTION("VLOOKUP(REGEXREPLACE(BH606,""[?].*"",""""),ContentBuckets!A:C,3,FALSE)"),"#N/A")</f>
        <v>#N/A</v>
      </c>
    </row>
    <row r="607" ht="14.25" customHeight="1">
      <c r="A607" s="1">
        <v>153892.0</v>
      </c>
      <c r="B607" s="1" t="s">
        <v>1378</v>
      </c>
      <c r="C607" s="2">
        <v>46017.5020833333</v>
      </c>
      <c r="D607" s="2"/>
      <c r="E607" s="2"/>
      <c r="F607" s="1" t="b">
        <v>1</v>
      </c>
      <c r="G607" s="4" t="b">
        <v>0</v>
      </c>
      <c r="H607" s="1" t="b">
        <v>0</v>
      </c>
      <c r="I607" s="1" t="b">
        <v>0</v>
      </c>
      <c r="J607" s="1" t="s">
        <v>534</v>
      </c>
      <c r="K607" s="1" t="s">
        <v>535</v>
      </c>
      <c r="L607" s="1" t="s">
        <v>536</v>
      </c>
      <c r="M607" s="1" t="s">
        <v>537</v>
      </c>
      <c r="N607" s="1">
        <v>0.0</v>
      </c>
      <c r="O607" s="1">
        <v>54.75</v>
      </c>
      <c r="P607" s="1">
        <v>0.0</v>
      </c>
      <c r="Q607" s="1">
        <v>0.0</v>
      </c>
      <c r="R607" s="1">
        <v>28.0</v>
      </c>
      <c r="S607" s="1" t="s">
        <v>538</v>
      </c>
      <c r="T607" s="1" t="s">
        <v>539</v>
      </c>
      <c r="V607" s="4">
        <v>7513096.0</v>
      </c>
      <c r="W607" s="4" t="s">
        <v>540</v>
      </c>
      <c r="X607" s="4">
        <v>0.0</v>
      </c>
      <c r="Y607" s="1">
        <v>1.0</v>
      </c>
      <c r="Z607" s="1">
        <v>0.0</v>
      </c>
      <c r="AA607" s="1">
        <v>0.0</v>
      </c>
      <c r="AB607" s="1">
        <v>0.0</v>
      </c>
      <c r="AC607" s="1">
        <v>0.0</v>
      </c>
      <c r="AD607" s="1">
        <v>0.0</v>
      </c>
      <c r="AE607" s="1">
        <v>0.0</v>
      </c>
      <c r="AF607" s="1">
        <v>0.0</v>
      </c>
      <c r="AG607" s="1">
        <v>0.0</v>
      </c>
      <c r="AH607" s="1">
        <v>0.0</v>
      </c>
      <c r="AI607" s="1">
        <v>0.0</v>
      </c>
      <c r="AJ607" s="1">
        <v>0.0</v>
      </c>
      <c r="AK607" s="1">
        <v>0.0</v>
      </c>
      <c r="AL607" s="1">
        <v>0.0</v>
      </c>
      <c r="AM607" s="4">
        <v>0.0</v>
      </c>
      <c r="AN607" s="1">
        <v>0.0</v>
      </c>
      <c r="AO607" s="4">
        <v>0.0</v>
      </c>
      <c r="AP607" s="1">
        <f t="shared" si="1"/>
        <v>0</v>
      </c>
      <c r="AQ607" s="1" t="s">
        <v>557</v>
      </c>
      <c r="AR607" s="1" t="s">
        <v>571</v>
      </c>
      <c r="AU607" s="2">
        <v>46017.0</v>
      </c>
      <c r="AV607" s="2">
        <v>46023.9923611111</v>
      </c>
      <c r="AW607" s="1">
        <v>2.0</v>
      </c>
      <c r="AX607" s="1">
        <v>1416435.96</v>
      </c>
      <c r="AY607" s="1">
        <v>122.0</v>
      </c>
      <c r="AZ607" s="1">
        <v>1.0</v>
      </c>
      <c r="BA607" s="1">
        <v>0.0</v>
      </c>
      <c r="BB607" s="1">
        <v>1.0</v>
      </c>
      <c r="BC607" s="2">
        <v>46017.0</v>
      </c>
      <c r="BD607" s="1">
        <v>51.0</v>
      </c>
      <c r="BE607" s="1" t="s">
        <v>550</v>
      </c>
      <c r="BF607" s="1">
        <v>2025.0</v>
      </c>
      <c r="BG607" s="1" t="s">
        <v>558</v>
      </c>
      <c r="BH607" s="7" t="str">
        <f>VLOOKUP(B607,CookieClicks!D:O,12,FALSE)</f>
        <v>https://www.method.me/</v>
      </c>
      <c r="BI607" s="8" t="str">
        <f>IFERROR(__xludf.DUMMYFUNCTION("VLOOKUP(REGEXREPLACE(BH607,""[?].*"",""""),ContentBuckets!A:C,2,FALSE)"),"Homepage")</f>
        <v>Homepage</v>
      </c>
      <c r="BJ607" s="8" t="str">
        <f>IFERROR(__xludf.DUMMYFUNCTION("VLOOKUP(REGEXREPLACE(BH607,""[?].*"",""""),ContentBuckets!A:C,3,FALSE)"),"Other page")</f>
        <v>Other page</v>
      </c>
    </row>
    <row r="608" ht="14.25" customHeight="1">
      <c r="A608" s="1">
        <v>153893.0</v>
      </c>
      <c r="B608" s="1" t="s">
        <v>1379</v>
      </c>
      <c r="C608" s="2">
        <v>46017.5375</v>
      </c>
      <c r="D608" s="2"/>
      <c r="E608" s="2"/>
      <c r="F608" s="1" t="b">
        <v>1</v>
      </c>
      <c r="G608" s="4" t="b">
        <v>0</v>
      </c>
      <c r="H608" s="1" t="b">
        <v>0</v>
      </c>
      <c r="I608" s="1" t="b">
        <v>0</v>
      </c>
      <c r="J608" s="1" t="s">
        <v>534</v>
      </c>
      <c r="K608" s="1" t="s">
        <v>535</v>
      </c>
      <c r="L608" s="1" t="s">
        <v>536</v>
      </c>
      <c r="M608" s="1" t="s">
        <v>537</v>
      </c>
      <c r="N608" s="1">
        <v>0.0</v>
      </c>
      <c r="O608" s="1">
        <v>70.5</v>
      </c>
      <c r="P608" s="1">
        <v>0.0</v>
      </c>
      <c r="Q608" s="1">
        <v>0.0</v>
      </c>
      <c r="R608" s="1">
        <v>28.0</v>
      </c>
      <c r="S608" s="1" t="s">
        <v>538</v>
      </c>
      <c r="T608" s="1" t="s">
        <v>539</v>
      </c>
      <c r="V608" s="4">
        <v>7513352.0</v>
      </c>
      <c r="W608" s="4" t="s">
        <v>588</v>
      </c>
      <c r="X608" s="4">
        <v>0.0</v>
      </c>
      <c r="Y608" s="1">
        <v>1.0</v>
      </c>
      <c r="Z608" s="1">
        <v>0.0</v>
      </c>
      <c r="AA608" s="1">
        <v>0.0</v>
      </c>
      <c r="AB608" s="1">
        <v>0.0</v>
      </c>
      <c r="AC608" s="1">
        <v>0.0</v>
      </c>
      <c r="AD608" s="1">
        <v>0.0</v>
      </c>
      <c r="AE608" s="1">
        <v>0.0</v>
      </c>
      <c r="AF608" s="1">
        <v>0.0</v>
      </c>
      <c r="AG608" s="1">
        <v>0.0</v>
      </c>
      <c r="AH608" s="1">
        <v>0.0</v>
      </c>
      <c r="AI608" s="1">
        <v>0.0</v>
      </c>
      <c r="AJ608" s="1">
        <v>0.0</v>
      </c>
      <c r="AK608" s="1">
        <v>0.0</v>
      </c>
      <c r="AL608" s="1">
        <v>0.0</v>
      </c>
      <c r="AM608" s="4">
        <v>0.0</v>
      </c>
      <c r="AN608" s="1">
        <v>0.0</v>
      </c>
      <c r="AO608" s="4">
        <v>0.0</v>
      </c>
      <c r="AP608" s="1">
        <f t="shared" si="1"/>
        <v>0</v>
      </c>
      <c r="AQ608" s="1" t="s">
        <v>541</v>
      </c>
      <c r="AR608" s="1" t="s">
        <v>542</v>
      </c>
      <c r="AU608" s="2">
        <v>46020.0</v>
      </c>
      <c r="AV608" s="2">
        <v>46024.025</v>
      </c>
      <c r="AW608" s="1">
        <v>45.0</v>
      </c>
      <c r="AX608" s="1">
        <v>2.947496088E7</v>
      </c>
      <c r="AY608" s="1">
        <v>741.0</v>
      </c>
      <c r="AZ608" s="1">
        <v>2.0</v>
      </c>
      <c r="BA608" s="1">
        <v>0.0</v>
      </c>
      <c r="BB608" s="1">
        <v>0.0</v>
      </c>
      <c r="BC608" s="2">
        <v>46017.0</v>
      </c>
      <c r="BD608" s="1">
        <v>51.0</v>
      </c>
      <c r="BE608" s="1" t="s">
        <v>550</v>
      </c>
      <c r="BF608" s="1">
        <v>2025.0</v>
      </c>
      <c r="BG608" s="1" t="s">
        <v>546</v>
      </c>
      <c r="BH608" s="7" t="str">
        <f>VLOOKUP(B608,CookieClicks!D:O,12,FALSE)</f>
        <v>https://www.method.me/</v>
      </c>
      <c r="BI608" s="8" t="str">
        <f>IFERROR(__xludf.DUMMYFUNCTION("VLOOKUP(REGEXREPLACE(BH608,""[?].*"",""""),ContentBuckets!A:C,2,FALSE)"),"Homepage")</f>
        <v>Homepage</v>
      </c>
      <c r="BJ608" s="8" t="str">
        <f>IFERROR(__xludf.DUMMYFUNCTION("VLOOKUP(REGEXREPLACE(BH608,""[?].*"",""""),ContentBuckets!A:C,3,FALSE)"),"Other page")</f>
        <v>Other page</v>
      </c>
    </row>
    <row r="609" ht="14.25" customHeight="1">
      <c r="A609" s="1">
        <v>153894.0</v>
      </c>
      <c r="B609" s="1" t="s">
        <v>1380</v>
      </c>
      <c r="C609" s="2">
        <v>46017.7534722222</v>
      </c>
      <c r="D609" s="2"/>
      <c r="E609" s="2"/>
      <c r="F609" s="1" t="b">
        <v>1</v>
      </c>
      <c r="G609" s="4" t="b">
        <v>0</v>
      </c>
      <c r="H609" s="1" t="b">
        <v>0</v>
      </c>
      <c r="I609" s="1" t="b">
        <v>0</v>
      </c>
      <c r="J609" s="1" t="s">
        <v>534</v>
      </c>
      <c r="K609" s="1" t="s">
        <v>535</v>
      </c>
      <c r="L609" s="1" t="s">
        <v>536</v>
      </c>
      <c r="M609" s="1" t="s">
        <v>537</v>
      </c>
      <c r="N609" s="1">
        <v>0.0</v>
      </c>
      <c r="O609" s="1">
        <v>53.25</v>
      </c>
      <c r="P609" s="1">
        <v>0.0</v>
      </c>
      <c r="Q609" s="1">
        <v>0.0</v>
      </c>
      <c r="R609" s="1">
        <v>28.0</v>
      </c>
      <c r="S609" s="1" t="s">
        <v>538</v>
      </c>
      <c r="T609" s="1" t="s">
        <v>539</v>
      </c>
      <c r="V609" s="4">
        <v>7514329.0</v>
      </c>
      <c r="W609" s="4" t="s">
        <v>540</v>
      </c>
      <c r="X609" s="4">
        <v>0.0</v>
      </c>
      <c r="Y609" s="1">
        <v>1.0</v>
      </c>
      <c r="Z609" s="1">
        <v>0.0</v>
      </c>
      <c r="AA609" s="1">
        <v>0.0</v>
      </c>
      <c r="AB609" s="1">
        <v>0.0</v>
      </c>
      <c r="AC609" s="1">
        <v>0.0</v>
      </c>
      <c r="AD609" s="1">
        <v>0.0</v>
      </c>
      <c r="AE609" s="1">
        <v>0.0</v>
      </c>
      <c r="AF609" s="1">
        <v>0.0</v>
      </c>
      <c r="AG609" s="1">
        <v>0.0</v>
      </c>
      <c r="AH609" s="1">
        <v>0.0</v>
      </c>
      <c r="AI609" s="1">
        <v>0.0</v>
      </c>
      <c r="AJ609" s="1">
        <v>0.0</v>
      </c>
      <c r="AK609" s="1">
        <v>0.0</v>
      </c>
      <c r="AL609" s="1">
        <v>0.0</v>
      </c>
      <c r="AM609" s="4">
        <v>0.0</v>
      </c>
      <c r="AN609" s="1">
        <v>0.0</v>
      </c>
      <c r="AO609" s="4">
        <v>0.0</v>
      </c>
      <c r="AP609" s="1">
        <f t="shared" si="1"/>
        <v>0</v>
      </c>
      <c r="AQ609" s="1" t="s">
        <v>557</v>
      </c>
      <c r="AR609" s="1" t="s">
        <v>560</v>
      </c>
      <c r="AT609" s="1" t="s">
        <v>1381</v>
      </c>
      <c r="AU609" s="2">
        <v>46017.0</v>
      </c>
      <c r="AV609" s="2">
        <v>46024.025</v>
      </c>
      <c r="AW609" s="1">
        <v>0.0</v>
      </c>
      <c r="AX609" s="1">
        <v>0.0</v>
      </c>
      <c r="AY609" s="1">
        <v>4534.0</v>
      </c>
      <c r="AZ609" s="1">
        <v>1.0</v>
      </c>
      <c r="BA609" s="1">
        <v>0.0</v>
      </c>
      <c r="BB609" s="1">
        <v>3.0</v>
      </c>
      <c r="BC609" s="2">
        <v>46017.0</v>
      </c>
      <c r="BD609" s="1">
        <v>51.0</v>
      </c>
      <c r="BE609" s="1" t="s">
        <v>550</v>
      </c>
      <c r="BF609" s="1">
        <v>2025.0</v>
      </c>
      <c r="BG609" s="1" t="s">
        <v>558</v>
      </c>
      <c r="BH609" s="7" t="str">
        <f>VLOOKUP(B609,CookieClicks!D:O,12,FALSE)</f>
        <v>https://www.method.me/</v>
      </c>
      <c r="BI609" s="8" t="str">
        <f>IFERROR(__xludf.DUMMYFUNCTION("VLOOKUP(REGEXREPLACE(BH609,""[?].*"",""""),ContentBuckets!A:C,2,FALSE)"),"Homepage")</f>
        <v>Homepage</v>
      </c>
      <c r="BJ609" s="8" t="str">
        <f>IFERROR(__xludf.DUMMYFUNCTION("VLOOKUP(REGEXREPLACE(BH609,""[?].*"",""""),ContentBuckets!A:C,3,FALSE)"),"Other page")</f>
        <v>Other page</v>
      </c>
    </row>
    <row r="610" ht="14.25" customHeight="1">
      <c r="A610" s="1">
        <v>153895.0</v>
      </c>
      <c r="B610" s="1" t="s">
        <v>1382</v>
      </c>
      <c r="C610" s="2">
        <v>46017.8854166667</v>
      </c>
      <c r="D610" s="2"/>
      <c r="E610" s="2"/>
      <c r="F610" s="1" t="b">
        <v>1</v>
      </c>
      <c r="G610" s="4" t="b">
        <v>0</v>
      </c>
      <c r="H610" s="1" t="b">
        <v>0</v>
      </c>
      <c r="I610" s="1" t="b">
        <v>0</v>
      </c>
      <c r="J610" s="1" t="s">
        <v>534</v>
      </c>
      <c r="K610" s="1" t="s">
        <v>553</v>
      </c>
      <c r="L610" s="1" t="s">
        <v>554</v>
      </c>
      <c r="M610" s="1" t="s">
        <v>537</v>
      </c>
      <c r="N610" s="1">
        <v>0.0</v>
      </c>
      <c r="O610" s="1">
        <v>44.25</v>
      </c>
      <c r="P610" s="1">
        <v>0.0</v>
      </c>
      <c r="Q610" s="1">
        <v>0.0</v>
      </c>
      <c r="R610" s="1">
        <v>0.0</v>
      </c>
      <c r="S610" s="1" t="s">
        <v>538</v>
      </c>
      <c r="T610" s="1" t="s">
        <v>539</v>
      </c>
      <c r="V610" s="4">
        <v>7514568.0</v>
      </c>
      <c r="W610" s="4"/>
      <c r="X610" s="4">
        <v>0.0</v>
      </c>
      <c r="Y610" s="1">
        <v>0.0</v>
      </c>
      <c r="Z610" s="1">
        <v>0.0</v>
      </c>
      <c r="AA610" s="1">
        <v>0.0</v>
      </c>
      <c r="AB610" s="1">
        <v>0.0</v>
      </c>
      <c r="AC610" s="1">
        <v>0.0</v>
      </c>
      <c r="AD610" s="1">
        <v>0.0</v>
      </c>
      <c r="AE610" s="1">
        <v>0.0</v>
      </c>
      <c r="AF610" s="1">
        <v>0.0</v>
      </c>
      <c r="AG610" s="1">
        <v>0.0</v>
      </c>
      <c r="AH610" s="1">
        <v>0.0</v>
      </c>
      <c r="AI610" s="1">
        <v>0.0</v>
      </c>
      <c r="AJ610" s="1">
        <v>0.0</v>
      </c>
      <c r="AK610" s="1">
        <v>0.0</v>
      </c>
      <c r="AL610" s="1">
        <v>0.0</v>
      </c>
      <c r="AM610" s="4">
        <v>0.0</v>
      </c>
      <c r="AN610" s="1">
        <v>0.0</v>
      </c>
      <c r="AO610" s="4">
        <v>0.0</v>
      </c>
      <c r="AP610" s="1">
        <f t="shared" si="1"/>
        <v>1</v>
      </c>
      <c r="AU610" s="2"/>
      <c r="AV610" s="2">
        <v>46024.0076388889</v>
      </c>
      <c r="AW610" s="1">
        <v>0.0</v>
      </c>
      <c r="AX610" s="1">
        <v>0.0</v>
      </c>
      <c r="AY610" s="1">
        <v>0.0</v>
      </c>
      <c r="AZ610" s="1">
        <v>1.0</v>
      </c>
      <c r="BA610" s="1">
        <v>0.0</v>
      </c>
      <c r="BB610" s="1">
        <v>0.0</v>
      </c>
      <c r="BC610" s="2">
        <v>46017.0</v>
      </c>
      <c r="BD610" s="1">
        <v>51.0</v>
      </c>
      <c r="BE610" s="1" t="s">
        <v>550</v>
      </c>
      <c r="BF610" s="1">
        <v>2025.0</v>
      </c>
      <c r="BG610" s="1" t="s">
        <v>1003</v>
      </c>
      <c r="BH610" s="7" t="str">
        <f>VLOOKUP(B610,CookieClicks!D:O,12,FALSE)</f>
        <v>http://signup.method.me/methodcrm/</v>
      </c>
      <c r="BI610" s="8" t="str">
        <f>IFERROR(__xludf.DUMMYFUNCTION("VLOOKUP(REGEXREPLACE(BH610,""[?].*"",""""),ContentBuckets!A:C,2,FALSE)"),"#N/A")</f>
        <v>#N/A</v>
      </c>
      <c r="BJ610" s="8" t="str">
        <f>IFERROR(__xludf.DUMMYFUNCTION("VLOOKUP(REGEXREPLACE(BH610,""[?].*"",""""),ContentBuckets!A:C,3,FALSE)"),"#N/A")</f>
        <v>#N/A</v>
      </c>
    </row>
    <row r="611" ht="14.25" customHeight="1">
      <c r="A611" s="1">
        <v>153896.0</v>
      </c>
      <c r="B611" s="1" t="s">
        <v>1383</v>
      </c>
      <c r="C611" s="2">
        <v>46018.5270833333</v>
      </c>
      <c r="D611" s="2"/>
      <c r="E611" s="2"/>
      <c r="F611" s="1" t="b">
        <v>1</v>
      </c>
      <c r="G611" s="4" t="b">
        <v>0</v>
      </c>
      <c r="H611" s="1" t="b">
        <v>0</v>
      </c>
      <c r="I611" s="1" t="b">
        <v>0</v>
      </c>
      <c r="J611" s="1" t="s">
        <v>534</v>
      </c>
      <c r="K611" s="1" t="s">
        <v>535</v>
      </c>
      <c r="L611" s="1" t="s">
        <v>536</v>
      </c>
      <c r="M611" s="1" t="s">
        <v>537</v>
      </c>
      <c r="N611" s="1">
        <v>0.0</v>
      </c>
      <c r="O611" s="1">
        <v>72.75</v>
      </c>
      <c r="P611" s="1">
        <v>0.0</v>
      </c>
      <c r="Q611" s="1">
        <v>0.0</v>
      </c>
      <c r="R611" s="1">
        <v>28.0</v>
      </c>
      <c r="S611" s="1" t="s">
        <v>538</v>
      </c>
      <c r="T611" s="1" t="s">
        <v>539</v>
      </c>
      <c r="V611" s="4">
        <v>7515965.0</v>
      </c>
      <c r="W611" s="4" t="s">
        <v>540</v>
      </c>
      <c r="X611" s="4">
        <v>0.0</v>
      </c>
      <c r="Y611" s="1">
        <v>1.0</v>
      </c>
      <c r="Z611" s="1">
        <v>0.0</v>
      </c>
      <c r="AA611" s="1">
        <v>0.0</v>
      </c>
      <c r="AB611" s="1">
        <v>0.0</v>
      </c>
      <c r="AC611" s="1">
        <v>0.0</v>
      </c>
      <c r="AD611" s="1">
        <v>0.0</v>
      </c>
      <c r="AE611" s="1">
        <v>0.0</v>
      </c>
      <c r="AF611" s="1">
        <v>0.0</v>
      </c>
      <c r="AG611" s="1">
        <v>0.0</v>
      </c>
      <c r="AH611" s="1">
        <v>0.0</v>
      </c>
      <c r="AI611" s="1">
        <v>0.0</v>
      </c>
      <c r="AJ611" s="1">
        <v>0.0</v>
      </c>
      <c r="AK611" s="1">
        <v>0.0</v>
      </c>
      <c r="AL611" s="1">
        <v>0.0</v>
      </c>
      <c r="AM611" s="4">
        <v>0.0</v>
      </c>
      <c r="AN611" s="1">
        <v>0.0</v>
      </c>
      <c r="AO611" s="4">
        <v>0.0</v>
      </c>
      <c r="AP611" s="1">
        <f t="shared" si="1"/>
        <v>0</v>
      </c>
      <c r="AQ611" s="1" t="s">
        <v>557</v>
      </c>
      <c r="AR611" s="1" t="s">
        <v>542</v>
      </c>
      <c r="AT611" s="1" t="s">
        <v>1384</v>
      </c>
      <c r="AU611" s="2">
        <v>46018.0</v>
      </c>
      <c r="AV611" s="2">
        <v>46024.0020833333</v>
      </c>
      <c r="AW611" s="1">
        <v>0.0</v>
      </c>
      <c r="AX611" s="1">
        <v>118182.48</v>
      </c>
      <c r="AY611" s="1">
        <v>832.0</v>
      </c>
      <c r="AZ611" s="1">
        <v>1.0</v>
      </c>
      <c r="BA611" s="1">
        <v>0.0</v>
      </c>
      <c r="BB611" s="1">
        <v>0.0</v>
      </c>
      <c r="BC611" s="2">
        <v>46018.0</v>
      </c>
      <c r="BD611" s="1">
        <v>51.0</v>
      </c>
      <c r="BE611" s="1" t="s">
        <v>550</v>
      </c>
      <c r="BF611" s="1">
        <v>2025.0</v>
      </c>
      <c r="BG611" s="1" t="s">
        <v>558</v>
      </c>
      <c r="BH611" s="7" t="str">
        <f>VLOOKUP(B611,CookieClicks!D:O,12,FALSE)</f>
        <v>https://www.method.me/</v>
      </c>
      <c r="BI611" s="8" t="str">
        <f>IFERROR(__xludf.DUMMYFUNCTION("VLOOKUP(REGEXREPLACE(BH611,""[?].*"",""""),ContentBuckets!A:C,2,FALSE)"),"Homepage")</f>
        <v>Homepage</v>
      </c>
      <c r="BJ611" s="8" t="str">
        <f>IFERROR(__xludf.DUMMYFUNCTION("VLOOKUP(REGEXREPLACE(BH611,""[?].*"",""""),ContentBuckets!A:C,3,FALSE)"),"Other page")</f>
        <v>Other page</v>
      </c>
    </row>
    <row r="612" ht="14.25" customHeight="1">
      <c r="A612" s="1">
        <v>153897.0</v>
      </c>
      <c r="B612" s="1" t="s">
        <v>1385</v>
      </c>
      <c r="C612" s="2">
        <v>46018.6159722222</v>
      </c>
      <c r="D612" s="2"/>
      <c r="E612" s="2"/>
      <c r="F612" s="1" t="b">
        <v>1</v>
      </c>
      <c r="G612" s="4" t="b">
        <v>0</v>
      </c>
      <c r="H612" s="1" t="b">
        <v>0</v>
      </c>
      <c r="I612" s="1" t="b">
        <v>0</v>
      </c>
      <c r="J612" s="1" t="s">
        <v>534</v>
      </c>
      <c r="K612" s="1" t="s">
        <v>535</v>
      </c>
      <c r="L612" s="1" t="s">
        <v>536</v>
      </c>
      <c r="M612" s="1" t="s">
        <v>537</v>
      </c>
      <c r="N612" s="1">
        <v>0.0</v>
      </c>
      <c r="O612" s="1">
        <v>44.25</v>
      </c>
      <c r="P612" s="1">
        <v>0.0</v>
      </c>
      <c r="Q612" s="1">
        <v>0.0</v>
      </c>
      <c r="R612" s="1">
        <v>28.0</v>
      </c>
      <c r="S612" s="1" t="s">
        <v>538</v>
      </c>
      <c r="T612" s="1" t="s">
        <v>539</v>
      </c>
      <c r="V612" s="4">
        <v>7516417.0</v>
      </c>
      <c r="W612" s="4"/>
      <c r="X612" s="4">
        <v>0.0</v>
      </c>
      <c r="Y612" s="1">
        <v>0.0</v>
      </c>
      <c r="Z612" s="1">
        <v>1.0</v>
      </c>
      <c r="AA612" s="1">
        <v>0.0</v>
      </c>
      <c r="AB612" s="1">
        <v>0.0</v>
      </c>
      <c r="AC612" s="1">
        <v>0.0</v>
      </c>
      <c r="AD612" s="1">
        <v>0.0</v>
      </c>
      <c r="AE612" s="1">
        <v>0.0</v>
      </c>
      <c r="AF612" s="1">
        <v>0.0</v>
      </c>
      <c r="AG612" s="1">
        <v>0.0</v>
      </c>
      <c r="AH612" s="1">
        <v>0.0</v>
      </c>
      <c r="AI612" s="1">
        <v>0.0</v>
      </c>
      <c r="AJ612" s="1">
        <v>0.0</v>
      </c>
      <c r="AK612" s="1">
        <v>0.0</v>
      </c>
      <c r="AL612" s="1">
        <v>0.0</v>
      </c>
      <c r="AM612" s="4">
        <v>0.0</v>
      </c>
      <c r="AN612" s="1">
        <v>0.0</v>
      </c>
      <c r="AO612" s="4">
        <v>0.0</v>
      </c>
      <c r="AP612" s="1">
        <f t="shared" si="1"/>
        <v>0</v>
      </c>
      <c r="AQ612" s="1" t="s">
        <v>557</v>
      </c>
      <c r="AR612" s="1" t="s">
        <v>608</v>
      </c>
      <c r="AU612" s="2">
        <v>46018.0</v>
      </c>
      <c r="AV612" s="2">
        <v>46024.0388888889</v>
      </c>
      <c r="AW612" s="1">
        <v>0.0</v>
      </c>
      <c r="AX612" s="1">
        <v>0.0</v>
      </c>
      <c r="AY612" s="1">
        <v>0.0</v>
      </c>
      <c r="AZ612" s="1">
        <v>1.0</v>
      </c>
      <c r="BA612" s="1">
        <v>0.0</v>
      </c>
      <c r="BB612" s="1">
        <v>0.0</v>
      </c>
      <c r="BC612" s="2">
        <v>46018.0</v>
      </c>
      <c r="BD612" s="1">
        <v>51.0</v>
      </c>
      <c r="BE612" s="1" t="s">
        <v>550</v>
      </c>
      <c r="BF612" s="1">
        <v>2025.0</v>
      </c>
      <c r="BG612" s="1" t="s">
        <v>558</v>
      </c>
      <c r="BH612" s="7" t="str">
        <f>VLOOKUP(B612,CookieClicks!D:O,12,FALSE)</f>
        <v>https://signin.method.me/accounts/noaccountsfound?Offering=methodcrm</v>
      </c>
      <c r="BI612" s="8" t="str">
        <f>IFERROR(__xludf.DUMMYFUNCTION("VLOOKUP(REGEXREPLACE(BH612,""[?].*"",""""),ContentBuckets!A:C,2,FALSE)"),"#N/A")</f>
        <v>#N/A</v>
      </c>
      <c r="BJ612" s="8" t="str">
        <f>IFERROR(__xludf.DUMMYFUNCTION("VLOOKUP(REGEXREPLACE(BH612,""[?].*"",""""),ContentBuckets!A:C,3,FALSE)"),"#N/A")</f>
        <v>#N/A</v>
      </c>
    </row>
    <row r="613" ht="14.25" customHeight="1">
      <c r="A613" s="1">
        <v>153898.0</v>
      </c>
      <c r="B613" s="1" t="s">
        <v>1386</v>
      </c>
      <c r="C613" s="2">
        <v>46018.7118055556</v>
      </c>
      <c r="D613" s="2"/>
      <c r="E613" s="2"/>
      <c r="F613" s="1" t="b">
        <v>1</v>
      </c>
      <c r="G613" s="4" t="b">
        <v>0</v>
      </c>
      <c r="H613" s="1" t="b">
        <v>0</v>
      </c>
      <c r="I613" s="1" t="b">
        <v>0</v>
      </c>
      <c r="J613" s="1" t="s">
        <v>534</v>
      </c>
      <c r="K613" s="1" t="s">
        <v>535</v>
      </c>
      <c r="L613" s="1" t="s">
        <v>536</v>
      </c>
      <c r="M613" s="1" t="s">
        <v>537</v>
      </c>
      <c r="N613" s="1">
        <v>0.0</v>
      </c>
      <c r="O613" s="1">
        <v>191.25</v>
      </c>
      <c r="P613" s="1">
        <v>0.0</v>
      </c>
      <c r="Q613" s="1">
        <v>0.0</v>
      </c>
      <c r="R613" s="1">
        <v>28.0</v>
      </c>
      <c r="S613" s="1" t="s">
        <v>538</v>
      </c>
      <c r="T613" s="1" t="s">
        <v>539</v>
      </c>
      <c r="V613" s="4">
        <v>7516601.0</v>
      </c>
      <c r="W613" s="4" t="s">
        <v>540</v>
      </c>
      <c r="X613" s="4">
        <v>0.0</v>
      </c>
      <c r="Y613" s="1">
        <v>1.0</v>
      </c>
      <c r="Z613" s="1">
        <v>0.0</v>
      </c>
      <c r="AA613" s="1">
        <v>0.0</v>
      </c>
      <c r="AB613" s="1">
        <v>0.0</v>
      </c>
      <c r="AC613" s="1">
        <v>0.0</v>
      </c>
      <c r="AD613" s="1">
        <v>0.0</v>
      </c>
      <c r="AE613" s="1">
        <v>0.0</v>
      </c>
      <c r="AF613" s="1">
        <v>0.0</v>
      </c>
      <c r="AG613" s="1">
        <v>0.0</v>
      </c>
      <c r="AH613" s="1">
        <v>0.0</v>
      </c>
      <c r="AI613" s="1">
        <v>0.0</v>
      </c>
      <c r="AJ613" s="1">
        <v>0.0</v>
      </c>
      <c r="AK613" s="1">
        <v>0.0</v>
      </c>
      <c r="AL613" s="1">
        <v>0.0</v>
      </c>
      <c r="AM613" s="4">
        <v>0.0</v>
      </c>
      <c r="AN613" s="1">
        <v>0.0</v>
      </c>
      <c r="AO613" s="4">
        <v>0.0</v>
      </c>
      <c r="AP613" s="1">
        <f t="shared" si="1"/>
        <v>0</v>
      </c>
      <c r="AQ613" s="1" t="s">
        <v>557</v>
      </c>
      <c r="AR613" s="1" t="s">
        <v>560</v>
      </c>
      <c r="AT613" s="1" t="s">
        <v>1387</v>
      </c>
      <c r="AU613" s="2">
        <v>46020.0</v>
      </c>
      <c r="AV613" s="2">
        <v>46024.0333333333</v>
      </c>
      <c r="AW613" s="1">
        <v>0.0</v>
      </c>
      <c r="AX613" s="1">
        <v>60.0</v>
      </c>
      <c r="AY613" s="1">
        <v>2408.0</v>
      </c>
      <c r="AZ613" s="1">
        <v>3.0</v>
      </c>
      <c r="BA613" s="1">
        <v>0.0</v>
      </c>
      <c r="BB613" s="1">
        <v>0.0</v>
      </c>
      <c r="BC613" s="2">
        <v>46018.0</v>
      </c>
      <c r="BD613" s="1">
        <v>51.0</v>
      </c>
      <c r="BE613" s="1" t="s">
        <v>550</v>
      </c>
      <c r="BF613" s="1">
        <v>2025.0</v>
      </c>
      <c r="BG613" s="1" t="s">
        <v>558</v>
      </c>
      <c r="BH613" s="7" t="str">
        <f>VLOOKUP(B613,CookieClicks!D:O,12,FALSE)</f>
        <v>https://www.method.me/</v>
      </c>
      <c r="BI613" s="8" t="str">
        <f>IFERROR(__xludf.DUMMYFUNCTION("VLOOKUP(REGEXREPLACE(BH613,""[?].*"",""""),ContentBuckets!A:C,2,FALSE)"),"Homepage")</f>
        <v>Homepage</v>
      </c>
      <c r="BJ613" s="8" t="str">
        <f>IFERROR(__xludf.DUMMYFUNCTION("VLOOKUP(REGEXREPLACE(BH613,""[?].*"",""""),ContentBuckets!A:C,3,FALSE)"),"Other page")</f>
        <v>Other page</v>
      </c>
    </row>
    <row r="614" ht="14.25" customHeight="1">
      <c r="A614" s="1">
        <v>153899.0</v>
      </c>
      <c r="B614" s="1" t="s">
        <v>1388</v>
      </c>
      <c r="C614" s="2">
        <v>46018.9756944444</v>
      </c>
      <c r="D614" s="2"/>
      <c r="E614" s="2"/>
      <c r="F614" s="1" t="b">
        <v>1</v>
      </c>
      <c r="G614" s="4" t="b">
        <v>0</v>
      </c>
      <c r="H614" s="1" t="b">
        <v>0</v>
      </c>
      <c r="I614" s="1" t="b">
        <v>0</v>
      </c>
      <c r="J614" s="1" t="s">
        <v>534</v>
      </c>
      <c r="K614" s="1" t="s">
        <v>535</v>
      </c>
      <c r="L614" s="1" t="s">
        <v>536</v>
      </c>
      <c r="M614" s="1" t="s">
        <v>537</v>
      </c>
      <c r="N614" s="1">
        <v>0.0</v>
      </c>
      <c r="O614" s="1">
        <v>63.75</v>
      </c>
      <c r="P614" s="1">
        <v>0.0</v>
      </c>
      <c r="Q614" s="1">
        <v>0.0</v>
      </c>
      <c r="R614" s="1">
        <v>0.0</v>
      </c>
      <c r="S614" s="1" t="s">
        <v>538</v>
      </c>
      <c r="T614" s="1" t="s">
        <v>539</v>
      </c>
      <c r="V614" s="4">
        <v>7518306.0</v>
      </c>
      <c r="W614" s="4"/>
      <c r="X614" s="4">
        <v>0.0</v>
      </c>
      <c r="Y614" s="1">
        <v>0.0</v>
      </c>
      <c r="Z614" s="1">
        <v>1.0</v>
      </c>
      <c r="AA614" s="1">
        <v>0.0</v>
      </c>
      <c r="AB614" s="1">
        <v>0.0</v>
      </c>
      <c r="AC614" s="1">
        <v>0.0</v>
      </c>
      <c r="AD614" s="1">
        <v>0.0</v>
      </c>
      <c r="AE614" s="1">
        <v>0.0</v>
      </c>
      <c r="AF614" s="1">
        <v>0.0</v>
      </c>
      <c r="AG614" s="1">
        <v>0.0</v>
      </c>
      <c r="AH614" s="1">
        <v>0.0</v>
      </c>
      <c r="AI614" s="1">
        <v>0.0</v>
      </c>
      <c r="AJ614" s="1">
        <v>0.0</v>
      </c>
      <c r="AK614" s="1">
        <v>0.0</v>
      </c>
      <c r="AL614" s="1">
        <v>0.0</v>
      </c>
      <c r="AM614" s="4">
        <v>0.0</v>
      </c>
      <c r="AN614" s="1">
        <v>0.0</v>
      </c>
      <c r="AO614" s="4">
        <v>0.0</v>
      </c>
      <c r="AP614" s="1">
        <f t="shared" si="1"/>
        <v>0</v>
      </c>
      <c r="AQ614" s="1" t="s">
        <v>557</v>
      </c>
      <c r="AT614" s="1" t="s">
        <v>1389</v>
      </c>
      <c r="AU614" s="2">
        <v>46018.0</v>
      </c>
      <c r="AV614" s="2">
        <v>46024.0388888889</v>
      </c>
      <c r="AW614" s="1">
        <v>0.0</v>
      </c>
      <c r="AX614" s="1">
        <v>1482158.76</v>
      </c>
      <c r="AY614" s="1">
        <v>22.0</v>
      </c>
      <c r="AZ614" s="1">
        <v>1.0</v>
      </c>
      <c r="BA614" s="1">
        <v>0.0</v>
      </c>
      <c r="BB614" s="1">
        <v>0.0</v>
      </c>
      <c r="BC614" s="2">
        <v>46018.0</v>
      </c>
      <c r="BD614" s="1">
        <v>51.0</v>
      </c>
      <c r="BE614" s="1" t="s">
        <v>550</v>
      </c>
      <c r="BF614" s="1">
        <v>2025.0</v>
      </c>
      <c r="BG614" s="1" t="s">
        <v>558</v>
      </c>
      <c r="BH614" s="7" t="str">
        <f>VLOOKUP(B614,CookieClicks!D:O,12,FALSE)</f>
        <v>https://signup.method.me/QBOAppstoreSignup?offering=methodcrm</v>
      </c>
      <c r="BI614" s="8" t="str">
        <f>IFERROR(__xludf.DUMMYFUNCTION("VLOOKUP(REGEXREPLACE(BH614,""[?].*"",""""),ContentBuckets!A:C,2,FALSE)"),"#N/A")</f>
        <v>#N/A</v>
      </c>
      <c r="BJ614" s="8" t="str">
        <f>IFERROR(__xludf.DUMMYFUNCTION("VLOOKUP(REGEXREPLACE(BH614,""[?].*"",""""),ContentBuckets!A:C,3,FALSE)"),"#N/A")</f>
        <v>#N/A</v>
      </c>
    </row>
    <row r="615" ht="14.25" customHeight="1">
      <c r="A615" s="1">
        <v>153900.0</v>
      </c>
      <c r="B615" s="1" t="s">
        <v>1390</v>
      </c>
      <c r="C615" s="2">
        <v>46019.0034722222</v>
      </c>
      <c r="D615" s="2"/>
      <c r="E615" s="2"/>
      <c r="F615" s="1" t="b">
        <v>1</v>
      </c>
      <c r="G615" s="4" t="b">
        <v>0</v>
      </c>
      <c r="H615" s="1" t="b">
        <v>0</v>
      </c>
      <c r="I615" s="1" t="b">
        <v>0</v>
      </c>
      <c r="J615" s="1" t="s">
        <v>534</v>
      </c>
      <c r="K615" s="1" t="s">
        <v>535</v>
      </c>
      <c r="L615" s="1" t="s">
        <v>536</v>
      </c>
      <c r="M615" s="1" t="s">
        <v>537</v>
      </c>
      <c r="N615" s="1">
        <v>0.0</v>
      </c>
      <c r="O615" s="1">
        <v>44.25</v>
      </c>
      <c r="P615" s="1">
        <v>0.0</v>
      </c>
      <c r="Q615" s="1">
        <v>0.0</v>
      </c>
      <c r="R615" s="1">
        <v>28.0</v>
      </c>
      <c r="S615" s="1" t="s">
        <v>538</v>
      </c>
      <c r="T615" s="1" t="s">
        <v>539</v>
      </c>
      <c r="V615" s="4">
        <v>7509689.0</v>
      </c>
      <c r="W615" s="4" t="s">
        <v>540</v>
      </c>
      <c r="X615" s="4">
        <v>0.0</v>
      </c>
      <c r="Y615" s="1">
        <v>1.0</v>
      </c>
      <c r="Z615" s="1">
        <v>0.0</v>
      </c>
      <c r="AA615" s="1">
        <v>0.0</v>
      </c>
      <c r="AB615" s="1">
        <v>0.0</v>
      </c>
      <c r="AC615" s="1">
        <v>0.0</v>
      </c>
      <c r="AD615" s="1">
        <v>0.0</v>
      </c>
      <c r="AE615" s="1">
        <v>0.0</v>
      </c>
      <c r="AF615" s="1">
        <v>0.0</v>
      </c>
      <c r="AG615" s="1">
        <v>0.0</v>
      </c>
      <c r="AH615" s="1">
        <v>0.0</v>
      </c>
      <c r="AI615" s="1">
        <v>0.0</v>
      </c>
      <c r="AJ615" s="1">
        <v>0.0</v>
      </c>
      <c r="AK615" s="1">
        <v>0.0</v>
      </c>
      <c r="AL615" s="1">
        <v>0.0</v>
      </c>
      <c r="AM615" s="4">
        <v>0.0</v>
      </c>
      <c r="AN615" s="1">
        <v>0.0</v>
      </c>
      <c r="AO615" s="4">
        <v>0.0</v>
      </c>
      <c r="AP615" s="1">
        <f t="shared" si="1"/>
        <v>0</v>
      </c>
      <c r="AQ615" s="1" t="s">
        <v>557</v>
      </c>
      <c r="AR615" s="1" t="s">
        <v>578</v>
      </c>
      <c r="AT615" s="1" t="s">
        <v>1391</v>
      </c>
      <c r="AU615" s="2">
        <v>46019.0</v>
      </c>
      <c r="AV615" s="2">
        <v>46024.0013888889</v>
      </c>
      <c r="AW615" s="1">
        <v>0.0</v>
      </c>
      <c r="AX615" s="1">
        <v>0.0</v>
      </c>
      <c r="AY615" s="1">
        <v>0.0</v>
      </c>
      <c r="AZ615" s="1">
        <v>1.0</v>
      </c>
      <c r="BA615" s="1">
        <v>0.0</v>
      </c>
      <c r="BB615" s="1">
        <v>0.0</v>
      </c>
      <c r="BC615" s="2">
        <v>46019.0</v>
      </c>
      <c r="BD615" s="1">
        <v>51.0</v>
      </c>
      <c r="BE615" s="1" t="s">
        <v>550</v>
      </c>
      <c r="BF615" s="1">
        <v>2025.0</v>
      </c>
      <c r="BG615" s="1" t="s">
        <v>558</v>
      </c>
      <c r="BH615" s="7" t="str">
        <f>VLOOKUP(B615,CookieClicks!D:O,12,FALSE)</f>
        <v>https://www.method.me/</v>
      </c>
      <c r="BI615" s="8" t="str">
        <f>IFERROR(__xludf.DUMMYFUNCTION("VLOOKUP(REGEXREPLACE(BH615,""[?].*"",""""),ContentBuckets!A:C,2,FALSE)"),"Homepage")</f>
        <v>Homepage</v>
      </c>
      <c r="BJ615" s="8" t="str">
        <f>IFERROR(__xludf.DUMMYFUNCTION("VLOOKUP(REGEXREPLACE(BH615,""[?].*"",""""),ContentBuckets!A:C,3,FALSE)"),"Other page")</f>
        <v>Other page</v>
      </c>
    </row>
    <row r="616" ht="14.25" customHeight="1">
      <c r="A616" s="1">
        <v>153901.0</v>
      </c>
      <c r="B616" s="1" t="s">
        <v>1392</v>
      </c>
      <c r="C616" s="2">
        <v>46019.2277777778</v>
      </c>
      <c r="D616" s="2"/>
      <c r="E616" s="2"/>
      <c r="F616" s="1" t="b">
        <v>1</v>
      </c>
      <c r="G616" s="4" t="b">
        <v>0</v>
      </c>
      <c r="H616" s="1" t="b">
        <v>0</v>
      </c>
      <c r="I616" s="1" t="b">
        <v>0</v>
      </c>
      <c r="J616" s="1" t="s">
        <v>534</v>
      </c>
      <c r="K616" s="1" t="s">
        <v>553</v>
      </c>
      <c r="L616" s="1" t="s">
        <v>554</v>
      </c>
      <c r="M616" s="1" t="s">
        <v>537</v>
      </c>
      <c r="N616" s="1">
        <v>0.0</v>
      </c>
      <c r="O616" s="1">
        <v>44.25</v>
      </c>
      <c r="P616" s="1">
        <v>0.0</v>
      </c>
      <c r="Q616" s="1">
        <v>0.0</v>
      </c>
      <c r="R616" s="1">
        <v>0.0</v>
      </c>
      <c r="S616" s="1" t="s">
        <v>538</v>
      </c>
      <c r="T616" s="1" t="s">
        <v>539</v>
      </c>
      <c r="V616" s="4">
        <v>7519590.0</v>
      </c>
      <c r="W616" s="4" t="s">
        <v>540</v>
      </c>
      <c r="X616" s="4">
        <v>0.0</v>
      </c>
      <c r="Y616" s="1">
        <v>1.0</v>
      </c>
      <c r="Z616" s="1">
        <v>0.0</v>
      </c>
      <c r="AA616" s="1">
        <v>0.0</v>
      </c>
      <c r="AB616" s="1">
        <v>0.0</v>
      </c>
      <c r="AC616" s="1">
        <v>0.0</v>
      </c>
      <c r="AD616" s="1">
        <v>0.0</v>
      </c>
      <c r="AE616" s="1">
        <v>0.0</v>
      </c>
      <c r="AF616" s="1">
        <v>0.0</v>
      </c>
      <c r="AG616" s="1">
        <v>0.0</v>
      </c>
      <c r="AH616" s="1">
        <v>0.0</v>
      </c>
      <c r="AI616" s="1">
        <v>0.0</v>
      </c>
      <c r="AJ616" s="1">
        <v>0.0</v>
      </c>
      <c r="AK616" s="1">
        <v>0.0</v>
      </c>
      <c r="AL616" s="1">
        <v>0.0</v>
      </c>
      <c r="AM616" s="4">
        <v>0.0</v>
      </c>
      <c r="AN616" s="1">
        <v>0.0</v>
      </c>
      <c r="AO616" s="4">
        <v>0.0</v>
      </c>
      <c r="AP616" s="1">
        <f t="shared" si="1"/>
        <v>0</v>
      </c>
      <c r="AU616" s="2"/>
      <c r="AV616" s="2">
        <v>46023.9888888889</v>
      </c>
      <c r="AW616" s="1">
        <v>0.0</v>
      </c>
      <c r="AX616" s="1">
        <v>0.0</v>
      </c>
      <c r="AY616" s="1">
        <v>0.0</v>
      </c>
      <c r="AZ616" s="1">
        <v>1.0</v>
      </c>
      <c r="BA616" s="1">
        <v>0.0</v>
      </c>
      <c r="BB616" s="1">
        <v>0.0</v>
      </c>
      <c r="BC616" s="2">
        <v>46019.0</v>
      </c>
      <c r="BD616" s="1">
        <v>51.0</v>
      </c>
      <c r="BE616" s="1" t="s">
        <v>550</v>
      </c>
      <c r="BF616" s="1">
        <v>2025.0</v>
      </c>
      <c r="BG616" s="1" t="s">
        <v>558</v>
      </c>
      <c r="BH616" s="7" t="str">
        <f>VLOOKUP(B616,CookieClicks!D:O,12,FALSE)</f>
        <v>https://signin.method.me/</v>
      </c>
      <c r="BI616" s="8" t="str">
        <f>IFERROR(__xludf.DUMMYFUNCTION("VLOOKUP(REGEXREPLACE(BH616,""[?].*"",""""),ContentBuckets!A:C,2,FALSE)"),"#N/A")</f>
        <v>#N/A</v>
      </c>
      <c r="BJ616" s="8" t="str">
        <f>IFERROR(__xludf.DUMMYFUNCTION("VLOOKUP(REGEXREPLACE(BH616,""[?].*"",""""),ContentBuckets!A:C,3,FALSE)"),"#N/A")</f>
        <v>#N/A</v>
      </c>
    </row>
    <row r="617" ht="14.25" customHeight="1">
      <c r="A617" s="1">
        <v>153902.0</v>
      </c>
      <c r="B617" s="1" t="s">
        <v>1393</v>
      </c>
      <c r="C617" s="2">
        <v>46019.6826388889</v>
      </c>
      <c r="D617" s="2">
        <v>46019.7</v>
      </c>
      <c r="E617" s="2"/>
      <c r="F617" s="1" t="b">
        <v>0</v>
      </c>
      <c r="G617" s="4" t="b">
        <v>0</v>
      </c>
      <c r="H617" s="1" t="b">
        <v>0</v>
      </c>
      <c r="I617" s="1" t="b">
        <v>0</v>
      </c>
      <c r="J617" s="1" t="s">
        <v>534</v>
      </c>
      <c r="K617" s="1" t="s">
        <v>535</v>
      </c>
      <c r="L617" s="1" t="s">
        <v>536</v>
      </c>
      <c r="M617" s="1" t="s">
        <v>537</v>
      </c>
      <c r="N617" s="1">
        <v>0.0</v>
      </c>
      <c r="O617" s="1">
        <v>0.0</v>
      </c>
      <c r="P617" s="1">
        <v>0.0</v>
      </c>
      <c r="Q617" s="1">
        <v>0.0</v>
      </c>
      <c r="R617" s="1">
        <v>28.0</v>
      </c>
      <c r="S617" s="1" t="s">
        <v>538</v>
      </c>
      <c r="T617" s="1" t="s">
        <v>539</v>
      </c>
      <c r="V617" s="4">
        <v>7522095.0</v>
      </c>
      <c r="W617" s="4"/>
      <c r="X617" s="4">
        <v>0.0</v>
      </c>
      <c r="Y617" s="1">
        <v>0.0</v>
      </c>
      <c r="Z617" s="1">
        <v>1.0</v>
      </c>
      <c r="AA617" s="1">
        <v>0.0</v>
      </c>
      <c r="AB617" s="1">
        <v>0.0</v>
      </c>
      <c r="AC617" s="1">
        <v>0.0</v>
      </c>
      <c r="AD617" s="1">
        <v>0.0</v>
      </c>
      <c r="AE617" s="1">
        <v>0.0</v>
      </c>
      <c r="AF617" s="1">
        <v>0.0</v>
      </c>
      <c r="AG617" s="1">
        <v>0.0</v>
      </c>
      <c r="AH617" s="1">
        <v>0.0</v>
      </c>
      <c r="AI617" s="1">
        <v>0.0</v>
      </c>
      <c r="AJ617" s="1">
        <v>0.0</v>
      </c>
      <c r="AK617" s="1">
        <v>0.0</v>
      </c>
      <c r="AL617" s="1">
        <v>0.0</v>
      </c>
      <c r="AM617" s="4">
        <v>0.0</v>
      </c>
      <c r="AN617" s="1">
        <v>0.0</v>
      </c>
      <c r="AO617" s="4">
        <v>0.0</v>
      </c>
      <c r="AP617" s="1">
        <f t="shared" si="1"/>
        <v>0</v>
      </c>
      <c r="AQ617" s="1" t="s">
        <v>977</v>
      </c>
      <c r="AR617" s="1" t="s">
        <v>568</v>
      </c>
      <c r="AU617" s="2"/>
      <c r="AV617" s="2"/>
      <c r="AW617" s="1">
        <v>0.0</v>
      </c>
      <c r="AX617" s="1">
        <v>0.0</v>
      </c>
      <c r="AY617" s="1">
        <v>0.0</v>
      </c>
      <c r="AZ617" s="1">
        <v>1.0</v>
      </c>
      <c r="BA617" s="1">
        <v>0.0</v>
      </c>
      <c r="BB617" s="1">
        <v>0.0</v>
      </c>
      <c r="BC617" s="2">
        <v>46019.0</v>
      </c>
      <c r="BD617" s="1">
        <v>51.0</v>
      </c>
      <c r="BE617" s="1" t="s">
        <v>550</v>
      </c>
      <c r="BF617" s="1">
        <v>2025.0</v>
      </c>
      <c r="BG617" s="1" t="s">
        <v>655</v>
      </c>
      <c r="BH617" s="7" t="str">
        <f>VLOOKUP(B617,CookieClicks!D:O,12,FALSE)</f>
        <v>https://signup.method.me/QBOAppstoreSignup?offering=methodcrm</v>
      </c>
      <c r="BI617" s="8" t="str">
        <f>IFERROR(__xludf.DUMMYFUNCTION("VLOOKUP(REGEXREPLACE(BH617,""[?].*"",""""),ContentBuckets!A:C,2,FALSE)"),"#N/A")</f>
        <v>#N/A</v>
      </c>
      <c r="BJ617" s="8" t="str">
        <f>IFERROR(__xludf.DUMMYFUNCTION("VLOOKUP(REGEXREPLACE(BH617,""[?].*"",""""),ContentBuckets!A:C,3,FALSE)"),"#N/A")</f>
        <v>#N/A</v>
      </c>
    </row>
    <row r="618" ht="14.25" customHeight="1">
      <c r="A618" s="1">
        <v>153903.0</v>
      </c>
      <c r="B618" s="1" t="s">
        <v>1394</v>
      </c>
      <c r="C618" s="2">
        <v>46019.8145833333</v>
      </c>
      <c r="D618" s="2"/>
      <c r="E618" s="2"/>
      <c r="F618" s="1" t="b">
        <v>1</v>
      </c>
      <c r="G618" s="4" t="b">
        <v>0</v>
      </c>
      <c r="H618" s="1" t="b">
        <v>0</v>
      </c>
      <c r="I618" s="1" t="b">
        <v>0</v>
      </c>
      <c r="J618" s="1" t="s">
        <v>534</v>
      </c>
      <c r="K618" s="1" t="s">
        <v>535</v>
      </c>
      <c r="L618" s="1" t="s">
        <v>536</v>
      </c>
      <c r="M618" s="1" t="s">
        <v>537</v>
      </c>
      <c r="N618" s="1">
        <v>0.0</v>
      </c>
      <c r="O618" s="1">
        <v>63.75</v>
      </c>
      <c r="P618" s="1">
        <v>0.0</v>
      </c>
      <c r="Q618" s="1">
        <v>0.0</v>
      </c>
      <c r="R618" s="1">
        <v>28.0</v>
      </c>
      <c r="S618" s="1" t="s">
        <v>538</v>
      </c>
      <c r="T618" s="1" t="s">
        <v>539</v>
      </c>
      <c r="V618" s="4">
        <v>7522834.0</v>
      </c>
      <c r="W618" s="4" t="s">
        <v>540</v>
      </c>
      <c r="X618" s="4">
        <v>0.0</v>
      </c>
      <c r="Y618" s="1">
        <v>1.0</v>
      </c>
      <c r="Z618" s="1">
        <v>0.0</v>
      </c>
      <c r="AA618" s="1">
        <v>0.0</v>
      </c>
      <c r="AB618" s="1">
        <v>0.0</v>
      </c>
      <c r="AC618" s="1">
        <v>0.0</v>
      </c>
      <c r="AD618" s="1">
        <v>0.0</v>
      </c>
      <c r="AE618" s="1">
        <v>0.0</v>
      </c>
      <c r="AF618" s="1">
        <v>0.0</v>
      </c>
      <c r="AG618" s="1">
        <v>0.0</v>
      </c>
      <c r="AH618" s="1">
        <v>0.0</v>
      </c>
      <c r="AI618" s="1">
        <v>0.0</v>
      </c>
      <c r="AJ618" s="1">
        <v>0.0</v>
      </c>
      <c r="AK618" s="1">
        <v>0.0</v>
      </c>
      <c r="AL618" s="1">
        <v>0.0</v>
      </c>
      <c r="AM618" s="4">
        <v>0.0</v>
      </c>
      <c r="AN618" s="1">
        <v>0.0</v>
      </c>
      <c r="AO618" s="4">
        <v>0.0</v>
      </c>
      <c r="AP618" s="1">
        <f t="shared" si="1"/>
        <v>0</v>
      </c>
      <c r="AR618" s="1" t="s">
        <v>568</v>
      </c>
      <c r="AU618" s="2"/>
      <c r="AV618" s="2">
        <v>46024.0340277778</v>
      </c>
      <c r="AW618" s="1">
        <v>0.0</v>
      </c>
      <c r="AX618" s="1">
        <v>0.0</v>
      </c>
      <c r="AY618" s="1">
        <v>0.0</v>
      </c>
      <c r="AZ618" s="1">
        <v>1.0</v>
      </c>
      <c r="BA618" s="1">
        <v>0.0</v>
      </c>
      <c r="BB618" s="1">
        <v>0.0</v>
      </c>
      <c r="BC618" s="2">
        <v>46019.0</v>
      </c>
      <c r="BD618" s="1">
        <v>51.0</v>
      </c>
      <c r="BE618" s="1" t="s">
        <v>550</v>
      </c>
      <c r="BF618" s="1">
        <v>2025.0</v>
      </c>
      <c r="BG618" s="1" t="s">
        <v>1395</v>
      </c>
      <c r="BH618" s="7" t="str">
        <f>VLOOKUP(B618,CookieClicks!D:O,12,FALSE)</f>
        <v>https://www.method.me/</v>
      </c>
      <c r="BI618" s="8" t="str">
        <f>IFERROR(__xludf.DUMMYFUNCTION("VLOOKUP(REGEXREPLACE(BH618,""[?].*"",""""),ContentBuckets!A:C,2,FALSE)"),"Homepage")</f>
        <v>Homepage</v>
      </c>
      <c r="BJ618" s="8" t="str">
        <f>IFERROR(__xludf.DUMMYFUNCTION("VLOOKUP(REGEXREPLACE(BH618,""[?].*"",""""),ContentBuckets!A:C,3,FALSE)"),"Other page")</f>
        <v>Other page</v>
      </c>
    </row>
    <row r="619" ht="14.25" customHeight="1">
      <c r="A619" s="1">
        <v>153904.0</v>
      </c>
      <c r="B619" s="1" t="s">
        <v>1396</v>
      </c>
      <c r="C619" s="2">
        <v>46019.9048611111</v>
      </c>
      <c r="D619" s="2"/>
      <c r="E619" s="2"/>
      <c r="F619" s="1" t="b">
        <v>1</v>
      </c>
      <c r="G619" s="4" t="b">
        <v>0</v>
      </c>
      <c r="H619" s="1" t="b">
        <v>0</v>
      </c>
      <c r="I619" s="1" t="b">
        <v>0</v>
      </c>
      <c r="J619" s="1" t="s">
        <v>534</v>
      </c>
      <c r="K619" s="1" t="s">
        <v>553</v>
      </c>
      <c r="L619" s="1" t="s">
        <v>554</v>
      </c>
      <c r="M619" s="1" t="s">
        <v>537</v>
      </c>
      <c r="N619" s="1">
        <v>0.0</v>
      </c>
      <c r="O619" s="1">
        <v>44.25</v>
      </c>
      <c r="P619" s="1">
        <v>0.0</v>
      </c>
      <c r="Q619" s="1">
        <v>0.0</v>
      </c>
      <c r="R619" s="1">
        <v>0.0</v>
      </c>
      <c r="S619" s="1" t="s">
        <v>538</v>
      </c>
      <c r="T619" s="1" t="s">
        <v>539</v>
      </c>
      <c r="V619" s="4">
        <v>7523342.0</v>
      </c>
      <c r="W619" s="4" t="s">
        <v>540</v>
      </c>
      <c r="X619" s="4">
        <v>0.0</v>
      </c>
      <c r="Y619" s="1">
        <v>1.0</v>
      </c>
      <c r="Z619" s="1">
        <v>0.0</v>
      </c>
      <c r="AA619" s="1">
        <v>0.0</v>
      </c>
      <c r="AB619" s="1">
        <v>0.0</v>
      </c>
      <c r="AC619" s="1">
        <v>0.0</v>
      </c>
      <c r="AD619" s="1">
        <v>0.0</v>
      </c>
      <c r="AE619" s="1">
        <v>0.0</v>
      </c>
      <c r="AF619" s="1">
        <v>0.0</v>
      </c>
      <c r="AG619" s="1">
        <v>0.0</v>
      </c>
      <c r="AH619" s="1">
        <v>0.0</v>
      </c>
      <c r="AI619" s="1">
        <v>0.0</v>
      </c>
      <c r="AJ619" s="1">
        <v>0.0</v>
      </c>
      <c r="AK619" s="1">
        <v>0.0</v>
      </c>
      <c r="AL619" s="1">
        <v>0.0</v>
      </c>
      <c r="AM619" s="4">
        <v>0.0</v>
      </c>
      <c r="AN619" s="1">
        <v>0.0</v>
      </c>
      <c r="AO619" s="4">
        <v>0.0</v>
      </c>
      <c r="AP619" s="1">
        <f t="shared" si="1"/>
        <v>0</v>
      </c>
      <c r="AU619" s="2"/>
      <c r="AV619" s="2">
        <v>46024.0083333333</v>
      </c>
      <c r="AW619" s="1">
        <v>0.0</v>
      </c>
      <c r="AX619" s="1">
        <v>0.0</v>
      </c>
      <c r="AY619" s="1">
        <v>0.0</v>
      </c>
      <c r="AZ619" s="1">
        <v>1.0</v>
      </c>
      <c r="BA619" s="1">
        <v>0.0</v>
      </c>
      <c r="BB619" s="1">
        <v>0.0</v>
      </c>
      <c r="BC619" s="2">
        <v>46019.0</v>
      </c>
      <c r="BD619" s="1">
        <v>51.0</v>
      </c>
      <c r="BE619" s="1" t="s">
        <v>550</v>
      </c>
      <c r="BF619" s="1">
        <v>2025.0</v>
      </c>
      <c r="BG619" s="1" t="s">
        <v>558</v>
      </c>
      <c r="BH619" s="7" t="str">
        <f>VLOOKUP(B619,CookieClicks!D:O,12,FALSE)</f>
        <v>https://signin.method.me/</v>
      </c>
      <c r="BI619" s="8" t="str">
        <f>IFERROR(__xludf.DUMMYFUNCTION("VLOOKUP(REGEXREPLACE(BH619,""[?].*"",""""),ContentBuckets!A:C,2,FALSE)"),"#N/A")</f>
        <v>#N/A</v>
      </c>
      <c r="BJ619" s="8" t="str">
        <f>IFERROR(__xludf.DUMMYFUNCTION("VLOOKUP(REGEXREPLACE(BH619,""[?].*"",""""),ContentBuckets!A:C,3,FALSE)"),"#N/A")</f>
        <v>#N/A</v>
      </c>
    </row>
    <row r="620" ht="14.25" customHeight="1">
      <c r="A620" s="1">
        <v>153905.0</v>
      </c>
      <c r="B620" s="1" t="s">
        <v>1397</v>
      </c>
      <c r="C620" s="2">
        <v>46020.0715277778</v>
      </c>
      <c r="D620" s="2"/>
      <c r="E620" s="2"/>
      <c r="F620" s="1" t="b">
        <v>1</v>
      </c>
      <c r="G620" s="4" t="b">
        <v>0</v>
      </c>
      <c r="H620" s="1" t="b">
        <v>0</v>
      </c>
      <c r="I620" s="1" t="b">
        <v>0</v>
      </c>
      <c r="J620" s="1" t="s">
        <v>534</v>
      </c>
      <c r="K620" s="1" t="s">
        <v>566</v>
      </c>
      <c r="L620" s="1" t="s">
        <v>567</v>
      </c>
      <c r="M620" s="1" t="s">
        <v>537</v>
      </c>
      <c r="N620" s="1">
        <v>0.0</v>
      </c>
      <c r="O620" s="1">
        <v>54.75</v>
      </c>
      <c r="P620" s="1">
        <v>0.0</v>
      </c>
      <c r="Q620" s="1">
        <v>0.0</v>
      </c>
      <c r="R620" s="1">
        <v>28.0</v>
      </c>
      <c r="S620" s="1" t="s">
        <v>538</v>
      </c>
      <c r="T620" s="1" t="s">
        <v>539</v>
      </c>
      <c r="V620" s="4">
        <v>7524220.0</v>
      </c>
      <c r="W620" s="4"/>
      <c r="X620" s="4">
        <v>0.0</v>
      </c>
      <c r="Y620" s="1">
        <v>0.0</v>
      </c>
      <c r="Z620" s="1">
        <v>0.0</v>
      </c>
      <c r="AA620" s="1">
        <v>1.0</v>
      </c>
      <c r="AB620" s="1">
        <v>0.0</v>
      </c>
      <c r="AC620" s="1">
        <v>0.0</v>
      </c>
      <c r="AD620" s="1">
        <v>0.0</v>
      </c>
      <c r="AE620" s="1">
        <v>0.0</v>
      </c>
      <c r="AF620" s="1">
        <v>0.0</v>
      </c>
      <c r="AG620" s="1">
        <v>0.0</v>
      </c>
      <c r="AH620" s="1">
        <v>0.0</v>
      </c>
      <c r="AI620" s="1">
        <v>0.0</v>
      </c>
      <c r="AJ620" s="1">
        <v>0.0</v>
      </c>
      <c r="AK620" s="1">
        <v>0.0</v>
      </c>
      <c r="AL620" s="1">
        <v>0.0</v>
      </c>
      <c r="AM620" s="4">
        <v>0.0</v>
      </c>
      <c r="AN620" s="1">
        <v>0.0</v>
      </c>
      <c r="AO620" s="4">
        <v>0.0</v>
      </c>
      <c r="AP620" s="1">
        <f t="shared" si="1"/>
        <v>0</v>
      </c>
      <c r="AR620" s="1" t="s">
        <v>608</v>
      </c>
      <c r="AU620" s="2"/>
      <c r="AV620" s="2">
        <v>46024.00625</v>
      </c>
      <c r="AW620" s="1">
        <v>0.0</v>
      </c>
      <c r="AX620" s="1">
        <v>0.0</v>
      </c>
      <c r="AY620" s="1">
        <v>0.0</v>
      </c>
      <c r="AZ620" s="1">
        <v>1.0</v>
      </c>
      <c r="BA620" s="1">
        <v>0.0</v>
      </c>
      <c r="BB620" s="1">
        <v>0.0</v>
      </c>
      <c r="BC620" s="2">
        <v>46020.0</v>
      </c>
      <c r="BD620" s="1">
        <v>52.0</v>
      </c>
      <c r="BE620" s="1" t="s">
        <v>550</v>
      </c>
      <c r="BF620" s="1">
        <v>2025.0</v>
      </c>
      <c r="BG620" s="1" t="s">
        <v>558</v>
      </c>
      <c r="BH620" s="1" t="str">
        <f>VLOOKUP(B620,CookieClicks!D:O,12,FALSE)</f>
        <v>https://grow.method.me/crm-quickbooks/?trc=81&amp;trk=crm with quickbooks&amp;trs=USA-QB-G&amp;campaignid=1543381580&amp;adgroupid=61437797000&amp;adid=704678754673&amp;gad_source=1&amp;gad_campaignid=1543381580&amp;gbraid=0AAAAAD3ItnavfXH0F02Rh8bFn6rkQC_05&amp;gclid=Cj0KCQiAx8PKBhD1ARIsAKsmGbftdRB8INnhbWS6LvUnlw_t5IB7g9P3SbJqur6iIDsOsDiIobk4-t8aAimOEALw_wcB</v>
      </c>
      <c r="BI620" s="8" t="str">
        <f>IFERROR(__xludf.DUMMYFUNCTION("VLOOKUP(REGEXREPLACE(BH620,""[?].*"",""""),ContentBuckets!A:C,2,FALSE)"),"#N/A")</f>
        <v>#N/A</v>
      </c>
      <c r="BJ620" s="8" t="str">
        <f>IFERROR(__xludf.DUMMYFUNCTION("VLOOKUP(REGEXREPLACE(BH620,""[?].*"",""""),ContentBuckets!A:C,3,FALSE)"),"#N/A")</f>
        <v>#N/A</v>
      </c>
    </row>
    <row r="621" ht="14.25" customHeight="1">
      <c r="A621" s="1">
        <v>153906.0</v>
      </c>
      <c r="B621" s="1" t="s">
        <v>1398</v>
      </c>
      <c r="C621" s="2">
        <v>46020.2270833333</v>
      </c>
      <c r="D621" s="2"/>
      <c r="E621" s="2"/>
      <c r="F621" s="1" t="b">
        <v>1</v>
      </c>
      <c r="G621" s="4" t="b">
        <v>0</v>
      </c>
      <c r="H621" s="1" t="b">
        <v>0</v>
      </c>
      <c r="I621" s="1" t="b">
        <v>0</v>
      </c>
      <c r="J621" s="1" t="s">
        <v>534</v>
      </c>
      <c r="K621" s="1" t="s">
        <v>535</v>
      </c>
      <c r="L621" s="1" t="s">
        <v>536</v>
      </c>
      <c r="M621" s="1" t="s">
        <v>537</v>
      </c>
      <c r="N621" s="1">
        <v>0.0</v>
      </c>
      <c r="O621" s="1">
        <v>44.25</v>
      </c>
      <c r="P621" s="1">
        <v>0.0</v>
      </c>
      <c r="Q621" s="1">
        <v>0.0</v>
      </c>
      <c r="R621" s="1">
        <v>28.0</v>
      </c>
      <c r="S621" s="1" t="s">
        <v>538</v>
      </c>
      <c r="T621" s="1" t="s">
        <v>539</v>
      </c>
      <c r="V621" s="4">
        <v>7525084.0</v>
      </c>
      <c r="W621" s="4" t="s">
        <v>540</v>
      </c>
      <c r="X621" s="4">
        <v>0.0</v>
      </c>
      <c r="Y621" s="1">
        <v>1.0</v>
      </c>
      <c r="Z621" s="1">
        <v>0.0</v>
      </c>
      <c r="AA621" s="1">
        <v>0.0</v>
      </c>
      <c r="AB621" s="1">
        <v>0.0</v>
      </c>
      <c r="AC621" s="1">
        <v>0.0</v>
      </c>
      <c r="AD621" s="1">
        <v>0.0</v>
      </c>
      <c r="AE621" s="1">
        <v>0.0</v>
      </c>
      <c r="AF621" s="1">
        <v>0.0</v>
      </c>
      <c r="AG621" s="1">
        <v>0.0</v>
      </c>
      <c r="AH621" s="1">
        <v>0.0</v>
      </c>
      <c r="AI621" s="1">
        <v>0.0</v>
      </c>
      <c r="AJ621" s="1">
        <v>0.0</v>
      </c>
      <c r="AK621" s="1">
        <v>0.0</v>
      </c>
      <c r="AL621" s="1">
        <v>0.0</v>
      </c>
      <c r="AM621" s="4">
        <v>0.0</v>
      </c>
      <c r="AN621" s="1">
        <v>0.0</v>
      </c>
      <c r="AO621" s="4">
        <v>0.0</v>
      </c>
      <c r="AP621" s="1">
        <f t="shared" si="1"/>
        <v>0</v>
      </c>
      <c r="AR621" s="1" t="s">
        <v>542</v>
      </c>
      <c r="AU621" s="2"/>
      <c r="AV621" s="2">
        <v>46023.9833333333</v>
      </c>
      <c r="AW621" s="1">
        <v>0.0</v>
      </c>
      <c r="AX621" s="1">
        <v>0.0</v>
      </c>
      <c r="AY621" s="1">
        <v>0.0</v>
      </c>
      <c r="AZ621" s="1">
        <v>1.0</v>
      </c>
      <c r="BA621" s="1">
        <v>0.0</v>
      </c>
      <c r="BB621" s="1">
        <v>0.0</v>
      </c>
      <c r="BC621" s="2">
        <v>46020.0</v>
      </c>
      <c r="BD621" s="1">
        <v>52.0</v>
      </c>
      <c r="BE621" s="1" t="s">
        <v>550</v>
      </c>
      <c r="BF621" s="1">
        <v>2025.0</v>
      </c>
      <c r="BG621" s="1" t="s">
        <v>1399</v>
      </c>
      <c r="BH621" s="7" t="str">
        <f>VLOOKUP(B621,CookieClicks!D:O,12,FALSE)</f>
        <v>https://www.method.me/</v>
      </c>
      <c r="BI621" s="8" t="str">
        <f>IFERROR(__xludf.DUMMYFUNCTION("VLOOKUP(REGEXREPLACE(BH621,""[?].*"",""""),ContentBuckets!A:C,2,FALSE)"),"Homepage")</f>
        <v>Homepage</v>
      </c>
      <c r="BJ621" s="8" t="str">
        <f>IFERROR(__xludf.DUMMYFUNCTION("VLOOKUP(REGEXREPLACE(BH621,""[?].*"",""""),ContentBuckets!A:C,3,FALSE)"),"Other page")</f>
        <v>Other page</v>
      </c>
    </row>
    <row r="622" ht="14.25" customHeight="1">
      <c r="A622" s="1">
        <v>153907.0</v>
      </c>
      <c r="B622" s="1" t="s">
        <v>1400</v>
      </c>
      <c r="C622" s="2">
        <v>46020.2541666667</v>
      </c>
      <c r="D622" s="2"/>
      <c r="E622" s="2"/>
      <c r="F622" s="1" t="b">
        <v>1</v>
      </c>
      <c r="G622" s="4" t="b">
        <v>0</v>
      </c>
      <c r="H622" s="1" t="b">
        <v>0</v>
      </c>
      <c r="I622" s="1" t="b">
        <v>0</v>
      </c>
      <c r="J622" s="1" t="s">
        <v>534</v>
      </c>
      <c r="K622" s="1" t="s">
        <v>535</v>
      </c>
      <c r="L622" s="1" t="s">
        <v>536</v>
      </c>
      <c r="M622" s="1" t="s">
        <v>537</v>
      </c>
      <c r="N622" s="1">
        <v>0.0</v>
      </c>
      <c r="O622" s="1">
        <v>164.25</v>
      </c>
      <c r="P622" s="1">
        <v>0.0</v>
      </c>
      <c r="Q622" s="1">
        <v>0.0</v>
      </c>
      <c r="R622" s="1">
        <v>28.0</v>
      </c>
      <c r="S622" s="1" t="s">
        <v>538</v>
      </c>
      <c r="T622" s="1" t="s">
        <v>539</v>
      </c>
      <c r="V622" s="4">
        <v>7525186.0</v>
      </c>
      <c r="W622" s="4" t="s">
        <v>540</v>
      </c>
      <c r="X622" s="4">
        <v>0.0</v>
      </c>
      <c r="Y622" s="1">
        <v>1.0</v>
      </c>
      <c r="Z622" s="1">
        <v>0.0</v>
      </c>
      <c r="AA622" s="1">
        <v>0.0</v>
      </c>
      <c r="AB622" s="1">
        <v>0.0</v>
      </c>
      <c r="AC622" s="1">
        <v>0.0</v>
      </c>
      <c r="AD622" s="1">
        <v>0.0</v>
      </c>
      <c r="AE622" s="1">
        <v>0.0</v>
      </c>
      <c r="AF622" s="1">
        <v>0.0</v>
      </c>
      <c r="AG622" s="1">
        <v>0.0</v>
      </c>
      <c r="AH622" s="1">
        <v>0.0</v>
      </c>
      <c r="AI622" s="1">
        <v>0.0</v>
      </c>
      <c r="AJ622" s="1">
        <v>0.0</v>
      </c>
      <c r="AK622" s="1">
        <v>0.0</v>
      </c>
      <c r="AL622" s="1">
        <v>0.0</v>
      </c>
      <c r="AM622" s="4">
        <v>0.0</v>
      </c>
      <c r="AN622" s="1">
        <v>0.0</v>
      </c>
      <c r="AO622" s="4">
        <v>0.0</v>
      </c>
      <c r="AP622" s="1">
        <f t="shared" si="1"/>
        <v>0</v>
      </c>
      <c r="AQ622" s="1" t="s">
        <v>604</v>
      </c>
      <c r="AR622" s="1" t="s">
        <v>571</v>
      </c>
      <c r="AU622" s="2">
        <v>46020.0</v>
      </c>
      <c r="AV622" s="2">
        <v>46023.99375</v>
      </c>
      <c r="AW622" s="1">
        <v>0.0</v>
      </c>
      <c r="AX622" s="1">
        <v>598992.48</v>
      </c>
      <c r="AY622" s="1">
        <v>129.0</v>
      </c>
      <c r="AZ622" s="1">
        <v>3.0</v>
      </c>
      <c r="BA622" s="1">
        <v>0.0</v>
      </c>
      <c r="BB622" s="1">
        <v>2.0</v>
      </c>
      <c r="BC622" s="2">
        <v>46020.0</v>
      </c>
      <c r="BD622" s="1">
        <v>52.0</v>
      </c>
      <c r="BE622" s="1" t="s">
        <v>550</v>
      </c>
      <c r="BF622" s="1">
        <v>2025.0</v>
      </c>
      <c r="BG622" s="1" t="s">
        <v>605</v>
      </c>
      <c r="BH622" s="7" t="str">
        <f>VLOOKUP(B622,CookieClicks!D:O,12,FALSE)</f>
        <v>https://www.method.me/</v>
      </c>
      <c r="BI622" s="8" t="str">
        <f>IFERROR(__xludf.DUMMYFUNCTION("VLOOKUP(REGEXREPLACE(BH622,""[?].*"",""""),ContentBuckets!A:C,2,FALSE)"),"Homepage")</f>
        <v>Homepage</v>
      </c>
      <c r="BJ622" s="8" t="str">
        <f>IFERROR(__xludf.DUMMYFUNCTION("VLOOKUP(REGEXREPLACE(BH622,""[?].*"",""""),ContentBuckets!A:C,3,FALSE)"),"Other page")</f>
        <v>Other page</v>
      </c>
    </row>
    <row r="623" ht="14.25" customHeight="1">
      <c r="A623" s="1">
        <v>153912.0</v>
      </c>
      <c r="B623" s="1" t="s">
        <v>1401</v>
      </c>
      <c r="C623" s="2">
        <v>46020.4034722222</v>
      </c>
      <c r="D623" s="2"/>
      <c r="E623" s="2"/>
      <c r="F623" s="1" t="b">
        <v>1</v>
      </c>
      <c r="G623" s="4" t="b">
        <v>0</v>
      </c>
      <c r="H623" s="1" t="b">
        <v>0</v>
      </c>
      <c r="I623" s="1" t="b">
        <v>0</v>
      </c>
      <c r="J623" s="1" t="s">
        <v>534</v>
      </c>
      <c r="K623" s="1" t="s">
        <v>535</v>
      </c>
      <c r="L623" s="1" t="s">
        <v>536</v>
      </c>
      <c r="M623" s="1" t="s">
        <v>537</v>
      </c>
      <c r="N623" s="1">
        <v>0.0</v>
      </c>
      <c r="O623" s="1">
        <v>53.25</v>
      </c>
      <c r="P623" s="1">
        <v>0.0</v>
      </c>
      <c r="Q623" s="1">
        <v>0.0</v>
      </c>
      <c r="R623" s="1">
        <v>0.0</v>
      </c>
      <c r="S623" s="1" t="s">
        <v>538</v>
      </c>
      <c r="T623" s="1" t="s">
        <v>539</v>
      </c>
      <c r="V623" s="4">
        <v>7526193.0</v>
      </c>
      <c r="W623" s="4" t="s">
        <v>540</v>
      </c>
      <c r="X623" s="4">
        <v>0.0</v>
      </c>
      <c r="Y623" s="1">
        <v>1.0</v>
      </c>
      <c r="Z623" s="1">
        <v>0.0</v>
      </c>
      <c r="AA623" s="1">
        <v>0.0</v>
      </c>
      <c r="AB623" s="1">
        <v>0.0</v>
      </c>
      <c r="AC623" s="1">
        <v>0.0</v>
      </c>
      <c r="AD623" s="1">
        <v>0.0</v>
      </c>
      <c r="AE623" s="1">
        <v>0.0</v>
      </c>
      <c r="AF623" s="1">
        <v>0.0</v>
      </c>
      <c r="AG623" s="1">
        <v>0.0</v>
      </c>
      <c r="AH623" s="1">
        <v>0.0</v>
      </c>
      <c r="AI623" s="1">
        <v>0.0</v>
      </c>
      <c r="AJ623" s="1">
        <v>0.0</v>
      </c>
      <c r="AK623" s="1">
        <v>0.0</v>
      </c>
      <c r="AL623" s="1">
        <v>0.0</v>
      </c>
      <c r="AM623" s="4">
        <v>0.0</v>
      </c>
      <c r="AN623" s="1">
        <v>0.0</v>
      </c>
      <c r="AO623" s="4">
        <v>0.0</v>
      </c>
      <c r="AP623" s="1">
        <f t="shared" si="1"/>
        <v>0</v>
      </c>
      <c r="AU623" s="2"/>
      <c r="AV623" s="2">
        <v>46024.0201388889</v>
      </c>
      <c r="AW623" s="1">
        <v>0.0</v>
      </c>
      <c r="AX623" s="1">
        <v>0.0</v>
      </c>
      <c r="AY623" s="1">
        <v>0.0</v>
      </c>
      <c r="AZ623" s="1">
        <v>1.0</v>
      </c>
      <c r="BA623" s="1">
        <v>0.0</v>
      </c>
      <c r="BB623" s="1">
        <v>0.0</v>
      </c>
      <c r="BC623" s="2">
        <v>46020.0</v>
      </c>
      <c r="BD623" s="1">
        <v>52.0</v>
      </c>
      <c r="BE623" s="1" t="s">
        <v>550</v>
      </c>
      <c r="BF623" s="1">
        <v>2025.0</v>
      </c>
      <c r="BG623" s="1" t="s">
        <v>786</v>
      </c>
      <c r="BH623" s="7" t="str">
        <f>VLOOKUP(B623,CookieClicks!D:O,12,FALSE)</f>
        <v>https://www.method.me/features/gmail/</v>
      </c>
      <c r="BI623" s="8" t="str">
        <f>IFERROR(__xludf.DUMMYFUNCTION("VLOOKUP(REGEXREPLACE(BH623,""[?].*"",""""),ContentBuckets!A:C,2,FALSE)"),"Features page")</f>
        <v>Features page</v>
      </c>
      <c r="BJ623" s="8" t="str">
        <f>IFERROR(__xludf.DUMMYFUNCTION("VLOOKUP(REGEXREPLACE(BH623,""[?].*"",""""),ContentBuckets!A:C,3,FALSE)"),"Other page")</f>
        <v>Other page</v>
      </c>
    </row>
    <row r="624" ht="14.25" customHeight="1">
      <c r="A624" s="1">
        <v>153913.0</v>
      </c>
      <c r="B624" s="1" t="s">
        <v>1402</v>
      </c>
      <c r="C624" s="2">
        <v>46020.4118055556</v>
      </c>
      <c r="D624" s="2"/>
      <c r="E624" s="2"/>
      <c r="F624" s="1" t="b">
        <v>1</v>
      </c>
      <c r="G624" s="4" t="b">
        <v>0</v>
      </c>
      <c r="H624" s="1" t="b">
        <v>0</v>
      </c>
      <c r="I624" s="1" t="b">
        <v>0</v>
      </c>
      <c r="J624" s="1" t="s">
        <v>534</v>
      </c>
      <c r="K624" s="1" t="s">
        <v>535</v>
      </c>
      <c r="L624" s="1" t="s">
        <v>536</v>
      </c>
      <c r="M624" s="1" t="s">
        <v>537</v>
      </c>
      <c r="N624" s="1">
        <v>0.0</v>
      </c>
      <c r="O624" s="1">
        <v>44.25</v>
      </c>
      <c r="P624" s="1">
        <v>0.0</v>
      </c>
      <c r="Q624" s="1">
        <v>0.0</v>
      </c>
      <c r="R624" s="1">
        <v>28.0</v>
      </c>
      <c r="S624" s="1" t="s">
        <v>538</v>
      </c>
      <c r="T624" s="1" t="s">
        <v>539</v>
      </c>
      <c r="V624" s="4">
        <v>6685099.0</v>
      </c>
      <c r="W624" s="4" t="s">
        <v>653</v>
      </c>
      <c r="X624" s="4">
        <v>0.0</v>
      </c>
      <c r="Y624" s="1">
        <v>1.0</v>
      </c>
      <c r="Z624" s="1">
        <v>0.0</v>
      </c>
      <c r="AA624" s="1">
        <v>0.0</v>
      </c>
      <c r="AB624" s="1">
        <v>0.0</v>
      </c>
      <c r="AC624" s="1">
        <v>0.0</v>
      </c>
      <c r="AD624" s="1">
        <v>0.0</v>
      </c>
      <c r="AE624" s="1">
        <v>0.0</v>
      </c>
      <c r="AF624" s="1">
        <v>0.0</v>
      </c>
      <c r="AG624" s="1">
        <v>0.0</v>
      </c>
      <c r="AH624" s="1">
        <v>0.0</v>
      </c>
      <c r="AI624" s="1">
        <v>0.0</v>
      </c>
      <c r="AJ624" s="1">
        <v>0.0</v>
      </c>
      <c r="AK624" s="1">
        <v>0.0</v>
      </c>
      <c r="AL624" s="1">
        <v>0.0</v>
      </c>
      <c r="AM624" s="4">
        <v>0.0</v>
      </c>
      <c r="AN624" s="1">
        <v>0.0</v>
      </c>
      <c r="AO624" s="4">
        <v>0.0</v>
      </c>
      <c r="AP624" s="1">
        <f t="shared" si="1"/>
        <v>0</v>
      </c>
      <c r="AQ624" s="1" t="s">
        <v>557</v>
      </c>
      <c r="AR624" s="1" t="s">
        <v>578</v>
      </c>
      <c r="AT624" s="1" t="s">
        <v>1320</v>
      </c>
      <c r="AU624" s="2">
        <v>46020.0</v>
      </c>
      <c r="AV624" s="2">
        <v>46023.9854166667</v>
      </c>
      <c r="AW624" s="1">
        <v>0.0</v>
      </c>
      <c r="AX624" s="1">
        <v>120600.0</v>
      </c>
      <c r="AY624" s="1">
        <v>1.0</v>
      </c>
      <c r="AZ624" s="1">
        <v>1.0</v>
      </c>
      <c r="BA624" s="1">
        <v>0.0</v>
      </c>
      <c r="BB624" s="1">
        <v>0.0</v>
      </c>
      <c r="BC624" s="2">
        <v>46020.0</v>
      </c>
      <c r="BD624" s="1">
        <v>52.0</v>
      </c>
      <c r="BE624" s="1" t="s">
        <v>550</v>
      </c>
      <c r="BF624" s="1">
        <v>2025.0</v>
      </c>
      <c r="BG624" s="1" t="s">
        <v>558</v>
      </c>
      <c r="BH624" s="7" t="str">
        <f>VLOOKUP(B624,CookieClicks!D:O,12,FALSE)</f>
        <v>https://www.method.me/</v>
      </c>
      <c r="BI624" s="8" t="str">
        <f>IFERROR(__xludf.DUMMYFUNCTION("VLOOKUP(REGEXREPLACE(BH624,""[?].*"",""""),ContentBuckets!A:C,2,FALSE)"),"Homepage")</f>
        <v>Homepage</v>
      </c>
      <c r="BJ624" s="8" t="str">
        <f>IFERROR(__xludf.DUMMYFUNCTION("VLOOKUP(REGEXREPLACE(BH624,""[?].*"",""""),ContentBuckets!A:C,3,FALSE)"),"Other page")</f>
        <v>Other page</v>
      </c>
    </row>
    <row r="625" ht="14.25" customHeight="1">
      <c r="A625" s="1">
        <v>153914.0</v>
      </c>
      <c r="B625" s="1" t="s">
        <v>1403</v>
      </c>
      <c r="C625" s="2">
        <v>46020.4118055556</v>
      </c>
      <c r="D625" s="2"/>
      <c r="E625" s="2"/>
      <c r="F625" s="1" t="b">
        <v>1</v>
      </c>
      <c r="G625" s="4" t="b">
        <v>0</v>
      </c>
      <c r="H625" s="1" t="b">
        <v>0</v>
      </c>
      <c r="I625" s="1" t="b">
        <v>0</v>
      </c>
      <c r="J625" s="1" t="s">
        <v>534</v>
      </c>
      <c r="K625" s="1" t="s">
        <v>566</v>
      </c>
      <c r="L625" s="1" t="s">
        <v>567</v>
      </c>
      <c r="M625" s="1" t="s">
        <v>537</v>
      </c>
      <c r="N625" s="1">
        <v>0.0</v>
      </c>
      <c r="O625" s="1">
        <v>44.25</v>
      </c>
      <c r="P625" s="1">
        <v>0.0</v>
      </c>
      <c r="Q625" s="1">
        <v>0.0</v>
      </c>
      <c r="R625" s="1">
        <v>0.0</v>
      </c>
      <c r="S625" s="1" t="s">
        <v>538</v>
      </c>
      <c r="T625" s="1" t="s">
        <v>539</v>
      </c>
      <c r="V625" s="4">
        <v>7526267.0</v>
      </c>
      <c r="W625" s="4"/>
      <c r="X625" s="4">
        <v>1.0</v>
      </c>
      <c r="Y625" s="1">
        <v>0.0</v>
      </c>
      <c r="Z625" s="1">
        <v>0.0</v>
      </c>
      <c r="AA625" s="1">
        <v>0.0</v>
      </c>
      <c r="AB625" s="1">
        <v>0.0</v>
      </c>
      <c r="AC625" s="1">
        <v>0.0</v>
      </c>
      <c r="AD625" s="1">
        <v>0.0</v>
      </c>
      <c r="AE625" s="1">
        <v>0.0</v>
      </c>
      <c r="AF625" s="1">
        <v>0.0</v>
      </c>
      <c r="AG625" s="1">
        <v>0.0</v>
      </c>
      <c r="AH625" s="1">
        <v>0.0</v>
      </c>
      <c r="AI625" s="1">
        <v>0.0</v>
      </c>
      <c r="AJ625" s="1">
        <v>0.0</v>
      </c>
      <c r="AK625" s="1">
        <v>0.0</v>
      </c>
      <c r="AL625" s="1">
        <v>0.0</v>
      </c>
      <c r="AM625" s="4">
        <v>0.0</v>
      </c>
      <c r="AN625" s="1">
        <v>0.0</v>
      </c>
      <c r="AO625" s="4">
        <v>0.0</v>
      </c>
      <c r="AP625" s="1">
        <f t="shared" si="1"/>
        <v>0</v>
      </c>
      <c r="AU625" s="2"/>
      <c r="AV625" s="2">
        <v>46023.9805555556</v>
      </c>
      <c r="AW625" s="1">
        <v>0.0</v>
      </c>
      <c r="AX625" s="1">
        <v>0.0</v>
      </c>
      <c r="AY625" s="1">
        <v>0.0</v>
      </c>
      <c r="AZ625" s="1">
        <v>1.0</v>
      </c>
      <c r="BA625" s="1">
        <v>0.0</v>
      </c>
      <c r="BB625" s="1">
        <v>0.0</v>
      </c>
      <c r="BC625" s="2">
        <v>46020.0</v>
      </c>
      <c r="BD625" s="1">
        <v>52.0</v>
      </c>
      <c r="BE625" s="1" t="s">
        <v>550</v>
      </c>
      <c r="BF625" s="1">
        <v>2025.0</v>
      </c>
      <c r="BG625" s="1" t="s">
        <v>1404</v>
      </c>
      <c r="BH625" s="7" t="str">
        <f>VLOOKUP(B625,CookieClicks!D:O,12,FALSE)</f>
        <v>http://signup.method.me/methodcrm/</v>
      </c>
      <c r="BI625" s="8" t="str">
        <f>IFERROR(__xludf.DUMMYFUNCTION("VLOOKUP(REGEXREPLACE(BH625,""[?].*"",""""),ContentBuckets!A:C,2,FALSE)"),"#N/A")</f>
        <v>#N/A</v>
      </c>
      <c r="BJ625" s="8" t="str">
        <f>IFERROR(__xludf.DUMMYFUNCTION("VLOOKUP(REGEXREPLACE(BH625,""[?].*"",""""),ContentBuckets!A:C,3,FALSE)"),"#N/A")</f>
        <v>#N/A</v>
      </c>
    </row>
    <row r="626" ht="14.25" customHeight="1">
      <c r="A626" s="1">
        <v>153915.0</v>
      </c>
      <c r="B626" s="1" t="s">
        <v>1405</v>
      </c>
      <c r="C626" s="2">
        <v>46020.44375</v>
      </c>
      <c r="D626" s="2"/>
      <c r="E626" s="2"/>
      <c r="F626" s="1" t="b">
        <v>1</v>
      </c>
      <c r="G626" s="4" t="b">
        <v>0</v>
      </c>
      <c r="H626" s="1" t="b">
        <v>0</v>
      </c>
      <c r="I626" s="1" t="b">
        <v>0</v>
      </c>
      <c r="J626" s="1" t="s">
        <v>534</v>
      </c>
      <c r="K626" s="1" t="s">
        <v>553</v>
      </c>
      <c r="L626" s="1" t="s">
        <v>554</v>
      </c>
      <c r="M626" s="1" t="s">
        <v>537</v>
      </c>
      <c r="N626" s="1">
        <v>0.0</v>
      </c>
      <c r="O626" s="1">
        <v>53.25</v>
      </c>
      <c r="P626" s="1">
        <v>0.0</v>
      </c>
      <c r="Q626" s="1">
        <v>0.0</v>
      </c>
      <c r="R626" s="1">
        <v>28.0</v>
      </c>
      <c r="S626" s="1" t="s">
        <v>538</v>
      </c>
      <c r="T626" s="1" t="s">
        <v>539</v>
      </c>
      <c r="V626" s="4">
        <v>7526564.0</v>
      </c>
      <c r="W626" s="4" t="s">
        <v>588</v>
      </c>
      <c r="X626" s="4">
        <v>0.0</v>
      </c>
      <c r="Y626" s="1">
        <v>1.0</v>
      </c>
      <c r="Z626" s="1">
        <v>0.0</v>
      </c>
      <c r="AA626" s="1">
        <v>0.0</v>
      </c>
      <c r="AB626" s="1">
        <v>0.0</v>
      </c>
      <c r="AC626" s="1">
        <v>0.0</v>
      </c>
      <c r="AD626" s="1">
        <v>0.0</v>
      </c>
      <c r="AE626" s="1">
        <v>0.0</v>
      </c>
      <c r="AF626" s="1">
        <v>0.0</v>
      </c>
      <c r="AG626" s="1">
        <v>0.0</v>
      </c>
      <c r="AH626" s="1">
        <v>0.0</v>
      </c>
      <c r="AI626" s="1">
        <v>0.0</v>
      </c>
      <c r="AJ626" s="1">
        <v>0.0</v>
      </c>
      <c r="AK626" s="1">
        <v>0.0</v>
      </c>
      <c r="AL626" s="1">
        <v>0.0</v>
      </c>
      <c r="AM626" s="4">
        <v>0.0</v>
      </c>
      <c r="AN626" s="1">
        <v>0.0</v>
      </c>
      <c r="AO626" s="4">
        <v>0.0</v>
      </c>
      <c r="AP626" s="1">
        <f t="shared" si="1"/>
        <v>0</v>
      </c>
      <c r="AR626" s="1" t="s">
        <v>560</v>
      </c>
      <c r="AU626" s="2"/>
      <c r="AV626" s="2">
        <v>46024.0201388889</v>
      </c>
      <c r="AW626" s="1">
        <v>0.0</v>
      </c>
      <c r="AX626" s="1">
        <v>0.0</v>
      </c>
      <c r="AY626" s="1">
        <v>0.0</v>
      </c>
      <c r="AZ626" s="1">
        <v>1.0</v>
      </c>
      <c r="BA626" s="1">
        <v>0.0</v>
      </c>
      <c r="BB626" s="1">
        <v>0.0</v>
      </c>
      <c r="BC626" s="2">
        <v>46020.0</v>
      </c>
      <c r="BD626" s="1">
        <v>52.0</v>
      </c>
      <c r="BE626" s="1" t="s">
        <v>550</v>
      </c>
      <c r="BF626" s="1">
        <v>2025.0</v>
      </c>
      <c r="BG626" s="1" t="s">
        <v>558</v>
      </c>
      <c r="BH626" s="7" t="str">
        <f>VLOOKUP(B626,CookieClicks!D:O,12,FALSE)</f>
        <v>https://www.method.me/blog/quickbooks-sync-comparisons/?utm_source=chatgpt.com</v>
      </c>
      <c r="BI626" s="8" t="str">
        <f>IFERROR(__xludf.DUMMYFUNCTION("VLOOKUP(REGEXREPLACE(BH626,""[?].*"",""""),ContentBuckets!A:C,2,FALSE)"),"Method - Comparison")</f>
        <v>Method - Comparison</v>
      </c>
      <c r="BJ626" s="8" t="str">
        <f>IFERROR(__xludf.DUMMYFUNCTION("VLOOKUP(REGEXREPLACE(BH626,""[?].*"",""""),ContentBuckets!A:C,3,FALSE)"),"Blog")</f>
        <v>Blog</v>
      </c>
    </row>
    <row r="627" ht="14.25" customHeight="1">
      <c r="A627" s="1">
        <v>153916.0</v>
      </c>
      <c r="B627" s="1" t="s">
        <v>1406</v>
      </c>
      <c r="C627" s="2">
        <v>46020.4548611111</v>
      </c>
      <c r="D627" s="2"/>
      <c r="E627" s="2"/>
      <c r="F627" s="1" t="b">
        <v>1</v>
      </c>
      <c r="G627" s="4" t="b">
        <v>0</v>
      </c>
      <c r="H627" s="1" t="b">
        <v>0</v>
      </c>
      <c r="I627" s="1" t="b">
        <v>0</v>
      </c>
      <c r="J627" s="1" t="s">
        <v>534</v>
      </c>
      <c r="K627" s="1" t="s">
        <v>535</v>
      </c>
      <c r="L627" s="1" t="s">
        <v>536</v>
      </c>
      <c r="M627" s="1" t="s">
        <v>537</v>
      </c>
      <c r="N627" s="1">
        <v>0.0</v>
      </c>
      <c r="O627" s="1">
        <v>44.25</v>
      </c>
      <c r="P627" s="1">
        <v>0.0</v>
      </c>
      <c r="Q627" s="1">
        <v>0.0</v>
      </c>
      <c r="R627" s="1">
        <v>28.0</v>
      </c>
      <c r="S627" s="1" t="s">
        <v>538</v>
      </c>
      <c r="T627" s="1" t="s">
        <v>539</v>
      </c>
      <c r="V627" s="4">
        <v>7209412.0</v>
      </c>
      <c r="W627" s="4" t="s">
        <v>540</v>
      </c>
      <c r="X627" s="4">
        <v>0.0</v>
      </c>
      <c r="Y627" s="1">
        <v>1.0</v>
      </c>
      <c r="Z627" s="1">
        <v>0.0</v>
      </c>
      <c r="AA627" s="1">
        <v>0.0</v>
      </c>
      <c r="AB627" s="1">
        <v>0.0</v>
      </c>
      <c r="AC627" s="1">
        <v>0.0</v>
      </c>
      <c r="AD627" s="1">
        <v>0.0</v>
      </c>
      <c r="AE627" s="1">
        <v>0.0</v>
      </c>
      <c r="AF627" s="1">
        <v>0.0</v>
      </c>
      <c r="AG627" s="1">
        <v>0.0</v>
      </c>
      <c r="AH627" s="1">
        <v>0.0</v>
      </c>
      <c r="AI627" s="1">
        <v>0.0</v>
      </c>
      <c r="AJ627" s="1">
        <v>0.0</v>
      </c>
      <c r="AK627" s="1">
        <v>0.0</v>
      </c>
      <c r="AL627" s="1">
        <v>0.0</v>
      </c>
      <c r="AM627" s="4">
        <v>0.0</v>
      </c>
      <c r="AN627" s="1">
        <v>0.0</v>
      </c>
      <c r="AO627" s="4">
        <v>0.0</v>
      </c>
      <c r="AP627" s="1">
        <f t="shared" si="1"/>
        <v>0</v>
      </c>
      <c r="AQ627" s="1" t="s">
        <v>557</v>
      </c>
      <c r="AR627" s="1" t="s">
        <v>571</v>
      </c>
      <c r="AT627" s="1" t="s">
        <v>1407</v>
      </c>
      <c r="AU627" s="2">
        <v>46020.0</v>
      </c>
      <c r="AV627" s="2">
        <v>46024.0069444444</v>
      </c>
      <c r="AW627" s="1">
        <v>0.0</v>
      </c>
      <c r="AX627" s="1">
        <v>1202167.32</v>
      </c>
      <c r="AY627" s="1">
        <v>20.0</v>
      </c>
      <c r="AZ627" s="1">
        <v>1.0</v>
      </c>
      <c r="BA627" s="1">
        <v>0.0</v>
      </c>
      <c r="BB627" s="1">
        <v>0.0</v>
      </c>
      <c r="BC627" s="2">
        <v>46020.0</v>
      </c>
      <c r="BD627" s="1">
        <v>52.0</v>
      </c>
      <c r="BE627" s="1" t="s">
        <v>550</v>
      </c>
      <c r="BF627" s="1">
        <v>2025.0</v>
      </c>
      <c r="BG627" s="1" t="s">
        <v>558</v>
      </c>
      <c r="BH627" s="7" t="str">
        <f>VLOOKUP(B627,CookieClicks!D:O,12,FALSE)</f>
        <v>https://www.method.me/blog/customer-convenience-customer-portal/</v>
      </c>
      <c r="BI627" s="8" t="str">
        <f>IFERROR(__xludf.DUMMYFUNCTION("VLOOKUP(REGEXREPLACE(BH627,""[?].*"",""""),ContentBuckets!A:C,2,FALSE)"),"QuickBooks - How-to")</f>
        <v>QuickBooks - How-to</v>
      </c>
      <c r="BJ627" s="8" t="str">
        <f>IFERROR(__xludf.DUMMYFUNCTION("VLOOKUP(REGEXREPLACE(BH627,""[?].*"",""""),ContentBuckets!A:C,3,FALSE)"),"Blog")</f>
        <v>Blog</v>
      </c>
    </row>
    <row r="628" ht="14.25" customHeight="1">
      <c r="A628" s="1">
        <v>153917.0</v>
      </c>
      <c r="B628" s="1" t="s">
        <v>1408</v>
      </c>
      <c r="C628" s="2">
        <v>46020.4770833333</v>
      </c>
      <c r="D628" s="2"/>
      <c r="E628" s="2"/>
      <c r="F628" s="1" t="b">
        <v>1</v>
      </c>
      <c r="G628" s="4" t="b">
        <v>0</v>
      </c>
      <c r="H628" s="1" t="b">
        <v>0</v>
      </c>
      <c r="I628" s="1" t="b">
        <v>0</v>
      </c>
      <c r="J628" s="1" t="s">
        <v>534</v>
      </c>
      <c r="K628" s="1" t="s">
        <v>553</v>
      </c>
      <c r="L628" s="1" t="s">
        <v>554</v>
      </c>
      <c r="M628" s="1" t="s">
        <v>537</v>
      </c>
      <c r="N628" s="1">
        <v>0.0</v>
      </c>
      <c r="O628" s="1">
        <v>44.25</v>
      </c>
      <c r="P628" s="1">
        <v>0.0</v>
      </c>
      <c r="Q628" s="1">
        <v>0.0</v>
      </c>
      <c r="R628" s="1">
        <v>0.0</v>
      </c>
      <c r="S628" s="1" t="s">
        <v>538</v>
      </c>
      <c r="T628" s="1" t="s">
        <v>539</v>
      </c>
      <c r="V628" s="4">
        <v>7526709.0</v>
      </c>
      <c r="W628" s="4"/>
      <c r="X628" s="4">
        <v>0.0</v>
      </c>
      <c r="Y628" s="1">
        <v>0.0</v>
      </c>
      <c r="Z628" s="1">
        <v>0.0</v>
      </c>
      <c r="AA628" s="1">
        <v>1.0</v>
      </c>
      <c r="AB628" s="1">
        <v>0.0</v>
      </c>
      <c r="AC628" s="1">
        <v>0.0</v>
      </c>
      <c r="AD628" s="1">
        <v>0.0</v>
      </c>
      <c r="AE628" s="1">
        <v>0.0</v>
      </c>
      <c r="AF628" s="1">
        <v>0.0</v>
      </c>
      <c r="AG628" s="1">
        <v>0.0</v>
      </c>
      <c r="AH628" s="1">
        <v>0.0</v>
      </c>
      <c r="AI628" s="1">
        <v>0.0</v>
      </c>
      <c r="AJ628" s="1">
        <v>0.0</v>
      </c>
      <c r="AK628" s="1">
        <v>0.0</v>
      </c>
      <c r="AL628" s="1">
        <v>0.0</v>
      </c>
      <c r="AM628" s="4">
        <v>0.0</v>
      </c>
      <c r="AN628" s="1">
        <v>0.0</v>
      </c>
      <c r="AO628" s="4">
        <v>0.0</v>
      </c>
      <c r="AP628" s="1">
        <f t="shared" si="1"/>
        <v>0</v>
      </c>
      <c r="AU628" s="2"/>
      <c r="AV628" s="2">
        <v>46024.0326388889</v>
      </c>
      <c r="AW628" s="1">
        <v>0.0</v>
      </c>
      <c r="AX628" s="1">
        <v>0.0</v>
      </c>
      <c r="AY628" s="1">
        <v>0.0</v>
      </c>
      <c r="AZ628" s="1">
        <v>1.0</v>
      </c>
      <c r="BA628" s="1">
        <v>0.0</v>
      </c>
      <c r="BB628" s="1">
        <v>0.0</v>
      </c>
      <c r="BC628" s="2">
        <v>46020.0</v>
      </c>
      <c r="BD628" s="1">
        <v>52.0</v>
      </c>
      <c r="BE628" s="1" t="s">
        <v>550</v>
      </c>
      <c r="BF628" s="1">
        <v>2025.0</v>
      </c>
      <c r="BG628" s="1" t="s">
        <v>558</v>
      </c>
      <c r="BH628" s="1" t="str">
        <f>VLOOKUP(B628,CookieClicks!D:O,12,FALSE)</f>
        <v>https://grow.method.me/crm-quickbooks/?trc=81&amp;trk=crm integrates with quickbooks&amp;trs=US-QBInt-Ex&amp;campaignid=22265826203&amp;adgroupid=186545727779&amp;adid=777091446185&amp;gad_source=1&amp;gad_campaignid=22265826203&amp;gbraid=0AAAAAD3Itnb_GcGrF8T8CxaqtpyTrWjVg&amp;gclid=Cj0KCQiA6sjKBhCSARIsAJvYcpPLwpAJfN556aJnfi0kU2IY71I1fU2inLyH278J-YbcqoZLTqRgAIkaAko8EALw_wcB</v>
      </c>
      <c r="BI628" s="8" t="str">
        <f>IFERROR(__xludf.DUMMYFUNCTION("VLOOKUP(REGEXREPLACE(BH628,""[?].*"",""""),ContentBuckets!A:C,2,FALSE)"),"#N/A")</f>
        <v>#N/A</v>
      </c>
      <c r="BJ628" s="8" t="str">
        <f>IFERROR(__xludf.DUMMYFUNCTION("VLOOKUP(REGEXREPLACE(BH628,""[?].*"",""""),ContentBuckets!A:C,3,FALSE)"),"#N/A")</f>
        <v>#N/A</v>
      </c>
    </row>
    <row r="629" ht="14.25" customHeight="1">
      <c r="A629" s="1">
        <v>153918.0</v>
      </c>
      <c r="B629" s="1" t="s">
        <v>1409</v>
      </c>
      <c r="C629" s="2">
        <v>46020.5118055556</v>
      </c>
      <c r="D629" s="2"/>
      <c r="E629" s="2"/>
      <c r="F629" s="1" t="b">
        <v>1</v>
      </c>
      <c r="G629" s="4" t="b">
        <v>0</v>
      </c>
      <c r="H629" s="1" t="b">
        <v>0</v>
      </c>
      <c r="I629" s="1" t="b">
        <v>0</v>
      </c>
      <c r="J629" s="1" t="s">
        <v>534</v>
      </c>
      <c r="K629" s="1" t="s">
        <v>535</v>
      </c>
      <c r="L629" s="1" t="s">
        <v>536</v>
      </c>
      <c r="M629" s="1" t="s">
        <v>537</v>
      </c>
      <c r="N629" s="1">
        <v>0.0</v>
      </c>
      <c r="O629" s="1">
        <v>159.75</v>
      </c>
      <c r="P629" s="1">
        <v>0.0</v>
      </c>
      <c r="Q629" s="1">
        <v>0.0</v>
      </c>
      <c r="R629" s="1">
        <v>28.0</v>
      </c>
      <c r="S629" s="1" t="s">
        <v>538</v>
      </c>
      <c r="T629" s="1" t="s">
        <v>539</v>
      </c>
      <c r="V629" s="4">
        <v>7525769.0</v>
      </c>
      <c r="W629" s="4"/>
      <c r="X629" s="4">
        <v>0.0</v>
      </c>
      <c r="Y629" s="1">
        <v>0.0</v>
      </c>
      <c r="Z629" s="1">
        <v>0.0</v>
      </c>
      <c r="AA629" s="1">
        <v>1.0</v>
      </c>
      <c r="AB629" s="1">
        <v>0.0</v>
      </c>
      <c r="AC629" s="1">
        <v>0.0</v>
      </c>
      <c r="AD629" s="1">
        <v>0.0</v>
      </c>
      <c r="AE629" s="1">
        <v>0.0</v>
      </c>
      <c r="AF629" s="1">
        <v>0.0</v>
      </c>
      <c r="AG629" s="1">
        <v>0.0</v>
      </c>
      <c r="AH629" s="1">
        <v>0.0</v>
      </c>
      <c r="AI629" s="1">
        <v>0.0</v>
      </c>
      <c r="AJ629" s="1">
        <v>0.0</v>
      </c>
      <c r="AK629" s="1">
        <v>0.0</v>
      </c>
      <c r="AL629" s="1">
        <v>0.0</v>
      </c>
      <c r="AM629" s="4">
        <v>0.0</v>
      </c>
      <c r="AN629" s="1">
        <v>0.0</v>
      </c>
      <c r="AO629" s="4">
        <v>0.0</v>
      </c>
      <c r="AP629" s="1">
        <f t="shared" si="1"/>
        <v>0</v>
      </c>
      <c r="AQ629" s="1" t="s">
        <v>557</v>
      </c>
      <c r="AR629" s="1" t="s">
        <v>564</v>
      </c>
      <c r="AT629" s="1" t="s">
        <v>1156</v>
      </c>
      <c r="AU629" s="2">
        <v>46020.0</v>
      </c>
      <c r="AV629" s="2">
        <v>46023.9833333333</v>
      </c>
      <c r="AW629" s="1">
        <v>0.0</v>
      </c>
      <c r="AX629" s="1">
        <v>436662.0</v>
      </c>
      <c r="AY629" s="1">
        <v>240.0</v>
      </c>
      <c r="AZ629" s="1">
        <v>3.0</v>
      </c>
      <c r="BA629" s="1">
        <v>0.0</v>
      </c>
      <c r="BB629" s="1">
        <v>0.0</v>
      </c>
      <c r="BC629" s="2">
        <v>46020.0</v>
      </c>
      <c r="BD629" s="1">
        <v>52.0</v>
      </c>
      <c r="BE629" s="1" t="s">
        <v>550</v>
      </c>
      <c r="BF629" s="1">
        <v>2025.0</v>
      </c>
      <c r="BG629" s="1" t="s">
        <v>558</v>
      </c>
      <c r="BH629" s="1" t="str">
        <f>VLOOKUP(B629,CookieClicks!D:O,12,FALSE)</f>
        <v>https://www.method.me/crm-quickbooks/job-scheduling-software/?trc=86&amp;trk=%2Fcrm-quickbooks%2F&amp;trs=RLSA-Bing-Dyn&amp;msclkid=c7b6b9a137cc114e52a8d0f0816a7627&amp;utm_source=bing&amp;utm_medium=cpc&amp;utm_campaign=RLSA - Bing&amp;utm_term=%2Fcrm-quickbooks%2F&amp;utm_content=RLSA - Dynamic</v>
      </c>
      <c r="BI629" s="8" t="str">
        <f>IFERROR(__xludf.DUMMYFUNCTION("VLOOKUP(REGEXREPLACE(BH629,""[?].*"",""""),ContentBuckets!A:C,2,FALSE)"),"/crm-quickbooks/")</f>
        <v>/crm-quickbooks/</v>
      </c>
      <c r="BJ629" s="8" t="str">
        <f>IFERROR(__xludf.DUMMYFUNCTION("VLOOKUP(REGEXREPLACE(BH629,""[?].*"",""""),ContentBuckets!A:C,3,FALSE)"),"Other page")</f>
        <v>Other page</v>
      </c>
    </row>
    <row r="630" ht="14.25" customHeight="1">
      <c r="A630" s="1">
        <v>153920.0</v>
      </c>
      <c r="B630" s="1" t="s">
        <v>1410</v>
      </c>
      <c r="C630" s="2">
        <v>46020.5513888889</v>
      </c>
      <c r="D630" s="2"/>
      <c r="E630" s="2">
        <v>46020.5909722222</v>
      </c>
      <c r="F630" s="1" t="b">
        <v>1</v>
      </c>
      <c r="G630" s="4" t="b">
        <v>0</v>
      </c>
      <c r="H630" s="1" t="b">
        <v>0</v>
      </c>
      <c r="I630" s="1" t="b">
        <v>0</v>
      </c>
      <c r="J630" s="1" t="s">
        <v>534</v>
      </c>
      <c r="K630" s="1" t="s">
        <v>622</v>
      </c>
      <c r="L630" s="1" t="s">
        <v>623</v>
      </c>
      <c r="M630" s="1" t="s">
        <v>537</v>
      </c>
      <c r="N630" s="1">
        <v>0.0</v>
      </c>
      <c r="O630" s="1">
        <v>106.5</v>
      </c>
      <c r="P630" s="1">
        <v>0.0</v>
      </c>
      <c r="Q630" s="1">
        <v>0.0</v>
      </c>
      <c r="R630" s="1">
        <v>28.0</v>
      </c>
      <c r="S630" s="1" t="s">
        <v>538</v>
      </c>
      <c r="T630" s="1" t="s">
        <v>539</v>
      </c>
      <c r="V630" s="4">
        <v>7516150.0</v>
      </c>
      <c r="W630" s="4"/>
      <c r="X630" s="4">
        <v>0.0</v>
      </c>
      <c r="Y630" s="1">
        <v>0.0</v>
      </c>
      <c r="Z630" s="1">
        <v>0.0</v>
      </c>
      <c r="AA630" s="1">
        <v>1.0</v>
      </c>
      <c r="AB630" s="1">
        <v>0.0</v>
      </c>
      <c r="AC630" s="1">
        <v>0.0</v>
      </c>
      <c r="AD630" s="1">
        <v>0.0</v>
      </c>
      <c r="AE630" s="1">
        <v>0.0</v>
      </c>
      <c r="AF630" s="1">
        <v>0.0</v>
      </c>
      <c r="AG630" s="1">
        <v>0.0</v>
      </c>
      <c r="AH630" s="1">
        <v>0.0</v>
      </c>
      <c r="AI630" s="1">
        <v>0.0</v>
      </c>
      <c r="AJ630" s="1">
        <v>0.0</v>
      </c>
      <c r="AK630" s="1">
        <v>0.0</v>
      </c>
      <c r="AL630" s="1">
        <v>0.0</v>
      </c>
      <c r="AM630" s="4">
        <v>0.0</v>
      </c>
      <c r="AN630" s="1">
        <v>0.0</v>
      </c>
      <c r="AO630" s="4">
        <v>0.0</v>
      </c>
      <c r="AP630" s="1">
        <f t="shared" si="1"/>
        <v>0</v>
      </c>
      <c r="AQ630" s="1" t="s">
        <v>557</v>
      </c>
      <c r="AR630" s="1" t="s">
        <v>578</v>
      </c>
      <c r="AU630" s="2">
        <v>46024.0</v>
      </c>
      <c r="AV630" s="2">
        <v>46024.0104166667</v>
      </c>
      <c r="AW630" s="1">
        <v>0.0</v>
      </c>
      <c r="AX630" s="1">
        <v>1800.0</v>
      </c>
      <c r="AY630" s="1">
        <v>4.0</v>
      </c>
      <c r="AZ630" s="1">
        <v>3.0</v>
      </c>
      <c r="BA630" s="1">
        <v>0.0</v>
      </c>
      <c r="BB630" s="1">
        <v>1.0</v>
      </c>
      <c r="BC630" s="2">
        <v>46020.0</v>
      </c>
      <c r="BD630" s="1">
        <v>52.0</v>
      </c>
      <c r="BE630" s="1" t="s">
        <v>550</v>
      </c>
      <c r="BF630" s="1">
        <v>2025.0</v>
      </c>
      <c r="BG630" s="1" t="s">
        <v>558</v>
      </c>
      <c r="BH630" s="7" t="str">
        <f>VLOOKUP(B630,CookieClicks!D:O,12,FALSE)</f>
        <v>https://grow.method.me/best-quickbooks-crm/?trc=517&amp;trk=1CRM&amp;trs=FB-Lookalike&amp;utm_source=Facebook&amp;utm_medium=PPC&amp;utm_campaign=Banner_trial&amp;fbclid=IwdGRleAO8pctleHRuA2FlbQEwAGFkaWQBqyo7QjfMs3NydGMGYXBwX2lkCjY2Mjg1NjgzNzkAAR6yCsrmCEJStUy9sAWrDn_NClr0G8cd4Qi38sX5ANUryo7bfHPDwJyuyiR0iA_aem_40jpzLxe9VHxGKtrSRRMPw&amp;campaign_id=120213444289450307&amp;ad_id=120232952122110307&amp;utm_id=120213444289450307&amp;utm_content=120232952122110307&amp;utm_term=120215433068320307</v>
      </c>
      <c r="BI630" s="8" t="str">
        <f>IFERROR(__xludf.DUMMYFUNCTION("VLOOKUP(REGEXREPLACE(BH630,""[?].*"",""""),ContentBuckets!A:C,2,FALSE)"),"#N/A")</f>
        <v>#N/A</v>
      </c>
      <c r="BJ630" s="8" t="str">
        <f>IFERROR(__xludf.DUMMYFUNCTION("VLOOKUP(REGEXREPLACE(BH630,""[?].*"",""""),ContentBuckets!A:C,3,FALSE)"),"#N/A")</f>
        <v>#N/A</v>
      </c>
    </row>
    <row r="631" ht="14.25" customHeight="1">
      <c r="A631" s="1">
        <v>153922.0</v>
      </c>
      <c r="B631" s="1" t="s">
        <v>1411</v>
      </c>
      <c r="C631" s="2">
        <v>46020.5833333333</v>
      </c>
      <c r="D631" s="2"/>
      <c r="E631" s="2"/>
      <c r="F631" s="1" t="b">
        <v>1</v>
      </c>
      <c r="G631" s="4" t="b">
        <v>0</v>
      </c>
      <c r="H631" s="1" t="b">
        <v>0</v>
      </c>
      <c r="I631" s="1" t="b">
        <v>0</v>
      </c>
      <c r="J631" s="1" t="s">
        <v>534</v>
      </c>
      <c r="K631" s="1" t="s">
        <v>535</v>
      </c>
      <c r="L631" s="1" t="s">
        <v>536</v>
      </c>
      <c r="M631" s="1" t="s">
        <v>537</v>
      </c>
      <c r="N631" s="1">
        <v>0.0</v>
      </c>
      <c r="O631" s="1">
        <v>109.5</v>
      </c>
      <c r="P631" s="1">
        <v>0.0</v>
      </c>
      <c r="Q631" s="1">
        <v>0.0</v>
      </c>
      <c r="R631" s="1">
        <v>28.0</v>
      </c>
      <c r="S631" s="1" t="s">
        <v>538</v>
      </c>
      <c r="T631" s="1" t="s">
        <v>539</v>
      </c>
      <c r="V631" s="4">
        <v>7527359.0</v>
      </c>
      <c r="W631" s="4" t="s">
        <v>540</v>
      </c>
      <c r="X631" s="4">
        <v>0.0</v>
      </c>
      <c r="Y631" s="1">
        <v>1.0</v>
      </c>
      <c r="Z631" s="1">
        <v>0.0</v>
      </c>
      <c r="AA631" s="1">
        <v>0.0</v>
      </c>
      <c r="AB631" s="1">
        <v>0.0</v>
      </c>
      <c r="AC631" s="1">
        <v>0.0</v>
      </c>
      <c r="AD631" s="1">
        <v>0.0</v>
      </c>
      <c r="AE631" s="1">
        <v>0.0</v>
      </c>
      <c r="AF631" s="1">
        <v>0.0</v>
      </c>
      <c r="AG631" s="1">
        <v>0.0</v>
      </c>
      <c r="AH631" s="1">
        <v>0.0</v>
      </c>
      <c r="AI631" s="1">
        <v>0.0</v>
      </c>
      <c r="AJ631" s="1">
        <v>0.0</v>
      </c>
      <c r="AK631" s="1">
        <v>0.0</v>
      </c>
      <c r="AL631" s="1">
        <v>0.0</v>
      </c>
      <c r="AM631" s="4">
        <v>0.0</v>
      </c>
      <c r="AN631" s="1">
        <v>0.0</v>
      </c>
      <c r="AO631" s="4">
        <v>0.0</v>
      </c>
      <c r="AP631" s="1">
        <f t="shared" si="1"/>
        <v>0</v>
      </c>
      <c r="AQ631" s="1" t="s">
        <v>557</v>
      </c>
      <c r="AR631" s="1" t="s">
        <v>560</v>
      </c>
      <c r="AU631" s="2">
        <v>46020.0</v>
      </c>
      <c r="AV631" s="2">
        <v>46024.0180555556</v>
      </c>
      <c r="AW631" s="1">
        <v>24.0</v>
      </c>
      <c r="AX631" s="1">
        <v>861765.84</v>
      </c>
      <c r="AY631" s="1">
        <v>1978.0</v>
      </c>
      <c r="AZ631" s="1">
        <v>2.0</v>
      </c>
      <c r="BA631" s="1">
        <v>0.0</v>
      </c>
      <c r="BB631" s="1">
        <v>0.0</v>
      </c>
      <c r="BC631" s="2">
        <v>46020.0</v>
      </c>
      <c r="BD631" s="1">
        <v>52.0</v>
      </c>
      <c r="BE631" s="1" t="s">
        <v>550</v>
      </c>
      <c r="BF631" s="1">
        <v>2025.0</v>
      </c>
      <c r="BG631" s="1" t="s">
        <v>558</v>
      </c>
      <c r="BH631" s="7" t="str">
        <f>VLOOKUP(B631,CookieClicks!D:O,12,FALSE)</f>
        <v>https://www.method.me/crm-quickbooks/pricing/</v>
      </c>
      <c r="BI631" s="8" t="str">
        <f>IFERROR(__xludf.DUMMYFUNCTION("VLOOKUP(REGEXREPLACE(BH631,""[?].*"",""""),ContentBuckets!A:C,2,FALSE)"),"/crm-quickbooks/")</f>
        <v>/crm-quickbooks/</v>
      </c>
      <c r="BJ631" s="8" t="str">
        <f>IFERROR(__xludf.DUMMYFUNCTION("VLOOKUP(REGEXREPLACE(BH631,""[?].*"",""""),ContentBuckets!A:C,3,FALSE)"),"Other page")</f>
        <v>Other page</v>
      </c>
    </row>
    <row r="632" ht="14.25" customHeight="1">
      <c r="A632" s="1">
        <v>153923.0</v>
      </c>
      <c r="B632" s="1" t="s">
        <v>1412</v>
      </c>
      <c r="C632" s="2">
        <v>46020.6090277778</v>
      </c>
      <c r="D632" s="2"/>
      <c r="E632" s="2"/>
      <c r="F632" s="1" t="b">
        <v>1</v>
      </c>
      <c r="G632" s="4" t="b">
        <v>0</v>
      </c>
      <c r="H632" s="1" t="b">
        <v>0</v>
      </c>
      <c r="I632" s="1" t="b">
        <v>0</v>
      </c>
      <c r="J632" s="1" t="s">
        <v>534</v>
      </c>
      <c r="K632" s="1" t="s">
        <v>535</v>
      </c>
      <c r="L632" s="1" t="s">
        <v>536</v>
      </c>
      <c r="M632" s="1" t="s">
        <v>537</v>
      </c>
      <c r="N632" s="1">
        <v>0.0</v>
      </c>
      <c r="O632" s="1">
        <v>63.75</v>
      </c>
      <c r="P632" s="1">
        <v>0.0</v>
      </c>
      <c r="Q632" s="1">
        <v>0.0</v>
      </c>
      <c r="R632" s="1">
        <v>28.0</v>
      </c>
      <c r="S632" s="1" t="s">
        <v>538</v>
      </c>
      <c r="T632" s="1" t="s">
        <v>539</v>
      </c>
      <c r="V632" s="4">
        <v>7528096.0</v>
      </c>
      <c r="W632" s="4"/>
      <c r="X632" s="4">
        <v>0.0</v>
      </c>
      <c r="Y632" s="1">
        <v>0.0</v>
      </c>
      <c r="Z632" s="1">
        <v>0.0</v>
      </c>
      <c r="AA632" s="1">
        <v>1.0</v>
      </c>
      <c r="AB632" s="1">
        <v>0.0</v>
      </c>
      <c r="AC632" s="1">
        <v>0.0</v>
      </c>
      <c r="AD632" s="1">
        <v>0.0</v>
      </c>
      <c r="AE632" s="1">
        <v>0.0</v>
      </c>
      <c r="AF632" s="1">
        <v>0.0</v>
      </c>
      <c r="AG632" s="1">
        <v>0.0</v>
      </c>
      <c r="AH632" s="1">
        <v>0.0</v>
      </c>
      <c r="AI632" s="1">
        <v>0.0</v>
      </c>
      <c r="AJ632" s="1">
        <v>0.0</v>
      </c>
      <c r="AK632" s="1">
        <v>0.0</v>
      </c>
      <c r="AL632" s="1">
        <v>0.0</v>
      </c>
      <c r="AM632" s="4">
        <v>0.0</v>
      </c>
      <c r="AN632" s="1">
        <v>0.0</v>
      </c>
      <c r="AO632" s="4">
        <v>0.0</v>
      </c>
      <c r="AP632" s="1">
        <f t="shared" si="1"/>
        <v>0</v>
      </c>
      <c r="AQ632" s="1" t="s">
        <v>557</v>
      </c>
      <c r="AR632" s="1" t="s">
        <v>560</v>
      </c>
      <c r="AU632" s="2">
        <v>46020.0</v>
      </c>
      <c r="AV632" s="2">
        <v>46024.0298611111</v>
      </c>
      <c r="AW632" s="1">
        <v>0.0</v>
      </c>
      <c r="AX632" s="1">
        <v>0.0</v>
      </c>
      <c r="AY632" s="1">
        <v>0.0</v>
      </c>
      <c r="AZ632" s="1">
        <v>1.0</v>
      </c>
      <c r="BA632" s="1">
        <v>0.0</v>
      </c>
      <c r="BB632" s="1">
        <v>0.0</v>
      </c>
      <c r="BC632" s="2">
        <v>46020.0</v>
      </c>
      <c r="BD632" s="1">
        <v>52.0</v>
      </c>
      <c r="BE632" s="1" t="s">
        <v>550</v>
      </c>
      <c r="BF632" s="1">
        <v>2025.0</v>
      </c>
      <c r="BG632" s="1" t="s">
        <v>558</v>
      </c>
      <c r="BH632" s="1" t="str">
        <f>VLOOKUP(B632,CookieClicks!D:O,12,FALSE)</f>
        <v>https://grow.method.me/request-demo/?trc=86&amp;trk=grow.method.me&amp;trs=US-Bing-sitelink&amp;msclkid=22b9bf8ae43c1629b157d6d83c25ed82&amp;utm_source=bing&amp;utm_medium=cpc&amp;utm_campaign=Bing - PMAX&amp;utm_term=grow.method.me&amp;utm_content=US - retargeting</v>
      </c>
      <c r="BI632" s="8" t="str">
        <f>IFERROR(__xludf.DUMMYFUNCTION("VLOOKUP(REGEXREPLACE(BH632,""[?].*"",""""),ContentBuckets!A:C,2,FALSE)"),"#N/A")</f>
        <v>#N/A</v>
      </c>
      <c r="BJ632" s="8" t="str">
        <f>IFERROR(__xludf.DUMMYFUNCTION("VLOOKUP(REGEXREPLACE(BH632,""[?].*"",""""),ContentBuckets!A:C,3,FALSE)"),"#N/A")</f>
        <v>#N/A</v>
      </c>
    </row>
    <row r="633" ht="14.25" customHeight="1">
      <c r="A633" s="1">
        <v>153924.0</v>
      </c>
      <c r="B633" s="1" t="s">
        <v>1413</v>
      </c>
      <c r="C633" s="2">
        <v>46020.6305555556</v>
      </c>
      <c r="D633" s="2"/>
      <c r="E633" s="2"/>
      <c r="F633" s="1" t="b">
        <v>1</v>
      </c>
      <c r="G633" s="4" t="b">
        <v>0</v>
      </c>
      <c r="H633" s="1" t="b">
        <v>0</v>
      </c>
      <c r="I633" s="1" t="b">
        <v>0</v>
      </c>
      <c r="J633" s="1" t="s">
        <v>534</v>
      </c>
      <c r="K633" s="1" t="s">
        <v>535</v>
      </c>
      <c r="L633" s="1" t="s">
        <v>536</v>
      </c>
      <c r="M633" s="1" t="s">
        <v>537</v>
      </c>
      <c r="N633" s="1">
        <v>0.0</v>
      </c>
      <c r="O633" s="1">
        <v>54.75</v>
      </c>
      <c r="P633" s="1">
        <v>0.0</v>
      </c>
      <c r="Q633" s="1">
        <v>0.0</v>
      </c>
      <c r="R633" s="1">
        <v>28.0</v>
      </c>
      <c r="S633" s="1" t="s">
        <v>538</v>
      </c>
      <c r="T633" s="1" t="s">
        <v>539</v>
      </c>
      <c r="V633" s="4">
        <v>7528275.0</v>
      </c>
      <c r="W633" s="4" t="s">
        <v>540</v>
      </c>
      <c r="X633" s="4">
        <v>0.0</v>
      </c>
      <c r="Y633" s="1">
        <v>1.0</v>
      </c>
      <c r="Z633" s="1">
        <v>0.0</v>
      </c>
      <c r="AA633" s="1">
        <v>0.0</v>
      </c>
      <c r="AB633" s="1">
        <v>0.0</v>
      </c>
      <c r="AC633" s="1">
        <v>0.0</v>
      </c>
      <c r="AD633" s="1">
        <v>0.0</v>
      </c>
      <c r="AE633" s="1">
        <v>0.0</v>
      </c>
      <c r="AF633" s="1">
        <v>0.0</v>
      </c>
      <c r="AG633" s="1">
        <v>0.0</v>
      </c>
      <c r="AH633" s="1">
        <v>0.0</v>
      </c>
      <c r="AI633" s="1">
        <v>0.0</v>
      </c>
      <c r="AJ633" s="1">
        <v>0.0</v>
      </c>
      <c r="AK633" s="1">
        <v>0.0</v>
      </c>
      <c r="AL633" s="1">
        <v>0.0</v>
      </c>
      <c r="AM633" s="4">
        <v>0.0</v>
      </c>
      <c r="AN633" s="1">
        <v>0.0</v>
      </c>
      <c r="AO633" s="4">
        <v>0.0</v>
      </c>
      <c r="AP633" s="1">
        <f t="shared" si="1"/>
        <v>0</v>
      </c>
      <c r="AQ633" s="1" t="s">
        <v>557</v>
      </c>
      <c r="AR633" s="1" t="s">
        <v>564</v>
      </c>
      <c r="AT633" s="1" t="s">
        <v>1414</v>
      </c>
      <c r="AU633" s="2">
        <v>46020.0</v>
      </c>
      <c r="AV633" s="2">
        <v>46024.0020833333</v>
      </c>
      <c r="AW633" s="1">
        <v>0.0</v>
      </c>
      <c r="AX633" s="1">
        <v>0.0</v>
      </c>
      <c r="AY633" s="1">
        <v>0.0</v>
      </c>
      <c r="AZ633" s="1">
        <v>1.0</v>
      </c>
      <c r="BA633" s="1">
        <v>0.0</v>
      </c>
      <c r="BB633" s="1">
        <v>0.0</v>
      </c>
      <c r="BC633" s="2">
        <v>46020.0</v>
      </c>
      <c r="BD633" s="1">
        <v>52.0</v>
      </c>
      <c r="BE633" s="1" t="s">
        <v>550</v>
      </c>
      <c r="BF633" s="1">
        <v>2025.0</v>
      </c>
      <c r="BG633" s="1" t="s">
        <v>558</v>
      </c>
      <c r="BH633" s="7" t="str">
        <f>VLOOKUP(B633,CookieClicks!D:O,12,FALSE)</f>
        <v>https://www.method.me/</v>
      </c>
      <c r="BI633" s="8" t="str">
        <f>IFERROR(__xludf.DUMMYFUNCTION("VLOOKUP(REGEXREPLACE(BH633,""[?].*"",""""),ContentBuckets!A:C,2,FALSE)"),"Homepage")</f>
        <v>Homepage</v>
      </c>
      <c r="BJ633" s="8" t="str">
        <f>IFERROR(__xludf.DUMMYFUNCTION("VLOOKUP(REGEXREPLACE(BH633,""[?].*"",""""),ContentBuckets!A:C,3,FALSE)"),"Other page")</f>
        <v>Other page</v>
      </c>
    </row>
    <row r="634" ht="14.25" customHeight="1">
      <c r="A634" s="1">
        <v>153925.0</v>
      </c>
      <c r="B634" s="1" t="s">
        <v>1415</v>
      </c>
      <c r="C634" s="2">
        <v>46020.6506944444</v>
      </c>
      <c r="D634" s="2"/>
      <c r="E634" s="2"/>
      <c r="F634" s="1" t="b">
        <v>1</v>
      </c>
      <c r="G634" s="4" t="b">
        <v>0</v>
      </c>
      <c r="H634" s="1" t="b">
        <v>0</v>
      </c>
      <c r="I634" s="1" t="b">
        <v>0</v>
      </c>
      <c r="J634" s="1" t="s">
        <v>534</v>
      </c>
      <c r="K634" s="1" t="s">
        <v>703</v>
      </c>
      <c r="L634" s="1" t="s">
        <v>536</v>
      </c>
      <c r="M634" s="1" t="s">
        <v>537</v>
      </c>
      <c r="N634" s="1">
        <v>0.0</v>
      </c>
      <c r="O634" s="1">
        <v>54.75</v>
      </c>
      <c r="P634" s="1">
        <v>0.0</v>
      </c>
      <c r="Q634" s="1">
        <v>0.0</v>
      </c>
      <c r="R634" s="1">
        <v>28.0</v>
      </c>
      <c r="S634" s="1" t="s">
        <v>538</v>
      </c>
      <c r="T634" s="1" t="s">
        <v>539</v>
      </c>
      <c r="V634" s="4">
        <v>7528412.0</v>
      </c>
      <c r="W634" s="4" t="s">
        <v>540</v>
      </c>
      <c r="X634" s="4">
        <v>0.0</v>
      </c>
      <c r="Y634" s="1">
        <v>1.0</v>
      </c>
      <c r="Z634" s="1">
        <v>0.0</v>
      </c>
      <c r="AA634" s="1">
        <v>0.0</v>
      </c>
      <c r="AB634" s="1">
        <v>0.0</v>
      </c>
      <c r="AC634" s="1">
        <v>0.0</v>
      </c>
      <c r="AD634" s="1">
        <v>0.0</v>
      </c>
      <c r="AE634" s="1">
        <v>0.0</v>
      </c>
      <c r="AF634" s="1">
        <v>0.0</v>
      </c>
      <c r="AG634" s="1">
        <v>0.0</v>
      </c>
      <c r="AH634" s="1">
        <v>0.0</v>
      </c>
      <c r="AI634" s="1">
        <v>0.0</v>
      </c>
      <c r="AJ634" s="1">
        <v>0.0</v>
      </c>
      <c r="AK634" s="1">
        <v>0.0</v>
      </c>
      <c r="AL634" s="1">
        <v>0.0</v>
      </c>
      <c r="AM634" s="4">
        <v>0.0</v>
      </c>
      <c r="AN634" s="1">
        <v>0.0</v>
      </c>
      <c r="AO634" s="4">
        <v>0.0</v>
      </c>
      <c r="AP634" s="1">
        <f t="shared" si="1"/>
        <v>0</v>
      </c>
      <c r="AR634" s="1" t="s">
        <v>568</v>
      </c>
      <c r="AU634" s="2"/>
      <c r="AV634" s="2">
        <v>46024.0</v>
      </c>
      <c r="AW634" s="1">
        <v>0.0</v>
      </c>
      <c r="AX634" s="1">
        <v>0.0</v>
      </c>
      <c r="AY634" s="1">
        <v>0.0</v>
      </c>
      <c r="AZ634" s="1">
        <v>1.0</v>
      </c>
      <c r="BA634" s="1">
        <v>0.0</v>
      </c>
      <c r="BB634" s="1">
        <v>0.0</v>
      </c>
      <c r="BC634" s="2">
        <v>46020.0</v>
      </c>
      <c r="BD634" s="1">
        <v>52.0</v>
      </c>
      <c r="BE634" s="1" t="s">
        <v>550</v>
      </c>
      <c r="BF634" s="1">
        <v>2025.0</v>
      </c>
      <c r="BG634" s="1" t="s">
        <v>558</v>
      </c>
      <c r="BH634" s="7" t="str">
        <f>VLOOKUP(B634,CookieClicks!D:O,12,FALSE)</f>
        <v>https://www.method.me/</v>
      </c>
      <c r="BI634" s="8" t="str">
        <f>IFERROR(__xludf.DUMMYFUNCTION("VLOOKUP(REGEXREPLACE(BH634,""[?].*"",""""),ContentBuckets!A:C,2,FALSE)"),"Homepage")</f>
        <v>Homepage</v>
      </c>
      <c r="BJ634" s="8" t="str">
        <f>IFERROR(__xludf.DUMMYFUNCTION("VLOOKUP(REGEXREPLACE(BH634,""[?].*"",""""),ContentBuckets!A:C,3,FALSE)"),"Other page")</f>
        <v>Other page</v>
      </c>
    </row>
    <row r="635" ht="14.25" customHeight="1">
      <c r="A635" s="1">
        <v>153926.0</v>
      </c>
      <c r="B635" s="1" t="s">
        <v>1416</v>
      </c>
      <c r="C635" s="2">
        <v>46020.7847222222</v>
      </c>
      <c r="D635" s="2"/>
      <c r="E635" s="2"/>
      <c r="F635" s="1" t="b">
        <v>1</v>
      </c>
      <c r="G635" s="4" t="b">
        <v>0</v>
      </c>
      <c r="H635" s="1" t="b">
        <v>0</v>
      </c>
      <c r="I635" s="1" t="b">
        <v>0</v>
      </c>
      <c r="J635" s="1" t="s">
        <v>534</v>
      </c>
      <c r="K635" s="1" t="s">
        <v>535</v>
      </c>
      <c r="L635" s="1" t="s">
        <v>536</v>
      </c>
      <c r="M635" s="1" t="s">
        <v>537</v>
      </c>
      <c r="N635" s="1">
        <v>0.0</v>
      </c>
      <c r="O635" s="1">
        <v>88.5</v>
      </c>
      <c r="P635" s="1">
        <v>0.0</v>
      </c>
      <c r="Q635" s="1">
        <v>0.0</v>
      </c>
      <c r="R635" s="1">
        <v>28.0</v>
      </c>
      <c r="S635" s="1" t="s">
        <v>538</v>
      </c>
      <c r="T635" s="1" t="s">
        <v>539</v>
      </c>
      <c r="V635" s="4">
        <v>7296773.0</v>
      </c>
      <c r="W635" s="4"/>
      <c r="X635" s="4">
        <v>1.0</v>
      </c>
      <c r="Y635" s="1">
        <v>0.0</v>
      </c>
      <c r="Z635" s="1">
        <v>0.0</v>
      </c>
      <c r="AA635" s="1">
        <v>0.0</v>
      </c>
      <c r="AB635" s="1">
        <v>0.0</v>
      </c>
      <c r="AC635" s="1">
        <v>0.0</v>
      </c>
      <c r="AD635" s="1">
        <v>0.0</v>
      </c>
      <c r="AE635" s="1">
        <v>0.0</v>
      </c>
      <c r="AF635" s="1">
        <v>0.0</v>
      </c>
      <c r="AG635" s="1">
        <v>0.0</v>
      </c>
      <c r="AH635" s="1">
        <v>0.0</v>
      </c>
      <c r="AI635" s="1">
        <v>0.0</v>
      </c>
      <c r="AJ635" s="1">
        <v>0.0</v>
      </c>
      <c r="AK635" s="1">
        <v>0.0</v>
      </c>
      <c r="AL635" s="1">
        <v>0.0</v>
      </c>
      <c r="AM635" s="4">
        <v>0.0</v>
      </c>
      <c r="AN635" s="1">
        <v>0.0</v>
      </c>
      <c r="AO635" s="4">
        <v>0.0</v>
      </c>
      <c r="AP635" s="1">
        <f t="shared" si="1"/>
        <v>0</v>
      </c>
      <c r="AQ635" s="1" t="s">
        <v>557</v>
      </c>
      <c r="AR635" s="1" t="s">
        <v>560</v>
      </c>
      <c r="AU635" s="2">
        <v>46020.0</v>
      </c>
      <c r="AV635" s="2">
        <v>46024.0215277778</v>
      </c>
      <c r="AW635" s="1">
        <v>0.0</v>
      </c>
      <c r="AX635" s="1">
        <v>678300.0</v>
      </c>
      <c r="AY635" s="1">
        <v>64.0</v>
      </c>
      <c r="AZ635" s="1">
        <v>1.0</v>
      </c>
      <c r="BA635" s="1">
        <v>0.0</v>
      </c>
      <c r="BB635" s="1">
        <v>0.0</v>
      </c>
      <c r="BC635" s="2">
        <v>46020.0</v>
      </c>
      <c r="BD635" s="1">
        <v>52.0</v>
      </c>
      <c r="BE635" s="1" t="s">
        <v>550</v>
      </c>
      <c r="BF635" s="1">
        <v>2025.0</v>
      </c>
      <c r="BG635" s="1" t="s">
        <v>558</v>
      </c>
      <c r="BH635" s="7" t="str">
        <f>VLOOKUP(B635,CookieClicks!D:O,12,FALSE)</f>
        <v>https://www.method.me/</v>
      </c>
      <c r="BI635" s="8" t="str">
        <f>IFERROR(__xludf.DUMMYFUNCTION("VLOOKUP(REGEXREPLACE(BH635,""[?].*"",""""),ContentBuckets!A:C,2,FALSE)"),"Homepage")</f>
        <v>Homepage</v>
      </c>
      <c r="BJ635" s="8" t="str">
        <f>IFERROR(__xludf.DUMMYFUNCTION("VLOOKUP(REGEXREPLACE(BH635,""[?].*"",""""),ContentBuckets!A:C,3,FALSE)"),"Other page")</f>
        <v>Other page</v>
      </c>
    </row>
    <row r="636" ht="14.25" customHeight="1">
      <c r="A636" s="1">
        <v>153927.0</v>
      </c>
      <c r="B636" s="1" t="s">
        <v>1417</v>
      </c>
      <c r="C636" s="2">
        <v>46020.81875</v>
      </c>
      <c r="D636" s="2"/>
      <c r="E636" s="2"/>
      <c r="F636" s="1" t="b">
        <v>1</v>
      </c>
      <c r="G636" s="4" t="b">
        <v>0</v>
      </c>
      <c r="H636" s="1" t="b">
        <v>0</v>
      </c>
      <c r="I636" s="1" t="b">
        <v>0</v>
      </c>
      <c r="J636" s="1" t="s">
        <v>534</v>
      </c>
      <c r="K636" s="1" t="s">
        <v>535</v>
      </c>
      <c r="L636" s="1" t="s">
        <v>536</v>
      </c>
      <c r="M636" s="1" t="s">
        <v>537</v>
      </c>
      <c r="N636" s="1">
        <v>0.0</v>
      </c>
      <c r="O636" s="1">
        <v>88.5</v>
      </c>
      <c r="P636" s="1">
        <v>0.0</v>
      </c>
      <c r="Q636" s="1">
        <v>0.0</v>
      </c>
      <c r="R636" s="1">
        <v>28.0</v>
      </c>
      <c r="S636" s="1" t="s">
        <v>538</v>
      </c>
      <c r="T636" s="1" t="s">
        <v>539</v>
      </c>
      <c r="V636" s="4">
        <v>7296773.0</v>
      </c>
      <c r="W636" s="4"/>
      <c r="X636" s="4">
        <v>1.0</v>
      </c>
      <c r="Y636" s="1">
        <v>0.0</v>
      </c>
      <c r="Z636" s="1">
        <v>0.0</v>
      </c>
      <c r="AA636" s="1">
        <v>0.0</v>
      </c>
      <c r="AB636" s="1">
        <v>0.0</v>
      </c>
      <c r="AC636" s="1">
        <v>0.0</v>
      </c>
      <c r="AD636" s="1">
        <v>0.0</v>
      </c>
      <c r="AE636" s="1">
        <v>0.0</v>
      </c>
      <c r="AF636" s="1">
        <v>0.0</v>
      </c>
      <c r="AG636" s="1">
        <v>0.0</v>
      </c>
      <c r="AH636" s="1">
        <v>0.0</v>
      </c>
      <c r="AI636" s="1">
        <v>0.0</v>
      </c>
      <c r="AJ636" s="1">
        <v>0.0</v>
      </c>
      <c r="AK636" s="1">
        <v>0.0</v>
      </c>
      <c r="AL636" s="1">
        <v>0.0</v>
      </c>
      <c r="AM636" s="4">
        <v>0.0</v>
      </c>
      <c r="AN636" s="1">
        <v>0.0</v>
      </c>
      <c r="AO636" s="4">
        <v>0.0</v>
      </c>
      <c r="AP636" s="1">
        <f t="shared" si="1"/>
        <v>0</v>
      </c>
      <c r="AQ636" s="1" t="s">
        <v>557</v>
      </c>
      <c r="AR636" s="1" t="s">
        <v>549</v>
      </c>
      <c r="AU636" s="2">
        <v>46020.0</v>
      </c>
      <c r="AV636" s="2">
        <v>46023.9819444444</v>
      </c>
      <c r="AW636" s="1">
        <v>1.0</v>
      </c>
      <c r="AX636" s="1">
        <v>3295328.16</v>
      </c>
      <c r="AY636" s="1">
        <v>143.0</v>
      </c>
      <c r="AZ636" s="1">
        <v>2.0</v>
      </c>
      <c r="BA636" s="1">
        <v>0.0</v>
      </c>
      <c r="BB636" s="1">
        <v>0.0</v>
      </c>
      <c r="BC636" s="2">
        <v>46020.0</v>
      </c>
      <c r="BD636" s="1">
        <v>52.0</v>
      </c>
      <c r="BE636" s="1" t="s">
        <v>550</v>
      </c>
      <c r="BF636" s="1">
        <v>2025.0</v>
      </c>
      <c r="BG636" s="1" t="s">
        <v>558</v>
      </c>
      <c r="BH636" s="7" t="str">
        <f>VLOOKUP(B636,CookieClicks!D:O,12,FALSE)</f>
        <v>https://www.method.me/</v>
      </c>
      <c r="BI636" s="8" t="str">
        <f>IFERROR(__xludf.DUMMYFUNCTION("VLOOKUP(REGEXREPLACE(BH636,""[?].*"",""""),ContentBuckets!A:C,2,FALSE)"),"Homepage")</f>
        <v>Homepage</v>
      </c>
      <c r="BJ636" s="8" t="str">
        <f>IFERROR(__xludf.DUMMYFUNCTION("VLOOKUP(REGEXREPLACE(BH636,""[?].*"",""""),ContentBuckets!A:C,3,FALSE)"),"Other page")</f>
        <v>Other page</v>
      </c>
    </row>
    <row r="637" ht="14.25" customHeight="1">
      <c r="A637" s="1">
        <v>153928.0</v>
      </c>
      <c r="B637" s="1" t="s">
        <v>1418</v>
      </c>
      <c r="C637" s="2">
        <v>46020.9180555556</v>
      </c>
      <c r="D637" s="2"/>
      <c r="E637" s="2"/>
      <c r="F637" s="1" t="b">
        <v>1</v>
      </c>
      <c r="G637" s="4" t="b">
        <v>0</v>
      </c>
      <c r="H637" s="1" t="b">
        <v>0</v>
      </c>
      <c r="I637" s="1" t="b">
        <v>0</v>
      </c>
      <c r="J637" s="1" t="s">
        <v>534</v>
      </c>
      <c r="K637" s="1" t="s">
        <v>535</v>
      </c>
      <c r="L637" s="1" t="s">
        <v>536</v>
      </c>
      <c r="M637" s="1" t="s">
        <v>537</v>
      </c>
      <c r="N637" s="1">
        <v>0.0</v>
      </c>
      <c r="O637" s="1">
        <v>53.25</v>
      </c>
      <c r="P637" s="1">
        <v>0.0</v>
      </c>
      <c r="Q637" s="1">
        <v>0.0</v>
      </c>
      <c r="R637" s="1">
        <v>28.0</v>
      </c>
      <c r="S637" s="1" t="s">
        <v>538</v>
      </c>
      <c r="T637" s="1" t="s">
        <v>539</v>
      </c>
      <c r="V637" s="4">
        <v>7271853.0</v>
      </c>
      <c r="W637" s="4"/>
      <c r="X637" s="4">
        <v>0.0</v>
      </c>
      <c r="Y637" s="1">
        <v>0.0</v>
      </c>
      <c r="Z637" s="1">
        <v>0.0</v>
      </c>
      <c r="AA637" s="1">
        <v>0.5</v>
      </c>
      <c r="AB637" s="1">
        <v>0.5</v>
      </c>
      <c r="AC637" s="1">
        <v>0.0</v>
      </c>
      <c r="AD637" s="1">
        <v>0.0</v>
      </c>
      <c r="AE637" s="1">
        <v>0.0</v>
      </c>
      <c r="AF637" s="1">
        <v>0.0</v>
      </c>
      <c r="AG637" s="1">
        <v>0.0</v>
      </c>
      <c r="AH637" s="1">
        <v>0.0</v>
      </c>
      <c r="AI637" s="1">
        <v>0.0</v>
      </c>
      <c r="AJ637" s="1">
        <v>0.0</v>
      </c>
      <c r="AK637" s="1">
        <v>0.0</v>
      </c>
      <c r="AL637" s="1">
        <v>0.0</v>
      </c>
      <c r="AM637" s="4">
        <v>0.0</v>
      </c>
      <c r="AN637" s="1">
        <v>0.0</v>
      </c>
      <c r="AO637" s="4">
        <v>0.0</v>
      </c>
      <c r="AP637" s="1">
        <f t="shared" si="1"/>
        <v>0</v>
      </c>
      <c r="AQ637" s="1" t="s">
        <v>557</v>
      </c>
      <c r="AR637" s="1" t="s">
        <v>578</v>
      </c>
      <c r="AU637" s="2">
        <v>46020.0</v>
      </c>
      <c r="AV637" s="2">
        <v>46023.9930555556</v>
      </c>
      <c r="AW637" s="1">
        <v>0.0</v>
      </c>
      <c r="AX637" s="1">
        <v>0.0</v>
      </c>
      <c r="AY637" s="1">
        <v>0.0</v>
      </c>
      <c r="AZ637" s="1">
        <v>1.0</v>
      </c>
      <c r="BA637" s="1">
        <v>0.0</v>
      </c>
      <c r="BB637" s="1">
        <v>0.0</v>
      </c>
      <c r="BC637" s="2">
        <v>46020.0</v>
      </c>
      <c r="BD637" s="1">
        <v>52.0</v>
      </c>
      <c r="BE637" s="1" t="s">
        <v>550</v>
      </c>
      <c r="BF637" s="1">
        <v>2025.0</v>
      </c>
      <c r="BG637" s="1" t="s">
        <v>558</v>
      </c>
      <c r="BH637" s="1" t="str">
        <f>VLOOKUP(B637,CookieClicks!D:O,12,FALSE)</f>
        <v>https://grow.method.me/qb-payment/?trc=81&amp;trk=quickbooks online payment&amp;trs=US-payment&amp;campaignid=19733246298&amp;adgroupid=146278163933&amp;adid=649435146420&amp;gad_source=1&amp;gad_campaignid=19733246298&amp;gbraid=0AAAAAD3ItnYGQL7x1n3-WZNXzE83wRH-Z&amp;gclid=Cj0KCQiAi9rJBhCYARIsALyPDtuLeVDX5qx2_vorNMq0UsNWPgRZL3Sp9hEmMl1p5BGuI9DkWYjsdtQaAk2xEALw_wcB</v>
      </c>
      <c r="BI637" s="8" t="str">
        <f>IFERROR(__xludf.DUMMYFUNCTION("VLOOKUP(REGEXREPLACE(BH637,""[?].*"",""""),ContentBuckets!A:C,2,FALSE)"),"#N/A")</f>
        <v>#N/A</v>
      </c>
      <c r="BJ637" s="8" t="str">
        <f>IFERROR(__xludf.DUMMYFUNCTION("VLOOKUP(REGEXREPLACE(BH637,""[?].*"",""""),ContentBuckets!A:C,3,FALSE)"),"#N/A")</f>
        <v>#N/A</v>
      </c>
    </row>
    <row r="638" ht="14.25" customHeight="1">
      <c r="A638" s="1">
        <v>153929.0</v>
      </c>
      <c r="B638" s="1" t="s">
        <v>1419</v>
      </c>
      <c r="C638" s="2">
        <v>46021.2763888889</v>
      </c>
      <c r="D638" s="2">
        <v>46021.4736111111</v>
      </c>
      <c r="E638" s="2"/>
      <c r="F638" s="1" t="b">
        <v>0</v>
      </c>
      <c r="G638" s="4" t="b">
        <v>1</v>
      </c>
      <c r="H638" s="1" t="b">
        <v>0</v>
      </c>
      <c r="I638" s="1" t="b">
        <v>0</v>
      </c>
      <c r="J638" s="1" t="s">
        <v>534</v>
      </c>
      <c r="K638" s="1" t="s">
        <v>566</v>
      </c>
      <c r="L638" s="1" t="s">
        <v>567</v>
      </c>
      <c r="M638" s="1" t="s">
        <v>537</v>
      </c>
      <c r="N638" s="1">
        <v>0.0</v>
      </c>
      <c r="O638" s="1">
        <v>0.0</v>
      </c>
      <c r="P638" s="1">
        <v>0.0</v>
      </c>
      <c r="Q638" s="1">
        <v>0.0</v>
      </c>
      <c r="R638" s="1">
        <v>28.0</v>
      </c>
      <c r="S638" s="1" t="s">
        <v>538</v>
      </c>
      <c r="T638" s="1" t="s">
        <v>539</v>
      </c>
      <c r="V638" s="4">
        <v>7532217.0</v>
      </c>
      <c r="W638" s="4"/>
      <c r="X638" s="4">
        <v>0.0</v>
      </c>
      <c r="Y638" s="1">
        <v>0.0</v>
      </c>
      <c r="Z638" s="1">
        <v>0.0</v>
      </c>
      <c r="AA638" s="1">
        <v>0.0</v>
      </c>
      <c r="AB638" s="1">
        <v>0.0</v>
      </c>
      <c r="AC638" s="1">
        <v>0.0</v>
      </c>
      <c r="AD638" s="1">
        <v>0.0</v>
      </c>
      <c r="AE638" s="1">
        <v>0.0</v>
      </c>
      <c r="AF638" s="1">
        <v>0.0</v>
      </c>
      <c r="AG638" s="1">
        <v>0.0</v>
      </c>
      <c r="AH638" s="1">
        <v>0.0</v>
      </c>
      <c r="AI638" s="1">
        <v>0.0</v>
      </c>
      <c r="AJ638" s="1">
        <v>0.0</v>
      </c>
      <c r="AK638" s="1">
        <v>0.0</v>
      </c>
      <c r="AL638" s="1">
        <v>0.0</v>
      </c>
      <c r="AM638" s="4">
        <v>0.0</v>
      </c>
      <c r="AN638" s="1">
        <v>0.0</v>
      </c>
      <c r="AO638" s="4">
        <v>0.0</v>
      </c>
      <c r="AP638" s="1">
        <f t="shared" si="1"/>
        <v>1</v>
      </c>
      <c r="AR638" s="1" t="s">
        <v>560</v>
      </c>
      <c r="AU638" s="2"/>
      <c r="AV638" s="2"/>
      <c r="AW638" s="1">
        <v>0.0</v>
      </c>
      <c r="AX638" s="1">
        <v>0.0</v>
      </c>
      <c r="AY638" s="1">
        <v>0.0</v>
      </c>
      <c r="AZ638" s="1">
        <v>1.0</v>
      </c>
      <c r="BA638" s="1">
        <v>0.0</v>
      </c>
      <c r="BB638" s="1">
        <v>0.0</v>
      </c>
      <c r="BC638" s="2">
        <v>46021.0</v>
      </c>
      <c r="BD638" s="1">
        <v>52.0</v>
      </c>
      <c r="BE638" s="1" t="s">
        <v>550</v>
      </c>
      <c r="BF638" s="1">
        <v>2025.0</v>
      </c>
      <c r="BG638" s="1" t="s">
        <v>673</v>
      </c>
      <c r="BH638" s="7" t="str">
        <f>VLOOKUP(B638,CookieClicks!D:O,12,FALSE)</f>
        <v>http://signup.method.me/methodcrm?_gl=1*1szqxxv*_gcl_au*NTIyOTI3ODA5LjE3NjcwOTQ2NDU.*_ga*MjExMTk2MTE0NS4xNzY3MDk0NjQ2*_ga_L2HEZNW53E*czE3NjcwOTQ2NDUkbzEkZzAkdDE3NjcwOTQ2NDYkajU5JGwwJGgxODk2MTA5Njk3</v>
      </c>
      <c r="BI638" s="8" t="str">
        <f>IFERROR(__xludf.DUMMYFUNCTION("VLOOKUP(REGEXREPLACE(BH638,""[?].*"",""""),ContentBuckets!A:C,2,FALSE)"),"#N/A")</f>
        <v>#N/A</v>
      </c>
      <c r="BJ638" s="8" t="str">
        <f>IFERROR(__xludf.DUMMYFUNCTION("VLOOKUP(REGEXREPLACE(BH638,""[?].*"",""""),ContentBuckets!A:C,3,FALSE)"),"#N/A")</f>
        <v>#N/A</v>
      </c>
    </row>
    <row r="639" ht="14.25" customHeight="1">
      <c r="A639" s="1">
        <v>153930.0</v>
      </c>
      <c r="B639" s="1" t="s">
        <v>1420</v>
      </c>
      <c r="C639" s="2">
        <v>46021.3548611111</v>
      </c>
      <c r="D639" s="2"/>
      <c r="E639" s="2"/>
      <c r="F639" s="1" t="b">
        <v>1</v>
      </c>
      <c r="G639" s="4" t="b">
        <v>0</v>
      </c>
      <c r="H639" s="1" t="b">
        <v>0</v>
      </c>
      <c r="I639" s="1" t="b">
        <v>0</v>
      </c>
      <c r="J639" s="1" t="s">
        <v>534</v>
      </c>
      <c r="K639" s="1" t="s">
        <v>535</v>
      </c>
      <c r="L639" s="1" t="s">
        <v>536</v>
      </c>
      <c r="M639" s="1" t="s">
        <v>537</v>
      </c>
      <c r="N639" s="1">
        <v>0.0</v>
      </c>
      <c r="O639" s="1">
        <v>44.25</v>
      </c>
      <c r="P639" s="1">
        <v>0.0</v>
      </c>
      <c r="Q639" s="1">
        <v>0.0</v>
      </c>
      <c r="R639" s="1">
        <v>28.0</v>
      </c>
      <c r="S639" s="1" t="s">
        <v>538</v>
      </c>
      <c r="T639" s="1" t="s">
        <v>539</v>
      </c>
      <c r="V639" s="4">
        <v>7400576.0</v>
      </c>
      <c r="W639" s="4"/>
      <c r="X639" s="4">
        <v>1.0</v>
      </c>
      <c r="Y639" s="1">
        <v>0.0</v>
      </c>
      <c r="Z639" s="1">
        <v>0.0</v>
      </c>
      <c r="AA639" s="1">
        <v>0.0</v>
      </c>
      <c r="AB639" s="1">
        <v>0.0</v>
      </c>
      <c r="AC639" s="1">
        <v>0.0</v>
      </c>
      <c r="AD639" s="1">
        <v>0.0</v>
      </c>
      <c r="AE639" s="1">
        <v>0.0</v>
      </c>
      <c r="AF639" s="1">
        <v>0.0</v>
      </c>
      <c r="AG639" s="1">
        <v>0.0</v>
      </c>
      <c r="AH639" s="1">
        <v>0.0</v>
      </c>
      <c r="AI639" s="1">
        <v>0.0</v>
      </c>
      <c r="AJ639" s="1">
        <v>0.0</v>
      </c>
      <c r="AK639" s="1">
        <v>0.0</v>
      </c>
      <c r="AL639" s="1">
        <v>0.0</v>
      </c>
      <c r="AM639" s="4">
        <v>0.0</v>
      </c>
      <c r="AN639" s="1">
        <v>0.0</v>
      </c>
      <c r="AO639" s="4">
        <v>0.0</v>
      </c>
      <c r="AP639" s="1">
        <f t="shared" si="1"/>
        <v>0</v>
      </c>
      <c r="AQ639" s="1" t="s">
        <v>541</v>
      </c>
      <c r="AR639" s="1" t="s">
        <v>564</v>
      </c>
      <c r="AT639" s="1" t="s">
        <v>1421</v>
      </c>
      <c r="AU639" s="2">
        <v>46021.0</v>
      </c>
      <c r="AV639" s="2">
        <v>46024.0180555556</v>
      </c>
      <c r="AW639" s="1">
        <v>0.0</v>
      </c>
      <c r="AX639" s="1">
        <v>421224.0</v>
      </c>
      <c r="AY639" s="1">
        <v>5.0</v>
      </c>
      <c r="AZ639" s="1">
        <v>1.0</v>
      </c>
      <c r="BA639" s="1">
        <v>0.0</v>
      </c>
      <c r="BB639" s="1">
        <v>0.0</v>
      </c>
      <c r="BC639" s="2">
        <v>46021.0</v>
      </c>
      <c r="BD639" s="1">
        <v>52.0</v>
      </c>
      <c r="BE639" s="1" t="s">
        <v>550</v>
      </c>
      <c r="BF639" s="1">
        <v>2025.0</v>
      </c>
      <c r="BG639" s="1" t="s">
        <v>629</v>
      </c>
      <c r="BH639" s="7" t="str">
        <f>VLOOKUP(B639,CookieClicks!D:O,12,FALSE)</f>
        <v>https://www.method.me/</v>
      </c>
      <c r="BI639" s="8" t="str">
        <f>IFERROR(__xludf.DUMMYFUNCTION("VLOOKUP(REGEXREPLACE(BH639,""[?].*"",""""),ContentBuckets!A:C,2,FALSE)"),"Homepage")</f>
        <v>Homepage</v>
      </c>
      <c r="BJ639" s="8" t="str">
        <f>IFERROR(__xludf.DUMMYFUNCTION("VLOOKUP(REGEXREPLACE(BH639,""[?].*"",""""),ContentBuckets!A:C,3,FALSE)"),"Other page")</f>
        <v>Other page</v>
      </c>
    </row>
    <row r="640" ht="14.25" customHeight="1">
      <c r="A640" s="1">
        <v>153934.0</v>
      </c>
      <c r="B640" s="1" t="s">
        <v>1422</v>
      </c>
      <c r="C640" s="2">
        <v>46021.3770833333</v>
      </c>
      <c r="D640" s="2"/>
      <c r="E640" s="2"/>
      <c r="F640" s="1" t="b">
        <v>1</v>
      </c>
      <c r="G640" s="4" t="b">
        <v>0</v>
      </c>
      <c r="H640" s="1" t="b">
        <v>0</v>
      </c>
      <c r="I640" s="1" t="b">
        <v>0</v>
      </c>
      <c r="J640" s="1" t="s">
        <v>534</v>
      </c>
      <c r="K640" s="1" t="s">
        <v>535</v>
      </c>
      <c r="L640" s="1" t="s">
        <v>536</v>
      </c>
      <c r="M640" s="1" t="s">
        <v>537</v>
      </c>
      <c r="N640" s="1">
        <v>0.0</v>
      </c>
      <c r="O640" s="1">
        <v>62.25</v>
      </c>
      <c r="P640" s="1">
        <v>0.0</v>
      </c>
      <c r="Q640" s="1">
        <v>0.0</v>
      </c>
      <c r="R640" s="1">
        <v>28.0</v>
      </c>
      <c r="S640" s="1" t="s">
        <v>538</v>
      </c>
      <c r="T640" s="1" t="s">
        <v>539</v>
      </c>
      <c r="V640" s="4">
        <v>7532929.0</v>
      </c>
      <c r="W640" s="4" t="s">
        <v>540</v>
      </c>
      <c r="X640" s="4">
        <v>0.0</v>
      </c>
      <c r="Y640" s="1">
        <v>1.0</v>
      </c>
      <c r="Z640" s="1">
        <v>0.0</v>
      </c>
      <c r="AA640" s="1">
        <v>0.0</v>
      </c>
      <c r="AB640" s="1">
        <v>0.0</v>
      </c>
      <c r="AC640" s="1">
        <v>0.0</v>
      </c>
      <c r="AD640" s="1">
        <v>0.0</v>
      </c>
      <c r="AE640" s="1">
        <v>0.0</v>
      </c>
      <c r="AF640" s="1">
        <v>0.0</v>
      </c>
      <c r="AG640" s="1">
        <v>0.0</v>
      </c>
      <c r="AH640" s="1">
        <v>0.0</v>
      </c>
      <c r="AI640" s="1">
        <v>0.0</v>
      </c>
      <c r="AJ640" s="1">
        <v>0.0</v>
      </c>
      <c r="AK640" s="1">
        <v>0.0</v>
      </c>
      <c r="AL640" s="1">
        <v>0.0</v>
      </c>
      <c r="AM640" s="4">
        <v>0.0</v>
      </c>
      <c r="AN640" s="1">
        <v>0.0</v>
      </c>
      <c r="AO640" s="4">
        <v>0.0</v>
      </c>
      <c r="AP640" s="1">
        <f t="shared" si="1"/>
        <v>0</v>
      </c>
      <c r="AQ640" s="1" t="s">
        <v>557</v>
      </c>
      <c r="AR640" s="1" t="s">
        <v>542</v>
      </c>
      <c r="AU640" s="2">
        <v>46021.0</v>
      </c>
      <c r="AV640" s="2">
        <v>46024.00625</v>
      </c>
      <c r="AW640" s="1">
        <v>6.0</v>
      </c>
      <c r="AX640" s="1">
        <v>6051844.56</v>
      </c>
      <c r="AY640" s="1">
        <v>430.0</v>
      </c>
      <c r="AZ640" s="1">
        <v>1.0</v>
      </c>
      <c r="BA640" s="1">
        <v>0.0</v>
      </c>
      <c r="BB640" s="1">
        <v>0.0</v>
      </c>
      <c r="BC640" s="2">
        <v>46021.0</v>
      </c>
      <c r="BD640" s="1">
        <v>52.0</v>
      </c>
      <c r="BE640" s="1" t="s">
        <v>550</v>
      </c>
      <c r="BF640" s="1">
        <v>2025.0</v>
      </c>
      <c r="BG640" s="1" t="s">
        <v>828</v>
      </c>
      <c r="BH640" s="7" t="str">
        <f>VLOOKUP(B640,CookieClicks!D:O,12,FALSE)</f>
        <v>https://www.method.me/quickbooks-crm/</v>
      </c>
      <c r="BI640" s="8" t="str">
        <f>IFERROR(__xludf.DUMMYFUNCTION("VLOOKUP(REGEXREPLACE(BH640,""[?].*"",""""),ContentBuckets!A:C,2,FALSE)"),"/crm-quickbooks/")</f>
        <v>/crm-quickbooks/</v>
      </c>
      <c r="BJ640" s="8" t="str">
        <f>IFERROR(__xludf.DUMMYFUNCTION("VLOOKUP(REGEXREPLACE(BH640,""[?].*"",""""),ContentBuckets!A:C,3,FALSE)"),"Other page")</f>
        <v>Other page</v>
      </c>
    </row>
    <row r="641" ht="14.25" customHeight="1">
      <c r="A641" s="1">
        <v>153936.0</v>
      </c>
      <c r="B641" s="1" t="s">
        <v>1423</v>
      </c>
      <c r="C641" s="2">
        <v>46021.3979166667</v>
      </c>
      <c r="D641" s="2"/>
      <c r="E641" s="2"/>
      <c r="F641" s="1" t="b">
        <v>1</v>
      </c>
      <c r="G641" s="4" t="b">
        <v>0</v>
      </c>
      <c r="H641" s="1" t="b">
        <v>0</v>
      </c>
      <c r="I641" s="1" t="b">
        <v>0</v>
      </c>
      <c r="J641" s="1" t="s">
        <v>534</v>
      </c>
      <c r="K641" s="1" t="s">
        <v>535</v>
      </c>
      <c r="L641" s="1" t="s">
        <v>536</v>
      </c>
      <c r="M641" s="1" t="s">
        <v>537</v>
      </c>
      <c r="N641" s="1">
        <v>0.0</v>
      </c>
      <c r="O641" s="1">
        <v>44.25</v>
      </c>
      <c r="P641" s="1">
        <v>0.0</v>
      </c>
      <c r="Q641" s="1">
        <v>0.0</v>
      </c>
      <c r="R641" s="1">
        <v>0.0</v>
      </c>
      <c r="S641" s="1" t="s">
        <v>538</v>
      </c>
      <c r="T641" s="1" t="s">
        <v>725</v>
      </c>
      <c r="U641" s="1" t="s">
        <v>766</v>
      </c>
      <c r="V641" s="4">
        <v>6989049.0</v>
      </c>
      <c r="W641" s="4"/>
      <c r="X641" s="4">
        <v>0.0</v>
      </c>
      <c r="Y641" s="1">
        <v>0.0</v>
      </c>
      <c r="Z641" s="1">
        <v>0.0</v>
      </c>
      <c r="AA641" s="1">
        <v>0.0</v>
      </c>
      <c r="AB641" s="1">
        <v>1.0</v>
      </c>
      <c r="AC641" s="1">
        <v>0.0</v>
      </c>
      <c r="AD641" s="1">
        <v>0.0</v>
      </c>
      <c r="AE641" s="1">
        <v>0.0</v>
      </c>
      <c r="AF641" s="1">
        <v>0.0</v>
      </c>
      <c r="AG641" s="1">
        <v>0.0</v>
      </c>
      <c r="AH641" s="1">
        <v>0.0</v>
      </c>
      <c r="AI641" s="1">
        <v>0.0</v>
      </c>
      <c r="AJ641" s="1">
        <v>0.0</v>
      </c>
      <c r="AK641" s="1">
        <v>0.0</v>
      </c>
      <c r="AL641" s="1">
        <v>0.0</v>
      </c>
      <c r="AM641" s="4">
        <v>0.0</v>
      </c>
      <c r="AN641" s="1">
        <v>0.0</v>
      </c>
      <c r="AO641" s="4">
        <v>0.0</v>
      </c>
      <c r="AP641" s="1">
        <f t="shared" si="1"/>
        <v>0</v>
      </c>
      <c r="AU641" s="2"/>
      <c r="AV641" s="2">
        <v>46024.0020833333</v>
      </c>
      <c r="AW641" s="1">
        <v>0.0</v>
      </c>
      <c r="AX641" s="1">
        <v>0.0</v>
      </c>
      <c r="AY641" s="1">
        <v>0.0</v>
      </c>
      <c r="AZ641" s="1">
        <v>1.0</v>
      </c>
      <c r="BA641" s="1">
        <v>0.0</v>
      </c>
      <c r="BB641" s="1">
        <v>0.0</v>
      </c>
      <c r="BC641" s="2">
        <v>46021.0</v>
      </c>
      <c r="BD641" s="1">
        <v>52.0</v>
      </c>
      <c r="BE641" s="1" t="s">
        <v>550</v>
      </c>
      <c r="BF641" s="1">
        <v>2025.0</v>
      </c>
      <c r="BG641" s="1" t="s">
        <v>768</v>
      </c>
      <c r="BH641" s="7" t="str">
        <f>VLOOKUP(B641,CookieClicks!D:O,12,FALSE)</f>
        <v>https://www.method.me/</v>
      </c>
      <c r="BI641" s="8" t="str">
        <f>IFERROR(__xludf.DUMMYFUNCTION("VLOOKUP(REGEXREPLACE(BH641,""[?].*"",""""),ContentBuckets!A:C,2,FALSE)"),"Homepage")</f>
        <v>Homepage</v>
      </c>
      <c r="BJ641" s="8" t="str">
        <f>IFERROR(__xludf.DUMMYFUNCTION("VLOOKUP(REGEXREPLACE(BH641,""[?].*"",""""),ContentBuckets!A:C,3,FALSE)"),"Other page")</f>
        <v>Other page</v>
      </c>
    </row>
    <row r="642" ht="14.25" customHeight="1">
      <c r="A642" s="1">
        <v>153939.0</v>
      </c>
      <c r="B642" s="1" t="s">
        <v>1424</v>
      </c>
      <c r="C642" s="2">
        <v>46021.4388888889</v>
      </c>
      <c r="D642" s="2"/>
      <c r="E642" s="2"/>
      <c r="F642" s="1" t="b">
        <v>1</v>
      </c>
      <c r="G642" s="4" t="b">
        <v>0</v>
      </c>
      <c r="H642" s="1" t="b">
        <v>0</v>
      </c>
      <c r="I642" s="1" t="b">
        <v>0</v>
      </c>
      <c r="J642" s="1" t="s">
        <v>534</v>
      </c>
      <c r="K642" s="1" t="s">
        <v>535</v>
      </c>
      <c r="L642" s="1" t="s">
        <v>536</v>
      </c>
      <c r="M642" s="1" t="s">
        <v>537</v>
      </c>
      <c r="N642" s="1">
        <v>0.0</v>
      </c>
      <c r="O642" s="1">
        <v>44.25</v>
      </c>
      <c r="P642" s="1">
        <v>0.0</v>
      </c>
      <c r="Q642" s="1">
        <v>0.0</v>
      </c>
      <c r="R642" s="1">
        <v>28.0</v>
      </c>
      <c r="S642" s="1" t="s">
        <v>538</v>
      </c>
      <c r="T642" s="1" t="s">
        <v>539</v>
      </c>
      <c r="V642" s="4">
        <v>6997201.0</v>
      </c>
      <c r="W642" s="4"/>
      <c r="X642" s="4">
        <v>1.0</v>
      </c>
      <c r="Y642" s="1">
        <v>0.0</v>
      </c>
      <c r="Z642" s="1">
        <v>0.0</v>
      </c>
      <c r="AA642" s="1">
        <v>0.0</v>
      </c>
      <c r="AB642" s="1">
        <v>0.0</v>
      </c>
      <c r="AC642" s="1">
        <v>0.0</v>
      </c>
      <c r="AD642" s="1">
        <v>0.0</v>
      </c>
      <c r="AE642" s="1">
        <v>0.0</v>
      </c>
      <c r="AF642" s="1">
        <v>0.0</v>
      </c>
      <c r="AG642" s="1">
        <v>0.0</v>
      </c>
      <c r="AH642" s="1">
        <v>0.0</v>
      </c>
      <c r="AI642" s="1">
        <v>0.0</v>
      </c>
      <c r="AJ642" s="1">
        <v>0.0</v>
      </c>
      <c r="AK642" s="1">
        <v>0.0</v>
      </c>
      <c r="AL642" s="1">
        <v>0.0</v>
      </c>
      <c r="AM642" s="4">
        <v>0.0</v>
      </c>
      <c r="AN642" s="1">
        <v>0.0</v>
      </c>
      <c r="AO642" s="4">
        <v>0.0</v>
      </c>
      <c r="AP642" s="1">
        <f t="shared" si="1"/>
        <v>0</v>
      </c>
      <c r="AQ642" s="1" t="s">
        <v>557</v>
      </c>
      <c r="AR642" s="1" t="s">
        <v>560</v>
      </c>
      <c r="AU642" s="2">
        <v>46021.0</v>
      </c>
      <c r="AV642" s="2">
        <v>46024.0076388889</v>
      </c>
      <c r="AW642" s="1">
        <v>0.0</v>
      </c>
      <c r="AX642" s="1">
        <v>722201.4</v>
      </c>
      <c r="AY642" s="1">
        <v>316.0</v>
      </c>
      <c r="AZ642" s="1">
        <v>1.0</v>
      </c>
      <c r="BA642" s="1">
        <v>0.0</v>
      </c>
      <c r="BB642" s="1">
        <v>0.0</v>
      </c>
      <c r="BC642" s="2">
        <v>46021.0</v>
      </c>
      <c r="BD642" s="1">
        <v>52.0</v>
      </c>
      <c r="BE642" s="1" t="s">
        <v>550</v>
      </c>
      <c r="BF642" s="1">
        <v>2025.0</v>
      </c>
      <c r="BG642" s="1" t="s">
        <v>558</v>
      </c>
      <c r="BH642" s="7" t="str">
        <f>VLOOKUP(B642,CookieClicks!D:O,12,FALSE)</f>
        <v>https://signin.method.me/?returnUrl=http%3a%2f%2fgrowconstruction.method.me%2fapps%2fDefault.aspx</v>
      </c>
      <c r="BI642" s="8" t="str">
        <f>IFERROR(__xludf.DUMMYFUNCTION("VLOOKUP(REGEXREPLACE(BH642,""[?].*"",""""),ContentBuckets!A:C,2,FALSE)"),"#N/A")</f>
        <v>#N/A</v>
      </c>
      <c r="BJ642" s="8" t="str">
        <f>IFERROR(__xludf.DUMMYFUNCTION("VLOOKUP(REGEXREPLACE(BH642,""[?].*"",""""),ContentBuckets!A:C,3,FALSE)"),"#N/A")</f>
        <v>#N/A</v>
      </c>
    </row>
    <row r="643" ht="14.25" customHeight="1">
      <c r="A643" s="1">
        <v>153940.0</v>
      </c>
      <c r="B643" s="1" t="s">
        <v>1425</v>
      </c>
      <c r="C643" s="2">
        <v>46021.4701388889</v>
      </c>
      <c r="D643" s="2"/>
      <c r="E643" s="2">
        <v>46022.1354166667</v>
      </c>
      <c r="F643" s="1" t="b">
        <v>1</v>
      </c>
      <c r="G643" s="4" t="b">
        <v>0</v>
      </c>
      <c r="H643" s="1" t="b">
        <v>0</v>
      </c>
      <c r="I643" s="1" t="b">
        <v>0</v>
      </c>
      <c r="J643" s="1" t="s">
        <v>534</v>
      </c>
      <c r="K643" s="1" t="s">
        <v>535</v>
      </c>
      <c r="L643" s="1" t="s">
        <v>536</v>
      </c>
      <c r="M643" s="1" t="s">
        <v>537</v>
      </c>
      <c r="N643" s="1">
        <v>0.0</v>
      </c>
      <c r="O643" s="1">
        <v>26.25</v>
      </c>
      <c r="P643" s="1">
        <v>0.0</v>
      </c>
      <c r="Q643" s="1">
        <v>0.0</v>
      </c>
      <c r="R643" s="1">
        <v>28.0</v>
      </c>
      <c r="S643" s="1" t="s">
        <v>538</v>
      </c>
      <c r="T643" s="1" t="s">
        <v>539</v>
      </c>
      <c r="V643" s="4">
        <v>7261719.0</v>
      </c>
      <c r="W643" s="4"/>
      <c r="X643" s="4">
        <v>0.0</v>
      </c>
      <c r="Y643" s="1">
        <v>0.0</v>
      </c>
      <c r="Z643" s="1">
        <v>1.0</v>
      </c>
      <c r="AA643" s="1">
        <v>0.0</v>
      </c>
      <c r="AB643" s="1">
        <v>0.0</v>
      </c>
      <c r="AC643" s="1">
        <v>0.0</v>
      </c>
      <c r="AD643" s="1">
        <v>0.0</v>
      </c>
      <c r="AE643" s="1">
        <v>0.0</v>
      </c>
      <c r="AF643" s="1">
        <v>0.0</v>
      </c>
      <c r="AG643" s="1">
        <v>0.0</v>
      </c>
      <c r="AH643" s="1">
        <v>0.0</v>
      </c>
      <c r="AI643" s="1">
        <v>0.0</v>
      </c>
      <c r="AJ643" s="1">
        <v>0.0</v>
      </c>
      <c r="AK643" s="1">
        <v>0.0</v>
      </c>
      <c r="AL643" s="1">
        <v>0.0</v>
      </c>
      <c r="AM643" s="4">
        <v>0.0</v>
      </c>
      <c r="AN643" s="1">
        <v>0.0</v>
      </c>
      <c r="AO643" s="4">
        <v>0.0</v>
      </c>
      <c r="AP643" s="1">
        <f t="shared" si="1"/>
        <v>0</v>
      </c>
      <c r="AQ643" s="1" t="s">
        <v>791</v>
      </c>
      <c r="AR643" s="1" t="s">
        <v>578</v>
      </c>
      <c r="AU643" s="2">
        <v>46021.0</v>
      </c>
      <c r="AV643" s="2">
        <v>46024.0166666667</v>
      </c>
      <c r="AW643" s="1">
        <v>60.0</v>
      </c>
      <c r="AX643" s="1">
        <v>603780.0</v>
      </c>
      <c r="AY643" s="1">
        <v>2411.0</v>
      </c>
      <c r="AZ643" s="1">
        <v>5.0</v>
      </c>
      <c r="BA643" s="1">
        <v>0.0</v>
      </c>
      <c r="BB643" s="1">
        <v>0.0</v>
      </c>
      <c r="BC643" s="2">
        <v>46021.0</v>
      </c>
      <c r="BD643" s="1">
        <v>52.0</v>
      </c>
      <c r="BE643" s="1" t="s">
        <v>550</v>
      </c>
      <c r="BF643" s="1">
        <v>2025.0</v>
      </c>
      <c r="BG643" s="1" t="s">
        <v>792</v>
      </c>
      <c r="BH643" s="7" t="str">
        <f>VLOOKUP(B643,CookieClicks!D:O,12,FALSE)</f>
        <v>https://signin.method.me/accounts/identitynotfound?Code=nbP7Tcy7HKzSDTbQsHnHLMosJYCt9Xshv3NbD1m1EZodo7z2wiq%2FMpw5TjQuiNIpa8Y%2BIkgYcGFjC2259VLDZaS6bklzOw693gWe8I1w6%2FxE3ny6wnxa4ib5v2MstFoeFzVvZbTLNJtGLyiwUoac1lmiWzEPuwrsugZwju9l62Z6ir3sYT%2BRgPLUYztmowZSMrrW7wi4kmFQ1QFJbvPsC5tFotYt6xIuRM2oMLJ9bTJId%2BOhUv91X7Ez0ZZrtYH3Av9LdRcRtvstxS6qZ1Anm%2B1GPegi7afsSUFjvhhAUG2t%2FpXwkCCBMBnaZwWpBA%2BJBgEJE1oIF0nsEWaBWnh3iQ%3D%3D&amp;Email=duostar.group%40gmail.com&amp;Provider=Intuit&amp;Offering=methodcrm</v>
      </c>
      <c r="BI643" s="8" t="str">
        <f>IFERROR(__xludf.DUMMYFUNCTION("VLOOKUP(REGEXREPLACE(BH643,""[?].*"",""""),ContentBuckets!A:C,2,FALSE)"),"#N/A")</f>
        <v>#N/A</v>
      </c>
      <c r="BJ643" s="8" t="str">
        <f>IFERROR(__xludf.DUMMYFUNCTION("VLOOKUP(REGEXREPLACE(BH643,""[?].*"",""""),ContentBuckets!A:C,3,FALSE)"),"#N/A")</f>
        <v>#N/A</v>
      </c>
    </row>
    <row r="644" ht="14.25" customHeight="1">
      <c r="A644" s="1">
        <v>153941.0</v>
      </c>
      <c r="B644" s="1" t="s">
        <v>1426</v>
      </c>
      <c r="C644" s="2">
        <v>46021.4791666667</v>
      </c>
      <c r="D644" s="2"/>
      <c r="E644" s="2"/>
      <c r="F644" s="1" t="b">
        <v>1</v>
      </c>
      <c r="G644" s="4" t="b">
        <v>0</v>
      </c>
      <c r="H644" s="1" t="b">
        <v>0</v>
      </c>
      <c r="I644" s="1" t="b">
        <v>0</v>
      </c>
      <c r="J644" s="1" t="s">
        <v>534</v>
      </c>
      <c r="K644" s="1" t="s">
        <v>535</v>
      </c>
      <c r="L644" s="1" t="s">
        <v>536</v>
      </c>
      <c r="M644" s="1" t="s">
        <v>537</v>
      </c>
      <c r="N644" s="1">
        <v>0.0</v>
      </c>
      <c r="O644" s="1">
        <v>63.75</v>
      </c>
      <c r="P644" s="1">
        <v>0.0</v>
      </c>
      <c r="Q644" s="1">
        <v>0.0</v>
      </c>
      <c r="R644" s="1">
        <v>28.0</v>
      </c>
      <c r="S644" s="1" t="s">
        <v>538</v>
      </c>
      <c r="T644" s="1" t="s">
        <v>539</v>
      </c>
      <c r="V644" s="4">
        <v>6822630.0</v>
      </c>
      <c r="W644" s="4"/>
      <c r="X644" s="4">
        <v>0.0</v>
      </c>
      <c r="Y644" s="1">
        <v>0.0</v>
      </c>
      <c r="Z644" s="1">
        <v>0.0</v>
      </c>
      <c r="AA644" s="1">
        <v>1.0</v>
      </c>
      <c r="AB644" s="1">
        <v>0.0</v>
      </c>
      <c r="AC644" s="1">
        <v>0.0</v>
      </c>
      <c r="AD644" s="1">
        <v>0.0</v>
      </c>
      <c r="AE644" s="1">
        <v>0.0</v>
      </c>
      <c r="AF644" s="1">
        <v>0.0</v>
      </c>
      <c r="AG644" s="1">
        <v>0.0</v>
      </c>
      <c r="AH644" s="1">
        <v>0.0</v>
      </c>
      <c r="AI644" s="1">
        <v>0.0</v>
      </c>
      <c r="AJ644" s="1">
        <v>0.0</v>
      </c>
      <c r="AK644" s="1">
        <v>0.0</v>
      </c>
      <c r="AL644" s="1">
        <v>0.0</v>
      </c>
      <c r="AM644" s="4">
        <v>0.0</v>
      </c>
      <c r="AN644" s="1">
        <v>0.0</v>
      </c>
      <c r="AO644" s="4">
        <v>0.0</v>
      </c>
      <c r="AP644" s="1">
        <f t="shared" si="1"/>
        <v>0</v>
      </c>
      <c r="AQ644" s="1" t="s">
        <v>557</v>
      </c>
      <c r="AR644" s="1" t="s">
        <v>608</v>
      </c>
      <c r="AT644" s="1" t="s">
        <v>721</v>
      </c>
      <c r="AU644" s="2">
        <v>46021.0</v>
      </c>
      <c r="AV644" s="2">
        <v>46023.9875</v>
      </c>
      <c r="AW644" s="1">
        <v>0.0</v>
      </c>
      <c r="AX644" s="1">
        <v>4596.0</v>
      </c>
      <c r="AY644" s="1">
        <v>8.0</v>
      </c>
      <c r="AZ644" s="1">
        <v>1.0</v>
      </c>
      <c r="BA644" s="1">
        <v>0.0</v>
      </c>
      <c r="BB644" s="1">
        <v>0.0</v>
      </c>
      <c r="BC644" s="2">
        <v>46021.0</v>
      </c>
      <c r="BD644" s="1">
        <v>52.0</v>
      </c>
      <c r="BE644" s="1" t="s">
        <v>550</v>
      </c>
      <c r="BF644" s="1">
        <v>2025.0</v>
      </c>
      <c r="BG644" s="1" t="s">
        <v>558</v>
      </c>
      <c r="BH644" s="1" t="str">
        <f>VLOOKUP(B644,CookieClicks!D:O,12,FALSE)</f>
        <v>https://grow.method.me/crm-quickbooks/?trc=81&amp;trk=crm compatible with quickbooks&amp;trs=USA-QB-G_Ex&amp;campaignid=22265826203&amp;adgroupid=176758613473&amp;adid=734012603510&amp;gad_source=1&amp;gad_campaignid=22265826203&amp;gbraid=0AAAAAD3ItnbZCmbFkwWSvTDTojf78iY5I&amp;gclid=Cj0KCQjw5JXFBhCrARIsAL1ckPtbBuObmGAKXuGZxpcgz27Tm1-HHJnghChdLtz-o0OsAfGLYcdNeW8aAhJ5EALw_wcB</v>
      </c>
      <c r="BI644" s="8" t="str">
        <f>IFERROR(__xludf.DUMMYFUNCTION("VLOOKUP(REGEXREPLACE(BH644,""[?].*"",""""),ContentBuckets!A:C,2,FALSE)"),"#N/A")</f>
        <v>#N/A</v>
      </c>
      <c r="BJ644" s="8" t="str">
        <f>IFERROR(__xludf.DUMMYFUNCTION("VLOOKUP(REGEXREPLACE(BH644,""[?].*"",""""),ContentBuckets!A:C,3,FALSE)"),"#N/A")</f>
        <v>#N/A</v>
      </c>
    </row>
    <row r="645" ht="14.25" customHeight="1">
      <c r="A645" s="1">
        <v>153942.0</v>
      </c>
      <c r="B645" s="1" t="s">
        <v>1427</v>
      </c>
      <c r="C645" s="2">
        <v>46021.5194444444</v>
      </c>
      <c r="D645" s="2"/>
      <c r="E645" s="2"/>
      <c r="F645" s="1" t="b">
        <v>1</v>
      </c>
      <c r="G645" s="4" t="b">
        <v>0</v>
      </c>
      <c r="H645" s="1" t="b">
        <v>0</v>
      </c>
      <c r="I645" s="1" t="b">
        <v>0</v>
      </c>
      <c r="J645" s="1" t="s">
        <v>534</v>
      </c>
      <c r="K645" s="1" t="s">
        <v>566</v>
      </c>
      <c r="L645" s="1" t="s">
        <v>567</v>
      </c>
      <c r="M645" s="1" t="s">
        <v>537</v>
      </c>
      <c r="N645" s="1">
        <v>0.0</v>
      </c>
      <c r="O645" s="1">
        <v>106.5</v>
      </c>
      <c r="P645" s="1">
        <v>0.0</v>
      </c>
      <c r="Q645" s="1">
        <v>0.0</v>
      </c>
      <c r="R645" s="1">
        <v>28.0</v>
      </c>
      <c r="S645" s="1" t="s">
        <v>538</v>
      </c>
      <c r="T645" s="1" t="s">
        <v>539</v>
      </c>
      <c r="V645" s="4">
        <v>7534329.0</v>
      </c>
      <c r="W645" s="4" t="s">
        <v>540</v>
      </c>
      <c r="X645" s="4">
        <v>0.0</v>
      </c>
      <c r="Y645" s="1">
        <v>1.0</v>
      </c>
      <c r="Z645" s="1">
        <v>0.0</v>
      </c>
      <c r="AA645" s="1">
        <v>0.0</v>
      </c>
      <c r="AB645" s="1">
        <v>0.0</v>
      </c>
      <c r="AC645" s="1">
        <v>0.0</v>
      </c>
      <c r="AD645" s="1">
        <v>0.0</v>
      </c>
      <c r="AE645" s="1">
        <v>0.0</v>
      </c>
      <c r="AF645" s="1">
        <v>0.0</v>
      </c>
      <c r="AG645" s="1">
        <v>0.0</v>
      </c>
      <c r="AH645" s="1">
        <v>0.0</v>
      </c>
      <c r="AI645" s="1">
        <v>0.0</v>
      </c>
      <c r="AJ645" s="1">
        <v>0.0</v>
      </c>
      <c r="AK645" s="1">
        <v>0.0</v>
      </c>
      <c r="AL645" s="1">
        <v>0.0</v>
      </c>
      <c r="AM645" s="4">
        <v>0.0</v>
      </c>
      <c r="AN645" s="1">
        <v>0.0</v>
      </c>
      <c r="AO645" s="4">
        <v>0.0</v>
      </c>
      <c r="AP645" s="1">
        <f t="shared" si="1"/>
        <v>0</v>
      </c>
      <c r="AQ645" s="1" t="s">
        <v>557</v>
      </c>
      <c r="AR645" s="1" t="s">
        <v>568</v>
      </c>
      <c r="AT645" s="1" t="s">
        <v>1428</v>
      </c>
      <c r="AU645" s="2">
        <v>46021.0</v>
      </c>
      <c r="AV645" s="2">
        <v>46023.9895833333</v>
      </c>
      <c r="AW645" s="1">
        <v>43.0</v>
      </c>
      <c r="AX645" s="1">
        <v>1.246249224E7</v>
      </c>
      <c r="AY645" s="1">
        <v>5186.0</v>
      </c>
      <c r="AZ645" s="1">
        <v>2.0</v>
      </c>
      <c r="BA645" s="1">
        <v>0.0</v>
      </c>
      <c r="BB645" s="1">
        <v>0.0</v>
      </c>
      <c r="BC645" s="2">
        <v>46021.0</v>
      </c>
      <c r="BD645" s="1">
        <v>52.0</v>
      </c>
      <c r="BE645" s="1" t="s">
        <v>550</v>
      </c>
      <c r="BF645" s="1">
        <v>2025.0</v>
      </c>
      <c r="BG645" s="1" t="s">
        <v>558</v>
      </c>
      <c r="BH645" s="7" t="str">
        <f>VLOOKUP(B645,CookieClicks!D:O,12,FALSE)</f>
        <v>https://www.method.me/</v>
      </c>
      <c r="BI645" s="8" t="str">
        <f>IFERROR(__xludf.DUMMYFUNCTION("VLOOKUP(REGEXREPLACE(BH645,""[?].*"",""""),ContentBuckets!A:C,2,FALSE)"),"Homepage")</f>
        <v>Homepage</v>
      </c>
      <c r="BJ645" s="8" t="str">
        <f>IFERROR(__xludf.DUMMYFUNCTION("VLOOKUP(REGEXREPLACE(BH645,""[?].*"",""""),ContentBuckets!A:C,3,FALSE)"),"Other page")</f>
        <v>Other page</v>
      </c>
    </row>
    <row r="646" ht="14.25" customHeight="1">
      <c r="A646" s="1">
        <v>153943.0</v>
      </c>
      <c r="B646" s="1" t="s">
        <v>1429</v>
      </c>
      <c r="C646" s="2">
        <v>46021.5826388889</v>
      </c>
      <c r="D646" s="2"/>
      <c r="E646" s="2"/>
      <c r="F646" s="1" t="b">
        <v>1</v>
      </c>
      <c r="G646" s="4" t="b">
        <v>0</v>
      </c>
      <c r="H646" s="1" t="b">
        <v>0</v>
      </c>
      <c r="I646" s="1" t="b">
        <v>0</v>
      </c>
      <c r="J646" s="1" t="s">
        <v>534</v>
      </c>
      <c r="K646" s="1" t="s">
        <v>535</v>
      </c>
      <c r="L646" s="1" t="s">
        <v>536</v>
      </c>
      <c r="M646" s="1" t="s">
        <v>537</v>
      </c>
      <c r="N646" s="1">
        <v>0.0</v>
      </c>
      <c r="O646" s="1">
        <v>72.75</v>
      </c>
      <c r="P646" s="1">
        <v>0.0</v>
      </c>
      <c r="Q646" s="1">
        <v>0.0</v>
      </c>
      <c r="R646" s="1">
        <v>28.0</v>
      </c>
      <c r="S646" s="1" t="s">
        <v>538</v>
      </c>
      <c r="T646" s="1" t="s">
        <v>539</v>
      </c>
      <c r="V646" s="4">
        <v>7192756.0</v>
      </c>
      <c r="W646" s="4"/>
      <c r="X646" s="4">
        <v>0.0</v>
      </c>
      <c r="Y646" s="1">
        <v>0.0</v>
      </c>
      <c r="Z646" s="1">
        <v>0.0</v>
      </c>
      <c r="AA646" s="1">
        <v>1.0</v>
      </c>
      <c r="AB646" s="1">
        <v>0.0</v>
      </c>
      <c r="AC646" s="1">
        <v>0.0</v>
      </c>
      <c r="AD646" s="1">
        <v>0.0</v>
      </c>
      <c r="AE646" s="1">
        <v>0.0</v>
      </c>
      <c r="AF646" s="1">
        <v>0.0</v>
      </c>
      <c r="AG646" s="1">
        <v>0.0</v>
      </c>
      <c r="AH646" s="1">
        <v>0.0</v>
      </c>
      <c r="AI646" s="1">
        <v>0.0</v>
      </c>
      <c r="AJ646" s="1">
        <v>0.0</v>
      </c>
      <c r="AK646" s="1">
        <v>0.0</v>
      </c>
      <c r="AL646" s="1">
        <v>0.0</v>
      </c>
      <c r="AM646" s="4">
        <v>0.0</v>
      </c>
      <c r="AN646" s="1">
        <v>0.0</v>
      </c>
      <c r="AO646" s="4">
        <v>0.0</v>
      </c>
      <c r="AP646" s="1">
        <f t="shared" si="1"/>
        <v>0</v>
      </c>
      <c r="AR646" s="1" t="s">
        <v>542</v>
      </c>
      <c r="AU646" s="2"/>
      <c r="AV646" s="2">
        <v>46023.9819444444</v>
      </c>
      <c r="AW646" s="1">
        <v>0.0</v>
      </c>
      <c r="AX646" s="1">
        <v>0.0</v>
      </c>
      <c r="AY646" s="1">
        <v>0.0</v>
      </c>
      <c r="AZ646" s="1">
        <v>1.0</v>
      </c>
      <c r="BA646" s="1">
        <v>0.0</v>
      </c>
      <c r="BB646" s="1">
        <v>0.0</v>
      </c>
      <c r="BC646" s="2">
        <v>46021.0</v>
      </c>
      <c r="BD646" s="1">
        <v>52.0</v>
      </c>
      <c r="BE646" s="1" t="s">
        <v>550</v>
      </c>
      <c r="BF646" s="1">
        <v>2025.0</v>
      </c>
      <c r="BG646" s="1" t="s">
        <v>558</v>
      </c>
      <c r="BH646" s="7" t="str">
        <f>VLOOKUP(B646,CookieClicks!D:O,12,FALSE)</f>
        <v>https://signin.method.me/?returnUrl=https%3A%2F%2Fglobalimagingproducts.method.me%2Fapps%2FDefault.aspx%23%2F48f7cfa9-bdd4-4759-9f2d-6bb2872dc873%2FZVNIU1pwMHMyckhnM18wZlZDcmZoUS0t</v>
      </c>
      <c r="BI646" s="8" t="str">
        <f>IFERROR(__xludf.DUMMYFUNCTION("VLOOKUP(REGEXREPLACE(BH646,""[?].*"",""""),ContentBuckets!A:C,2,FALSE)"),"#N/A")</f>
        <v>#N/A</v>
      </c>
      <c r="BJ646" s="8" t="str">
        <f>IFERROR(__xludf.DUMMYFUNCTION("VLOOKUP(REGEXREPLACE(BH646,""[?].*"",""""),ContentBuckets!A:C,3,FALSE)"),"#N/A")</f>
        <v>#N/A</v>
      </c>
    </row>
    <row r="647" ht="14.25" customHeight="1">
      <c r="A647" s="1">
        <v>153944.0</v>
      </c>
      <c r="B647" s="1" t="s">
        <v>1430</v>
      </c>
      <c r="C647" s="2">
        <v>46021.6083333333</v>
      </c>
      <c r="D647" s="2"/>
      <c r="E647" s="2"/>
      <c r="F647" s="1" t="b">
        <v>1</v>
      </c>
      <c r="G647" s="4" t="b">
        <v>0</v>
      </c>
      <c r="H647" s="1" t="b">
        <v>0</v>
      </c>
      <c r="I647" s="1" t="b">
        <v>0</v>
      </c>
      <c r="J647" s="1" t="s">
        <v>534</v>
      </c>
      <c r="K647" s="1" t="s">
        <v>535</v>
      </c>
      <c r="L647" s="1" t="s">
        <v>536</v>
      </c>
      <c r="M647" s="1" t="s">
        <v>537</v>
      </c>
      <c r="N647" s="1">
        <v>0.0</v>
      </c>
      <c r="O647" s="1">
        <v>63.75</v>
      </c>
      <c r="P647" s="1">
        <v>0.0</v>
      </c>
      <c r="Q647" s="1">
        <v>0.0</v>
      </c>
      <c r="R647" s="1">
        <v>0.0</v>
      </c>
      <c r="S647" s="1" t="s">
        <v>538</v>
      </c>
      <c r="T647" s="1" t="s">
        <v>539</v>
      </c>
      <c r="V647" s="4">
        <v>7522095.0</v>
      </c>
      <c r="W647" s="4"/>
      <c r="X647" s="4">
        <v>0.0</v>
      </c>
      <c r="Y647" s="1">
        <v>0.0</v>
      </c>
      <c r="Z647" s="1">
        <v>1.0</v>
      </c>
      <c r="AA647" s="1">
        <v>0.0</v>
      </c>
      <c r="AB647" s="1">
        <v>0.0</v>
      </c>
      <c r="AC647" s="1">
        <v>0.0</v>
      </c>
      <c r="AD647" s="1">
        <v>0.0</v>
      </c>
      <c r="AE647" s="1">
        <v>0.0</v>
      </c>
      <c r="AF647" s="1">
        <v>0.0</v>
      </c>
      <c r="AG647" s="1">
        <v>0.0</v>
      </c>
      <c r="AH647" s="1">
        <v>0.0</v>
      </c>
      <c r="AI647" s="1">
        <v>0.0</v>
      </c>
      <c r="AJ647" s="1">
        <v>0.0</v>
      </c>
      <c r="AK647" s="1">
        <v>0.0</v>
      </c>
      <c r="AL647" s="1">
        <v>0.0</v>
      </c>
      <c r="AM647" s="4">
        <v>0.0</v>
      </c>
      <c r="AN647" s="1">
        <v>0.0</v>
      </c>
      <c r="AO647" s="4">
        <v>0.0</v>
      </c>
      <c r="AP647" s="1">
        <f t="shared" si="1"/>
        <v>0</v>
      </c>
      <c r="AQ647" s="1" t="s">
        <v>977</v>
      </c>
      <c r="AT647" s="1" t="s">
        <v>616</v>
      </c>
      <c r="AU647" s="2">
        <v>46021.0</v>
      </c>
      <c r="AV647" s="2">
        <v>46024.0305555556</v>
      </c>
      <c r="AW647" s="1">
        <v>0.0</v>
      </c>
      <c r="AX647" s="1">
        <v>508134.24</v>
      </c>
      <c r="AY647" s="1">
        <v>29.0</v>
      </c>
      <c r="AZ647" s="1">
        <v>1.0</v>
      </c>
      <c r="BA647" s="1">
        <v>0.0</v>
      </c>
      <c r="BB647" s="1">
        <v>0.0</v>
      </c>
      <c r="BC647" s="2">
        <v>46021.0</v>
      </c>
      <c r="BD647" s="1">
        <v>52.0</v>
      </c>
      <c r="BE647" s="1" t="s">
        <v>550</v>
      </c>
      <c r="BF647" s="1">
        <v>2025.0</v>
      </c>
      <c r="BG647" s="1" t="s">
        <v>655</v>
      </c>
      <c r="BH647" s="7" t="str">
        <f>VLOOKUP(B647,CookieClicks!D:O,12,FALSE)</f>
        <v>https://signup.method.me/QBOAppstoreSignup?offering=methodcrm</v>
      </c>
      <c r="BI647" s="8" t="str">
        <f>IFERROR(__xludf.DUMMYFUNCTION("VLOOKUP(REGEXREPLACE(BH647,""[?].*"",""""),ContentBuckets!A:C,2,FALSE)"),"#N/A")</f>
        <v>#N/A</v>
      </c>
      <c r="BJ647" s="8" t="str">
        <f>IFERROR(__xludf.DUMMYFUNCTION("VLOOKUP(REGEXREPLACE(BH647,""[?].*"",""""),ContentBuckets!A:C,3,FALSE)"),"#N/A")</f>
        <v>#N/A</v>
      </c>
    </row>
    <row r="648" ht="14.25" customHeight="1">
      <c r="A648" s="1">
        <v>153945.0</v>
      </c>
      <c r="B648" s="1" t="s">
        <v>1431</v>
      </c>
      <c r="C648" s="2">
        <v>46021.6194444444</v>
      </c>
      <c r="D648" s="2"/>
      <c r="E648" s="2"/>
      <c r="F648" s="1" t="b">
        <v>1</v>
      </c>
      <c r="G648" s="4" t="b">
        <v>0</v>
      </c>
      <c r="H648" s="1" t="b">
        <v>0</v>
      </c>
      <c r="I648" s="1" t="b">
        <v>0</v>
      </c>
      <c r="J648" s="1" t="s">
        <v>534</v>
      </c>
      <c r="K648" s="1" t="s">
        <v>566</v>
      </c>
      <c r="L648" s="1" t="s">
        <v>567</v>
      </c>
      <c r="M648" s="1" t="s">
        <v>537</v>
      </c>
      <c r="N648" s="1">
        <v>0.0</v>
      </c>
      <c r="O648" s="1">
        <v>53.25</v>
      </c>
      <c r="P648" s="1">
        <v>0.0</v>
      </c>
      <c r="Q648" s="1">
        <v>0.0</v>
      </c>
      <c r="R648" s="1">
        <v>28.0</v>
      </c>
      <c r="S648" s="1" t="s">
        <v>538</v>
      </c>
      <c r="T648" s="1" t="s">
        <v>539</v>
      </c>
      <c r="V648" s="4">
        <v>7535169.0</v>
      </c>
      <c r="W648" s="4"/>
      <c r="X648" s="4">
        <v>0.0</v>
      </c>
      <c r="Y648" s="1">
        <v>0.0</v>
      </c>
      <c r="Z648" s="1">
        <v>0.0</v>
      </c>
      <c r="AA648" s="1">
        <v>1.0</v>
      </c>
      <c r="AB648" s="1">
        <v>0.0</v>
      </c>
      <c r="AC648" s="1">
        <v>0.0</v>
      </c>
      <c r="AD648" s="1">
        <v>0.0</v>
      </c>
      <c r="AE648" s="1">
        <v>0.0</v>
      </c>
      <c r="AF648" s="1">
        <v>0.0</v>
      </c>
      <c r="AG648" s="1">
        <v>0.0</v>
      </c>
      <c r="AH648" s="1">
        <v>0.0</v>
      </c>
      <c r="AI648" s="1">
        <v>0.0</v>
      </c>
      <c r="AJ648" s="1">
        <v>0.0</v>
      </c>
      <c r="AK648" s="1">
        <v>0.0</v>
      </c>
      <c r="AL648" s="1">
        <v>0.0</v>
      </c>
      <c r="AM648" s="4">
        <v>0.0</v>
      </c>
      <c r="AN648" s="1">
        <v>0.0</v>
      </c>
      <c r="AO648" s="4">
        <v>0.0</v>
      </c>
      <c r="AP648" s="1">
        <f t="shared" si="1"/>
        <v>0</v>
      </c>
      <c r="AQ648" s="1" t="s">
        <v>557</v>
      </c>
      <c r="AR648" s="1" t="s">
        <v>568</v>
      </c>
      <c r="AT648" s="1" t="s">
        <v>616</v>
      </c>
      <c r="AU648" s="2">
        <v>46021.0</v>
      </c>
      <c r="AV648" s="2">
        <v>46023.9909722222</v>
      </c>
      <c r="AW648" s="1">
        <v>7.0</v>
      </c>
      <c r="AX648" s="1">
        <v>638809.56</v>
      </c>
      <c r="AY648" s="1">
        <v>115.0</v>
      </c>
      <c r="AZ648" s="1">
        <v>1.0</v>
      </c>
      <c r="BA648" s="1">
        <v>0.0</v>
      </c>
      <c r="BB648" s="1">
        <v>0.0</v>
      </c>
      <c r="BC648" s="2">
        <v>46021.0</v>
      </c>
      <c r="BD648" s="1">
        <v>52.0</v>
      </c>
      <c r="BE648" s="1" t="s">
        <v>550</v>
      </c>
      <c r="BF648" s="1">
        <v>2025.0</v>
      </c>
      <c r="BG648" s="1" t="s">
        <v>558</v>
      </c>
      <c r="BH648" s="1" t="str">
        <f>VLOOKUP(B648,CookieClicks!D:O,12,FALSE)</f>
        <v>https://grow.method.me/crm-quickbooks/?trc=81&amp;trk=crm with quickbooks&amp;trs=USA-QB-G&amp;campaignid=1543381580&amp;adgroupid=61437797000&amp;adid=704678754673&amp;gad_source=1&amp;gad_campaignid=1543381580&amp;gbraid=0AAAAAD3ItnZ1dMGfVawUtEvSh-BOwPx86&amp;gclid=CjwKCAiAjc7KBhBvEiwAE2BDOTTYiLyCtZ7NAOIoFLAkID7cUYoCvrPpXjY2f32CsvAavmEqMsojXhoC0LIQAvD_BwE</v>
      </c>
      <c r="BI648" s="8" t="str">
        <f>IFERROR(__xludf.DUMMYFUNCTION("VLOOKUP(REGEXREPLACE(BH648,""[?].*"",""""),ContentBuckets!A:C,2,FALSE)"),"#N/A")</f>
        <v>#N/A</v>
      </c>
      <c r="BJ648" s="8" t="str">
        <f>IFERROR(__xludf.DUMMYFUNCTION("VLOOKUP(REGEXREPLACE(BH648,""[?].*"",""""),ContentBuckets!A:C,3,FALSE)"),"#N/A")</f>
        <v>#N/A</v>
      </c>
    </row>
    <row r="649" ht="14.25" customHeight="1">
      <c r="A649" s="1">
        <v>153946.0</v>
      </c>
      <c r="B649" s="1" t="s">
        <v>1432</v>
      </c>
      <c r="C649" s="2">
        <v>46021.6194444444</v>
      </c>
      <c r="D649" s="2"/>
      <c r="E649" s="2"/>
      <c r="F649" s="1" t="b">
        <v>1</v>
      </c>
      <c r="G649" s="4" t="b">
        <v>0</v>
      </c>
      <c r="H649" s="1" t="b">
        <v>0</v>
      </c>
      <c r="I649" s="1" t="b">
        <v>0</v>
      </c>
      <c r="J649" s="1" t="s">
        <v>534</v>
      </c>
      <c r="K649" s="1" t="s">
        <v>535</v>
      </c>
      <c r="L649" s="1" t="s">
        <v>536</v>
      </c>
      <c r="M649" s="1" t="s">
        <v>537</v>
      </c>
      <c r="N649" s="1">
        <v>0.0</v>
      </c>
      <c r="O649" s="1">
        <v>44.25</v>
      </c>
      <c r="P649" s="1">
        <v>0.0</v>
      </c>
      <c r="Q649" s="1">
        <v>0.0</v>
      </c>
      <c r="R649" s="1">
        <v>28.0</v>
      </c>
      <c r="S649" s="1" t="s">
        <v>538</v>
      </c>
      <c r="T649" s="1" t="s">
        <v>539</v>
      </c>
      <c r="V649" s="4">
        <v>7535309.0</v>
      </c>
      <c r="W649" s="4"/>
      <c r="X649" s="4">
        <v>0.0</v>
      </c>
      <c r="Y649" s="1">
        <v>0.0</v>
      </c>
      <c r="Z649" s="1">
        <v>0.0</v>
      </c>
      <c r="AA649" s="1">
        <v>0.0</v>
      </c>
      <c r="AB649" s="1">
        <v>0.0</v>
      </c>
      <c r="AC649" s="1">
        <v>0.0</v>
      </c>
      <c r="AD649" s="1">
        <v>0.0</v>
      </c>
      <c r="AE649" s="1">
        <v>0.0</v>
      </c>
      <c r="AF649" s="1">
        <v>0.0</v>
      </c>
      <c r="AG649" s="1">
        <v>0.0</v>
      </c>
      <c r="AH649" s="1">
        <v>0.0</v>
      </c>
      <c r="AI649" s="1">
        <v>0.0</v>
      </c>
      <c r="AJ649" s="1">
        <v>0.0</v>
      </c>
      <c r="AK649" s="1">
        <v>0.0</v>
      </c>
      <c r="AL649" s="1">
        <v>0.0</v>
      </c>
      <c r="AM649" s="4">
        <v>0.0</v>
      </c>
      <c r="AN649" s="1">
        <v>0.0</v>
      </c>
      <c r="AO649" s="4">
        <v>0.0</v>
      </c>
      <c r="AP649" s="1">
        <f t="shared" si="1"/>
        <v>1</v>
      </c>
      <c r="AQ649" s="1" t="s">
        <v>557</v>
      </c>
      <c r="AR649" s="1" t="s">
        <v>560</v>
      </c>
      <c r="AU649" s="2">
        <v>46021.0</v>
      </c>
      <c r="AV649" s="2">
        <v>46023.9868055556</v>
      </c>
      <c r="AW649" s="1">
        <v>8.0</v>
      </c>
      <c r="AX649" s="1">
        <v>4807609.56</v>
      </c>
      <c r="AY649" s="1">
        <v>450.0</v>
      </c>
      <c r="AZ649" s="1">
        <v>1.0</v>
      </c>
      <c r="BA649" s="1">
        <v>0.0</v>
      </c>
      <c r="BB649" s="1">
        <v>0.0</v>
      </c>
      <c r="BC649" s="2">
        <v>46021.0</v>
      </c>
      <c r="BD649" s="1">
        <v>52.0</v>
      </c>
      <c r="BE649" s="1" t="s">
        <v>550</v>
      </c>
      <c r="BF649" s="1">
        <v>2025.0</v>
      </c>
      <c r="BG649" s="1" t="s">
        <v>558</v>
      </c>
      <c r="BH649" s="7" t="str">
        <f>VLOOKUP(B649,CookieClicks!D:O,12,FALSE)</f>
        <v>http://signup.method.me/methodcrm?_gl=1*1lqzz76*_gcl_au*MzY2NDM1MzEyLjE3NjcxMjQzMjY.*_ga*MTc4NDI1NDE4My4xNzY3MTI0MzI2*_ga_L2HEZNW53E*czE3NjcxMjQzMjYkbzEkZzAkdDE3NjcxMjQzMjYkajYwJGwwJGgyNzU5MDc3NjM.&amp;_ga=2.266231375.1314862768.1767124326-1784254183.1767124326</v>
      </c>
      <c r="BI649" s="8" t="str">
        <f>IFERROR(__xludf.DUMMYFUNCTION("VLOOKUP(REGEXREPLACE(BH649,""[?].*"",""""),ContentBuckets!A:C,2,FALSE)"),"#N/A")</f>
        <v>#N/A</v>
      </c>
      <c r="BJ649" s="8" t="str">
        <f>IFERROR(__xludf.DUMMYFUNCTION("VLOOKUP(REGEXREPLACE(BH649,""[?].*"",""""),ContentBuckets!A:C,3,FALSE)"),"#N/A")</f>
        <v>#N/A</v>
      </c>
    </row>
    <row r="650" ht="14.25" customHeight="1">
      <c r="A650" s="1">
        <v>153947.0</v>
      </c>
      <c r="B650" s="1" t="s">
        <v>1433</v>
      </c>
      <c r="C650" s="2">
        <v>46021.6263888889</v>
      </c>
      <c r="D650" s="2">
        <v>46022.3979166667</v>
      </c>
      <c r="E650" s="2"/>
      <c r="F650" s="1" t="b">
        <v>0</v>
      </c>
      <c r="G650" s="4" t="b">
        <v>0</v>
      </c>
      <c r="H650" s="1" t="b">
        <v>0</v>
      </c>
      <c r="I650" s="1" t="b">
        <v>0</v>
      </c>
      <c r="J650" s="1" t="s">
        <v>534</v>
      </c>
      <c r="K650" s="1" t="s">
        <v>535</v>
      </c>
      <c r="L650" s="1" t="s">
        <v>536</v>
      </c>
      <c r="M650" s="1" t="s">
        <v>537</v>
      </c>
      <c r="N650" s="1">
        <v>0.0</v>
      </c>
      <c r="O650" s="1">
        <v>53.25</v>
      </c>
      <c r="P650" s="1">
        <v>0.0</v>
      </c>
      <c r="Q650" s="1">
        <v>0.0</v>
      </c>
      <c r="R650" s="1">
        <v>28.0</v>
      </c>
      <c r="S650" s="1" t="s">
        <v>538</v>
      </c>
      <c r="T650" s="1" t="s">
        <v>539</v>
      </c>
      <c r="V650" s="4">
        <v>7222082.0</v>
      </c>
      <c r="W650" s="4" t="s">
        <v>540</v>
      </c>
      <c r="X650" s="4">
        <v>0.0</v>
      </c>
      <c r="Y650" s="1">
        <v>1.0</v>
      </c>
      <c r="Z650" s="1">
        <v>0.0</v>
      </c>
      <c r="AA650" s="1">
        <v>0.0</v>
      </c>
      <c r="AB650" s="1">
        <v>0.0</v>
      </c>
      <c r="AC650" s="1">
        <v>0.0</v>
      </c>
      <c r="AD650" s="1">
        <v>0.0</v>
      </c>
      <c r="AE650" s="1">
        <v>0.0</v>
      </c>
      <c r="AF650" s="1">
        <v>0.0</v>
      </c>
      <c r="AG650" s="1">
        <v>0.0</v>
      </c>
      <c r="AH650" s="1">
        <v>0.0</v>
      </c>
      <c r="AI650" s="1">
        <v>0.0</v>
      </c>
      <c r="AJ650" s="1">
        <v>0.0</v>
      </c>
      <c r="AK650" s="1">
        <v>0.0</v>
      </c>
      <c r="AL650" s="1">
        <v>0.0</v>
      </c>
      <c r="AM650" s="4">
        <v>0.0</v>
      </c>
      <c r="AN650" s="1">
        <v>0.0</v>
      </c>
      <c r="AO650" s="4">
        <v>0.0</v>
      </c>
      <c r="AP650" s="1">
        <f t="shared" si="1"/>
        <v>0</v>
      </c>
      <c r="AQ650" s="1" t="s">
        <v>557</v>
      </c>
      <c r="AR650" s="1" t="s">
        <v>542</v>
      </c>
      <c r="AT650" s="1" t="s">
        <v>1434</v>
      </c>
      <c r="AU650" s="2">
        <v>46021.0</v>
      </c>
      <c r="AV650" s="2">
        <v>46021.9958333333</v>
      </c>
      <c r="AW650" s="1">
        <v>0.0</v>
      </c>
      <c r="AX650" s="1">
        <v>0.0</v>
      </c>
      <c r="AY650" s="1">
        <v>1.0</v>
      </c>
      <c r="AZ650" s="1">
        <v>1.0</v>
      </c>
      <c r="BA650" s="1">
        <v>0.0</v>
      </c>
      <c r="BB650" s="1">
        <v>0.0</v>
      </c>
      <c r="BC650" s="2">
        <v>46021.0</v>
      </c>
      <c r="BD650" s="1">
        <v>52.0</v>
      </c>
      <c r="BE650" s="1" t="s">
        <v>550</v>
      </c>
      <c r="BF650" s="1">
        <v>2025.0</v>
      </c>
      <c r="BG650" s="1" t="s">
        <v>558</v>
      </c>
      <c r="BH650" s="7" t="str">
        <f>VLOOKUP(B650,CookieClicks!D:O,12,FALSE)</f>
        <v>https://www.method.me/</v>
      </c>
      <c r="BI650" s="8" t="str">
        <f>IFERROR(__xludf.DUMMYFUNCTION("VLOOKUP(REGEXREPLACE(BH650,""[?].*"",""""),ContentBuckets!A:C,2,FALSE)"),"Homepage")</f>
        <v>Homepage</v>
      </c>
      <c r="BJ650" s="8" t="str">
        <f>IFERROR(__xludf.DUMMYFUNCTION("VLOOKUP(REGEXREPLACE(BH650,""[?].*"",""""),ContentBuckets!A:C,3,FALSE)"),"Other page")</f>
        <v>Other page</v>
      </c>
    </row>
    <row r="651" ht="14.25" customHeight="1">
      <c r="A651" s="1">
        <v>153948.0</v>
      </c>
      <c r="B651" s="1" t="s">
        <v>1435</v>
      </c>
      <c r="C651" s="2">
        <v>46021.6423611111</v>
      </c>
      <c r="D651" s="2"/>
      <c r="E651" s="2"/>
      <c r="F651" s="1" t="b">
        <v>1</v>
      </c>
      <c r="G651" s="4" t="b">
        <v>0</v>
      </c>
      <c r="H651" s="1" t="b">
        <v>0</v>
      </c>
      <c r="I651" s="1" t="b">
        <v>0</v>
      </c>
      <c r="J651" s="1" t="s">
        <v>534</v>
      </c>
      <c r="K651" s="1" t="s">
        <v>535</v>
      </c>
      <c r="L651" s="1" t="s">
        <v>536</v>
      </c>
      <c r="M651" s="1" t="s">
        <v>537</v>
      </c>
      <c r="N651" s="1">
        <v>0.0</v>
      </c>
      <c r="O651" s="1">
        <v>44.25</v>
      </c>
      <c r="P651" s="1">
        <v>0.0</v>
      </c>
      <c r="Q651" s="1">
        <v>0.0</v>
      </c>
      <c r="R651" s="1">
        <v>0.0</v>
      </c>
      <c r="S651" s="1" t="s">
        <v>538</v>
      </c>
      <c r="T651" s="1" t="s">
        <v>539</v>
      </c>
      <c r="V651" s="4">
        <v>7535554.0</v>
      </c>
      <c r="W651" s="4"/>
      <c r="X651" s="4">
        <v>0.0</v>
      </c>
      <c r="Y651" s="1">
        <v>0.0</v>
      </c>
      <c r="Z651" s="1">
        <v>1.0</v>
      </c>
      <c r="AA651" s="1">
        <v>0.0</v>
      </c>
      <c r="AB651" s="1">
        <v>0.0</v>
      </c>
      <c r="AC651" s="1">
        <v>0.0</v>
      </c>
      <c r="AD651" s="1">
        <v>0.0</v>
      </c>
      <c r="AE651" s="1">
        <v>0.0</v>
      </c>
      <c r="AF651" s="1">
        <v>0.0</v>
      </c>
      <c r="AG651" s="1">
        <v>0.0</v>
      </c>
      <c r="AH651" s="1">
        <v>0.0</v>
      </c>
      <c r="AI651" s="1">
        <v>0.0</v>
      </c>
      <c r="AJ651" s="1">
        <v>0.0</v>
      </c>
      <c r="AK651" s="1">
        <v>0.0</v>
      </c>
      <c r="AL651" s="1">
        <v>0.0</v>
      </c>
      <c r="AM651" s="4">
        <v>0.0</v>
      </c>
      <c r="AN651" s="1">
        <v>0.0</v>
      </c>
      <c r="AO651" s="4">
        <v>0.0</v>
      </c>
      <c r="AP651" s="1">
        <f t="shared" si="1"/>
        <v>0</v>
      </c>
      <c r="AQ651" s="1" t="s">
        <v>557</v>
      </c>
      <c r="AU651" s="2">
        <v>46021.0</v>
      </c>
      <c r="AV651" s="2">
        <v>46024.0159722222</v>
      </c>
      <c r="AW651" s="1">
        <v>9.0</v>
      </c>
      <c r="AX651" s="1">
        <v>2021971.8</v>
      </c>
      <c r="AY651" s="1">
        <v>1687.0</v>
      </c>
      <c r="AZ651" s="1">
        <v>1.0</v>
      </c>
      <c r="BA651" s="1">
        <v>0.0</v>
      </c>
      <c r="BB651" s="1">
        <v>0.0</v>
      </c>
      <c r="BC651" s="2">
        <v>46021.0</v>
      </c>
      <c r="BD651" s="1">
        <v>52.0</v>
      </c>
      <c r="BE651" s="1" t="s">
        <v>550</v>
      </c>
      <c r="BF651" s="1">
        <v>2025.0</v>
      </c>
      <c r="BH651" s="7" t="str">
        <f>VLOOKUP(B651,CookieClicks!D:O,12,FALSE)</f>
        <v>https://signup.method.me/QBOAppstoreSignup?offering=methodcrm</v>
      </c>
      <c r="BI651" s="8" t="str">
        <f>IFERROR(__xludf.DUMMYFUNCTION("VLOOKUP(REGEXREPLACE(BH651,""[?].*"",""""),ContentBuckets!A:C,2,FALSE)"),"#N/A")</f>
        <v>#N/A</v>
      </c>
      <c r="BJ651" s="8" t="str">
        <f>IFERROR(__xludf.DUMMYFUNCTION("VLOOKUP(REGEXREPLACE(BH651,""[?].*"",""""),ContentBuckets!A:C,3,FALSE)"),"#N/A")</f>
        <v>#N/A</v>
      </c>
    </row>
    <row r="652" ht="14.25" customHeight="1">
      <c r="A652" s="1">
        <v>153949.0</v>
      </c>
      <c r="B652" s="1" t="s">
        <v>1436</v>
      </c>
      <c r="C652" s="2">
        <v>46021.6506944444</v>
      </c>
      <c r="D652" s="2"/>
      <c r="E652" s="2"/>
      <c r="F652" s="1" t="b">
        <v>1</v>
      </c>
      <c r="G652" s="4" t="b">
        <v>0</v>
      </c>
      <c r="H652" s="1" t="b">
        <v>0</v>
      </c>
      <c r="I652" s="1" t="b">
        <v>0</v>
      </c>
      <c r="J652" s="1" t="s">
        <v>534</v>
      </c>
      <c r="K652" s="1" t="s">
        <v>566</v>
      </c>
      <c r="L652" s="1" t="s">
        <v>567</v>
      </c>
      <c r="M652" s="1" t="s">
        <v>537</v>
      </c>
      <c r="N652" s="1">
        <v>0.0</v>
      </c>
      <c r="O652" s="1">
        <v>44.25</v>
      </c>
      <c r="P652" s="1">
        <v>0.0</v>
      </c>
      <c r="Q652" s="1">
        <v>0.0</v>
      </c>
      <c r="R652" s="1">
        <v>28.0</v>
      </c>
      <c r="S652" s="1" t="s">
        <v>538</v>
      </c>
      <c r="T652" s="1" t="s">
        <v>539</v>
      </c>
      <c r="V652" s="4">
        <v>7535621.0</v>
      </c>
      <c r="W652" s="4"/>
      <c r="X652" s="4">
        <v>1.0</v>
      </c>
      <c r="Y652" s="1">
        <v>0.0</v>
      </c>
      <c r="Z652" s="1">
        <v>0.0</v>
      </c>
      <c r="AA652" s="1">
        <v>0.0</v>
      </c>
      <c r="AB652" s="1">
        <v>0.0</v>
      </c>
      <c r="AC652" s="1">
        <v>0.0</v>
      </c>
      <c r="AD652" s="1">
        <v>0.0</v>
      </c>
      <c r="AE652" s="1">
        <v>0.0</v>
      </c>
      <c r="AF652" s="1">
        <v>0.0</v>
      </c>
      <c r="AG652" s="1">
        <v>0.0</v>
      </c>
      <c r="AH652" s="1">
        <v>0.0</v>
      </c>
      <c r="AI652" s="1">
        <v>0.0</v>
      </c>
      <c r="AJ652" s="1">
        <v>0.0</v>
      </c>
      <c r="AK652" s="1">
        <v>0.0</v>
      </c>
      <c r="AL652" s="1">
        <v>0.0</v>
      </c>
      <c r="AM652" s="4">
        <v>0.0</v>
      </c>
      <c r="AN652" s="1">
        <v>0.0</v>
      </c>
      <c r="AO652" s="4">
        <v>0.0</v>
      </c>
      <c r="AP652" s="1">
        <f t="shared" si="1"/>
        <v>0</v>
      </c>
      <c r="AQ652" s="1" t="s">
        <v>557</v>
      </c>
      <c r="AR652" s="1" t="s">
        <v>571</v>
      </c>
      <c r="AT652" s="1" t="s">
        <v>597</v>
      </c>
      <c r="AU652" s="2">
        <v>46021.0</v>
      </c>
      <c r="AV652" s="2">
        <v>46023.9916666667</v>
      </c>
      <c r="AW652" s="1">
        <v>3.0</v>
      </c>
      <c r="AX652" s="1">
        <v>0.0</v>
      </c>
      <c r="AY652" s="1">
        <v>115.0</v>
      </c>
      <c r="AZ652" s="1">
        <v>1.0</v>
      </c>
      <c r="BA652" s="1">
        <v>0.0</v>
      </c>
      <c r="BB652" s="1">
        <v>0.0</v>
      </c>
      <c r="BC652" s="2">
        <v>46021.0</v>
      </c>
      <c r="BD652" s="1">
        <v>52.0</v>
      </c>
      <c r="BE652" s="1" t="s">
        <v>550</v>
      </c>
      <c r="BF652" s="1">
        <v>2025.0</v>
      </c>
      <c r="BG652" s="1" t="s">
        <v>558</v>
      </c>
      <c r="BH652" s="7" t="str">
        <f>VLOOKUP(B652,CookieClicks!D:O,12,FALSE)</f>
        <v>http://signup.method.me/methodcrm/?_gl=1*1rlh2k6*_gcl_au*MjA2ODA4OTkyMi4xNzUyOTc3MDUwLjIwNjQwMTg1NzUuMTc2MDAzNTgyMC4xNzYwMDM1ODU4*_ga*MTQ4NDAxOTI3My4xNzM3Mzc2NjMw*_ga_L2HEZNW53E*czE3NjAxMDg1MDUkbzIzMCRnMSR0MTc2MDExMTcyMCRqNTkkbDAkaDI1NjIxNDc3MA..&amp;_ga=2.108964354.1266372990.1759645912-1484019273.1737376630</v>
      </c>
      <c r="BI652" s="8" t="str">
        <f>IFERROR(__xludf.DUMMYFUNCTION("VLOOKUP(REGEXREPLACE(BH652,""[?].*"",""""),ContentBuckets!A:C,2,FALSE)"),"#N/A")</f>
        <v>#N/A</v>
      </c>
      <c r="BJ652" s="8" t="str">
        <f>IFERROR(__xludf.DUMMYFUNCTION("VLOOKUP(REGEXREPLACE(BH652,""[?].*"",""""),ContentBuckets!A:C,3,FALSE)"),"#N/A")</f>
        <v>#N/A</v>
      </c>
    </row>
    <row r="653" ht="14.25" customHeight="1">
      <c r="A653" s="1">
        <v>153950.0</v>
      </c>
      <c r="B653" s="1" t="s">
        <v>1437</v>
      </c>
      <c r="C653" s="2">
        <v>46021.65625</v>
      </c>
      <c r="D653" s="2"/>
      <c r="E653" s="2"/>
      <c r="F653" s="1" t="b">
        <v>1</v>
      </c>
      <c r="G653" s="4" t="b">
        <v>0</v>
      </c>
      <c r="H653" s="1" t="b">
        <v>0</v>
      </c>
      <c r="I653" s="1" t="b">
        <v>0</v>
      </c>
      <c r="J653" s="1" t="s">
        <v>534</v>
      </c>
      <c r="K653" s="1" t="s">
        <v>535</v>
      </c>
      <c r="L653" s="1" t="s">
        <v>536</v>
      </c>
      <c r="M653" s="1" t="s">
        <v>537</v>
      </c>
      <c r="N653" s="1">
        <v>0.0</v>
      </c>
      <c r="O653" s="1">
        <v>53.25</v>
      </c>
      <c r="P653" s="1">
        <v>0.0</v>
      </c>
      <c r="Q653" s="1">
        <v>0.0</v>
      </c>
      <c r="R653" s="1">
        <v>28.0</v>
      </c>
      <c r="S653" s="1" t="s">
        <v>538</v>
      </c>
      <c r="T653" s="1" t="s">
        <v>539</v>
      </c>
      <c r="V653" s="4">
        <v>7535678.0</v>
      </c>
      <c r="W653" s="4" t="s">
        <v>540</v>
      </c>
      <c r="X653" s="4">
        <v>0.0</v>
      </c>
      <c r="Y653" s="1">
        <v>1.0</v>
      </c>
      <c r="Z653" s="1">
        <v>0.0</v>
      </c>
      <c r="AA653" s="1">
        <v>0.0</v>
      </c>
      <c r="AB653" s="1">
        <v>0.0</v>
      </c>
      <c r="AC653" s="1">
        <v>0.0</v>
      </c>
      <c r="AD653" s="1">
        <v>0.0</v>
      </c>
      <c r="AE653" s="1">
        <v>0.0</v>
      </c>
      <c r="AF653" s="1">
        <v>0.0</v>
      </c>
      <c r="AG653" s="1">
        <v>0.0</v>
      </c>
      <c r="AH653" s="1">
        <v>0.0</v>
      </c>
      <c r="AI653" s="1">
        <v>0.0</v>
      </c>
      <c r="AJ653" s="1">
        <v>0.0</v>
      </c>
      <c r="AK653" s="1">
        <v>0.0</v>
      </c>
      <c r="AL653" s="1">
        <v>0.0</v>
      </c>
      <c r="AM653" s="4">
        <v>0.0</v>
      </c>
      <c r="AN653" s="1">
        <v>0.0</v>
      </c>
      <c r="AO653" s="4">
        <v>0.0</v>
      </c>
      <c r="AP653" s="1">
        <f t="shared" si="1"/>
        <v>0</v>
      </c>
      <c r="AQ653" s="1" t="s">
        <v>541</v>
      </c>
      <c r="AR653" s="1" t="s">
        <v>542</v>
      </c>
      <c r="AU653" s="2">
        <v>46021.0</v>
      </c>
      <c r="AV653" s="2">
        <v>46024.0305555556</v>
      </c>
      <c r="AW653" s="1">
        <v>0.0</v>
      </c>
      <c r="AX653" s="1">
        <v>0.0</v>
      </c>
      <c r="AY653" s="1">
        <v>3.0</v>
      </c>
      <c r="AZ653" s="1">
        <v>1.0</v>
      </c>
      <c r="BA653" s="1">
        <v>0.0</v>
      </c>
      <c r="BB653" s="1">
        <v>0.0</v>
      </c>
      <c r="BC653" s="2">
        <v>46021.0</v>
      </c>
      <c r="BD653" s="1">
        <v>52.0</v>
      </c>
      <c r="BE653" s="1" t="s">
        <v>550</v>
      </c>
      <c r="BF653" s="1">
        <v>2025.0</v>
      </c>
      <c r="BG653" s="1" t="s">
        <v>546</v>
      </c>
      <c r="BH653" s="7" t="str">
        <f>VLOOKUP(B653,CookieClicks!D:O,12,FALSE)</f>
        <v>https://www.method.me/</v>
      </c>
      <c r="BI653" s="8" t="str">
        <f>IFERROR(__xludf.DUMMYFUNCTION("VLOOKUP(REGEXREPLACE(BH653,""[?].*"",""""),ContentBuckets!A:C,2,FALSE)"),"Homepage")</f>
        <v>Homepage</v>
      </c>
      <c r="BJ653" s="8" t="str">
        <f>IFERROR(__xludf.DUMMYFUNCTION("VLOOKUP(REGEXREPLACE(BH653,""[?].*"",""""),ContentBuckets!A:C,3,FALSE)"),"Other page")</f>
        <v>Other page</v>
      </c>
    </row>
    <row r="654" ht="14.25" customHeight="1">
      <c r="A654" s="1">
        <v>153951.0</v>
      </c>
      <c r="B654" s="1" t="s">
        <v>1438</v>
      </c>
      <c r="C654" s="2">
        <v>46021.6611111111</v>
      </c>
      <c r="D654" s="2"/>
      <c r="E654" s="2"/>
      <c r="F654" s="1" t="b">
        <v>1</v>
      </c>
      <c r="G654" s="4" t="b">
        <v>0</v>
      </c>
      <c r="H654" s="1" t="b">
        <v>0</v>
      </c>
      <c r="I654" s="1" t="b">
        <v>0</v>
      </c>
      <c r="J654" s="1" t="s">
        <v>534</v>
      </c>
      <c r="K654" s="1" t="s">
        <v>566</v>
      </c>
      <c r="L654" s="1" t="s">
        <v>567</v>
      </c>
      <c r="M654" s="1" t="s">
        <v>537</v>
      </c>
      <c r="N654" s="1">
        <v>0.0</v>
      </c>
      <c r="O654" s="1">
        <v>44.25</v>
      </c>
      <c r="P654" s="1">
        <v>0.0</v>
      </c>
      <c r="Q654" s="1">
        <v>0.0</v>
      </c>
      <c r="R654" s="1">
        <v>28.0</v>
      </c>
      <c r="S654" s="1" t="s">
        <v>538</v>
      </c>
      <c r="T654" s="1" t="s">
        <v>539</v>
      </c>
      <c r="V654" s="4">
        <v>7513561.0</v>
      </c>
      <c r="W654" s="4" t="s">
        <v>540</v>
      </c>
      <c r="X654" s="4">
        <v>0.0</v>
      </c>
      <c r="Y654" s="1">
        <v>1.0</v>
      </c>
      <c r="Z654" s="1">
        <v>0.0</v>
      </c>
      <c r="AA654" s="1">
        <v>0.0</v>
      </c>
      <c r="AB654" s="1">
        <v>0.0</v>
      </c>
      <c r="AC654" s="1">
        <v>0.0</v>
      </c>
      <c r="AD654" s="1">
        <v>0.0</v>
      </c>
      <c r="AE654" s="1">
        <v>0.0</v>
      </c>
      <c r="AF654" s="1">
        <v>0.0</v>
      </c>
      <c r="AG654" s="1">
        <v>0.0</v>
      </c>
      <c r="AH654" s="1">
        <v>0.0</v>
      </c>
      <c r="AI654" s="1">
        <v>0.0</v>
      </c>
      <c r="AJ654" s="1">
        <v>0.0</v>
      </c>
      <c r="AK654" s="1">
        <v>0.0</v>
      </c>
      <c r="AL654" s="1">
        <v>0.0</v>
      </c>
      <c r="AM654" s="4">
        <v>0.0</v>
      </c>
      <c r="AN654" s="1">
        <v>0.0</v>
      </c>
      <c r="AO654" s="4">
        <v>0.0</v>
      </c>
      <c r="AP654" s="1">
        <f t="shared" si="1"/>
        <v>0</v>
      </c>
      <c r="AR654" s="1" t="s">
        <v>560</v>
      </c>
      <c r="AU654" s="2"/>
      <c r="AV654" s="2">
        <v>46024.0305555556</v>
      </c>
      <c r="AW654" s="1">
        <v>0.0</v>
      </c>
      <c r="AX654" s="1">
        <v>0.0</v>
      </c>
      <c r="AY654" s="1">
        <v>0.0</v>
      </c>
      <c r="AZ654" s="1">
        <v>1.0</v>
      </c>
      <c r="BA654" s="1">
        <v>0.0</v>
      </c>
      <c r="BB654" s="1">
        <v>0.0</v>
      </c>
      <c r="BC654" s="2">
        <v>46021.0</v>
      </c>
      <c r="BD654" s="1">
        <v>52.0</v>
      </c>
      <c r="BE654" s="1" t="s">
        <v>550</v>
      </c>
      <c r="BF654" s="1">
        <v>2025.0</v>
      </c>
      <c r="BG654" s="1" t="s">
        <v>558</v>
      </c>
      <c r="BH654" s="7" t="str">
        <f>VLOOKUP(B654,CookieClicks!D:O,12,FALSE)</f>
        <v>https://www.method.me/crm-quickbooks/pricing/</v>
      </c>
      <c r="BI654" s="8" t="str">
        <f>IFERROR(__xludf.DUMMYFUNCTION("VLOOKUP(REGEXREPLACE(BH654,""[?].*"",""""),ContentBuckets!A:C,2,FALSE)"),"/crm-quickbooks/")</f>
        <v>/crm-quickbooks/</v>
      </c>
      <c r="BJ654" s="8" t="str">
        <f>IFERROR(__xludf.DUMMYFUNCTION("VLOOKUP(REGEXREPLACE(BH654,""[?].*"",""""),ContentBuckets!A:C,3,FALSE)"),"Other page")</f>
        <v>Other page</v>
      </c>
    </row>
    <row r="655" ht="14.25" customHeight="1">
      <c r="A655" s="1">
        <v>153952.0</v>
      </c>
      <c r="B655" s="1" t="s">
        <v>1439</v>
      </c>
      <c r="C655" s="2">
        <v>46021.6826388889</v>
      </c>
      <c r="D655" s="2"/>
      <c r="E655" s="2"/>
      <c r="F655" s="1" t="b">
        <v>1</v>
      </c>
      <c r="G655" s="4" t="b">
        <v>0</v>
      </c>
      <c r="H655" s="1" t="b">
        <v>0</v>
      </c>
      <c r="I655" s="1" t="b">
        <v>0</v>
      </c>
      <c r="J655" s="1" t="s">
        <v>534</v>
      </c>
      <c r="K655" s="1" t="s">
        <v>535</v>
      </c>
      <c r="L655" s="1" t="s">
        <v>536</v>
      </c>
      <c r="M655" s="1" t="s">
        <v>537</v>
      </c>
      <c r="N655" s="1">
        <v>0.0</v>
      </c>
      <c r="O655" s="1">
        <v>44.25</v>
      </c>
      <c r="P655" s="1">
        <v>0.0</v>
      </c>
      <c r="Q655" s="1">
        <v>0.0</v>
      </c>
      <c r="R655" s="1">
        <v>28.0</v>
      </c>
      <c r="S655" s="1" t="s">
        <v>538</v>
      </c>
      <c r="T655" s="1" t="s">
        <v>539</v>
      </c>
      <c r="V655" s="4">
        <v>7535952.0</v>
      </c>
      <c r="W655" s="4"/>
      <c r="X655" s="4">
        <v>1.0</v>
      </c>
      <c r="Y655" s="1">
        <v>0.0</v>
      </c>
      <c r="Z655" s="1">
        <v>0.0</v>
      </c>
      <c r="AA655" s="1">
        <v>0.0</v>
      </c>
      <c r="AB655" s="1">
        <v>0.0</v>
      </c>
      <c r="AC655" s="1">
        <v>0.0</v>
      </c>
      <c r="AD655" s="1">
        <v>0.0</v>
      </c>
      <c r="AE655" s="1">
        <v>0.0</v>
      </c>
      <c r="AF655" s="1">
        <v>0.0</v>
      </c>
      <c r="AG655" s="1">
        <v>0.0</v>
      </c>
      <c r="AH655" s="1">
        <v>0.0</v>
      </c>
      <c r="AI655" s="1">
        <v>0.0</v>
      </c>
      <c r="AJ655" s="1">
        <v>0.0</v>
      </c>
      <c r="AK655" s="1">
        <v>0.0</v>
      </c>
      <c r="AL655" s="1">
        <v>0.0</v>
      </c>
      <c r="AM655" s="4">
        <v>0.0</v>
      </c>
      <c r="AN655" s="1">
        <v>0.0</v>
      </c>
      <c r="AO655" s="4">
        <v>0.0</v>
      </c>
      <c r="AP655" s="1">
        <f t="shared" si="1"/>
        <v>0</v>
      </c>
      <c r="AR655" s="1" t="s">
        <v>542</v>
      </c>
      <c r="AU655" s="2"/>
      <c r="AV655" s="2">
        <v>46024.0270833333</v>
      </c>
      <c r="AW655" s="1">
        <v>0.0</v>
      </c>
      <c r="AX655" s="1">
        <v>0.0</v>
      </c>
      <c r="AY655" s="1">
        <v>0.0</v>
      </c>
      <c r="AZ655" s="1">
        <v>1.0</v>
      </c>
      <c r="BA655" s="1">
        <v>0.0</v>
      </c>
      <c r="BB655" s="1">
        <v>0.0</v>
      </c>
      <c r="BC655" s="2">
        <v>46021.0</v>
      </c>
      <c r="BD655" s="1">
        <v>52.0</v>
      </c>
      <c r="BE655" s="1" t="s">
        <v>550</v>
      </c>
      <c r="BF655" s="1">
        <v>2025.0</v>
      </c>
      <c r="BG655" s="1" t="s">
        <v>792</v>
      </c>
      <c r="BH655" s="7" t="str">
        <f>VLOOKUP(B655,CookieClicks!D:O,12,FALSE)</f>
        <v>http://signup.method.me/methodcrm</v>
      </c>
      <c r="BI655" s="8" t="str">
        <f>IFERROR(__xludf.DUMMYFUNCTION("VLOOKUP(REGEXREPLACE(BH655,""[?].*"",""""),ContentBuckets!A:C,2,FALSE)"),"#N/A")</f>
        <v>#N/A</v>
      </c>
      <c r="BJ655" s="8" t="str">
        <f>IFERROR(__xludf.DUMMYFUNCTION("VLOOKUP(REGEXREPLACE(BH655,""[?].*"",""""),ContentBuckets!A:C,3,FALSE)"),"#N/A")</f>
        <v>#N/A</v>
      </c>
    </row>
    <row r="656" ht="14.25" customHeight="1">
      <c r="A656" s="1">
        <v>153953.0</v>
      </c>
      <c r="B656" s="1" t="s">
        <v>1440</v>
      </c>
      <c r="C656" s="2">
        <v>46021.7319444444</v>
      </c>
      <c r="D656" s="2"/>
      <c r="E656" s="2">
        <v>46021.7319444444</v>
      </c>
      <c r="F656" s="1" t="b">
        <v>1</v>
      </c>
      <c r="G656" s="4" t="b">
        <v>0</v>
      </c>
      <c r="H656" s="1" t="b">
        <v>0</v>
      </c>
      <c r="I656" s="1" t="b">
        <v>0</v>
      </c>
      <c r="J656" s="1" t="s">
        <v>534</v>
      </c>
      <c r="K656" s="1" t="s">
        <v>535</v>
      </c>
      <c r="L656" s="1" t="s">
        <v>536</v>
      </c>
      <c r="M656" s="1" t="s">
        <v>1441</v>
      </c>
      <c r="N656" s="1">
        <v>40.0</v>
      </c>
      <c r="O656" s="1">
        <v>40.0</v>
      </c>
      <c r="P656" s="1">
        <v>0.0</v>
      </c>
      <c r="Q656" s="1">
        <v>0.0</v>
      </c>
      <c r="R656" s="1">
        <v>0.0</v>
      </c>
      <c r="S656" s="1" t="s">
        <v>538</v>
      </c>
      <c r="T656" s="1" t="s">
        <v>1442</v>
      </c>
      <c r="U656" s="1" t="s">
        <v>1443</v>
      </c>
      <c r="V656" s="4">
        <v>0.0</v>
      </c>
      <c r="W656" s="4"/>
      <c r="X656" s="4">
        <v>0.0</v>
      </c>
      <c r="Y656" s="1">
        <v>0.0</v>
      </c>
      <c r="Z656" s="1">
        <v>0.0</v>
      </c>
      <c r="AA656" s="1">
        <v>0.0</v>
      </c>
      <c r="AB656" s="1">
        <v>1.0</v>
      </c>
      <c r="AC656" s="1">
        <v>0.0</v>
      </c>
      <c r="AD656" s="1">
        <v>0.0</v>
      </c>
      <c r="AE656" s="1">
        <v>0.0</v>
      </c>
      <c r="AF656" s="1">
        <v>0.0</v>
      </c>
      <c r="AG656" s="1">
        <v>0.0</v>
      </c>
      <c r="AH656" s="1">
        <v>0.0</v>
      </c>
      <c r="AI656" s="1">
        <v>0.0</v>
      </c>
      <c r="AJ656" s="1">
        <v>0.0</v>
      </c>
      <c r="AK656" s="1">
        <v>0.0</v>
      </c>
      <c r="AL656" s="1">
        <v>0.0</v>
      </c>
      <c r="AM656" s="4">
        <v>0.0</v>
      </c>
      <c r="AN656" s="1">
        <v>0.0</v>
      </c>
      <c r="AO656" s="4">
        <v>0.0</v>
      </c>
      <c r="AP656" s="1">
        <f t="shared" si="1"/>
        <v>0</v>
      </c>
      <c r="AQ656" s="1" t="s">
        <v>557</v>
      </c>
      <c r="AT656" s="1" t="s">
        <v>1011</v>
      </c>
      <c r="AU656" s="2">
        <v>46021.0</v>
      </c>
      <c r="AV656" s="2">
        <v>46024.0194444444</v>
      </c>
      <c r="AW656" s="1">
        <v>0.0</v>
      </c>
      <c r="AX656" s="1">
        <v>0.0</v>
      </c>
      <c r="AY656" s="1">
        <v>3.0</v>
      </c>
      <c r="AZ656" s="1">
        <v>0.0</v>
      </c>
      <c r="BA656" s="1">
        <v>0.0</v>
      </c>
      <c r="BB656" s="1">
        <v>0.0</v>
      </c>
      <c r="BC656" s="2">
        <v>46021.0</v>
      </c>
      <c r="BD656" s="1">
        <v>52.0</v>
      </c>
      <c r="BE656" s="1" t="s">
        <v>550</v>
      </c>
      <c r="BF656" s="1">
        <v>2025.0</v>
      </c>
      <c r="BG656" s="1" t="s">
        <v>558</v>
      </c>
      <c r="BH656" s="1" t="str">
        <f>VLOOKUP(B656,CookieClicks!D:O,12,FALSE)</f>
        <v>#N/A</v>
      </c>
      <c r="BI656" s="8" t="str">
        <f>IFERROR(__xludf.DUMMYFUNCTION("VLOOKUP(REGEXREPLACE(BH656,""[?].*"",""""),ContentBuckets!A:C,2,FALSE)"),"#N/A")</f>
        <v>#N/A</v>
      </c>
      <c r="BJ656" s="8" t="str">
        <f>IFERROR(__xludf.DUMMYFUNCTION("VLOOKUP(REGEXREPLACE(BH656,""[?].*"",""""),ContentBuckets!A:C,3,FALSE)"),"#N/A")</f>
        <v>#N/A</v>
      </c>
    </row>
    <row r="657" ht="14.25" customHeight="1">
      <c r="A657" s="1">
        <v>153954.0</v>
      </c>
      <c r="B657" s="1" t="s">
        <v>1444</v>
      </c>
      <c r="C657" s="2">
        <v>46021.7854166667</v>
      </c>
      <c r="D657" s="2"/>
      <c r="E657" s="2"/>
      <c r="F657" s="1" t="b">
        <v>1</v>
      </c>
      <c r="G657" s="4" t="b">
        <v>0</v>
      </c>
      <c r="H657" s="1" t="b">
        <v>0</v>
      </c>
      <c r="I657" s="1" t="b">
        <v>0</v>
      </c>
      <c r="J657" s="1" t="s">
        <v>534</v>
      </c>
      <c r="K657" s="1" t="s">
        <v>535</v>
      </c>
      <c r="L657" s="1" t="s">
        <v>536</v>
      </c>
      <c r="M657" s="1" t="s">
        <v>537</v>
      </c>
      <c r="N657" s="1">
        <v>0.0</v>
      </c>
      <c r="O657" s="1">
        <v>53.25</v>
      </c>
      <c r="P657" s="1">
        <v>0.0</v>
      </c>
      <c r="Q657" s="1">
        <v>0.0</v>
      </c>
      <c r="R657" s="1">
        <v>28.0</v>
      </c>
      <c r="S657" s="1" t="s">
        <v>538</v>
      </c>
      <c r="T657" s="1" t="s">
        <v>539</v>
      </c>
      <c r="V657" s="4">
        <v>7536811.0</v>
      </c>
      <c r="W657" s="4" t="s">
        <v>540</v>
      </c>
      <c r="X657" s="4">
        <v>0.0</v>
      </c>
      <c r="Y657" s="1">
        <v>1.0</v>
      </c>
      <c r="Z657" s="1">
        <v>0.0</v>
      </c>
      <c r="AA657" s="1">
        <v>0.0</v>
      </c>
      <c r="AB657" s="1">
        <v>0.0</v>
      </c>
      <c r="AC657" s="1">
        <v>0.0</v>
      </c>
      <c r="AD657" s="1">
        <v>0.0</v>
      </c>
      <c r="AE657" s="1">
        <v>0.0</v>
      </c>
      <c r="AF657" s="1">
        <v>0.0</v>
      </c>
      <c r="AG657" s="1">
        <v>0.0</v>
      </c>
      <c r="AH657" s="1">
        <v>0.0</v>
      </c>
      <c r="AI657" s="1">
        <v>0.0</v>
      </c>
      <c r="AJ657" s="1">
        <v>0.0</v>
      </c>
      <c r="AK657" s="1">
        <v>0.0</v>
      </c>
      <c r="AL657" s="1">
        <v>0.0</v>
      </c>
      <c r="AM657" s="4">
        <v>0.0</v>
      </c>
      <c r="AN657" s="1">
        <v>0.0</v>
      </c>
      <c r="AO657" s="4">
        <v>0.0</v>
      </c>
      <c r="AP657" s="1">
        <f t="shared" si="1"/>
        <v>0</v>
      </c>
      <c r="AQ657" s="1" t="s">
        <v>557</v>
      </c>
      <c r="AR657" s="1" t="s">
        <v>578</v>
      </c>
      <c r="AT657" s="1" t="s">
        <v>1445</v>
      </c>
      <c r="AU657" s="2">
        <v>46021.0</v>
      </c>
      <c r="AV657" s="2">
        <v>46023.9951388889</v>
      </c>
      <c r="AW657" s="1">
        <v>0.0</v>
      </c>
      <c r="AX657" s="1">
        <v>83088.0</v>
      </c>
      <c r="AY657" s="1">
        <v>536.0</v>
      </c>
      <c r="AZ657" s="1">
        <v>1.0</v>
      </c>
      <c r="BA657" s="1">
        <v>0.0</v>
      </c>
      <c r="BB657" s="1">
        <v>0.0</v>
      </c>
      <c r="BC657" s="2">
        <v>46021.0</v>
      </c>
      <c r="BD657" s="1">
        <v>52.0</v>
      </c>
      <c r="BE657" s="1" t="s">
        <v>550</v>
      </c>
      <c r="BF657" s="1">
        <v>2025.0</v>
      </c>
      <c r="BG657" s="1" t="s">
        <v>558</v>
      </c>
      <c r="BH657" s="7" t="str">
        <f>VLOOKUP(B657,CookieClicks!D:O,12,FALSE)</f>
        <v>https://www.method.me/</v>
      </c>
      <c r="BI657" s="8" t="str">
        <f>IFERROR(__xludf.DUMMYFUNCTION("VLOOKUP(REGEXREPLACE(BH657,""[?].*"",""""),ContentBuckets!A:C,2,FALSE)"),"Homepage")</f>
        <v>Homepage</v>
      </c>
      <c r="BJ657" s="8" t="str">
        <f>IFERROR(__xludf.DUMMYFUNCTION("VLOOKUP(REGEXREPLACE(BH657,""[?].*"",""""),ContentBuckets!A:C,3,FALSE)"),"Other page")</f>
        <v>Other page</v>
      </c>
    </row>
    <row r="658" ht="14.25" customHeight="1">
      <c r="A658" s="1">
        <v>153955.0</v>
      </c>
      <c r="B658" s="1" t="s">
        <v>1446</v>
      </c>
      <c r="C658" s="2">
        <v>46021.8291666667</v>
      </c>
      <c r="D658" s="2"/>
      <c r="E658" s="2"/>
      <c r="F658" s="1" t="b">
        <v>1</v>
      </c>
      <c r="G658" s="4" t="b">
        <v>0</v>
      </c>
      <c r="H658" s="1" t="b">
        <v>0</v>
      </c>
      <c r="I658" s="1" t="b">
        <v>0</v>
      </c>
      <c r="J658" s="1" t="s">
        <v>534</v>
      </c>
      <c r="K658" s="1" t="s">
        <v>553</v>
      </c>
      <c r="L658" s="1" t="s">
        <v>554</v>
      </c>
      <c r="M658" s="1" t="s">
        <v>537</v>
      </c>
      <c r="N658" s="1">
        <v>0.0</v>
      </c>
      <c r="O658" s="1">
        <v>44.25</v>
      </c>
      <c r="P658" s="1">
        <v>0.0</v>
      </c>
      <c r="Q658" s="1">
        <v>0.0</v>
      </c>
      <c r="R658" s="1">
        <v>0.0</v>
      </c>
      <c r="S658" s="1" t="s">
        <v>538</v>
      </c>
      <c r="T658" s="1" t="s">
        <v>539</v>
      </c>
      <c r="V658" s="4">
        <v>7537141.0</v>
      </c>
      <c r="W658" s="4"/>
      <c r="X658" s="4">
        <v>1.0</v>
      </c>
      <c r="Y658" s="1">
        <v>0.0</v>
      </c>
      <c r="Z658" s="1">
        <v>0.0</v>
      </c>
      <c r="AA658" s="1">
        <v>0.0</v>
      </c>
      <c r="AB658" s="1">
        <v>0.0</v>
      </c>
      <c r="AC658" s="1">
        <v>0.0</v>
      </c>
      <c r="AD658" s="1">
        <v>0.0</v>
      </c>
      <c r="AE658" s="1">
        <v>0.0</v>
      </c>
      <c r="AF658" s="1">
        <v>0.0</v>
      </c>
      <c r="AG658" s="1">
        <v>0.0</v>
      </c>
      <c r="AH658" s="1">
        <v>0.0</v>
      </c>
      <c r="AI658" s="1">
        <v>0.0</v>
      </c>
      <c r="AJ658" s="1">
        <v>0.0</v>
      </c>
      <c r="AK658" s="1">
        <v>0.0</v>
      </c>
      <c r="AL658" s="1">
        <v>0.0</v>
      </c>
      <c r="AM658" s="4">
        <v>0.0</v>
      </c>
      <c r="AN658" s="1">
        <v>0.0</v>
      </c>
      <c r="AO658" s="4">
        <v>0.0</v>
      </c>
      <c r="AP658" s="1">
        <f t="shared" si="1"/>
        <v>0</v>
      </c>
      <c r="AU658" s="2"/>
      <c r="AV658" s="2">
        <v>46023.9826388889</v>
      </c>
      <c r="AW658" s="1">
        <v>0.0</v>
      </c>
      <c r="AX658" s="1">
        <v>0.0</v>
      </c>
      <c r="AY658" s="1">
        <v>0.0</v>
      </c>
      <c r="AZ658" s="1">
        <v>1.0</v>
      </c>
      <c r="BA658" s="1">
        <v>0.0</v>
      </c>
      <c r="BB658" s="1">
        <v>0.0</v>
      </c>
      <c r="BC658" s="2">
        <v>46021.0</v>
      </c>
      <c r="BD658" s="1">
        <v>52.0</v>
      </c>
      <c r="BE658" s="1" t="s">
        <v>550</v>
      </c>
      <c r="BF658" s="1">
        <v>2025.0</v>
      </c>
      <c r="BG658" s="1" t="s">
        <v>558</v>
      </c>
      <c r="BH658" s="7" t="str">
        <f>VLOOKUP(B658,CookieClicks!D:O,12,FALSE)</f>
        <v>http://signup.method.me/methodcrm/</v>
      </c>
      <c r="BI658" s="8" t="str">
        <f>IFERROR(__xludf.DUMMYFUNCTION("VLOOKUP(REGEXREPLACE(BH658,""[?].*"",""""),ContentBuckets!A:C,2,FALSE)"),"#N/A")</f>
        <v>#N/A</v>
      </c>
      <c r="BJ658" s="8" t="str">
        <f>IFERROR(__xludf.DUMMYFUNCTION("VLOOKUP(REGEXREPLACE(BH658,""[?].*"",""""),ContentBuckets!A:C,3,FALSE)"),"#N/A")</f>
        <v>#N/A</v>
      </c>
    </row>
    <row r="659" ht="14.25" customHeight="1">
      <c r="A659" s="1">
        <v>153956.0</v>
      </c>
      <c r="B659" s="1" t="s">
        <v>1447</v>
      </c>
      <c r="C659" s="2">
        <v>46021.8777777778</v>
      </c>
      <c r="D659" s="2"/>
      <c r="E659" s="2"/>
      <c r="F659" s="1" t="b">
        <v>1</v>
      </c>
      <c r="G659" s="4" t="b">
        <v>0</v>
      </c>
      <c r="H659" s="1" t="b">
        <v>0</v>
      </c>
      <c r="I659" s="1" t="b">
        <v>0</v>
      </c>
      <c r="J659" s="1" t="s">
        <v>534</v>
      </c>
      <c r="K659" s="1" t="s">
        <v>535</v>
      </c>
      <c r="L659" s="1" t="s">
        <v>536</v>
      </c>
      <c r="M659" s="1" t="s">
        <v>537</v>
      </c>
      <c r="N659" s="1">
        <v>0.0</v>
      </c>
      <c r="O659" s="1">
        <v>44.25</v>
      </c>
      <c r="P659" s="1">
        <v>0.0</v>
      </c>
      <c r="Q659" s="1">
        <v>0.0</v>
      </c>
      <c r="R659" s="1">
        <v>28.0</v>
      </c>
      <c r="S659" s="1" t="s">
        <v>538</v>
      </c>
      <c r="T659" s="1" t="s">
        <v>539</v>
      </c>
      <c r="V659" s="4">
        <v>7192064.0</v>
      </c>
      <c r="W659" s="4" t="s">
        <v>653</v>
      </c>
      <c r="X659" s="4">
        <v>0.0</v>
      </c>
      <c r="Y659" s="1">
        <v>1.0</v>
      </c>
      <c r="Z659" s="1">
        <v>0.0</v>
      </c>
      <c r="AA659" s="1">
        <v>0.0</v>
      </c>
      <c r="AB659" s="1">
        <v>0.0</v>
      </c>
      <c r="AC659" s="1">
        <v>0.0</v>
      </c>
      <c r="AD659" s="1">
        <v>0.0</v>
      </c>
      <c r="AE659" s="1">
        <v>0.0</v>
      </c>
      <c r="AF659" s="1">
        <v>0.0</v>
      </c>
      <c r="AG659" s="1">
        <v>0.0</v>
      </c>
      <c r="AH659" s="1">
        <v>0.0</v>
      </c>
      <c r="AI659" s="1">
        <v>0.0</v>
      </c>
      <c r="AJ659" s="1">
        <v>0.0</v>
      </c>
      <c r="AK659" s="1">
        <v>0.0</v>
      </c>
      <c r="AL659" s="1">
        <v>0.0</v>
      </c>
      <c r="AM659" s="4">
        <v>0.0</v>
      </c>
      <c r="AN659" s="1">
        <v>0.0</v>
      </c>
      <c r="AO659" s="4">
        <v>0.0</v>
      </c>
      <c r="AP659" s="1">
        <f t="shared" si="1"/>
        <v>0</v>
      </c>
      <c r="AQ659" s="1" t="s">
        <v>557</v>
      </c>
      <c r="AR659" s="1" t="s">
        <v>542</v>
      </c>
      <c r="AT659" s="1" t="s">
        <v>1448</v>
      </c>
      <c r="AU659" s="2">
        <v>46021.0</v>
      </c>
      <c r="AV659" s="2">
        <v>46023.9888888889</v>
      </c>
      <c r="AW659" s="1">
        <v>0.0</v>
      </c>
      <c r="AX659" s="1">
        <v>0.0</v>
      </c>
      <c r="AY659" s="1">
        <v>0.0</v>
      </c>
      <c r="AZ659" s="1">
        <v>1.0</v>
      </c>
      <c r="BA659" s="1">
        <v>0.0</v>
      </c>
      <c r="BB659" s="1">
        <v>0.0</v>
      </c>
      <c r="BC659" s="2">
        <v>46021.0</v>
      </c>
      <c r="BD659" s="1">
        <v>52.0</v>
      </c>
      <c r="BE659" s="1" t="s">
        <v>550</v>
      </c>
      <c r="BF659" s="1">
        <v>2025.0</v>
      </c>
      <c r="BG659" s="1" t="s">
        <v>558</v>
      </c>
      <c r="BH659" s="7" t="str">
        <f>VLOOKUP(B659,CookieClicks!D:O,12,FALSE)</f>
        <v>https://www.method.me/features/estimates/</v>
      </c>
      <c r="BI659" s="8" t="str">
        <f>IFERROR(__xludf.DUMMYFUNCTION("VLOOKUP(REGEXREPLACE(BH659,""[?].*"",""""),ContentBuckets!A:C,2,FALSE)"),"Features page")</f>
        <v>Features page</v>
      </c>
      <c r="BJ659" s="8" t="str">
        <f>IFERROR(__xludf.DUMMYFUNCTION("VLOOKUP(REGEXREPLACE(BH659,""[?].*"",""""),ContentBuckets!A:C,3,FALSE)"),"Other page")</f>
        <v>Other page</v>
      </c>
    </row>
    <row r="660" ht="14.25" customHeight="1">
      <c r="A660" s="1">
        <v>153957.0</v>
      </c>
      <c r="B660" s="1" t="s">
        <v>1449</v>
      </c>
      <c r="C660" s="2">
        <v>46022.0055555556</v>
      </c>
      <c r="D660" s="2"/>
      <c r="E660" s="2"/>
      <c r="F660" s="1" t="b">
        <v>1</v>
      </c>
      <c r="G660" s="4" t="b">
        <v>0</v>
      </c>
      <c r="H660" s="1" t="b">
        <v>0</v>
      </c>
      <c r="I660" s="1" t="b">
        <v>0</v>
      </c>
      <c r="J660" s="1" t="s">
        <v>534</v>
      </c>
      <c r="K660" s="1" t="s">
        <v>553</v>
      </c>
      <c r="L660" s="1" t="s">
        <v>599</v>
      </c>
      <c r="M660" s="1" t="s">
        <v>537</v>
      </c>
      <c r="N660" s="1">
        <v>0.0</v>
      </c>
      <c r="O660" s="1">
        <v>44.25</v>
      </c>
      <c r="P660" s="1">
        <v>0.0</v>
      </c>
      <c r="Q660" s="1">
        <v>0.0</v>
      </c>
      <c r="R660" s="1">
        <v>0.0</v>
      </c>
      <c r="S660" s="1" t="s">
        <v>538</v>
      </c>
      <c r="T660" s="1" t="s">
        <v>539</v>
      </c>
      <c r="V660" s="4">
        <v>7218369.0</v>
      </c>
      <c r="W660" s="4"/>
      <c r="X660" s="4">
        <v>0.0</v>
      </c>
      <c r="Y660" s="1">
        <v>0.0</v>
      </c>
      <c r="Z660" s="1">
        <v>0.0</v>
      </c>
      <c r="AA660" s="1">
        <v>0.0</v>
      </c>
      <c r="AB660" s="1">
        <v>0.0</v>
      </c>
      <c r="AC660" s="1">
        <v>0.0</v>
      </c>
      <c r="AD660" s="1">
        <v>0.0</v>
      </c>
      <c r="AE660" s="1">
        <v>0.0</v>
      </c>
      <c r="AF660" s="1">
        <v>0.0</v>
      </c>
      <c r="AG660" s="1">
        <v>0.0</v>
      </c>
      <c r="AH660" s="1">
        <v>0.0</v>
      </c>
      <c r="AI660" s="1">
        <v>0.0</v>
      </c>
      <c r="AJ660" s="1">
        <v>0.0</v>
      </c>
      <c r="AK660" s="1">
        <v>0.0</v>
      </c>
      <c r="AL660" s="1">
        <v>0.0</v>
      </c>
      <c r="AM660" s="4">
        <v>0.0</v>
      </c>
      <c r="AN660" s="1">
        <v>0.0</v>
      </c>
      <c r="AO660" s="4">
        <v>0.0</v>
      </c>
      <c r="AP660" s="1">
        <f t="shared" si="1"/>
        <v>1</v>
      </c>
      <c r="AU660" s="2"/>
      <c r="AV660" s="2">
        <v>46024.0166666667</v>
      </c>
      <c r="AW660" s="1">
        <v>0.0</v>
      </c>
      <c r="AX660" s="1">
        <v>0.0</v>
      </c>
      <c r="AY660" s="1">
        <v>0.0</v>
      </c>
      <c r="AZ660" s="1">
        <v>1.0</v>
      </c>
      <c r="BA660" s="1">
        <v>0.0</v>
      </c>
      <c r="BB660" s="1">
        <v>0.0</v>
      </c>
      <c r="BC660" s="2">
        <v>46022.0</v>
      </c>
      <c r="BD660" s="1">
        <v>52.0</v>
      </c>
      <c r="BE660" s="1" t="s">
        <v>550</v>
      </c>
      <c r="BF660" s="1">
        <v>2025.0</v>
      </c>
      <c r="BG660" s="1" t="s">
        <v>624</v>
      </c>
      <c r="BH660" s="7" t="str">
        <f>VLOOKUP(B660,CookieClicks!D:O,12,FALSE)</f>
        <v>http://signup.method.me/methodcrm/?_gl=1*tadn03*_gcl_au*MzI3MjI2NTA0LjE3NjQ1ODE4MzY.*_ga*MTY3MzA1MDk0Ny4xNzY0NTgxODM2*_ga_L2HEZNW53E*czE3NjQ1ODE4MzYkbzEkZzAkdDE3NjQ1ODE4MzYkajYwJGwwJGgxMzI4NDE3NTYx&amp;_ga=2.257828680.2126641555.1764581836-1673050947.1764581836</v>
      </c>
      <c r="BI660" s="8" t="str">
        <f>IFERROR(__xludf.DUMMYFUNCTION("VLOOKUP(REGEXREPLACE(BH660,""[?].*"",""""),ContentBuckets!A:C,2,FALSE)"),"#N/A")</f>
        <v>#N/A</v>
      </c>
      <c r="BJ660" s="8" t="str">
        <f>IFERROR(__xludf.DUMMYFUNCTION("VLOOKUP(REGEXREPLACE(BH660,""[?].*"",""""),ContentBuckets!A:C,3,FALSE)"),"#N/A")</f>
        <v>#N/A</v>
      </c>
    </row>
    <row r="661" ht="14.25" customHeight="1">
      <c r="A661" s="1">
        <v>153958.0</v>
      </c>
      <c r="B661" s="1" t="s">
        <v>1450</v>
      </c>
      <c r="C661" s="2">
        <v>46022.2402777778</v>
      </c>
      <c r="D661" s="2"/>
      <c r="E661" s="2"/>
      <c r="F661" s="1" t="b">
        <v>1</v>
      </c>
      <c r="G661" s="4" t="b">
        <v>0</v>
      </c>
      <c r="H661" s="1" t="b">
        <v>0</v>
      </c>
      <c r="I661" s="1" t="b">
        <v>0</v>
      </c>
      <c r="J661" s="1" t="s">
        <v>534</v>
      </c>
      <c r="K661" s="1" t="s">
        <v>905</v>
      </c>
      <c r="L661" s="1" t="s">
        <v>536</v>
      </c>
      <c r="M661" s="1" t="s">
        <v>537</v>
      </c>
      <c r="N661" s="1">
        <v>0.0</v>
      </c>
      <c r="O661" s="1">
        <v>44.25</v>
      </c>
      <c r="P661" s="1">
        <v>0.0</v>
      </c>
      <c r="Q661" s="1">
        <v>0.0</v>
      </c>
      <c r="R661" s="1">
        <v>28.0</v>
      </c>
      <c r="S661" s="1" t="s">
        <v>538</v>
      </c>
      <c r="T661" s="1" t="s">
        <v>539</v>
      </c>
      <c r="V661" s="4">
        <v>7540010.0</v>
      </c>
      <c r="W661" s="4"/>
      <c r="X661" s="4">
        <v>0.0</v>
      </c>
      <c r="Y661" s="1">
        <v>0.0</v>
      </c>
      <c r="Z661" s="1">
        <v>1.0</v>
      </c>
      <c r="AA661" s="1">
        <v>0.0</v>
      </c>
      <c r="AB661" s="1">
        <v>0.0</v>
      </c>
      <c r="AC661" s="1">
        <v>0.0</v>
      </c>
      <c r="AD661" s="1">
        <v>0.0</v>
      </c>
      <c r="AE661" s="1">
        <v>0.0</v>
      </c>
      <c r="AF661" s="1">
        <v>0.0</v>
      </c>
      <c r="AG661" s="1">
        <v>0.0</v>
      </c>
      <c r="AH661" s="1">
        <v>0.0</v>
      </c>
      <c r="AI661" s="1">
        <v>0.0</v>
      </c>
      <c r="AJ661" s="1">
        <v>0.0</v>
      </c>
      <c r="AK661" s="1">
        <v>0.0</v>
      </c>
      <c r="AL661" s="1">
        <v>0.0</v>
      </c>
      <c r="AM661" s="4">
        <v>0.0</v>
      </c>
      <c r="AN661" s="1">
        <v>0.0</v>
      </c>
      <c r="AO661" s="4">
        <v>0.0</v>
      </c>
      <c r="AP661" s="1">
        <f t="shared" si="1"/>
        <v>0</v>
      </c>
      <c r="AQ661" s="1" t="s">
        <v>557</v>
      </c>
      <c r="AR661" s="1" t="s">
        <v>608</v>
      </c>
      <c r="AU661" s="2">
        <v>46022.0</v>
      </c>
      <c r="AV661" s="2">
        <v>46024.0319444444</v>
      </c>
      <c r="AW661" s="1">
        <v>0.0</v>
      </c>
      <c r="AX661" s="1">
        <v>29604.0</v>
      </c>
      <c r="AY661" s="1">
        <v>21.0</v>
      </c>
      <c r="AZ661" s="1">
        <v>1.0</v>
      </c>
      <c r="BA661" s="1">
        <v>0.0</v>
      </c>
      <c r="BB661" s="1">
        <v>0.0</v>
      </c>
      <c r="BC661" s="2">
        <v>46022.0</v>
      </c>
      <c r="BD661" s="1">
        <v>52.0</v>
      </c>
      <c r="BE661" s="1" t="s">
        <v>550</v>
      </c>
      <c r="BF661" s="1">
        <v>2025.0</v>
      </c>
      <c r="BG661" s="1" t="s">
        <v>558</v>
      </c>
      <c r="BH661" s="7" t="str">
        <f>VLOOKUP(B661,CookieClicks!D:O,12,FALSE)</f>
        <v>https://signup.method.me/QBOAppstoreSignup?offering=proposals</v>
      </c>
      <c r="BI661" s="8" t="str">
        <f>IFERROR(__xludf.DUMMYFUNCTION("VLOOKUP(REGEXREPLACE(BH661,""[?].*"",""""),ContentBuckets!A:C,2,FALSE)"),"#N/A")</f>
        <v>#N/A</v>
      </c>
      <c r="BJ661" s="8" t="str">
        <f>IFERROR(__xludf.DUMMYFUNCTION("VLOOKUP(REGEXREPLACE(BH661,""[?].*"",""""),ContentBuckets!A:C,3,FALSE)"),"#N/A")</f>
        <v>#N/A</v>
      </c>
    </row>
    <row r="662" ht="14.25" customHeight="1">
      <c r="A662" s="1">
        <v>153959.0</v>
      </c>
      <c r="B662" s="1" t="s">
        <v>1451</v>
      </c>
      <c r="C662" s="2">
        <v>46022.3381944444</v>
      </c>
      <c r="D662" s="2"/>
      <c r="E662" s="2"/>
      <c r="F662" s="1" t="b">
        <v>1</v>
      </c>
      <c r="G662" s="4" t="b">
        <v>0</v>
      </c>
      <c r="H662" s="1" t="b">
        <v>0</v>
      </c>
      <c r="I662" s="1" t="b">
        <v>0</v>
      </c>
      <c r="J662" s="1" t="s">
        <v>534</v>
      </c>
      <c r="K662" s="1" t="s">
        <v>553</v>
      </c>
      <c r="L662" s="1" t="s">
        <v>554</v>
      </c>
      <c r="M662" s="1" t="s">
        <v>537</v>
      </c>
      <c r="N662" s="1">
        <v>0.0</v>
      </c>
      <c r="O662" s="1">
        <v>44.25</v>
      </c>
      <c r="P662" s="1">
        <v>0.0</v>
      </c>
      <c r="Q662" s="1">
        <v>0.0</v>
      </c>
      <c r="R662" s="1">
        <v>0.0</v>
      </c>
      <c r="S662" s="1" t="s">
        <v>538</v>
      </c>
      <c r="T662" s="1" t="s">
        <v>539</v>
      </c>
      <c r="V662" s="4">
        <v>7540439.0</v>
      </c>
      <c r="W662" s="4" t="s">
        <v>653</v>
      </c>
      <c r="X662" s="4">
        <v>0.0</v>
      </c>
      <c r="Y662" s="1">
        <v>1.0</v>
      </c>
      <c r="Z662" s="1">
        <v>0.0</v>
      </c>
      <c r="AA662" s="1">
        <v>0.0</v>
      </c>
      <c r="AB662" s="1">
        <v>0.0</v>
      </c>
      <c r="AC662" s="1">
        <v>0.0</v>
      </c>
      <c r="AD662" s="1">
        <v>0.0</v>
      </c>
      <c r="AE662" s="1">
        <v>0.0</v>
      </c>
      <c r="AF662" s="1">
        <v>0.0</v>
      </c>
      <c r="AG662" s="1">
        <v>0.0</v>
      </c>
      <c r="AH662" s="1">
        <v>0.0</v>
      </c>
      <c r="AI662" s="1">
        <v>0.0</v>
      </c>
      <c r="AJ662" s="1">
        <v>0.0</v>
      </c>
      <c r="AK662" s="1">
        <v>0.0</v>
      </c>
      <c r="AL662" s="1">
        <v>0.0</v>
      </c>
      <c r="AM662" s="4">
        <v>0.0</v>
      </c>
      <c r="AN662" s="1">
        <v>0.0</v>
      </c>
      <c r="AO662" s="4">
        <v>0.0</v>
      </c>
      <c r="AP662" s="1">
        <f t="shared" si="1"/>
        <v>0</v>
      </c>
      <c r="AU662" s="2"/>
      <c r="AV662" s="2">
        <v>46024.0145833333</v>
      </c>
      <c r="AW662" s="1">
        <v>0.0</v>
      </c>
      <c r="AX662" s="1">
        <v>0.0</v>
      </c>
      <c r="AY662" s="1">
        <v>0.0</v>
      </c>
      <c r="AZ662" s="1">
        <v>1.0</v>
      </c>
      <c r="BA662" s="1">
        <v>0.0</v>
      </c>
      <c r="BB662" s="1">
        <v>0.0</v>
      </c>
      <c r="BC662" s="2">
        <v>46022.0</v>
      </c>
      <c r="BD662" s="1">
        <v>52.0</v>
      </c>
      <c r="BE662" s="1" t="s">
        <v>550</v>
      </c>
      <c r="BF662" s="1">
        <v>2025.0</v>
      </c>
      <c r="BG662" s="1" t="s">
        <v>828</v>
      </c>
      <c r="BH662" s="7" t="str">
        <f>VLOOKUP(B662,CookieClicks!D:O,12,FALSE)</f>
        <v>https://signin.method.me/</v>
      </c>
      <c r="BI662" s="8" t="str">
        <f>IFERROR(__xludf.DUMMYFUNCTION("VLOOKUP(REGEXREPLACE(BH662,""[?].*"",""""),ContentBuckets!A:C,2,FALSE)"),"#N/A")</f>
        <v>#N/A</v>
      </c>
      <c r="BJ662" s="8" t="str">
        <f>IFERROR(__xludf.DUMMYFUNCTION("VLOOKUP(REGEXREPLACE(BH662,""[?].*"",""""),ContentBuckets!A:C,3,FALSE)"),"#N/A")</f>
        <v>#N/A</v>
      </c>
    </row>
    <row r="663" ht="14.25" customHeight="1">
      <c r="A663" s="1">
        <v>153961.0</v>
      </c>
      <c r="B663" s="1" t="s">
        <v>1452</v>
      </c>
      <c r="C663" s="2">
        <v>46022.3902777778</v>
      </c>
      <c r="D663" s="2"/>
      <c r="E663" s="2"/>
      <c r="F663" s="1" t="b">
        <v>1</v>
      </c>
      <c r="G663" s="4" t="b">
        <v>0</v>
      </c>
      <c r="H663" s="1" t="b">
        <v>0</v>
      </c>
      <c r="I663" s="1" t="b">
        <v>0</v>
      </c>
      <c r="J663" s="1" t="s">
        <v>534</v>
      </c>
      <c r="K663" s="1" t="s">
        <v>535</v>
      </c>
      <c r="L663" s="1" t="s">
        <v>536</v>
      </c>
      <c r="M663" s="1" t="s">
        <v>537</v>
      </c>
      <c r="N663" s="1">
        <v>0.0</v>
      </c>
      <c r="O663" s="1">
        <v>191.25</v>
      </c>
      <c r="P663" s="1">
        <v>0.0</v>
      </c>
      <c r="Q663" s="1">
        <v>0.0</v>
      </c>
      <c r="R663" s="1">
        <v>28.0</v>
      </c>
      <c r="S663" s="1" t="s">
        <v>538</v>
      </c>
      <c r="T663" s="1" t="s">
        <v>539</v>
      </c>
      <c r="V663" s="4">
        <v>7534963.0</v>
      </c>
      <c r="W663" s="4"/>
      <c r="X663" s="4">
        <v>0.0</v>
      </c>
      <c r="Y663" s="1">
        <v>0.0</v>
      </c>
      <c r="Z663" s="1">
        <v>0.0</v>
      </c>
      <c r="AA663" s="1">
        <v>0.0</v>
      </c>
      <c r="AB663" s="1">
        <v>0.0</v>
      </c>
      <c r="AC663" s="1">
        <v>0.0</v>
      </c>
      <c r="AD663" s="1">
        <v>0.0</v>
      </c>
      <c r="AE663" s="1">
        <v>0.0</v>
      </c>
      <c r="AF663" s="1">
        <v>0.0</v>
      </c>
      <c r="AG663" s="1">
        <v>0.0</v>
      </c>
      <c r="AH663" s="1">
        <v>0.0</v>
      </c>
      <c r="AI663" s="1">
        <v>0.0</v>
      </c>
      <c r="AJ663" s="1">
        <v>0.0</v>
      </c>
      <c r="AK663" s="1">
        <v>0.0</v>
      </c>
      <c r="AL663" s="1">
        <v>0.0</v>
      </c>
      <c r="AM663" s="4">
        <v>0.0</v>
      </c>
      <c r="AN663" s="1">
        <v>0.0</v>
      </c>
      <c r="AO663" s="4">
        <v>0.0</v>
      </c>
      <c r="AP663" s="1">
        <f t="shared" si="1"/>
        <v>1</v>
      </c>
      <c r="AQ663" s="1" t="s">
        <v>557</v>
      </c>
      <c r="AR663" s="1" t="s">
        <v>542</v>
      </c>
      <c r="AU663" s="2">
        <v>46022.0</v>
      </c>
      <c r="AV663" s="2">
        <v>46024.0027777778</v>
      </c>
      <c r="AW663" s="1">
        <v>8.0</v>
      </c>
      <c r="AX663" s="1">
        <v>5315183.28</v>
      </c>
      <c r="AY663" s="1">
        <v>424.0</v>
      </c>
      <c r="AZ663" s="1">
        <v>3.0</v>
      </c>
      <c r="BA663" s="1">
        <v>0.0</v>
      </c>
      <c r="BB663" s="1">
        <v>0.0</v>
      </c>
      <c r="BC663" s="2">
        <v>46022.0</v>
      </c>
      <c r="BD663" s="1">
        <v>52.0</v>
      </c>
      <c r="BE663" s="1" t="s">
        <v>550</v>
      </c>
      <c r="BF663" s="1">
        <v>2025.0</v>
      </c>
      <c r="BG663" s="1" t="s">
        <v>558</v>
      </c>
      <c r="BH663" s="7" t="str">
        <f>VLOOKUP(B663,CookieClicks!D:O,12,FALSE)</f>
        <v>http://signup.method.me/methodcrm/?_gl=1*654evd*_gcl_au*MTE1ODY5MzA2My4xNzY3MTIxMTUx*_ga*MjEzNTQwMjA1Ni4xNzY3MTIxMTUx*_ga_L2HEZNW53E*czE3NjcxMjExNTAkbzEkZzAkdDE3NjcxMjExNTAkajYwJGwwJGgxNzg3NDI0MzMz&amp;_ga=2.111371076.134714501.1767121151-2135402056.1767121151</v>
      </c>
      <c r="BI663" s="8" t="str">
        <f>IFERROR(__xludf.DUMMYFUNCTION("VLOOKUP(REGEXREPLACE(BH663,""[?].*"",""""),ContentBuckets!A:C,2,FALSE)"),"#N/A")</f>
        <v>#N/A</v>
      </c>
      <c r="BJ663" s="8" t="str">
        <f>IFERROR(__xludf.DUMMYFUNCTION("VLOOKUP(REGEXREPLACE(BH663,""[?].*"",""""),ContentBuckets!A:C,3,FALSE)"),"#N/A")</f>
        <v>#N/A</v>
      </c>
    </row>
    <row r="664" ht="14.25" customHeight="1">
      <c r="A664" s="1">
        <v>153963.0</v>
      </c>
      <c r="B664" s="1" t="s">
        <v>1453</v>
      </c>
      <c r="C664" s="2">
        <v>46022.4173611111</v>
      </c>
      <c r="D664" s="2"/>
      <c r="E664" s="2"/>
      <c r="F664" s="1" t="b">
        <v>1</v>
      </c>
      <c r="G664" s="4" t="b">
        <v>0</v>
      </c>
      <c r="H664" s="1" t="b">
        <v>0</v>
      </c>
      <c r="I664" s="1" t="b">
        <v>0</v>
      </c>
      <c r="J664" s="1" t="s">
        <v>534</v>
      </c>
      <c r="K664" s="1" t="s">
        <v>535</v>
      </c>
      <c r="L664" s="1" t="s">
        <v>536</v>
      </c>
      <c r="M664" s="1" t="s">
        <v>537</v>
      </c>
      <c r="N664" s="1">
        <v>0.0</v>
      </c>
      <c r="O664" s="1">
        <v>54.75</v>
      </c>
      <c r="P664" s="1">
        <v>0.0</v>
      </c>
      <c r="Q664" s="1">
        <v>0.0</v>
      </c>
      <c r="R664" s="1">
        <v>28.0</v>
      </c>
      <c r="S664" s="1" t="s">
        <v>538</v>
      </c>
      <c r="T664" s="1" t="s">
        <v>539</v>
      </c>
      <c r="V664" s="4">
        <v>7541300.0</v>
      </c>
      <c r="W664" s="4"/>
      <c r="X664" s="4">
        <v>0.0</v>
      </c>
      <c r="Y664" s="1">
        <v>0.0</v>
      </c>
      <c r="Z664" s="1">
        <v>0.0</v>
      </c>
      <c r="AA664" s="1">
        <v>0.0</v>
      </c>
      <c r="AB664" s="1">
        <v>0.0</v>
      </c>
      <c r="AC664" s="1">
        <v>0.0</v>
      </c>
      <c r="AD664" s="1">
        <v>0.0</v>
      </c>
      <c r="AE664" s="1">
        <v>0.0</v>
      </c>
      <c r="AF664" s="1">
        <v>0.0</v>
      </c>
      <c r="AG664" s="1">
        <v>0.0</v>
      </c>
      <c r="AH664" s="1">
        <v>0.0</v>
      </c>
      <c r="AI664" s="1">
        <v>0.0</v>
      </c>
      <c r="AJ664" s="1">
        <v>0.0</v>
      </c>
      <c r="AK664" s="1">
        <v>0.0</v>
      </c>
      <c r="AL664" s="1">
        <v>0.0</v>
      </c>
      <c r="AM664" s="4">
        <v>0.0</v>
      </c>
      <c r="AN664" s="1">
        <v>0.0</v>
      </c>
      <c r="AO664" s="4">
        <v>0.0</v>
      </c>
      <c r="AP664" s="1">
        <f t="shared" si="1"/>
        <v>1</v>
      </c>
      <c r="AQ664" s="1" t="s">
        <v>557</v>
      </c>
      <c r="AR664" s="1" t="s">
        <v>560</v>
      </c>
      <c r="AU664" s="2">
        <v>46022.0</v>
      </c>
      <c r="AV664" s="2">
        <v>46023.99375</v>
      </c>
      <c r="AW664" s="1">
        <v>0.0</v>
      </c>
      <c r="AX664" s="1">
        <v>2244827.64</v>
      </c>
      <c r="AY664" s="1">
        <v>148.0</v>
      </c>
      <c r="AZ664" s="1">
        <v>1.0</v>
      </c>
      <c r="BA664" s="1">
        <v>0.0</v>
      </c>
      <c r="BB664" s="1">
        <v>0.0</v>
      </c>
      <c r="BC664" s="2">
        <v>46022.0</v>
      </c>
      <c r="BD664" s="1">
        <v>52.0</v>
      </c>
      <c r="BE664" s="1" t="s">
        <v>550</v>
      </c>
      <c r="BF664" s="1">
        <v>2025.0</v>
      </c>
      <c r="BG664" s="1" t="s">
        <v>558</v>
      </c>
      <c r="BH664" s="7" t="str">
        <f>VLOOKUP(B664,CookieClicks!D:O,12,FALSE)</f>
        <v>https://signin.method.me/?returnUrl=https%3A%2F%2Fcladform.method.me%2Fapps%2FDefault.aspx%3Fvgo_ee%3Dwc2VVinufGwf2X3V7a3Fast2IWuir6E98%252F3xrVqC5tyRoh6hritq%253AouEQa3izuLK6kcdyfG38FmL628NdR2o%252B%23%2Fsetup%2Fchooseversion%3Futm_source%3DActiveCampaign%26utm_medium%3Demail%26utm_content%3DWelcome%2520to%2520Method%2520CRM%2521%26utm_campaign%3D%255B1414%255D%25201%25201%2520new%2520-%2520Welcome%2520to%2520Method%2520CRM%2521</v>
      </c>
      <c r="BI664" s="8" t="str">
        <f>IFERROR(__xludf.DUMMYFUNCTION("VLOOKUP(REGEXREPLACE(BH664,""[?].*"",""""),ContentBuckets!A:C,2,FALSE)"),"#N/A")</f>
        <v>#N/A</v>
      </c>
      <c r="BJ664" s="8" t="str">
        <f>IFERROR(__xludf.DUMMYFUNCTION("VLOOKUP(REGEXREPLACE(BH664,""[?].*"",""""),ContentBuckets!A:C,3,FALSE)"),"#N/A")</f>
        <v>#N/A</v>
      </c>
    </row>
    <row r="665" ht="14.25" customHeight="1">
      <c r="A665" s="1">
        <v>153966.0</v>
      </c>
      <c r="B665" s="1" t="s">
        <v>1454</v>
      </c>
      <c r="C665" s="2">
        <v>46022.4416666667</v>
      </c>
      <c r="D665" s="2"/>
      <c r="E665" s="2"/>
      <c r="F665" s="1" t="b">
        <v>1</v>
      </c>
      <c r="G665" s="4" t="b">
        <v>0</v>
      </c>
      <c r="H665" s="1" t="b">
        <v>0</v>
      </c>
      <c r="I665" s="1" t="b">
        <v>0</v>
      </c>
      <c r="J665" s="1" t="s">
        <v>534</v>
      </c>
      <c r="K665" s="1" t="s">
        <v>566</v>
      </c>
      <c r="L665" s="1" t="s">
        <v>567</v>
      </c>
      <c r="M665" s="1" t="s">
        <v>537</v>
      </c>
      <c r="N665" s="1">
        <v>0.0</v>
      </c>
      <c r="O665" s="1">
        <v>72.75</v>
      </c>
      <c r="P665" s="1">
        <v>0.0</v>
      </c>
      <c r="Q665" s="1">
        <v>0.0</v>
      </c>
      <c r="R665" s="1">
        <v>28.0</v>
      </c>
      <c r="S665" s="1" t="s">
        <v>538</v>
      </c>
      <c r="T665" s="1" t="s">
        <v>539</v>
      </c>
      <c r="V665" s="4">
        <v>7541520.0</v>
      </c>
      <c r="W665" s="4" t="s">
        <v>540</v>
      </c>
      <c r="X665" s="4">
        <v>0.0</v>
      </c>
      <c r="Y665" s="1">
        <v>1.0</v>
      </c>
      <c r="Z665" s="1">
        <v>0.0</v>
      </c>
      <c r="AA665" s="1">
        <v>0.0</v>
      </c>
      <c r="AB665" s="1">
        <v>0.0</v>
      </c>
      <c r="AC665" s="1">
        <v>0.0</v>
      </c>
      <c r="AD665" s="1">
        <v>0.0</v>
      </c>
      <c r="AE665" s="1">
        <v>0.0</v>
      </c>
      <c r="AF665" s="1">
        <v>0.0</v>
      </c>
      <c r="AG665" s="1">
        <v>0.0</v>
      </c>
      <c r="AH665" s="1">
        <v>0.0</v>
      </c>
      <c r="AI665" s="1">
        <v>0.0</v>
      </c>
      <c r="AJ665" s="1">
        <v>0.0</v>
      </c>
      <c r="AK665" s="1">
        <v>0.0</v>
      </c>
      <c r="AL665" s="1">
        <v>0.0</v>
      </c>
      <c r="AM665" s="4">
        <v>0.0</v>
      </c>
      <c r="AN665" s="1">
        <v>0.0</v>
      </c>
      <c r="AO665" s="4">
        <v>0.0</v>
      </c>
      <c r="AP665" s="1">
        <f t="shared" si="1"/>
        <v>0</v>
      </c>
      <c r="AR665" s="1" t="s">
        <v>542</v>
      </c>
      <c r="AU665" s="2"/>
      <c r="AV665" s="2">
        <v>46024.0111111111</v>
      </c>
      <c r="AW665" s="1">
        <v>0.0</v>
      </c>
      <c r="AX665" s="1">
        <v>0.0</v>
      </c>
      <c r="AY665" s="1">
        <v>0.0</v>
      </c>
      <c r="AZ665" s="1">
        <v>1.0</v>
      </c>
      <c r="BA665" s="1">
        <v>0.0</v>
      </c>
      <c r="BB665" s="1">
        <v>0.0</v>
      </c>
      <c r="BC665" s="2">
        <v>46022.0</v>
      </c>
      <c r="BD665" s="1">
        <v>52.0</v>
      </c>
      <c r="BE665" s="1" t="s">
        <v>550</v>
      </c>
      <c r="BF665" s="1">
        <v>2025.0</v>
      </c>
      <c r="BG665" s="1" t="s">
        <v>558</v>
      </c>
      <c r="BH665" s="7" t="str">
        <f>VLOOKUP(B665,CookieClicks!D:O,12,FALSE)</f>
        <v>https://www.method.me/</v>
      </c>
      <c r="BI665" s="8" t="str">
        <f>IFERROR(__xludf.DUMMYFUNCTION("VLOOKUP(REGEXREPLACE(BH665,""[?].*"",""""),ContentBuckets!A:C,2,FALSE)"),"Homepage")</f>
        <v>Homepage</v>
      </c>
      <c r="BJ665" s="8" t="str">
        <f>IFERROR(__xludf.DUMMYFUNCTION("VLOOKUP(REGEXREPLACE(BH665,""[?].*"",""""),ContentBuckets!A:C,3,FALSE)"),"Other page")</f>
        <v>Other page</v>
      </c>
    </row>
    <row r="666" ht="14.25" customHeight="1">
      <c r="A666" s="1">
        <v>153967.0</v>
      </c>
      <c r="B666" s="1" t="s">
        <v>1455</v>
      </c>
      <c r="C666" s="2">
        <v>46022.4819444444</v>
      </c>
      <c r="D666" s="2"/>
      <c r="E666" s="2"/>
      <c r="F666" s="1" t="b">
        <v>1</v>
      </c>
      <c r="G666" s="4" t="b">
        <v>0</v>
      </c>
      <c r="H666" s="1" t="b">
        <v>0</v>
      </c>
      <c r="I666" s="1" t="b">
        <v>0</v>
      </c>
      <c r="J666" s="1" t="s">
        <v>534</v>
      </c>
      <c r="K666" s="1" t="s">
        <v>535</v>
      </c>
      <c r="L666" s="1" t="s">
        <v>536</v>
      </c>
      <c r="M666" s="1" t="s">
        <v>537</v>
      </c>
      <c r="N666" s="1">
        <v>0.0</v>
      </c>
      <c r="O666" s="1">
        <v>44.25</v>
      </c>
      <c r="P666" s="1">
        <v>0.0</v>
      </c>
      <c r="Q666" s="1">
        <v>0.0</v>
      </c>
      <c r="R666" s="1">
        <v>0.0</v>
      </c>
      <c r="S666" s="1" t="s">
        <v>538</v>
      </c>
      <c r="T666" s="1" t="s">
        <v>539</v>
      </c>
      <c r="V666" s="4">
        <v>7222082.0</v>
      </c>
      <c r="W666" s="4" t="s">
        <v>540</v>
      </c>
      <c r="X666" s="4">
        <v>0.0</v>
      </c>
      <c r="Y666" s="1">
        <v>1.0</v>
      </c>
      <c r="Z666" s="1">
        <v>0.0</v>
      </c>
      <c r="AA666" s="1">
        <v>0.0</v>
      </c>
      <c r="AB666" s="1">
        <v>0.0</v>
      </c>
      <c r="AC666" s="1">
        <v>0.0</v>
      </c>
      <c r="AD666" s="1">
        <v>0.0</v>
      </c>
      <c r="AE666" s="1">
        <v>0.0</v>
      </c>
      <c r="AF666" s="1">
        <v>0.0</v>
      </c>
      <c r="AG666" s="1">
        <v>0.0</v>
      </c>
      <c r="AH666" s="1">
        <v>0.0</v>
      </c>
      <c r="AI666" s="1">
        <v>0.0</v>
      </c>
      <c r="AJ666" s="1">
        <v>0.0</v>
      </c>
      <c r="AK666" s="1">
        <v>0.0</v>
      </c>
      <c r="AL666" s="1">
        <v>0.0</v>
      </c>
      <c r="AM666" s="4">
        <v>0.0</v>
      </c>
      <c r="AN666" s="1">
        <v>0.0</v>
      </c>
      <c r="AO666" s="4">
        <v>0.0</v>
      </c>
      <c r="AP666" s="1">
        <f t="shared" si="1"/>
        <v>0</v>
      </c>
      <c r="AQ666" s="1" t="s">
        <v>557</v>
      </c>
      <c r="AT666" s="1" t="s">
        <v>1434</v>
      </c>
      <c r="AU666" s="2">
        <v>46022.0</v>
      </c>
      <c r="AV666" s="2">
        <v>46023.9916666667</v>
      </c>
      <c r="AW666" s="1">
        <v>0.0</v>
      </c>
      <c r="AX666" s="1">
        <v>0.0</v>
      </c>
      <c r="AY666" s="1">
        <v>1.0</v>
      </c>
      <c r="AZ666" s="1">
        <v>1.0</v>
      </c>
      <c r="BA666" s="1">
        <v>0.0</v>
      </c>
      <c r="BB666" s="1">
        <v>0.0</v>
      </c>
      <c r="BC666" s="2">
        <v>46022.0</v>
      </c>
      <c r="BD666" s="1">
        <v>52.0</v>
      </c>
      <c r="BE666" s="1" t="s">
        <v>550</v>
      </c>
      <c r="BF666" s="1">
        <v>2025.0</v>
      </c>
      <c r="BG666" s="1" t="s">
        <v>558</v>
      </c>
      <c r="BH666" s="7" t="str">
        <f>VLOOKUP(B666,CookieClicks!D:O,12,FALSE)</f>
        <v>https://www.method.me/</v>
      </c>
      <c r="BI666" s="8" t="str">
        <f>IFERROR(__xludf.DUMMYFUNCTION("VLOOKUP(REGEXREPLACE(BH666,""[?].*"",""""),ContentBuckets!A:C,2,FALSE)"),"Homepage")</f>
        <v>Homepage</v>
      </c>
      <c r="BJ666" s="8" t="str">
        <f>IFERROR(__xludf.DUMMYFUNCTION("VLOOKUP(REGEXREPLACE(BH666,""[?].*"",""""),ContentBuckets!A:C,3,FALSE)"),"Other page")</f>
        <v>Other page</v>
      </c>
    </row>
    <row r="667" ht="14.25" customHeight="1">
      <c r="A667" s="1">
        <v>153968.0</v>
      </c>
      <c r="B667" s="1" t="s">
        <v>1456</v>
      </c>
      <c r="C667" s="2">
        <v>46022.4986111111</v>
      </c>
      <c r="D667" s="2"/>
      <c r="E667" s="2"/>
      <c r="F667" s="1" t="b">
        <v>1</v>
      </c>
      <c r="G667" s="4" t="b">
        <v>0</v>
      </c>
      <c r="H667" s="1" t="b">
        <v>0</v>
      </c>
      <c r="I667" s="1" t="b">
        <v>0</v>
      </c>
      <c r="J667" s="1" t="s">
        <v>534</v>
      </c>
      <c r="K667" s="1" t="s">
        <v>535</v>
      </c>
      <c r="L667" s="1" t="s">
        <v>536</v>
      </c>
      <c r="M667" s="1" t="s">
        <v>537</v>
      </c>
      <c r="N667" s="1">
        <v>0.0</v>
      </c>
      <c r="O667" s="1">
        <v>44.25</v>
      </c>
      <c r="P667" s="1">
        <v>0.0</v>
      </c>
      <c r="Q667" s="1">
        <v>0.0</v>
      </c>
      <c r="R667" s="1">
        <v>0.0</v>
      </c>
      <c r="S667" s="1" t="s">
        <v>538</v>
      </c>
      <c r="T667" s="1" t="s">
        <v>539</v>
      </c>
      <c r="V667" s="4">
        <v>7386104.0</v>
      </c>
      <c r="W667" s="4" t="s">
        <v>653</v>
      </c>
      <c r="X667" s="4">
        <v>0.0</v>
      </c>
      <c r="Y667" s="1">
        <v>1.0</v>
      </c>
      <c r="Z667" s="1">
        <v>0.0</v>
      </c>
      <c r="AA667" s="1">
        <v>0.0</v>
      </c>
      <c r="AB667" s="1">
        <v>0.0</v>
      </c>
      <c r="AC667" s="1">
        <v>0.0</v>
      </c>
      <c r="AD667" s="1">
        <v>0.0</v>
      </c>
      <c r="AE667" s="1">
        <v>0.0</v>
      </c>
      <c r="AF667" s="1">
        <v>0.0</v>
      </c>
      <c r="AG667" s="1">
        <v>0.0</v>
      </c>
      <c r="AH667" s="1">
        <v>0.0</v>
      </c>
      <c r="AI667" s="1">
        <v>0.0</v>
      </c>
      <c r="AJ667" s="1">
        <v>0.0</v>
      </c>
      <c r="AK667" s="1">
        <v>0.0</v>
      </c>
      <c r="AL667" s="1">
        <v>0.0</v>
      </c>
      <c r="AM667" s="4">
        <v>0.0</v>
      </c>
      <c r="AN667" s="1">
        <v>0.0</v>
      </c>
      <c r="AO667" s="4">
        <v>0.0</v>
      </c>
      <c r="AP667" s="1">
        <f t="shared" si="1"/>
        <v>0</v>
      </c>
      <c r="AQ667" s="1" t="s">
        <v>557</v>
      </c>
      <c r="AU667" s="2">
        <v>46022.0</v>
      </c>
      <c r="AV667" s="2">
        <v>46024.0388888889</v>
      </c>
      <c r="AW667" s="1">
        <v>14.0</v>
      </c>
      <c r="AX667" s="1">
        <v>195828.96</v>
      </c>
      <c r="AY667" s="1">
        <v>2817.0</v>
      </c>
      <c r="AZ667" s="1">
        <v>1.0</v>
      </c>
      <c r="BA667" s="1">
        <v>0.0</v>
      </c>
      <c r="BB667" s="1">
        <v>0.0</v>
      </c>
      <c r="BC667" s="2">
        <v>46022.0</v>
      </c>
      <c r="BD667" s="1">
        <v>52.0</v>
      </c>
      <c r="BE667" s="1" t="s">
        <v>550</v>
      </c>
      <c r="BF667" s="1">
        <v>2025.0</v>
      </c>
      <c r="BG667" s="1" t="s">
        <v>558</v>
      </c>
      <c r="BH667" s="7" t="str">
        <f>VLOOKUP(B667,CookieClicks!D:O,12,FALSE)</f>
        <v>https://www.method.me/crm-quickbooks/integrations/</v>
      </c>
      <c r="BI667" s="8" t="str">
        <f>IFERROR(__xludf.DUMMYFUNCTION("VLOOKUP(REGEXREPLACE(BH667,""[?].*"",""""),ContentBuckets!A:C,2,FALSE)"),"/crm-quickbooks/")</f>
        <v>/crm-quickbooks/</v>
      </c>
      <c r="BJ667" s="8" t="str">
        <f>IFERROR(__xludf.DUMMYFUNCTION("VLOOKUP(REGEXREPLACE(BH667,""[?].*"",""""),ContentBuckets!A:C,3,FALSE)"),"Other page")</f>
        <v>Other page</v>
      </c>
    </row>
    <row r="668" ht="14.25" customHeight="1">
      <c r="A668" s="1">
        <v>153971.0</v>
      </c>
      <c r="B668" s="1" t="s">
        <v>1457</v>
      </c>
      <c r="C668" s="2">
        <v>46022.7298611111</v>
      </c>
      <c r="D668" s="2"/>
      <c r="E668" s="2"/>
      <c r="F668" s="1" t="b">
        <v>1</v>
      </c>
      <c r="G668" s="4" t="b">
        <v>0</v>
      </c>
      <c r="H668" s="1" t="b">
        <v>0</v>
      </c>
      <c r="I668" s="1" t="b">
        <v>0</v>
      </c>
      <c r="J668" s="1" t="s">
        <v>534</v>
      </c>
      <c r="K668" s="1" t="s">
        <v>566</v>
      </c>
      <c r="L668" s="1" t="s">
        <v>567</v>
      </c>
      <c r="M668" s="1" t="s">
        <v>537</v>
      </c>
      <c r="N668" s="1">
        <v>0.0</v>
      </c>
      <c r="O668" s="1">
        <v>54.75</v>
      </c>
      <c r="P668" s="1">
        <v>0.0</v>
      </c>
      <c r="Q668" s="1">
        <v>0.0</v>
      </c>
      <c r="R668" s="1">
        <v>28.0</v>
      </c>
      <c r="S668" s="1" t="s">
        <v>538</v>
      </c>
      <c r="T668" s="1" t="s">
        <v>539</v>
      </c>
      <c r="V668" s="4">
        <v>7544590.0</v>
      </c>
      <c r="W668" s="4"/>
      <c r="X668" s="4">
        <v>1.0</v>
      </c>
      <c r="Y668" s="1">
        <v>0.0</v>
      </c>
      <c r="Z668" s="1">
        <v>0.0</v>
      </c>
      <c r="AA668" s="1">
        <v>0.0</v>
      </c>
      <c r="AB668" s="1">
        <v>0.0</v>
      </c>
      <c r="AC668" s="1">
        <v>0.0</v>
      </c>
      <c r="AD668" s="1">
        <v>0.0</v>
      </c>
      <c r="AE668" s="1">
        <v>0.0</v>
      </c>
      <c r="AF668" s="1">
        <v>0.0</v>
      </c>
      <c r="AG668" s="1">
        <v>0.0</v>
      </c>
      <c r="AH668" s="1">
        <v>0.0</v>
      </c>
      <c r="AI668" s="1">
        <v>0.0</v>
      </c>
      <c r="AJ668" s="1">
        <v>0.0</v>
      </c>
      <c r="AK668" s="1">
        <v>0.0</v>
      </c>
      <c r="AL668" s="1">
        <v>0.0</v>
      </c>
      <c r="AM668" s="4">
        <v>0.0</v>
      </c>
      <c r="AN668" s="1">
        <v>0.0</v>
      </c>
      <c r="AO668" s="4">
        <v>0.0</v>
      </c>
      <c r="AP668" s="1">
        <f t="shared" si="1"/>
        <v>0</v>
      </c>
      <c r="AR668" s="1" t="s">
        <v>571</v>
      </c>
      <c r="AU668" s="2"/>
      <c r="AV668" s="2">
        <v>46024.0208333333</v>
      </c>
      <c r="AW668" s="1">
        <v>0.0</v>
      </c>
      <c r="AX668" s="1">
        <v>0.0</v>
      </c>
      <c r="AY668" s="1">
        <v>0.0</v>
      </c>
      <c r="AZ668" s="1">
        <v>1.0</v>
      </c>
      <c r="BA668" s="1">
        <v>0.0</v>
      </c>
      <c r="BB668" s="1">
        <v>0.0</v>
      </c>
      <c r="BC668" s="2">
        <v>46022.0</v>
      </c>
      <c r="BD668" s="1">
        <v>52.0</v>
      </c>
      <c r="BE668" s="1" t="s">
        <v>550</v>
      </c>
      <c r="BF668" s="1">
        <v>2025.0</v>
      </c>
      <c r="BG668" s="1" t="s">
        <v>558</v>
      </c>
      <c r="BH668" s="7" t="str">
        <f>VLOOKUP(B668,CookieClicks!D:O,12,FALSE)</f>
        <v>http://signup.method.me/methodcrm/?_gl=1*1rlh2k6*_gcl_au*MjA2ODA4OTkyMi4xNzUyOTc3MDUwLjIwNjQwMTg1NzUuMTc2MDAzNTgyMC4xNzYwMDM1ODU4*_ga*MTQ4NDAxOTI3My4xNzM3Mzc2NjMw*_ga_L2HEZNW53E*czE3NjAxMDg1MDUkbzIzMCRnMSR0MTc2MDExMTcyMCRqNTkkbDAkaDI1NjIxNDc3MA..&amp;_ga=2.108964354.1266372990.1759645912-1484019273.1737376630</v>
      </c>
      <c r="BI668" s="8" t="str">
        <f>IFERROR(__xludf.DUMMYFUNCTION("VLOOKUP(REGEXREPLACE(BH668,""[?].*"",""""),ContentBuckets!A:C,2,FALSE)"),"#N/A")</f>
        <v>#N/A</v>
      </c>
      <c r="BJ668" s="8" t="str">
        <f>IFERROR(__xludf.DUMMYFUNCTION("VLOOKUP(REGEXREPLACE(BH668,""[?].*"",""""),ContentBuckets!A:C,3,FALSE)"),"#N/A")</f>
        <v>#N/A</v>
      </c>
    </row>
    <row r="669" ht="14.25" customHeight="1">
      <c r="A669" s="1">
        <v>153972.0</v>
      </c>
      <c r="B669" s="1" t="s">
        <v>1458</v>
      </c>
      <c r="C669" s="2">
        <v>46022.9027777778</v>
      </c>
      <c r="D669" s="2"/>
      <c r="E669" s="2"/>
      <c r="F669" s="1" t="b">
        <v>1</v>
      </c>
      <c r="G669" s="4" t="b">
        <v>0</v>
      </c>
      <c r="H669" s="1" t="b">
        <v>0</v>
      </c>
      <c r="I669" s="1" t="b">
        <v>0</v>
      </c>
      <c r="J669" s="1" t="s">
        <v>534</v>
      </c>
      <c r="K669" s="1" t="s">
        <v>622</v>
      </c>
      <c r="L669" s="1" t="s">
        <v>623</v>
      </c>
      <c r="M669" s="1" t="s">
        <v>537</v>
      </c>
      <c r="N669" s="1">
        <v>0.0</v>
      </c>
      <c r="O669" s="1">
        <v>53.25</v>
      </c>
      <c r="P669" s="1">
        <v>0.0</v>
      </c>
      <c r="Q669" s="1">
        <v>0.0</v>
      </c>
      <c r="R669" s="1">
        <v>0.0</v>
      </c>
      <c r="S669" s="1" t="s">
        <v>538</v>
      </c>
      <c r="T669" s="1" t="s">
        <v>539</v>
      </c>
      <c r="V669" s="4">
        <v>7546463.0</v>
      </c>
      <c r="W669" s="4" t="s">
        <v>540</v>
      </c>
      <c r="X669" s="4">
        <v>0.0</v>
      </c>
      <c r="Y669" s="1">
        <v>1.0</v>
      </c>
      <c r="Z669" s="1">
        <v>0.0</v>
      </c>
      <c r="AA669" s="1">
        <v>0.0</v>
      </c>
      <c r="AB669" s="1">
        <v>0.0</v>
      </c>
      <c r="AC669" s="1">
        <v>0.0</v>
      </c>
      <c r="AD669" s="1">
        <v>0.0</v>
      </c>
      <c r="AE669" s="1">
        <v>0.0</v>
      </c>
      <c r="AF669" s="1">
        <v>0.0</v>
      </c>
      <c r="AG669" s="1">
        <v>0.0</v>
      </c>
      <c r="AH669" s="1">
        <v>0.0</v>
      </c>
      <c r="AI669" s="1">
        <v>0.0</v>
      </c>
      <c r="AJ669" s="1">
        <v>0.0</v>
      </c>
      <c r="AK669" s="1">
        <v>0.0</v>
      </c>
      <c r="AL669" s="1">
        <v>0.0</v>
      </c>
      <c r="AM669" s="4">
        <v>0.0</v>
      </c>
      <c r="AN669" s="1">
        <v>0.0</v>
      </c>
      <c r="AO669" s="4">
        <v>0.0</v>
      </c>
      <c r="AP669" s="1">
        <f t="shared" si="1"/>
        <v>0</v>
      </c>
      <c r="AU669" s="2"/>
      <c r="AV669" s="2">
        <v>46024.0277777778</v>
      </c>
      <c r="AW669" s="1">
        <v>0.0</v>
      </c>
      <c r="AX669" s="1">
        <v>0.0</v>
      </c>
      <c r="AY669" s="1">
        <v>0.0</v>
      </c>
      <c r="AZ669" s="1">
        <v>1.0</v>
      </c>
      <c r="BA669" s="1">
        <v>0.0</v>
      </c>
      <c r="BB669" s="1">
        <v>0.0</v>
      </c>
      <c r="BC669" s="2">
        <v>46022.0</v>
      </c>
      <c r="BD669" s="1">
        <v>52.0</v>
      </c>
      <c r="BE669" s="1" t="s">
        <v>550</v>
      </c>
      <c r="BF669" s="1">
        <v>2025.0</v>
      </c>
      <c r="BG669" s="1" t="s">
        <v>786</v>
      </c>
      <c r="BH669" s="7" t="str">
        <f>VLOOKUP(B669,CookieClicks!D:O,12,FALSE)</f>
        <v>https://www.method.me/features/gmail/</v>
      </c>
      <c r="BI669" s="8" t="str">
        <f>IFERROR(__xludf.DUMMYFUNCTION("VLOOKUP(REGEXREPLACE(BH669,""[?].*"",""""),ContentBuckets!A:C,2,FALSE)"),"Features page")</f>
        <v>Features page</v>
      </c>
      <c r="BJ669" s="8" t="str">
        <f>IFERROR(__xludf.DUMMYFUNCTION("VLOOKUP(REGEXREPLACE(BH669,""[?].*"",""""),ContentBuckets!A:C,3,FALSE)"),"Other page")</f>
        <v>Other page</v>
      </c>
    </row>
    <row r="670" ht="14.25" customHeight="1">
      <c r="A670" s="1">
        <v>153973.0</v>
      </c>
      <c r="B670" s="1" t="s">
        <v>1459</v>
      </c>
      <c r="C670" s="2">
        <v>46022.9277777778</v>
      </c>
      <c r="D670" s="2"/>
      <c r="E670" s="2"/>
      <c r="F670" s="1" t="b">
        <v>1</v>
      </c>
      <c r="G670" s="4" t="b">
        <v>0</v>
      </c>
      <c r="H670" s="1" t="b">
        <v>0</v>
      </c>
      <c r="I670" s="1" t="b">
        <v>0</v>
      </c>
      <c r="J670" s="1" t="s">
        <v>534</v>
      </c>
      <c r="K670" s="1" t="s">
        <v>553</v>
      </c>
      <c r="L670" s="1" t="s">
        <v>554</v>
      </c>
      <c r="M670" s="1" t="s">
        <v>537</v>
      </c>
      <c r="N670" s="1">
        <v>0.0</v>
      </c>
      <c r="O670" s="1">
        <v>44.25</v>
      </c>
      <c r="P670" s="1">
        <v>0.0</v>
      </c>
      <c r="Q670" s="1">
        <v>0.0</v>
      </c>
      <c r="R670" s="1">
        <v>28.0</v>
      </c>
      <c r="S670" s="1" t="s">
        <v>538</v>
      </c>
      <c r="T670" s="1" t="s">
        <v>539</v>
      </c>
      <c r="V670" s="4">
        <v>7546699.0</v>
      </c>
      <c r="W670" s="4" t="s">
        <v>1342</v>
      </c>
      <c r="X670" s="4">
        <v>0.0</v>
      </c>
      <c r="Y670" s="1">
        <v>1.0</v>
      </c>
      <c r="Z670" s="1">
        <v>0.0</v>
      </c>
      <c r="AA670" s="1">
        <v>0.0</v>
      </c>
      <c r="AB670" s="1">
        <v>0.0</v>
      </c>
      <c r="AC670" s="1">
        <v>0.0</v>
      </c>
      <c r="AD670" s="1">
        <v>0.0</v>
      </c>
      <c r="AE670" s="1">
        <v>0.0</v>
      </c>
      <c r="AF670" s="1">
        <v>0.0</v>
      </c>
      <c r="AG670" s="1">
        <v>0.0</v>
      </c>
      <c r="AH670" s="1">
        <v>0.0</v>
      </c>
      <c r="AI670" s="1">
        <v>0.0</v>
      </c>
      <c r="AJ670" s="1">
        <v>0.0</v>
      </c>
      <c r="AK670" s="1">
        <v>0.0</v>
      </c>
      <c r="AL670" s="1">
        <v>0.0</v>
      </c>
      <c r="AM670" s="4">
        <v>0.0</v>
      </c>
      <c r="AN670" s="1">
        <v>0.0</v>
      </c>
      <c r="AO670" s="4">
        <v>0.0</v>
      </c>
      <c r="AP670" s="1">
        <f t="shared" si="1"/>
        <v>0</v>
      </c>
      <c r="AR670" s="1" t="s">
        <v>591</v>
      </c>
      <c r="AU670" s="2"/>
      <c r="AV670" s="2">
        <v>46024.04375</v>
      </c>
      <c r="AW670" s="1">
        <v>0.0</v>
      </c>
      <c r="AX670" s="1">
        <v>0.0</v>
      </c>
      <c r="AY670" s="1">
        <v>0.0</v>
      </c>
      <c r="AZ670" s="1">
        <v>1.0</v>
      </c>
      <c r="BA670" s="1">
        <v>0.0</v>
      </c>
      <c r="BB670" s="1">
        <v>0.0</v>
      </c>
      <c r="BC670" s="2">
        <v>46022.0</v>
      </c>
      <c r="BD670" s="1">
        <v>52.0</v>
      </c>
      <c r="BE670" s="1" t="s">
        <v>550</v>
      </c>
      <c r="BF670" s="1">
        <v>2025.0</v>
      </c>
      <c r="BG670" s="1" t="s">
        <v>558</v>
      </c>
      <c r="BH670" s="7" t="str">
        <f>VLOOKUP(B670,CookieClicks!D:O,12,FALSE)</f>
        <v>https://www.method.me/blog/quickbooks-online-invoice-templates/</v>
      </c>
      <c r="BI670" s="8" t="str">
        <f>IFERROR(__xludf.DUMMYFUNCTION("VLOOKUP(REGEXREPLACE(BH670,""[?].*"",""""),ContentBuckets!A:C,2,FALSE)"),"QuickBooks - How-to")</f>
        <v>QuickBooks - How-to</v>
      </c>
      <c r="BJ670" s="8" t="str">
        <f>IFERROR(__xludf.DUMMYFUNCTION("VLOOKUP(REGEXREPLACE(BH670,""[?].*"",""""),ContentBuckets!A:C,3,FALSE)"),"Blog")</f>
        <v>Blog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15.71"/>
    <col customWidth="1" min="3" max="3" width="9.0"/>
    <col customWidth="1" min="4" max="4" width="47.57"/>
    <col customWidth="1" min="5" max="6" width="15.71"/>
    <col customWidth="1" min="7" max="7" width="9.0"/>
    <col customWidth="1" hidden="1" min="8" max="8" width="17.71"/>
    <col customWidth="1" hidden="1" min="9" max="9" width="8.71"/>
    <col customWidth="1" min="10" max="10" width="18.29"/>
    <col customWidth="1" min="11" max="11" width="28.14"/>
    <col customWidth="1" min="12" max="12" width="12.71"/>
    <col customWidth="1" min="13" max="13" width="15.14"/>
    <col customWidth="1" min="14" max="14" width="37.0"/>
    <col customWidth="1" min="15" max="15" width="93.14"/>
    <col customWidth="1" min="16" max="19" width="9.0"/>
    <col customWidth="1" min="20" max="20" width="15.71"/>
    <col customWidth="1" min="21" max="21" width="14.43"/>
    <col customWidth="1" min="22" max="22" width="9.0"/>
    <col customWidth="1" min="23" max="23" width="9.71"/>
    <col customWidth="1" min="24" max="24" width="9.0"/>
    <col customWidth="1" min="25" max="25" width="30.0"/>
    <col customWidth="1" min="26" max="30" width="8.71"/>
  </cols>
  <sheetData>
    <row r="1" ht="14.25" customHeight="1">
      <c r="A1" s="4" t="s">
        <v>1460</v>
      </c>
      <c r="B1" s="2" t="s">
        <v>1461</v>
      </c>
      <c r="C1" s="4" t="s">
        <v>492</v>
      </c>
      <c r="D1" s="4" t="s">
        <v>1462</v>
      </c>
      <c r="E1" s="2" t="s">
        <v>473</v>
      </c>
      <c r="F1" s="4" t="s">
        <v>1463</v>
      </c>
      <c r="G1" s="4" t="s">
        <v>1464</v>
      </c>
      <c r="H1" s="4" t="s">
        <v>1465</v>
      </c>
      <c r="I1" s="4" t="s">
        <v>1466</v>
      </c>
      <c r="J1" s="4" t="s">
        <v>1467</v>
      </c>
      <c r="K1" s="4" t="s">
        <v>1468</v>
      </c>
      <c r="L1" s="4" t="s">
        <v>1469</v>
      </c>
      <c r="M1" s="4" t="s">
        <v>1470</v>
      </c>
      <c r="N1" s="4" t="s">
        <v>1471</v>
      </c>
      <c r="O1" s="4" t="s">
        <v>530</v>
      </c>
      <c r="P1" s="4" t="s">
        <v>1472</v>
      </c>
      <c r="Q1" s="4" t="s">
        <v>1473</v>
      </c>
      <c r="R1" s="4" t="s">
        <v>1474</v>
      </c>
      <c r="S1" s="4" t="s">
        <v>1475</v>
      </c>
      <c r="T1" s="2" t="s">
        <v>1476</v>
      </c>
      <c r="U1" s="2" t="s">
        <v>525</v>
      </c>
      <c r="V1" s="4" t="s">
        <v>526</v>
      </c>
      <c r="W1" s="4" t="s">
        <v>527</v>
      </c>
      <c r="X1" s="4" t="s">
        <v>528</v>
      </c>
      <c r="Y1" s="4" t="s">
        <v>1477</v>
      </c>
      <c r="Z1" s="4" t="s">
        <v>1478</v>
      </c>
      <c r="AA1" s="4" t="s">
        <v>529</v>
      </c>
      <c r="AB1" s="4" t="s">
        <v>1479</v>
      </c>
      <c r="AC1" s="4" t="s">
        <v>481</v>
      </c>
      <c r="AD1" s="4" t="s">
        <v>482</v>
      </c>
    </row>
    <row r="2" ht="14.25" customHeight="1">
      <c r="A2" s="4">
        <v>7989715.0</v>
      </c>
      <c r="B2" s="2">
        <v>45991.990462963</v>
      </c>
      <c r="C2" s="4">
        <v>7217712.0</v>
      </c>
      <c r="D2" s="4" t="s">
        <v>533</v>
      </c>
      <c r="E2" s="2">
        <v>45991.9909722222</v>
      </c>
      <c r="F2" s="4">
        <v>1.0</v>
      </c>
      <c r="G2" s="4">
        <v>0.0</v>
      </c>
      <c r="H2" s="4"/>
      <c r="I2" s="4"/>
      <c r="J2" s="4" t="s">
        <v>1480</v>
      </c>
      <c r="K2" s="4" t="s">
        <v>1480</v>
      </c>
      <c r="L2" s="4" t="s">
        <v>1481</v>
      </c>
      <c r="M2" s="4" t="s">
        <v>1482</v>
      </c>
      <c r="N2" s="4" t="s">
        <v>540</v>
      </c>
      <c r="O2" s="4" t="s">
        <v>1483</v>
      </c>
      <c r="P2" s="4" t="s">
        <v>1484</v>
      </c>
      <c r="Q2" s="4" t="s">
        <v>1485</v>
      </c>
      <c r="R2" s="4" t="b">
        <v>0</v>
      </c>
      <c r="S2" s="4" t="s">
        <v>1486</v>
      </c>
      <c r="T2" s="2">
        <v>45991.9923611111</v>
      </c>
      <c r="U2" s="2">
        <v>45991.0</v>
      </c>
      <c r="V2" s="4">
        <v>47.0</v>
      </c>
      <c r="W2" s="4" t="s">
        <v>545</v>
      </c>
      <c r="X2" s="4">
        <v>2025.0</v>
      </c>
      <c r="Y2" s="4" t="s">
        <v>1487</v>
      </c>
      <c r="Z2" s="4" t="s">
        <v>541</v>
      </c>
      <c r="AA2" s="4" t="s">
        <v>546</v>
      </c>
      <c r="AB2" s="4" t="b">
        <v>0</v>
      </c>
      <c r="AC2" s="4" t="s">
        <v>536</v>
      </c>
      <c r="AD2" s="4" t="s">
        <v>537</v>
      </c>
    </row>
    <row r="3" ht="14.25" customHeight="1">
      <c r="A3" s="4">
        <v>7990183.0</v>
      </c>
      <c r="B3" s="2">
        <v>45992.1278587963</v>
      </c>
      <c r="C3" s="4">
        <v>7218180.0</v>
      </c>
      <c r="D3" s="4" t="s">
        <v>547</v>
      </c>
      <c r="E3" s="2">
        <v>45992.1291666667</v>
      </c>
      <c r="F3" s="4">
        <v>1.0</v>
      </c>
      <c r="G3" s="4">
        <v>0.0</v>
      </c>
      <c r="H3" s="4"/>
      <c r="I3" s="4"/>
      <c r="J3" s="4" t="s">
        <v>1480</v>
      </c>
      <c r="K3" s="4" t="s">
        <v>1480</v>
      </c>
      <c r="L3" s="4" t="s">
        <v>1481</v>
      </c>
      <c r="M3" s="4" t="s">
        <v>1482</v>
      </c>
      <c r="N3" s="4" t="s">
        <v>540</v>
      </c>
      <c r="O3" s="4" t="s">
        <v>1483</v>
      </c>
      <c r="P3" s="4" t="s">
        <v>1488</v>
      </c>
      <c r="Q3" s="4" t="s">
        <v>1489</v>
      </c>
      <c r="R3" s="4" t="b">
        <v>0</v>
      </c>
      <c r="S3" s="4" t="s">
        <v>1486</v>
      </c>
      <c r="T3" s="2">
        <v>45992.1305555556</v>
      </c>
      <c r="U3" s="2">
        <v>45992.0</v>
      </c>
      <c r="V3" s="4">
        <v>48.0</v>
      </c>
      <c r="W3" s="4" t="s">
        <v>550</v>
      </c>
      <c r="X3" s="4">
        <v>2025.0</v>
      </c>
      <c r="Y3" s="4" t="s">
        <v>1487</v>
      </c>
      <c r="Z3" s="4" t="s">
        <v>548</v>
      </c>
      <c r="AA3" s="4" t="s">
        <v>551</v>
      </c>
      <c r="AB3" s="4" t="b">
        <v>0</v>
      </c>
      <c r="AC3" s="4" t="s">
        <v>536</v>
      </c>
      <c r="AD3" s="4" t="s">
        <v>537</v>
      </c>
    </row>
    <row r="4" ht="14.25" customHeight="1">
      <c r="A4" s="4">
        <v>7990312.0</v>
      </c>
      <c r="B4" s="2">
        <v>45992.1751851852</v>
      </c>
      <c r="C4" s="4">
        <v>7218307.0</v>
      </c>
      <c r="D4" s="4" t="s">
        <v>552</v>
      </c>
      <c r="E4" s="2">
        <v>45992.1756944444</v>
      </c>
      <c r="F4" s="4">
        <v>1.0</v>
      </c>
      <c r="G4" s="4">
        <v>0.0</v>
      </c>
      <c r="H4" s="4"/>
      <c r="I4" s="4"/>
      <c r="J4" s="4" t="s">
        <v>1490</v>
      </c>
      <c r="K4" s="4" t="s">
        <v>542</v>
      </c>
      <c r="L4" s="4"/>
      <c r="M4" s="4" t="s">
        <v>1482</v>
      </c>
      <c r="N4" s="4" t="s">
        <v>1491</v>
      </c>
      <c r="O4" s="4" t="s">
        <v>1492</v>
      </c>
      <c r="P4" s="4" t="s">
        <v>1488</v>
      </c>
      <c r="Q4" s="4" t="s">
        <v>1493</v>
      </c>
      <c r="R4" s="4" t="b">
        <v>0</v>
      </c>
      <c r="S4" s="4" t="s">
        <v>1486</v>
      </c>
      <c r="T4" s="2">
        <v>45992.1770833333</v>
      </c>
      <c r="U4" s="2">
        <v>45992.0</v>
      </c>
      <c r="V4" s="4">
        <v>48.0</v>
      </c>
      <c r="W4" s="4" t="s">
        <v>550</v>
      </c>
      <c r="X4" s="4">
        <v>2025.0</v>
      </c>
      <c r="Y4" s="4" t="s">
        <v>1494</v>
      </c>
      <c r="Z4" s="4"/>
      <c r="AA4" s="4" t="s">
        <v>555</v>
      </c>
      <c r="AB4" s="4" t="b">
        <v>0</v>
      </c>
      <c r="AC4" s="4" t="s">
        <v>554</v>
      </c>
      <c r="AD4" s="4" t="s">
        <v>537</v>
      </c>
    </row>
    <row r="5" ht="14.25" customHeight="1">
      <c r="A5" s="4">
        <v>7976046.0</v>
      </c>
      <c r="B5" s="2">
        <v>45988.2689930556</v>
      </c>
      <c r="C5" s="4">
        <v>7204189.0</v>
      </c>
      <c r="D5" s="4" t="s">
        <v>556</v>
      </c>
      <c r="E5" s="2">
        <v>45992.3256944444</v>
      </c>
      <c r="F5" s="4">
        <v>1.0</v>
      </c>
      <c r="G5" s="4">
        <v>0.0</v>
      </c>
      <c r="H5" s="4"/>
      <c r="I5" s="4"/>
      <c r="J5" s="4" t="s">
        <v>1480</v>
      </c>
      <c r="K5" s="4" t="s">
        <v>1480</v>
      </c>
      <c r="L5" s="4" t="s">
        <v>1481</v>
      </c>
      <c r="M5" s="4" t="s">
        <v>1482</v>
      </c>
      <c r="N5" s="4" t="s">
        <v>540</v>
      </c>
      <c r="O5" s="4" t="s">
        <v>1495</v>
      </c>
      <c r="P5" s="4" t="s">
        <v>1496</v>
      </c>
      <c r="Q5" s="4" t="s">
        <v>1497</v>
      </c>
      <c r="R5" s="4" t="b">
        <v>0</v>
      </c>
      <c r="S5" s="4" t="s">
        <v>1486</v>
      </c>
      <c r="T5" s="2">
        <v>45992.3270833333</v>
      </c>
      <c r="U5" s="2">
        <v>45988.0</v>
      </c>
      <c r="V5" s="4">
        <v>47.0</v>
      </c>
      <c r="W5" s="4" t="s">
        <v>545</v>
      </c>
      <c r="X5" s="4">
        <v>2025.0</v>
      </c>
      <c r="Y5" s="4" t="s">
        <v>1487</v>
      </c>
      <c r="Z5" s="4" t="s">
        <v>557</v>
      </c>
      <c r="AA5" s="4" t="s">
        <v>558</v>
      </c>
      <c r="AB5" s="4" t="b">
        <v>0</v>
      </c>
      <c r="AC5" s="4" t="s">
        <v>536</v>
      </c>
      <c r="AD5" s="4" t="s">
        <v>537</v>
      </c>
    </row>
    <row r="6" ht="14.25" customHeight="1">
      <c r="A6" s="4">
        <v>7943172.0</v>
      </c>
      <c r="B6" s="2">
        <v>45981.3485069444</v>
      </c>
      <c r="C6" s="4">
        <v>7171808.0</v>
      </c>
      <c r="D6" s="4" t="s">
        <v>559</v>
      </c>
      <c r="E6" s="2">
        <v>45992.3361111111</v>
      </c>
      <c r="F6" s="4">
        <v>1.0</v>
      </c>
      <c r="G6" s="4">
        <v>0.0</v>
      </c>
      <c r="H6" s="4"/>
      <c r="I6" s="4"/>
      <c r="J6" s="4" t="s">
        <v>1480</v>
      </c>
      <c r="K6" s="4" t="s">
        <v>1480</v>
      </c>
      <c r="L6" s="4" t="s">
        <v>1481</v>
      </c>
      <c r="M6" s="4" t="s">
        <v>1482</v>
      </c>
      <c r="N6" s="4" t="s">
        <v>540</v>
      </c>
      <c r="O6" s="4" t="s">
        <v>1483</v>
      </c>
      <c r="P6" s="4" t="s">
        <v>1488</v>
      </c>
      <c r="Q6" s="4" t="s">
        <v>1498</v>
      </c>
      <c r="R6" s="4" t="b">
        <v>0</v>
      </c>
      <c r="S6" s="4" t="s">
        <v>1486</v>
      </c>
      <c r="T6" s="2">
        <v>45992.3375</v>
      </c>
      <c r="U6" s="2">
        <v>45981.0</v>
      </c>
      <c r="V6" s="4">
        <v>46.0</v>
      </c>
      <c r="W6" s="4" t="s">
        <v>545</v>
      </c>
      <c r="X6" s="4">
        <v>2025.0</v>
      </c>
      <c r="Y6" s="4" t="s">
        <v>1487</v>
      </c>
      <c r="Z6" s="4" t="s">
        <v>557</v>
      </c>
      <c r="AA6" s="4" t="s">
        <v>558</v>
      </c>
      <c r="AB6" s="4" t="b">
        <v>0</v>
      </c>
      <c r="AC6" s="4" t="s">
        <v>536</v>
      </c>
      <c r="AD6" s="4" t="s">
        <v>537</v>
      </c>
    </row>
    <row r="7" ht="14.25" customHeight="1">
      <c r="A7" s="4">
        <v>7940245.0</v>
      </c>
      <c r="B7" s="2">
        <v>45980.6239814815</v>
      </c>
      <c r="C7" s="4">
        <v>7168930.0</v>
      </c>
      <c r="D7" s="4" t="s">
        <v>562</v>
      </c>
      <c r="E7" s="2">
        <v>45992.3416666667</v>
      </c>
      <c r="F7" s="4">
        <v>1.0</v>
      </c>
      <c r="G7" s="4">
        <v>0.0</v>
      </c>
      <c r="H7" s="4"/>
      <c r="I7" s="4"/>
      <c r="J7" s="4" t="s">
        <v>539</v>
      </c>
      <c r="K7" s="4" t="s">
        <v>539</v>
      </c>
      <c r="L7" s="4" t="s">
        <v>1499</v>
      </c>
      <c r="M7" s="4" t="s">
        <v>1482</v>
      </c>
      <c r="N7" s="4"/>
      <c r="O7" s="4" t="s">
        <v>1500</v>
      </c>
      <c r="P7" s="4" t="s">
        <v>1496</v>
      </c>
      <c r="Q7" s="4" t="s">
        <v>1501</v>
      </c>
      <c r="R7" s="4" t="b">
        <v>0</v>
      </c>
      <c r="S7" s="4" t="s">
        <v>1486</v>
      </c>
      <c r="T7" s="2">
        <v>46000.3375</v>
      </c>
      <c r="U7" s="2">
        <v>45980.0</v>
      </c>
      <c r="V7" s="4">
        <v>46.0</v>
      </c>
      <c r="W7" s="4" t="s">
        <v>545</v>
      </c>
      <c r="X7" s="4">
        <v>2025.0</v>
      </c>
      <c r="Y7" s="4" t="s">
        <v>1502</v>
      </c>
      <c r="Z7" s="4"/>
      <c r="AA7" s="4" t="s">
        <v>558</v>
      </c>
      <c r="AB7" s="4" t="b">
        <v>1</v>
      </c>
      <c r="AC7" s="4" t="s">
        <v>554</v>
      </c>
      <c r="AD7" s="4" t="s">
        <v>537</v>
      </c>
    </row>
    <row r="8" ht="14.25" customHeight="1">
      <c r="A8" s="4">
        <v>7990876.0</v>
      </c>
      <c r="B8" s="2">
        <v>45992.3414930556</v>
      </c>
      <c r="C8" s="4">
        <v>7218855.0</v>
      </c>
      <c r="D8" s="4" t="s">
        <v>563</v>
      </c>
      <c r="E8" s="2">
        <v>45992.3465277778</v>
      </c>
      <c r="F8" s="4">
        <v>1.0</v>
      </c>
      <c r="G8" s="4">
        <v>0.0</v>
      </c>
      <c r="H8" s="4"/>
      <c r="I8" s="4"/>
      <c r="J8" s="4" t="s">
        <v>539</v>
      </c>
      <c r="K8" s="4" t="s">
        <v>539</v>
      </c>
      <c r="L8" s="4" t="s">
        <v>1499</v>
      </c>
      <c r="M8" s="4" t="s">
        <v>1482</v>
      </c>
      <c r="N8" s="4"/>
      <c r="O8" s="4" t="s">
        <v>1503</v>
      </c>
      <c r="P8" s="4" t="s">
        <v>1504</v>
      </c>
      <c r="Q8" s="4" t="s">
        <v>1505</v>
      </c>
      <c r="R8" s="4" t="b">
        <v>0</v>
      </c>
      <c r="S8" s="4" t="s">
        <v>1486</v>
      </c>
      <c r="T8" s="2">
        <v>45992.3479166667</v>
      </c>
      <c r="U8" s="2">
        <v>45992.0</v>
      </c>
      <c r="V8" s="4">
        <v>48.0</v>
      </c>
      <c r="W8" s="4" t="s">
        <v>550</v>
      </c>
      <c r="X8" s="4">
        <v>2025.0</v>
      </c>
      <c r="Y8" s="4" t="s">
        <v>1502</v>
      </c>
      <c r="Z8" s="4" t="s">
        <v>557</v>
      </c>
      <c r="AA8" s="4" t="s">
        <v>558</v>
      </c>
      <c r="AB8" s="4" t="b">
        <v>0</v>
      </c>
      <c r="AC8" s="4" t="s">
        <v>536</v>
      </c>
      <c r="AD8" s="4" t="s">
        <v>537</v>
      </c>
    </row>
    <row r="9" ht="14.25" customHeight="1">
      <c r="A9" s="4">
        <v>7940245.0</v>
      </c>
      <c r="B9" s="2">
        <v>45980.6239814815</v>
      </c>
      <c r="C9" s="4">
        <v>7168930.0</v>
      </c>
      <c r="D9" s="4" t="s">
        <v>565</v>
      </c>
      <c r="E9" s="2">
        <v>45992.3618055556</v>
      </c>
      <c r="F9" s="4">
        <v>1.0</v>
      </c>
      <c r="G9" s="4">
        <v>0.0</v>
      </c>
      <c r="H9" s="4"/>
      <c r="I9" s="4"/>
      <c r="J9" s="4" t="s">
        <v>539</v>
      </c>
      <c r="K9" s="4" t="s">
        <v>539</v>
      </c>
      <c r="L9" s="4" t="s">
        <v>1499</v>
      </c>
      <c r="M9" s="4" t="s">
        <v>1482</v>
      </c>
      <c r="N9" s="4"/>
      <c r="O9" s="4" t="s">
        <v>1500</v>
      </c>
      <c r="P9" s="4" t="s">
        <v>1496</v>
      </c>
      <c r="Q9" s="4" t="s">
        <v>1501</v>
      </c>
      <c r="R9" s="4" t="b">
        <v>0</v>
      </c>
      <c r="S9" s="4" t="s">
        <v>1486</v>
      </c>
      <c r="T9" s="2">
        <v>46000.3375</v>
      </c>
      <c r="U9" s="2">
        <v>45980.0</v>
      </c>
      <c r="V9" s="4">
        <v>46.0</v>
      </c>
      <c r="W9" s="4" t="s">
        <v>545</v>
      </c>
      <c r="X9" s="4">
        <v>2025.0</v>
      </c>
      <c r="Y9" s="4" t="s">
        <v>1502</v>
      </c>
      <c r="Z9" s="4" t="s">
        <v>557</v>
      </c>
      <c r="AA9" s="4" t="s">
        <v>558</v>
      </c>
      <c r="AB9" s="4" t="b">
        <v>1</v>
      </c>
      <c r="AC9" s="4" t="s">
        <v>567</v>
      </c>
      <c r="AD9" s="4" t="s">
        <v>537</v>
      </c>
    </row>
    <row r="10" ht="14.25" customHeight="1">
      <c r="A10" s="4">
        <v>7982156.0</v>
      </c>
      <c r="B10" s="2">
        <v>45989.6950810185</v>
      </c>
      <c r="C10" s="4">
        <v>7210242.0</v>
      </c>
      <c r="D10" s="4" t="s">
        <v>569</v>
      </c>
      <c r="E10" s="2">
        <v>45992.4159722222</v>
      </c>
      <c r="F10" s="4">
        <v>1.0</v>
      </c>
      <c r="G10" s="4">
        <v>0.0</v>
      </c>
      <c r="H10" s="4"/>
      <c r="I10" s="4"/>
      <c r="J10" s="4" t="s">
        <v>1480</v>
      </c>
      <c r="K10" s="4" t="s">
        <v>1480</v>
      </c>
      <c r="L10" s="4" t="s">
        <v>1481</v>
      </c>
      <c r="M10" s="4" t="s">
        <v>1482</v>
      </c>
      <c r="N10" s="4" t="s">
        <v>540</v>
      </c>
      <c r="O10" s="4" t="s">
        <v>1483</v>
      </c>
      <c r="P10" s="4" t="s">
        <v>1506</v>
      </c>
      <c r="Q10" s="4" t="s">
        <v>1507</v>
      </c>
      <c r="R10" s="4" t="b">
        <v>0</v>
      </c>
      <c r="S10" s="4" t="s">
        <v>1486</v>
      </c>
      <c r="T10" s="2">
        <v>45992.4173611111</v>
      </c>
      <c r="U10" s="2">
        <v>45989.0</v>
      </c>
      <c r="V10" s="4">
        <v>47.0</v>
      </c>
      <c r="W10" s="4" t="s">
        <v>545</v>
      </c>
      <c r="X10" s="4">
        <v>2025.0</v>
      </c>
      <c r="Y10" s="4" t="s">
        <v>1487</v>
      </c>
      <c r="Z10" s="4" t="s">
        <v>557</v>
      </c>
      <c r="AA10" s="4" t="s">
        <v>558</v>
      </c>
      <c r="AB10" s="4" t="b">
        <v>0</v>
      </c>
      <c r="AC10" s="4" t="s">
        <v>536</v>
      </c>
      <c r="AD10" s="4" t="s">
        <v>537</v>
      </c>
    </row>
    <row r="11" ht="14.25" customHeight="1">
      <c r="A11" s="4">
        <v>7962989.0</v>
      </c>
      <c r="B11" s="2">
        <v>45985.6315046296</v>
      </c>
      <c r="C11" s="4">
        <v>7191321.0</v>
      </c>
      <c r="D11" s="4" t="s">
        <v>570</v>
      </c>
      <c r="E11" s="2">
        <v>45992.4611111111</v>
      </c>
      <c r="F11" s="4">
        <v>1.0</v>
      </c>
      <c r="G11" s="4">
        <v>0.0</v>
      </c>
      <c r="H11" s="4"/>
      <c r="I11" s="4"/>
      <c r="J11" s="4" t="s">
        <v>1480</v>
      </c>
      <c r="K11" s="4" t="s">
        <v>1480</v>
      </c>
      <c r="L11" s="4" t="s">
        <v>1481</v>
      </c>
      <c r="M11" s="4" t="s">
        <v>1482</v>
      </c>
      <c r="N11" s="4" t="s">
        <v>540</v>
      </c>
      <c r="O11" s="4" t="s">
        <v>1483</v>
      </c>
      <c r="P11" s="4" t="s">
        <v>1488</v>
      </c>
      <c r="Q11" s="4" t="s">
        <v>1508</v>
      </c>
      <c r="R11" s="4" t="b">
        <v>0</v>
      </c>
      <c r="S11" s="4" t="s">
        <v>1486</v>
      </c>
      <c r="T11" s="2">
        <v>45992.4625</v>
      </c>
      <c r="U11" s="2">
        <v>45985.0</v>
      </c>
      <c r="V11" s="4">
        <v>47.0</v>
      </c>
      <c r="W11" s="4" t="s">
        <v>545</v>
      </c>
      <c r="X11" s="4">
        <v>2025.0</v>
      </c>
      <c r="Y11" s="4" t="s">
        <v>1487</v>
      </c>
      <c r="Z11" s="4" t="s">
        <v>557</v>
      </c>
      <c r="AA11" s="4" t="s">
        <v>558</v>
      </c>
      <c r="AB11" s="4" t="b">
        <v>0</v>
      </c>
      <c r="AC11" s="4" t="s">
        <v>536</v>
      </c>
      <c r="AD11" s="4" t="s">
        <v>537</v>
      </c>
    </row>
    <row r="12" ht="14.25" customHeight="1">
      <c r="A12" s="4">
        <v>7992024.0</v>
      </c>
      <c r="B12" s="2">
        <v>45992.4740393519</v>
      </c>
      <c r="C12" s="4">
        <v>7219935.0</v>
      </c>
      <c r="D12" s="4" t="s">
        <v>572</v>
      </c>
      <c r="E12" s="2">
        <v>45992.4763888889</v>
      </c>
      <c r="F12" s="4">
        <v>1.0</v>
      </c>
      <c r="G12" s="4">
        <v>0.0</v>
      </c>
      <c r="H12" s="4"/>
      <c r="I12" s="4"/>
      <c r="J12" s="4" t="s">
        <v>1480</v>
      </c>
      <c r="K12" s="4" t="s">
        <v>1480</v>
      </c>
      <c r="L12" s="4" t="s">
        <v>1481</v>
      </c>
      <c r="M12" s="4" t="s">
        <v>1482</v>
      </c>
      <c r="N12" s="4" t="s">
        <v>540</v>
      </c>
      <c r="O12" s="4" t="s">
        <v>1483</v>
      </c>
      <c r="P12" s="4" t="s">
        <v>1509</v>
      </c>
      <c r="Q12" s="4" t="s">
        <v>1510</v>
      </c>
      <c r="R12" s="4" t="b">
        <v>0</v>
      </c>
      <c r="S12" s="4" t="s">
        <v>1486</v>
      </c>
      <c r="T12" s="2">
        <v>45992.4777777778</v>
      </c>
      <c r="U12" s="2">
        <v>45992.0</v>
      </c>
      <c r="V12" s="4">
        <v>48.0</v>
      </c>
      <c r="W12" s="4" t="s">
        <v>550</v>
      </c>
      <c r="X12" s="4">
        <v>2025.0</v>
      </c>
      <c r="Y12" s="4" t="s">
        <v>1487</v>
      </c>
      <c r="Z12" s="4" t="s">
        <v>557</v>
      </c>
      <c r="AA12" s="4" t="s">
        <v>558</v>
      </c>
      <c r="AB12" s="4" t="b">
        <v>0</v>
      </c>
      <c r="AC12" s="4" t="s">
        <v>536</v>
      </c>
      <c r="AD12" s="4" t="s">
        <v>537</v>
      </c>
    </row>
    <row r="13" ht="14.25" customHeight="1">
      <c r="A13" s="4">
        <v>7992242.0</v>
      </c>
      <c r="B13" s="2">
        <v>45992.4968634259</v>
      </c>
      <c r="C13" s="4">
        <v>7220141.0</v>
      </c>
      <c r="D13" s="4" t="s">
        <v>573</v>
      </c>
      <c r="E13" s="2">
        <v>45992.4972222222</v>
      </c>
      <c r="F13" s="4">
        <v>1.0</v>
      </c>
      <c r="G13" s="4">
        <v>0.0</v>
      </c>
      <c r="H13" s="4" t="s">
        <v>1511</v>
      </c>
      <c r="I13" s="4" t="s">
        <v>1512</v>
      </c>
      <c r="J13" s="4" t="s">
        <v>1511</v>
      </c>
      <c r="K13" s="4" t="s">
        <v>1513</v>
      </c>
      <c r="L13" s="4" t="s">
        <v>1512</v>
      </c>
      <c r="M13" s="4" t="s">
        <v>1514</v>
      </c>
      <c r="N13" s="4" t="s">
        <v>653</v>
      </c>
      <c r="O13" s="4" t="s">
        <v>1515</v>
      </c>
      <c r="P13" s="4" t="s">
        <v>1516</v>
      </c>
      <c r="Q13" s="4" t="s">
        <v>1517</v>
      </c>
      <c r="R13" s="4" t="b">
        <v>0</v>
      </c>
      <c r="S13" s="4" t="s">
        <v>1486</v>
      </c>
      <c r="T13" s="2">
        <v>45992.4986111111</v>
      </c>
      <c r="U13" s="2">
        <v>45992.0</v>
      </c>
      <c r="V13" s="4">
        <v>48.0</v>
      </c>
      <c r="W13" s="4" t="s">
        <v>550</v>
      </c>
      <c r="X13" s="4">
        <v>2025.0</v>
      </c>
      <c r="Y13" s="4" t="s">
        <v>1518</v>
      </c>
      <c r="Z13" s="4" t="s">
        <v>557</v>
      </c>
      <c r="AA13" s="4" t="s">
        <v>558</v>
      </c>
      <c r="AB13" s="4" t="b">
        <v>0</v>
      </c>
      <c r="AC13" s="4" t="s">
        <v>536</v>
      </c>
      <c r="AD13" s="4" t="s">
        <v>537</v>
      </c>
    </row>
    <row r="14" ht="14.25" customHeight="1">
      <c r="A14" s="4">
        <v>7413817.0</v>
      </c>
      <c r="B14" s="2">
        <v>45838.5120023148</v>
      </c>
      <c r="C14" s="4">
        <v>6659644.0</v>
      </c>
      <c r="D14" s="4" t="s">
        <v>574</v>
      </c>
      <c r="E14" s="2">
        <v>45992.5173611111</v>
      </c>
      <c r="F14" s="4">
        <v>1.0</v>
      </c>
      <c r="G14" s="4">
        <v>0.0</v>
      </c>
      <c r="H14" s="4" t="s">
        <v>1519</v>
      </c>
      <c r="I14" s="4" t="s">
        <v>1520</v>
      </c>
      <c r="J14" s="4" t="s">
        <v>1519</v>
      </c>
      <c r="K14" s="4" t="s">
        <v>1513</v>
      </c>
      <c r="L14" s="4" t="s">
        <v>1520</v>
      </c>
      <c r="M14" s="4" t="s">
        <v>1521</v>
      </c>
      <c r="N14" s="4" t="s">
        <v>540</v>
      </c>
      <c r="O14" s="4" t="s">
        <v>1522</v>
      </c>
      <c r="P14" s="4" t="s">
        <v>1523</v>
      </c>
      <c r="Q14" s="4" t="s">
        <v>1524</v>
      </c>
      <c r="R14" s="4" t="b">
        <v>0</v>
      </c>
      <c r="S14" s="4" t="s">
        <v>1486</v>
      </c>
      <c r="T14" s="2">
        <v>45992.51875</v>
      </c>
      <c r="U14" s="2">
        <v>45838.0</v>
      </c>
      <c r="V14" s="4">
        <v>26.0</v>
      </c>
      <c r="W14" s="4" t="s">
        <v>1525</v>
      </c>
      <c r="X14" s="4">
        <v>2025.0</v>
      </c>
      <c r="Y14" s="4" t="s">
        <v>1518</v>
      </c>
      <c r="Z14" s="4" t="s">
        <v>557</v>
      </c>
      <c r="AA14" s="4" t="s">
        <v>558</v>
      </c>
      <c r="AB14" s="4" t="b">
        <v>0</v>
      </c>
      <c r="AC14" s="4" t="s">
        <v>536</v>
      </c>
      <c r="AD14" s="4" t="s">
        <v>537</v>
      </c>
    </row>
    <row r="15" ht="14.25" customHeight="1">
      <c r="A15" s="4">
        <v>7992525.0</v>
      </c>
      <c r="B15" s="2">
        <v>45992.5308912037</v>
      </c>
      <c r="C15" s="4">
        <v>7220412.0</v>
      </c>
      <c r="D15" s="4" t="s">
        <v>575</v>
      </c>
      <c r="E15" s="2">
        <v>45992.5319444444</v>
      </c>
      <c r="F15" s="4">
        <v>1.0</v>
      </c>
      <c r="G15" s="4">
        <v>0.0</v>
      </c>
      <c r="H15" s="4"/>
      <c r="I15" s="4"/>
      <c r="J15" s="4" t="s">
        <v>1526</v>
      </c>
      <c r="K15" s="4" t="s">
        <v>1527</v>
      </c>
      <c r="L15" s="4" t="s">
        <v>1528</v>
      </c>
      <c r="M15" s="4" t="s">
        <v>1482</v>
      </c>
      <c r="N15" s="4" t="s">
        <v>1529</v>
      </c>
      <c r="O15" s="4" t="s">
        <v>1530</v>
      </c>
      <c r="P15" s="4" t="s">
        <v>1496</v>
      </c>
      <c r="Q15" s="4" t="s">
        <v>1531</v>
      </c>
      <c r="R15" s="4" t="b">
        <v>0</v>
      </c>
      <c r="S15" s="4" t="s">
        <v>1486</v>
      </c>
      <c r="T15" s="2">
        <v>45992.5333333333</v>
      </c>
      <c r="U15" s="2">
        <v>45992.0</v>
      </c>
      <c r="V15" s="4">
        <v>48.0</v>
      </c>
      <c r="W15" s="4" t="s">
        <v>550</v>
      </c>
      <c r="X15" s="4">
        <v>2025.0</v>
      </c>
      <c r="Y15" s="4" t="s">
        <v>1532</v>
      </c>
      <c r="Z15" s="4" t="s">
        <v>557</v>
      </c>
      <c r="AA15" s="4" t="s">
        <v>558</v>
      </c>
      <c r="AB15" s="4" t="b">
        <v>0</v>
      </c>
      <c r="AC15" s="4" t="s">
        <v>536</v>
      </c>
      <c r="AD15" s="4" t="s">
        <v>537</v>
      </c>
    </row>
    <row r="16" ht="14.25" customHeight="1">
      <c r="A16" s="4">
        <v>7992707.0</v>
      </c>
      <c r="B16" s="2">
        <v>45992.5542476852</v>
      </c>
      <c r="C16" s="4">
        <v>7220589.0</v>
      </c>
      <c r="D16" s="4" t="s">
        <v>576</v>
      </c>
      <c r="E16" s="2">
        <v>45992.5597222222</v>
      </c>
      <c r="F16" s="4">
        <v>1.0</v>
      </c>
      <c r="G16" s="4">
        <v>0.0</v>
      </c>
      <c r="H16" s="4" t="s">
        <v>1519</v>
      </c>
      <c r="I16" s="4" t="s">
        <v>1533</v>
      </c>
      <c r="J16" s="4" t="s">
        <v>1519</v>
      </c>
      <c r="K16" s="4" t="s">
        <v>1513</v>
      </c>
      <c r="L16" s="4" t="s">
        <v>1533</v>
      </c>
      <c r="M16" s="4" t="s">
        <v>1534</v>
      </c>
      <c r="N16" s="4" t="s">
        <v>540</v>
      </c>
      <c r="O16" s="4" t="s">
        <v>1535</v>
      </c>
      <c r="P16" s="4" t="s">
        <v>1506</v>
      </c>
      <c r="Q16" s="4" t="s">
        <v>1536</v>
      </c>
      <c r="R16" s="4" t="b">
        <v>0</v>
      </c>
      <c r="S16" s="4" t="s">
        <v>1486</v>
      </c>
      <c r="T16" s="2">
        <v>45992.5611111111</v>
      </c>
      <c r="U16" s="2">
        <v>45992.0</v>
      </c>
      <c r="V16" s="4">
        <v>48.0</v>
      </c>
      <c r="W16" s="4" t="s">
        <v>550</v>
      </c>
      <c r="X16" s="4">
        <v>2025.0</v>
      </c>
      <c r="Y16" s="4" t="s">
        <v>1518</v>
      </c>
      <c r="Z16" s="4"/>
      <c r="AA16" s="4" t="s">
        <v>558</v>
      </c>
      <c r="AB16" s="4" t="b">
        <v>0</v>
      </c>
      <c r="AC16" s="4" t="s">
        <v>536</v>
      </c>
      <c r="AD16" s="4" t="s">
        <v>537</v>
      </c>
    </row>
    <row r="17" ht="14.25" customHeight="1">
      <c r="A17" s="4">
        <v>7929360.0</v>
      </c>
      <c r="B17" s="2">
        <v>45978.5951273148</v>
      </c>
      <c r="C17" s="4">
        <v>7158239.0</v>
      </c>
      <c r="D17" s="4" t="s">
        <v>577</v>
      </c>
      <c r="E17" s="2">
        <v>45992.5840277778</v>
      </c>
      <c r="F17" s="4">
        <v>0.0</v>
      </c>
      <c r="G17" s="4">
        <v>0.0</v>
      </c>
      <c r="H17" s="4"/>
      <c r="I17" s="4"/>
      <c r="J17" s="4"/>
      <c r="K17" s="4"/>
      <c r="L17" s="4"/>
      <c r="M17" s="4" t="s">
        <v>1482</v>
      </c>
      <c r="N17" s="4" t="s">
        <v>1537</v>
      </c>
      <c r="O17" s="4" t="s">
        <v>1538</v>
      </c>
      <c r="P17" s="4" t="s">
        <v>1496</v>
      </c>
      <c r="Q17" s="4" t="s">
        <v>1539</v>
      </c>
      <c r="R17" s="4" t="b">
        <v>1</v>
      </c>
      <c r="S17" s="4" t="s">
        <v>1486</v>
      </c>
      <c r="T17" s="2">
        <v>45992.5854166667</v>
      </c>
      <c r="U17" s="2">
        <v>45978.0</v>
      </c>
      <c r="V17" s="4">
        <v>46.0</v>
      </c>
      <c r="W17" s="4" t="s">
        <v>545</v>
      </c>
      <c r="X17" s="4">
        <v>2025.0</v>
      </c>
      <c r="Y17" s="4" t="s">
        <v>1540</v>
      </c>
      <c r="Z17" s="4" t="s">
        <v>557</v>
      </c>
      <c r="AA17" s="4" t="s">
        <v>558</v>
      </c>
      <c r="AB17" s="4" t="b">
        <v>0</v>
      </c>
      <c r="AC17" s="4" t="s">
        <v>536</v>
      </c>
      <c r="AD17" s="4" t="s">
        <v>537</v>
      </c>
    </row>
    <row r="18" ht="14.25" customHeight="1">
      <c r="A18" s="4">
        <v>7992930.0</v>
      </c>
      <c r="B18" s="2">
        <v>45992.5829050926</v>
      </c>
      <c r="C18" s="4">
        <v>7220805.0</v>
      </c>
      <c r="D18" s="4" t="s">
        <v>580</v>
      </c>
      <c r="E18" s="2">
        <v>45992.5840277778</v>
      </c>
      <c r="F18" s="4">
        <v>1.0</v>
      </c>
      <c r="G18" s="4">
        <v>0.0</v>
      </c>
      <c r="H18" s="4"/>
      <c r="I18" s="4"/>
      <c r="J18" s="4" t="s">
        <v>539</v>
      </c>
      <c r="K18" s="4" t="s">
        <v>539</v>
      </c>
      <c r="L18" s="4" t="s">
        <v>1499</v>
      </c>
      <c r="M18" s="4" t="s">
        <v>1482</v>
      </c>
      <c r="N18" s="4"/>
      <c r="O18" s="4" t="s">
        <v>1541</v>
      </c>
      <c r="P18" s="4" t="s">
        <v>1488</v>
      </c>
      <c r="Q18" s="4" t="s">
        <v>1542</v>
      </c>
      <c r="R18" s="4" t="b">
        <v>0</v>
      </c>
      <c r="S18" s="4" t="s">
        <v>1486</v>
      </c>
      <c r="T18" s="2">
        <v>45992.5854166667</v>
      </c>
      <c r="U18" s="2">
        <v>45992.0</v>
      </c>
      <c r="V18" s="4">
        <v>48.0</v>
      </c>
      <c r="W18" s="4" t="s">
        <v>550</v>
      </c>
      <c r="X18" s="4">
        <v>2025.0</v>
      </c>
      <c r="Y18" s="4" t="s">
        <v>1502</v>
      </c>
      <c r="Z18" s="4"/>
      <c r="AA18" s="4" t="s">
        <v>546</v>
      </c>
      <c r="AB18" s="4" t="b">
        <v>1</v>
      </c>
      <c r="AC18" s="4" t="s">
        <v>567</v>
      </c>
      <c r="AD18" s="4" t="s">
        <v>537</v>
      </c>
    </row>
    <row r="19" ht="14.25" customHeight="1">
      <c r="A19" s="4">
        <v>7993203.0</v>
      </c>
      <c r="B19" s="2">
        <v>45992.6126967593</v>
      </c>
      <c r="C19" s="4">
        <v>7221061.0</v>
      </c>
      <c r="D19" s="4" t="s">
        <v>581</v>
      </c>
      <c r="E19" s="2">
        <v>45992.6131944444</v>
      </c>
      <c r="F19" s="4">
        <v>1.0</v>
      </c>
      <c r="G19" s="4">
        <v>0.0</v>
      </c>
      <c r="H19" s="4"/>
      <c r="I19" s="4"/>
      <c r="J19" s="4" t="s">
        <v>539</v>
      </c>
      <c r="K19" s="4" t="s">
        <v>539</v>
      </c>
      <c r="L19" s="4" t="s">
        <v>1499</v>
      </c>
      <c r="M19" s="4" t="s">
        <v>1482</v>
      </c>
      <c r="N19" s="4"/>
      <c r="O19" s="4" t="s">
        <v>1543</v>
      </c>
      <c r="P19" s="4" t="s">
        <v>1544</v>
      </c>
      <c r="Q19" s="4" t="s">
        <v>1545</v>
      </c>
      <c r="R19" s="4" t="b">
        <v>0</v>
      </c>
      <c r="S19" s="4" t="s">
        <v>1486</v>
      </c>
      <c r="T19" s="2">
        <v>45992.6145833333</v>
      </c>
      <c r="U19" s="2">
        <v>45992.0</v>
      </c>
      <c r="V19" s="4">
        <v>48.0</v>
      </c>
      <c r="W19" s="4" t="s">
        <v>550</v>
      </c>
      <c r="X19" s="4">
        <v>2025.0</v>
      </c>
      <c r="Y19" s="4" t="s">
        <v>1502</v>
      </c>
      <c r="Z19" s="4"/>
      <c r="AA19" s="4" t="s">
        <v>558</v>
      </c>
      <c r="AB19" s="4" t="b">
        <v>0</v>
      </c>
      <c r="AC19" s="4" t="s">
        <v>554</v>
      </c>
      <c r="AD19" s="4" t="s">
        <v>537</v>
      </c>
    </row>
    <row r="20" ht="14.25" customHeight="1">
      <c r="A20" s="4">
        <v>7926423.0</v>
      </c>
      <c r="B20" s="2">
        <v>45978.1338194444</v>
      </c>
      <c r="C20" s="4">
        <v>7155332.0</v>
      </c>
      <c r="D20" s="4" t="s">
        <v>582</v>
      </c>
      <c r="E20" s="2">
        <v>45992.6291666667</v>
      </c>
      <c r="F20" s="4">
        <v>0.4</v>
      </c>
      <c r="G20" s="4">
        <v>0.0</v>
      </c>
      <c r="H20" s="4" t="s">
        <v>1519</v>
      </c>
      <c r="I20" s="4" t="s">
        <v>1546</v>
      </c>
      <c r="J20" s="4" t="s">
        <v>1519</v>
      </c>
      <c r="K20" s="4" t="s">
        <v>1513</v>
      </c>
      <c r="L20" s="4" t="s">
        <v>1546</v>
      </c>
      <c r="M20" s="4" t="s">
        <v>1547</v>
      </c>
      <c r="N20" s="4" t="s">
        <v>540</v>
      </c>
      <c r="O20" s="4" t="s">
        <v>1548</v>
      </c>
      <c r="P20" s="4" t="s">
        <v>1506</v>
      </c>
      <c r="Q20" s="4" t="s">
        <v>1549</v>
      </c>
      <c r="R20" s="4" t="b">
        <v>0</v>
      </c>
      <c r="S20" s="4" t="s">
        <v>1486</v>
      </c>
      <c r="T20" s="2">
        <v>45992.6305555556</v>
      </c>
      <c r="U20" s="2">
        <v>45978.0</v>
      </c>
      <c r="V20" s="4">
        <v>46.0</v>
      </c>
      <c r="W20" s="4" t="s">
        <v>545</v>
      </c>
      <c r="X20" s="4">
        <v>2025.0</v>
      </c>
      <c r="Y20" s="4" t="s">
        <v>1518</v>
      </c>
      <c r="Z20" s="4"/>
      <c r="AA20" s="4" t="s">
        <v>558</v>
      </c>
      <c r="AB20" s="4" t="b">
        <v>1</v>
      </c>
      <c r="AC20" s="4" t="s">
        <v>554</v>
      </c>
      <c r="AD20" s="4" t="s">
        <v>537</v>
      </c>
    </row>
    <row r="21" ht="14.25" customHeight="1">
      <c r="A21" s="4">
        <v>7926904.0</v>
      </c>
      <c r="B21" s="2">
        <v>45978.2922106481</v>
      </c>
      <c r="C21" s="4">
        <v>7155332.0</v>
      </c>
      <c r="D21" s="4" t="s">
        <v>582</v>
      </c>
      <c r="E21" s="2">
        <v>45992.6291666667</v>
      </c>
      <c r="F21" s="4">
        <v>0.2</v>
      </c>
      <c r="G21" s="4">
        <v>0.0</v>
      </c>
      <c r="H21" s="4" t="s">
        <v>1480</v>
      </c>
      <c r="I21" s="4" t="s">
        <v>1550</v>
      </c>
      <c r="J21" s="4" t="s">
        <v>1480</v>
      </c>
      <c r="K21" s="4" t="s">
        <v>1480</v>
      </c>
      <c r="L21" s="4" t="s">
        <v>1550</v>
      </c>
      <c r="M21" s="4" t="s">
        <v>1551</v>
      </c>
      <c r="N21" s="4" t="s">
        <v>540</v>
      </c>
      <c r="O21" s="4" t="s">
        <v>1552</v>
      </c>
      <c r="P21" s="4" t="s">
        <v>1506</v>
      </c>
      <c r="Q21" s="4" t="s">
        <v>1549</v>
      </c>
      <c r="R21" s="4" t="b">
        <v>0</v>
      </c>
      <c r="S21" s="4" t="s">
        <v>1486</v>
      </c>
      <c r="T21" s="2">
        <v>45992.6305555556</v>
      </c>
      <c r="U21" s="2">
        <v>45978.0</v>
      </c>
      <c r="V21" s="4">
        <v>46.0</v>
      </c>
      <c r="W21" s="4" t="s">
        <v>545</v>
      </c>
      <c r="X21" s="4">
        <v>2025.0</v>
      </c>
      <c r="Y21" s="4" t="s">
        <v>1518</v>
      </c>
      <c r="Z21" s="4"/>
      <c r="AA21" s="4" t="s">
        <v>558</v>
      </c>
      <c r="AB21" s="4" t="b">
        <v>1</v>
      </c>
      <c r="AC21" s="4" t="s">
        <v>554</v>
      </c>
      <c r="AD21" s="4" t="s">
        <v>537</v>
      </c>
    </row>
    <row r="22" ht="14.25" customHeight="1">
      <c r="A22" s="4">
        <v>7926905.0</v>
      </c>
      <c r="B22" s="2">
        <v>45978.2931018519</v>
      </c>
      <c r="C22" s="4">
        <v>7155332.0</v>
      </c>
      <c r="D22" s="4" t="s">
        <v>582</v>
      </c>
      <c r="E22" s="2">
        <v>45992.6291666667</v>
      </c>
      <c r="F22" s="4">
        <v>0.4</v>
      </c>
      <c r="G22" s="4">
        <v>0.0</v>
      </c>
      <c r="H22" s="4" t="s">
        <v>1480</v>
      </c>
      <c r="I22" s="4" t="s">
        <v>1550</v>
      </c>
      <c r="J22" s="4" t="s">
        <v>1480</v>
      </c>
      <c r="K22" s="4" t="s">
        <v>1480</v>
      </c>
      <c r="L22" s="4" t="s">
        <v>1550</v>
      </c>
      <c r="M22" s="4" t="s">
        <v>1551</v>
      </c>
      <c r="N22" s="4" t="s">
        <v>540</v>
      </c>
      <c r="O22" s="4" t="s">
        <v>1552</v>
      </c>
      <c r="P22" s="4" t="s">
        <v>1506</v>
      </c>
      <c r="Q22" s="4" t="s">
        <v>1549</v>
      </c>
      <c r="R22" s="4" t="b">
        <v>0</v>
      </c>
      <c r="S22" s="4" t="s">
        <v>1486</v>
      </c>
      <c r="T22" s="2">
        <v>45992.6305555556</v>
      </c>
      <c r="U22" s="2">
        <v>45978.0</v>
      </c>
      <c r="V22" s="4">
        <v>46.0</v>
      </c>
      <c r="W22" s="4" t="s">
        <v>545</v>
      </c>
      <c r="X22" s="4">
        <v>2025.0</v>
      </c>
      <c r="Y22" s="4" t="s">
        <v>1518</v>
      </c>
      <c r="Z22" s="4"/>
      <c r="AA22" s="4" t="s">
        <v>558</v>
      </c>
      <c r="AB22" s="4" t="b">
        <v>1</v>
      </c>
      <c r="AC22" s="4" t="s">
        <v>554</v>
      </c>
      <c r="AD22" s="4" t="s">
        <v>537</v>
      </c>
    </row>
    <row r="23" ht="14.25" customHeight="1">
      <c r="A23" s="4">
        <v>7993414.0</v>
      </c>
      <c r="B23" s="2">
        <v>45992.6395949074</v>
      </c>
      <c r="C23" s="4">
        <v>7221267.0</v>
      </c>
      <c r="D23" s="4" t="s">
        <v>583</v>
      </c>
      <c r="E23" s="2">
        <v>45992.6402777778</v>
      </c>
      <c r="F23" s="4">
        <v>1.0</v>
      </c>
      <c r="G23" s="4">
        <v>0.0</v>
      </c>
      <c r="H23" s="4" t="s">
        <v>1519</v>
      </c>
      <c r="I23" s="4" t="s">
        <v>1553</v>
      </c>
      <c r="J23" s="4" t="s">
        <v>1519</v>
      </c>
      <c r="K23" s="4" t="s">
        <v>1513</v>
      </c>
      <c r="L23" s="4" t="s">
        <v>1553</v>
      </c>
      <c r="M23" s="4" t="s">
        <v>1554</v>
      </c>
      <c r="N23" s="4" t="s">
        <v>540</v>
      </c>
      <c r="O23" s="4" t="s">
        <v>1555</v>
      </c>
      <c r="P23" s="4" t="s">
        <v>1506</v>
      </c>
      <c r="Q23" s="4" t="s">
        <v>1556</v>
      </c>
      <c r="R23" s="4" t="b">
        <v>0</v>
      </c>
      <c r="S23" s="4" t="s">
        <v>1486</v>
      </c>
      <c r="T23" s="2">
        <v>45992.6416666667</v>
      </c>
      <c r="U23" s="2">
        <v>45992.0</v>
      </c>
      <c r="V23" s="4">
        <v>48.0</v>
      </c>
      <c r="W23" s="4" t="s">
        <v>550</v>
      </c>
      <c r="X23" s="4">
        <v>2025.0</v>
      </c>
      <c r="Y23" s="4" t="s">
        <v>1518</v>
      </c>
      <c r="Z23" s="4" t="s">
        <v>557</v>
      </c>
      <c r="AA23" s="4" t="s">
        <v>558</v>
      </c>
      <c r="AB23" s="4" t="b">
        <v>0</v>
      </c>
      <c r="AC23" s="4" t="s">
        <v>536</v>
      </c>
      <c r="AD23" s="4" t="s">
        <v>537</v>
      </c>
    </row>
    <row r="24" ht="14.25" customHeight="1">
      <c r="A24" s="4">
        <v>7798735.0</v>
      </c>
      <c r="B24" s="2">
        <v>45951.6426851852</v>
      </c>
      <c r="C24" s="4">
        <v>7034286.0</v>
      </c>
      <c r="D24" s="4" t="s">
        <v>585</v>
      </c>
      <c r="E24" s="2">
        <v>45992.6868055556</v>
      </c>
      <c r="F24" s="4">
        <v>1.0</v>
      </c>
      <c r="G24" s="4">
        <v>0.0</v>
      </c>
      <c r="H24" s="4"/>
      <c r="I24" s="4"/>
      <c r="J24" s="4" t="s">
        <v>1480</v>
      </c>
      <c r="K24" s="4" t="s">
        <v>1480</v>
      </c>
      <c r="L24" s="4" t="s">
        <v>1481</v>
      </c>
      <c r="M24" s="4" t="s">
        <v>1482</v>
      </c>
      <c r="N24" s="4" t="s">
        <v>540</v>
      </c>
      <c r="O24" s="4" t="s">
        <v>1557</v>
      </c>
      <c r="P24" s="4" t="s">
        <v>1558</v>
      </c>
      <c r="Q24" s="4" t="s">
        <v>1559</v>
      </c>
      <c r="R24" s="4" t="b">
        <v>0</v>
      </c>
      <c r="S24" s="4" t="s">
        <v>1486</v>
      </c>
      <c r="T24" s="2">
        <v>45992.6881944444</v>
      </c>
      <c r="U24" s="2">
        <v>45951.0</v>
      </c>
      <c r="V24" s="4">
        <v>42.0</v>
      </c>
      <c r="W24" s="4" t="s">
        <v>1560</v>
      </c>
      <c r="X24" s="4">
        <v>2025.0</v>
      </c>
      <c r="Y24" s="4" t="s">
        <v>1487</v>
      </c>
      <c r="Z24" s="4" t="s">
        <v>557</v>
      </c>
      <c r="AA24" s="4" t="s">
        <v>558</v>
      </c>
      <c r="AB24" s="4" t="b">
        <v>0</v>
      </c>
      <c r="AC24" s="4" t="s">
        <v>536</v>
      </c>
      <c r="AD24" s="4" t="s">
        <v>537</v>
      </c>
    </row>
    <row r="25" ht="14.25" customHeight="1">
      <c r="A25" s="4">
        <v>7776004.0</v>
      </c>
      <c r="B25" s="2">
        <v>45946.6761921296</v>
      </c>
      <c r="C25" s="4">
        <v>7012113.0</v>
      </c>
      <c r="D25" s="4" t="s">
        <v>587</v>
      </c>
      <c r="E25" s="2">
        <v>45992.76875</v>
      </c>
      <c r="F25" s="4">
        <v>0.4</v>
      </c>
      <c r="G25" s="4">
        <v>0.0</v>
      </c>
      <c r="H25" s="4"/>
      <c r="I25" s="4"/>
      <c r="J25" s="4" t="s">
        <v>1480</v>
      </c>
      <c r="K25" s="4" t="s">
        <v>1480</v>
      </c>
      <c r="L25" s="4" t="s">
        <v>1561</v>
      </c>
      <c r="M25" s="4" t="s">
        <v>1482</v>
      </c>
      <c r="N25" s="4" t="s">
        <v>588</v>
      </c>
      <c r="O25" s="4" t="s">
        <v>1483</v>
      </c>
      <c r="P25" s="4" t="s">
        <v>1562</v>
      </c>
      <c r="Q25" s="4" t="s">
        <v>1563</v>
      </c>
      <c r="R25" s="4" t="b">
        <v>0</v>
      </c>
      <c r="S25" s="4" t="s">
        <v>1486</v>
      </c>
      <c r="T25" s="2">
        <v>45992.7701388889</v>
      </c>
      <c r="U25" s="2">
        <v>45946.0</v>
      </c>
      <c r="V25" s="4">
        <v>41.0</v>
      </c>
      <c r="W25" s="4" t="s">
        <v>1560</v>
      </c>
      <c r="X25" s="4">
        <v>2025.0</v>
      </c>
      <c r="Y25" s="4" t="s">
        <v>1564</v>
      </c>
      <c r="Z25" s="4" t="s">
        <v>557</v>
      </c>
      <c r="AA25" s="4" t="s">
        <v>558</v>
      </c>
      <c r="AB25" s="4" t="b">
        <v>0</v>
      </c>
      <c r="AC25" s="4" t="s">
        <v>567</v>
      </c>
      <c r="AD25" s="4" t="s">
        <v>537</v>
      </c>
    </row>
    <row r="26" ht="14.25" customHeight="1">
      <c r="A26" s="4">
        <v>7906804.0</v>
      </c>
      <c r="B26" s="2">
        <v>45973.7665393519</v>
      </c>
      <c r="C26" s="4">
        <v>7012113.0</v>
      </c>
      <c r="D26" s="4" t="s">
        <v>587</v>
      </c>
      <c r="E26" s="2">
        <v>45992.76875</v>
      </c>
      <c r="F26" s="4">
        <v>0.0182</v>
      </c>
      <c r="G26" s="4">
        <v>0.0</v>
      </c>
      <c r="H26" s="4" t="s">
        <v>1565</v>
      </c>
      <c r="I26" s="4" t="s">
        <v>1566</v>
      </c>
      <c r="J26" s="4" t="s">
        <v>1565</v>
      </c>
      <c r="K26" s="4" t="s">
        <v>1567</v>
      </c>
      <c r="L26" s="4" t="s">
        <v>1566</v>
      </c>
      <c r="M26" s="4" t="s">
        <v>1568</v>
      </c>
      <c r="N26" s="4"/>
      <c r="O26" s="4" t="s">
        <v>1569</v>
      </c>
      <c r="P26" s="4" t="s">
        <v>1562</v>
      </c>
      <c r="Q26" s="4" t="s">
        <v>1563</v>
      </c>
      <c r="R26" s="4" t="b">
        <v>0</v>
      </c>
      <c r="S26" s="4" t="s">
        <v>1486</v>
      </c>
      <c r="T26" s="2">
        <v>45992.7701388889</v>
      </c>
      <c r="U26" s="2">
        <v>45973.0</v>
      </c>
      <c r="V26" s="4">
        <v>45.0</v>
      </c>
      <c r="W26" s="4" t="s">
        <v>545</v>
      </c>
      <c r="X26" s="4">
        <v>2025.0</v>
      </c>
      <c r="Y26" s="4" t="s">
        <v>1518</v>
      </c>
      <c r="Z26" s="4" t="s">
        <v>557</v>
      </c>
      <c r="AA26" s="4" t="s">
        <v>558</v>
      </c>
      <c r="AB26" s="4" t="b">
        <v>0</v>
      </c>
      <c r="AC26" s="4" t="s">
        <v>567</v>
      </c>
      <c r="AD26" s="4" t="s">
        <v>537</v>
      </c>
    </row>
    <row r="27" ht="14.25" customHeight="1">
      <c r="A27" s="4">
        <v>7934299.0</v>
      </c>
      <c r="B27" s="2">
        <v>45979.4859953704</v>
      </c>
      <c r="C27" s="4">
        <v>7012113.0</v>
      </c>
      <c r="D27" s="4" t="s">
        <v>587</v>
      </c>
      <c r="E27" s="2">
        <v>45992.76875</v>
      </c>
      <c r="F27" s="4">
        <v>0.0182</v>
      </c>
      <c r="G27" s="4">
        <v>0.0</v>
      </c>
      <c r="H27" s="4" t="s">
        <v>1565</v>
      </c>
      <c r="I27" s="4" t="s">
        <v>1570</v>
      </c>
      <c r="J27" s="4" t="s">
        <v>1565</v>
      </c>
      <c r="K27" s="4" t="s">
        <v>1567</v>
      </c>
      <c r="L27" s="4" t="s">
        <v>1570</v>
      </c>
      <c r="M27" s="4" t="s">
        <v>1571</v>
      </c>
      <c r="N27" s="4"/>
      <c r="O27" s="4" t="s">
        <v>1572</v>
      </c>
      <c r="P27" s="4" t="s">
        <v>1562</v>
      </c>
      <c r="Q27" s="4" t="s">
        <v>1563</v>
      </c>
      <c r="R27" s="4" t="b">
        <v>0</v>
      </c>
      <c r="S27" s="4" t="s">
        <v>1486</v>
      </c>
      <c r="T27" s="2">
        <v>45992.7701388889</v>
      </c>
      <c r="U27" s="2">
        <v>45979.0</v>
      </c>
      <c r="V27" s="4">
        <v>46.0</v>
      </c>
      <c r="W27" s="4" t="s">
        <v>545</v>
      </c>
      <c r="X27" s="4">
        <v>2025.0</v>
      </c>
      <c r="Y27" s="4" t="s">
        <v>1518</v>
      </c>
      <c r="Z27" s="4" t="s">
        <v>557</v>
      </c>
      <c r="AA27" s="4" t="s">
        <v>558</v>
      </c>
      <c r="AB27" s="4" t="b">
        <v>0</v>
      </c>
      <c r="AC27" s="4" t="s">
        <v>567</v>
      </c>
      <c r="AD27" s="4" t="s">
        <v>537</v>
      </c>
    </row>
    <row r="28" ht="14.25" customHeight="1">
      <c r="A28" s="4">
        <v>7940650.0</v>
      </c>
      <c r="B28" s="2">
        <v>45980.6848842593</v>
      </c>
      <c r="C28" s="4">
        <v>7012113.0</v>
      </c>
      <c r="D28" s="4" t="s">
        <v>587</v>
      </c>
      <c r="E28" s="2">
        <v>45992.76875</v>
      </c>
      <c r="F28" s="4">
        <v>0.0182</v>
      </c>
      <c r="G28" s="4">
        <v>0.0</v>
      </c>
      <c r="H28" s="4" t="s">
        <v>1565</v>
      </c>
      <c r="I28" s="4" t="s">
        <v>1570</v>
      </c>
      <c r="J28" s="4" t="s">
        <v>1565</v>
      </c>
      <c r="K28" s="4" t="s">
        <v>1567</v>
      </c>
      <c r="L28" s="4" t="s">
        <v>1570</v>
      </c>
      <c r="M28" s="4" t="s">
        <v>1571</v>
      </c>
      <c r="N28" s="4"/>
      <c r="O28" s="4" t="s">
        <v>1572</v>
      </c>
      <c r="P28" s="4" t="s">
        <v>1562</v>
      </c>
      <c r="Q28" s="4" t="s">
        <v>1563</v>
      </c>
      <c r="R28" s="4" t="b">
        <v>0</v>
      </c>
      <c r="S28" s="4" t="s">
        <v>1486</v>
      </c>
      <c r="T28" s="2">
        <v>45992.7701388889</v>
      </c>
      <c r="U28" s="2">
        <v>45980.0</v>
      </c>
      <c r="V28" s="4">
        <v>46.0</v>
      </c>
      <c r="W28" s="4" t="s">
        <v>545</v>
      </c>
      <c r="X28" s="4">
        <v>2025.0</v>
      </c>
      <c r="Y28" s="4" t="s">
        <v>1518</v>
      </c>
      <c r="Z28" s="4" t="s">
        <v>557</v>
      </c>
      <c r="AA28" s="4" t="s">
        <v>558</v>
      </c>
      <c r="AB28" s="4" t="b">
        <v>0</v>
      </c>
      <c r="AC28" s="4" t="s">
        <v>567</v>
      </c>
      <c r="AD28" s="4" t="s">
        <v>537</v>
      </c>
    </row>
    <row r="29" ht="14.25" customHeight="1">
      <c r="A29" s="4">
        <v>7943751.0</v>
      </c>
      <c r="B29" s="2">
        <v>45981.4253935185</v>
      </c>
      <c r="C29" s="4">
        <v>7012113.0</v>
      </c>
      <c r="D29" s="4" t="s">
        <v>587</v>
      </c>
      <c r="E29" s="2">
        <v>45992.76875</v>
      </c>
      <c r="F29" s="4">
        <v>0.0182</v>
      </c>
      <c r="G29" s="4">
        <v>0.0</v>
      </c>
      <c r="H29" s="4" t="s">
        <v>1565</v>
      </c>
      <c r="I29" s="4" t="s">
        <v>1570</v>
      </c>
      <c r="J29" s="4" t="s">
        <v>1565</v>
      </c>
      <c r="K29" s="4" t="s">
        <v>1567</v>
      </c>
      <c r="L29" s="4" t="s">
        <v>1570</v>
      </c>
      <c r="M29" s="4" t="s">
        <v>1571</v>
      </c>
      <c r="N29" s="4"/>
      <c r="O29" s="4" t="s">
        <v>1572</v>
      </c>
      <c r="P29" s="4" t="s">
        <v>1562</v>
      </c>
      <c r="Q29" s="4" t="s">
        <v>1563</v>
      </c>
      <c r="R29" s="4" t="b">
        <v>0</v>
      </c>
      <c r="S29" s="4" t="s">
        <v>1486</v>
      </c>
      <c r="T29" s="2">
        <v>45992.7701388889</v>
      </c>
      <c r="U29" s="2">
        <v>45981.0</v>
      </c>
      <c r="V29" s="4">
        <v>46.0</v>
      </c>
      <c r="W29" s="4" t="s">
        <v>545</v>
      </c>
      <c r="X29" s="4">
        <v>2025.0</v>
      </c>
      <c r="Y29" s="4" t="s">
        <v>1518</v>
      </c>
      <c r="Z29" s="4" t="s">
        <v>557</v>
      </c>
      <c r="AA29" s="4" t="s">
        <v>558</v>
      </c>
      <c r="AB29" s="4" t="b">
        <v>0</v>
      </c>
      <c r="AC29" s="4" t="s">
        <v>567</v>
      </c>
      <c r="AD29" s="4" t="s">
        <v>537</v>
      </c>
    </row>
    <row r="30" ht="14.25" customHeight="1">
      <c r="A30" s="4">
        <v>7967284.0</v>
      </c>
      <c r="B30" s="2">
        <v>45986.5606712963</v>
      </c>
      <c r="C30" s="4">
        <v>7012113.0</v>
      </c>
      <c r="D30" s="4" t="s">
        <v>587</v>
      </c>
      <c r="E30" s="2">
        <v>45992.76875</v>
      </c>
      <c r="F30" s="4">
        <v>0.0182</v>
      </c>
      <c r="G30" s="4">
        <v>0.0</v>
      </c>
      <c r="H30" s="4" t="s">
        <v>1565</v>
      </c>
      <c r="I30" s="4" t="s">
        <v>1570</v>
      </c>
      <c r="J30" s="4" t="s">
        <v>1565</v>
      </c>
      <c r="K30" s="4" t="s">
        <v>1567</v>
      </c>
      <c r="L30" s="4" t="s">
        <v>1570</v>
      </c>
      <c r="M30" s="4" t="s">
        <v>1573</v>
      </c>
      <c r="N30" s="4"/>
      <c r="O30" s="4" t="s">
        <v>1574</v>
      </c>
      <c r="P30" s="4" t="s">
        <v>1506</v>
      </c>
      <c r="Q30" s="4" t="s">
        <v>1563</v>
      </c>
      <c r="R30" s="4" t="b">
        <v>0</v>
      </c>
      <c r="S30" s="4" t="s">
        <v>1486</v>
      </c>
      <c r="T30" s="2">
        <v>45992.7701388889</v>
      </c>
      <c r="U30" s="2">
        <v>45986.0</v>
      </c>
      <c r="V30" s="4">
        <v>47.0</v>
      </c>
      <c r="W30" s="4" t="s">
        <v>545</v>
      </c>
      <c r="X30" s="4">
        <v>2025.0</v>
      </c>
      <c r="Y30" s="4" t="s">
        <v>1518</v>
      </c>
      <c r="Z30" s="4" t="s">
        <v>557</v>
      </c>
      <c r="AA30" s="4" t="s">
        <v>558</v>
      </c>
      <c r="AB30" s="4" t="b">
        <v>0</v>
      </c>
      <c r="AC30" s="4" t="s">
        <v>567</v>
      </c>
      <c r="AD30" s="4" t="s">
        <v>537</v>
      </c>
    </row>
    <row r="31" ht="14.25" customHeight="1">
      <c r="A31" s="4">
        <v>7971663.0</v>
      </c>
      <c r="B31" s="2">
        <v>45987.4102430556</v>
      </c>
      <c r="C31" s="4">
        <v>7012113.0</v>
      </c>
      <c r="D31" s="4" t="s">
        <v>587</v>
      </c>
      <c r="E31" s="2">
        <v>45992.76875</v>
      </c>
      <c r="F31" s="4">
        <v>0.0182</v>
      </c>
      <c r="G31" s="4">
        <v>0.0</v>
      </c>
      <c r="H31" s="4" t="s">
        <v>1565</v>
      </c>
      <c r="I31" s="4" t="s">
        <v>1570</v>
      </c>
      <c r="J31" s="4" t="s">
        <v>1565</v>
      </c>
      <c r="K31" s="4" t="s">
        <v>1567</v>
      </c>
      <c r="L31" s="4" t="s">
        <v>1570</v>
      </c>
      <c r="M31" s="4" t="s">
        <v>1573</v>
      </c>
      <c r="N31" s="4"/>
      <c r="O31" s="4" t="s">
        <v>1574</v>
      </c>
      <c r="P31" s="4" t="s">
        <v>1506</v>
      </c>
      <c r="Q31" s="4" t="s">
        <v>1575</v>
      </c>
      <c r="R31" s="4" t="b">
        <v>0</v>
      </c>
      <c r="S31" s="4" t="s">
        <v>1486</v>
      </c>
      <c r="T31" s="2">
        <v>45992.7701388889</v>
      </c>
      <c r="U31" s="2">
        <v>45987.0</v>
      </c>
      <c r="V31" s="4">
        <v>47.0</v>
      </c>
      <c r="W31" s="4" t="s">
        <v>545</v>
      </c>
      <c r="X31" s="4">
        <v>2025.0</v>
      </c>
      <c r="Y31" s="4" t="s">
        <v>1518</v>
      </c>
      <c r="Z31" s="4" t="s">
        <v>557</v>
      </c>
      <c r="AA31" s="4" t="s">
        <v>558</v>
      </c>
      <c r="AB31" s="4" t="b">
        <v>0</v>
      </c>
      <c r="AC31" s="4" t="s">
        <v>567</v>
      </c>
      <c r="AD31" s="4" t="s">
        <v>537</v>
      </c>
    </row>
    <row r="32" ht="14.25" customHeight="1">
      <c r="A32" s="4">
        <v>7976608.0</v>
      </c>
      <c r="B32" s="2">
        <v>45988.4355902778</v>
      </c>
      <c r="C32" s="4">
        <v>7012113.0</v>
      </c>
      <c r="D32" s="4" t="s">
        <v>587</v>
      </c>
      <c r="E32" s="2">
        <v>45992.76875</v>
      </c>
      <c r="F32" s="4">
        <v>0.0182</v>
      </c>
      <c r="G32" s="4">
        <v>0.0</v>
      </c>
      <c r="H32" s="4" t="s">
        <v>1565</v>
      </c>
      <c r="I32" s="4" t="s">
        <v>1570</v>
      </c>
      <c r="J32" s="4" t="s">
        <v>1565</v>
      </c>
      <c r="K32" s="4" t="s">
        <v>1567</v>
      </c>
      <c r="L32" s="4" t="s">
        <v>1570</v>
      </c>
      <c r="M32" s="4" t="s">
        <v>1573</v>
      </c>
      <c r="N32" s="4"/>
      <c r="O32" s="4" t="s">
        <v>1574</v>
      </c>
      <c r="P32" s="4" t="s">
        <v>1506</v>
      </c>
      <c r="Q32" s="4" t="s">
        <v>1575</v>
      </c>
      <c r="R32" s="4" t="b">
        <v>0</v>
      </c>
      <c r="S32" s="4" t="s">
        <v>1486</v>
      </c>
      <c r="T32" s="2">
        <v>45992.7701388889</v>
      </c>
      <c r="U32" s="2">
        <v>45988.0</v>
      </c>
      <c r="V32" s="4">
        <v>47.0</v>
      </c>
      <c r="W32" s="4" t="s">
        <v>545</v>
      </c>
      <c r="X32" s="4">
        <v>2025.0</v>
      </c>
      <c r="Y32" s="4" t="s">
        <v>1518</v>
      </c>
      <c r="Z32" s="4" t="s">
        <v>557</v>
      </c>
      <c r="AA32" s="4" t="s">
        <v>558</v>
      </c>
      <c r="AB32" s="4" t="b">
        <v>0</v>
      </c>
      <c r="AC32" s="4" t="s">
        <v>567</v>
      </c>
      <c r="AD32" s="4" t="s">
        <v>537</v>
      </c>
    </row>
    <row r="33" ht="14.25" customHeight="1">
      <c r="A33" s="4">
        <v>7980861.0</v>
      </c>
      <c r="B33" s="2">
        <v>45989.4232060185</v>
      </c>
      <c r="C33" s="4">
        <v>7012113.0</v>
      </c>
      <c r="D33" s="4" t="s">
        <v>587</v>
      </c>
      <c r="E33" s="2">
        <v>45992.76875</v>
      </c>
      <c r="F33" s="4">
        <v>0.0182</v>
      </c>
      <c r="G33" s="4">
        <v>0.0</v>
      </c>
      <c r="H33" s="4" t="s">
        <v>1565</v>
      </c>
      <c r="I33" s="4" t="s">
        <v>1570</v>
      </c>
      <c r="J33" s="4" t="s">
        <v>1565</v>
      </c>
      <c r="K33" s="4" t="s">
        <v>1567</v>
      </c>
      <c r="L33" s="4" t="s">
        <v>1570</v>
      </c>
      <c r="M33" s="4" t="s">
        <v>1573</v>
      </c>
      <c r="N33" s="4"/>
      <c r="O33" s="4" t="s">
        <v>1574</v>
      </c>
      <c r="P33" s="4" t="s">
        <v>1506</v>
      </c>
      <c r="Q33" s="4" t="s">
        <v>1575</v>
      </c>
      <c r="R33" s="4" t="b">
        <v>0</v>
      </c>
      <c r="S33" s="4" t="s">
        <v>1486</v>
      </c>
      <c r="T33" s="2">
        <v>45992.7701388889</v>
      </c>
      <c r="U33" s="2">
        <v>45989.0</v>
      </c>
      <c r="V33" s="4">
        <v>47.0</v>
      </c>
      <c r="W33" s="4" t="s">
        <v>545</v>
      </c>
      <c r="X33" s="4">
        <v>2025.0</v>
      </c>
      <c r="Y33" s="4" t="s">
        <v>1518</v>
      </c>
      <c r="Z33" s="4" t="s">
        <v>557</v>
      </c>
      <c r="AA33" s="4" t="s">
        <v>558</v>
      </c>
      <c r="AB33" s="4" t="b">
        <v>0</v>
      </c>
      <c r="AC33" s="4" t="s">
        <v>567</v>
      </c>
      <c r="AD33" s="4" t="s">
        <v>537</v>
      </c>
    </row>
    <row r="34" ht="14.25" customHeight="1">
      <c r="A34" s="4">
        <v>7987701.0</v>
      </c>
      <c r="B34" s="2">
        <v>45991.4520833333</v>
      </c>
      <c r="C34" s="4">
        <v>7012113.0</v>
      </c>
      <c r="D34" s="4" t="s">
        <v>587</v>
      </c>
      <c r="E34" s="2">
        <v>45992.76875</v>
      </c>
      <c r="F34" s="4">
        <v>0.0182</v>
      </c>
      <c r="G34" s="4">
        <v>0.0</v>
      </c>
      <c r="H34" s="4" t="s">
        <v>1565</v>
      </c>
      <c r="I34" s="4" t="s">
        <v>1570</v>
      </c>
      <c r="J34" s="4" t="s">
        <v>1565</v>
      </c>
      <c r="K34" s="4" t="s">
        <v>1567</v>
      </c>
      <c r="L34" s="4" t="s">
        <v>1570</v>
      </c>
      <c r="M34" s="4" t="s">
        <v>1573</v>
      </c>
      <c r="N34" s="4"/>
      <c r="O34" s="4" t="s">
        <v>1574</v>
      </c>
      <c r="P34" s="4" t="s">
        <v>1506</v>
      </c>
      <c r="Q34" s="4" t="s">
        <v>1576</v>
      </c>
      <c r="R34" s="4" t="b">
        <v>0</v>
      </c>
      <c r="S34" s="4" t="s">
        <v>1486</v>
      </c>
      <c r="T34" s="2">
        <v>45992.7701388889</v>
      </c>
      <c r="U34" s="2">
        <v>45991.0</v>
      </c>
      <c r="V34" s="4">
        <v>47.0</v>
      </c>
      <c r="W34" s="4" t="s">
        <v>545</v>
      </c>
      <c r="X34" s="4">
        <v>2025.0</v>
      </c>
      <c r="Y34" s="4" t="s">
        <v>1518</v>
      </c>
      <c r="Z34" s="4" t="s">
        <v>557</v>
      </c>
      <c r="AA34" s="4" t="s">
        <v>558</v>
      </c>
      <c r="AB34" s="4" t="b">
        <v>0</v>
      </c>
      <c r="AC34" s="4" t="s">
        <v>567</v>
      </c>
      <c r="AD34" s="4" t="s">
        <v>537</v>
      </c>
    </row>
    <row r="35" ht="14.25" customHeight="1">
      <c r="A35" s="4">
        <v>7989280.0</v>
      </c>
      <c r="B35" s="2">
        <v>45991.8619560185</v>
      </c>
      <c r="C35" s="4">
        <v>7012113.0</v>
      </c>
      <c r="D35" s="4" t="s">
        <v>587</v>
      </c>
      <c r="E35" s="2">
        <v>45992.76875</v>
      </c>
      <c r="F35" s="4">
        <v>0.0182</v>
      </c>
      <c r="G35" s="4">
        <v>0.0</v>
      </c>
      <c r="H35" s="4" t="s">
        <v>1565</v>
      </c>
      <c r="I35" s="4" t="s">
        <v>1570</v>
      </c>
      <c r="J35" s="4" t="s">
        <v>1565</v>
      </c>
      <c r="K35" s="4" t="s">
        <v>1567</v>
      </c>
      <c r="L35" s="4" t="s">
        <v>1570</v>
      </c>
      <c r="M35" s="4" t="s">
        <v>1573</v>
      </c>
      <c r="N35" s="4"/>
      <c r="O35" s="4" t="s">
        <v>1574</v>
      </c>
      <c r="P35" s="4" t="s">
        <v>1506</v>
      </c>
      <c r="Q35" s="4" t="s">
        <v>1576</v>
      </c>
      <c r="R35" s="4" t="b">
        <v>0</v>
      </c>
      <c r="S35" s="4" t="s">
        <v>1486</v>
      </c>
      <c r="T35" s="2">
        <v>45992.7701388889</v>
      </c>
      <c r="U35" s="2">
        <v>45991.0</v>
      </c>
      <c r="V35" s="4">
        <v>47.0</v>
      </c>
      <c r="W35" s="4" t="s">
        <v>545</v>
      </c>
      <c r="X35" s="4">
        <v>2025.0</v>
      </c>
      <c r="Y35" s="4" t="s">
        <v>1518</v>
      </c>
      <c r="Z35" s="4" t="s">
        <v>557</v>
      </c>
      <c r="AA35" s="4" t="s">
        <v>558</v>
      </c>
      <c r="AB35" s="4" t="b">
        <v>0</v>
      </c>
      <c r="AC35" s="4" t="s">
        <v>567</v>
      </c>
      <c r="AD35" s="4" t="s">
        <v>537</v>
      </c>
    </row>
    <row r="36" ht="14.25" customHeight="1">
      <c r="A36" s="4">
        <v>7991679.0</v>
      </c>
      <c r="B36" s="2">
        <v>45992.4395601852</v>
      </c>
      <c r="C36" s="4">
        <v>7012113.0</v>
      </c>
      <c r="D36" s="4" t="s">
        <v>587</v>
      </c>
      <c r="E36" s="2">
        <v>45992.76875</v>
      </c>
      <c r="F36" s="4">
        <v>0.0182</v>
      </c>
      <c r="G36" s="4">
        <v>0.0</v>
      </c>
      <c r="H36" s="4" t="s">
        <v>1565</v>
      </c>
      <c r="I36" s="4" t="s">
        <v>1570</v>
      </c>
      <c r="J36" s="4" t="s">
        <v>1565</v>
      </c>
      <c r="K36" s="4" t="s">
        <v>1567</v>
      </c>
      <c r="L36" s="4" t="s">
        <v>1570</v>
      </c>
      <c r="M36" s="4" t="s">
        <v>1573</v>
      </c>
      <c r="N36" s="4"/>
      <c r="O36" s="4" t="s">
        <v>1574</v>
      </c>
      <c r="P36" s="4" t="s">
        <v>1506</v>
      </c>
      <c r="Q36" s="4" t="s">
        <v>1563</v>
      </c>
      <c r="R36" s="4" t="b">
        <v>0</v>
      </c>
      <c r="S36" s="4" t="s">
        <v>1486</v>
      </c>
      <c r="T36" s="2">
        <v>45992.7701388889</v>
      </c>
      <c r="U36" s="2">
        <v>45992.0</v>
      </c>
      <c r="V36" s="4">
        <v>48.0</v>
      </c>
      <c r="W36" s="4" t="s">
        <v>550</v>
      </c>
      <c r="X36" s="4">
        <v>2025.0</v>
      </c>
      <c r="Y36" s="4" t="s">
        <v>1518</v>
      </c>
      <c r="Z36" s="4" t="s">
        <v>557</v>
      </c>
      <c r="AA36" s="4" t="s">
        <v>558</v>
      </c>
      <c r="AB36" s="4" t="b">
        <v>0</v>
      </c>
      <c r="AC36" s="4" t="s">
        <v>567</v>
      </c>
      <c r="AD36" s="4" t="s">
        <v>537</v>
      </c>
    </row>
    <row r="37" ht="14.25" customHeight="1">
      <c r="A37" s="4">
        <v>7994199.0</v>
      </c>
      <c r="B37" s="2">
        <v>45992.76</v>
      </c>
      <c r="C37" s="4">
        <v>7012113.0</v>
      </c>
      <c r="D37" s="4" t="s">
        <v>587</v>
      </c>
      <c r="E37" s="2">
        <v>45992.76875</v>
      </c>
      <c r="F37" s="4">
        <v>0.4</v>
      </c>
      <c r="G37" s="4">
        <v>0.0</v>
      </c>
      <c r="H37" s="4" t="s">
        <v>1565</v>
      </c>
      <c r="I37" s="4" t="s">
        <v>1570</v>
      </c>
      <c r="J37" s="4" t="s">
        <v>1565</v>
      </c>
      <c r="K37" s="4" t="s">
        <v>1567</v>
      </c>
      <c r="L37" s="4" t="s">
        <v>1570</v>
      </c>
      <c r="M37" s="4" t="s">
        <v>1573</v>
      </c>
      <c r="N37" s="4" t="s">
        <v>1577</v>
      </c>
      <c r="O37" s="4" t="s">
        <v>1578</v>
      </c>
      <c r="P37" s="4" t="s">
        <v>1506</v>
      </c>
      <c r="Q37" s="4" t="s">
        <v>1579</v>
      </c>
      <c r="R37" s="4" t="b">
        <v>0</v>
      </c>
      <c r="S37" s="4" t="s">
        <v>1486</v>
      </c>
      <c r="T37" s="2">
        <v>45992.7701388889</v>
      </c>
      <c r="U37" s="2">
        <v>45992.0</v>
      </c>
      <c r="V37" s="4">
        <v>48.0</v>
      </c>
      <c r="W37" s="4" t="s">
        <v>550</v>
      </c>
      <c r="X37" s="4">
        <v>2025.0</v>
      </c>
      <c r="Y37" s="4" t="s">
        <v>1518</v>
      </c>
      <c r="Z37" s="4" t="s">
        <v>557</v>
      </c>
      <c r="AA37" s="4" t="s">
        <v>558</v>
      </c>
      <c r="AB37" s="4" t="b">
        <v>0</v>
      </c>
      <c r="AC37" s="4" t="s">
        <v>567</v>
      </c>
      <c r="AD37" s="4" t="s">
        <v>537</v>
      </c>
    </row>
    <row r="38" ht="14.25" customHeight="1">
      <c r="A38" s="4">
        <v>7975016.0</v>
      </c>
      <c r="B38" s="2">
        <v>45987.992349537</v>
      </c>
      <c r="C38" s="4">
        <v>7203163.0</v>
      </c>
      <c r="D38" s="4" t="s">
        <v>590</v>
      </c>
      <c r="E38" s="2">
        <v>45992.8034722222</v>
      </c>
      <c r="F38" s="4">
        <v>0.5</v>
      </c>
      <c r="G38" s="4">
        <v>0.0</v>
      </c>
      <c r="H38" s="4"/>
      <c r="I38" s="4"/>
      <c r="J38" s="4" t="s">
        <v>1480</v>
      </c>
      <c r="K38" s="4" t="s">
        <v>1480</v>
      </c>
      <c r="L38" s="4" t="s">
        <v>1481</v>
      </c>
      <c r="M38" s="4" t="s">
        <v>1482</v>
      </c>
      <c r="N38" s="4" t="s">
        <v>540</v>
      </c>
      <c r="O38" s="4" t="s">
        <v>1483</v>
      </c>
      <c r="P38" s="4" t="s">
        <v>1496</v>
      </c>
      <c r="Q38" s="4" t="s">
        <v>1580</v>
      </c>
      <c r="R38" s="4" t="b">
        <v>0</v>
      </c>
      <c r="S38" s="4" t="s">
        <v>1486</v>
      </c>
      <c r="T38" s="2">
        <v>45992.8048611111</v>
      </c>
      <c r="U38" s="2">
        <v>45987.0</v>
      </c>
      <c r="V38" s="4">
        <v>47.0</v>
      </c>
      <c r="W38" s="4" t="s">
        <v>545</v>
      </c>
      <c r="X38" s="4">
        <v>2025.0</v>
      </c>
      <c r="Y38" s="4" t="s">
        <v>1487</v>
      </c>
      <c r="Z38" s="4" t="s">
        <v>557</v>
      </c>
      <c r="AA38" s="4" t="s">
        <v>558</v>
      </c>
      <c r="AB38" s="4" t="b">
        <v>0</v>
      </c>
      <c r="AC38" s="4" t="s">
        <v>536</v>
      </c>
      <c r="AD38" s="4" t="s">
        <v>537</v>
      </c>
    </row>
    <row r="39" ht="14.25" customHeight="1">
      <c r="A39" s="4">
        <v>7994384.0</v>
      </c>
      <c r="B39" s="2">
        <v>45992.8027546296</v>
      </c>
      <c r="C39" s="4">
        <v>7203163.0</v>
      </c>
      <c r="D39" s="4" t="s">
        <v>590</v>
      </c>
      <c r="E39" s="2">
        <v>45992.8034722222</v>
      </c>
      <c r="F39" s="4">
        <v>0.5</v>
      </c>
      <c r="G39" s="4">
        <v>0.0</v>
      </c>
      <c r="H39" s="4" t="s">
        <v>1519</v>
      </c>
      <c r="I39" s="4" t="s">
        <v>1581</v>
      </c>
      <c r="J39" s="4" t="s">
        <v>1519</v>
      </c>
      <c r="K39" s="4" t="s">
        <v>1513</v>
      </c>
      <c r="L39" s="4" t="s">
        <v>1581</v>
      </c>
      <c r="M39" s="4" t="s">
        <v>1582</v>
      </c>
      <c r="N39" s="4" t="s">
        <v>540</v>
      </c>
      <c r="O39" s="4" t="s">
        <v>1583</v>
      </c>
      <c r="P39" s="4" t="s">
        <v>1496</v>
      </c>
      <c r="Q39" s="4" t="s">
        <v>1580</v>
      </c>
      <c r="R39" s="4" t="b">
        <v>0</v>
      </c>
      <c r="S39" s="4" t="s">
        <v>1486</v>
      </c>
      <c r="T39" s="2">
        <v>45992.8048611111</v>
      </c>
      <c r="U39" s="2">
        <v>45992.0</v>
      </c>
      <c r="V39" s="4">
        <v>48.0</v>
      </c>
      <c r="W39" s="4" t="s">
        <v>550</v>
      </c>
      <c r="X39" s="4">
        <v>2025.0</v>
      </c>
      <c r="Y39" s="4" t="s">
        <v>1518</v>
      </c>
      <c r="Z39" s="4" t="s">
        <v>557</v>
      </c>
      <c r="AA39" s="4" t="s">
        <v>558</v>
      </c>
      <c r="AB39" s="4" t="b">
        <v>0</v>
      </c>
      <c r="AC39" s="4" t="s">
        <v>536</v>
      </c>
      <c r="AD39" s="4" t="s">
        <v>537</v>
      </c>
    </row>
    <row r="40" ht="14.25" customHeight="1">
      <c r="A40" s="4">
        <v>7994513.0</v>
      </c>
      <c r="B40" s="2">
        <v>45992.8266898148</v>
      </c>
      <c r="C40" s="4">
        <v>7222319.0</v>
      </c>
      <c r="D40" s="4" t="s">
        <v>593</v>
      </c>
      <c r="E40" s="2">
        <v>45992.8270833333</v>
      </c>
      <c r="F40" s="4">
        <v>1.0</v>
      </c>
      <c r="G40" s="4">
        <v>0.0</v>
      </c>
      <c r="H40" s="4"/>
      <c r="I40" s="4"/>
      <c r="J40" s="4" t="s">
        <v>1480</v>
      </c>
      <c r="K40" s="4" t="s">
        <v>1480</v>
      </c>
      <c r="L40" s="4" t="s">
        <v>1481</v>
      </c>
      <c r="M40" s="4" t="s">
        <v>1482</v>
      </c>
      <c r="N40" s="4" t="s">
        <v>540</v>
      </c>
      <c r="O40" s="4" t="s">
        <v>1584</v>
      </c>
      <c r="P40" s="4" t="s">
        <v>1585</v>
      </c>
      <c r="Q40" s="4" t="s">
        <v>1586</v>
      </c>
      <c r="R40" s="4" t="b">
        <v>0</v>
      </c>
      <c r="S40" s="4" t="s">
        <v>1486</v>
      </c>
      <c r="T40" s="2">
        <v>45992.8284722222</v>
      </c>
      <c r="U40" s="2">
        <v>45992.0</v>
      </c>
      <c r="V40" s="4">
        <v>48.0</v>
      </c>
      <c r="W40" s="4" t="s">
        <v>550</v>
      </c>
      <c r="X40" s="4">
        <v>2025.0</v>
      </c>
      <c r="Y40" s="4" t="s">
        <v>1487</v>
      </c>
      <c r="Z40" s="4"/>
      <c r="AA40" s="4" t="s">
        <v>594</v>
      </c>
      <c r="AB40" s="4" t="b">
        <v>0</v>
      </c>
      <c r="AC40" s="4" t="s">
        <v>554</v>
      </c>
      <c r="AD40" s="4" t="s">
        <v>537</v>
      </c>
    </row>
    <row r="41" ht="14.25" customHeight="1">
      <c r="A41" s="4">
        <v>7994974.0</v>
      </c>
      <c r="B41" s="2">
        <v>45992.9309837963</v>
      </c>
      <c r="C41" s="4">
        <v>7222778.0</v>
      </c>
      <c r="D41" s="4" t="s">
        <v>595</v>
      </c>
      <c r="E41" s="2">
        <v>45992.93125</v>
      </c>
      <c r="F41" s="4">
        <v>0.0</v>
      </c>
      <c r="G41" s="4">
        <v>0.0</v>
      </c>
      <c r="H41" s="4"/>
      <c r="I41" s="4"/>
      <c r="J41" s="4"/>
      <c r="K41" s="4"/>
      <c r="L41" s="4"/>
      <c r="M41" s="4" t="s">
        <v>1482</v>
      </c>
      <c r="N41" s="4" t="s">
        <v>1483</v>
      </c>
      <c r="O41" s="4" t="s">
        <v>1587</v>
      </c>
      <c r="P41" s="4" t="s">
        <v>1506</v>
      </c>
      <c r="Q41" s="4" t="s">
        <v>1588</v>
      </c>
      <c r="R41" s="4" t="b">
        <v>1</v>
      </c>
      <c r="S41" s="4" t="s">
        <v>1486</v>
      </c>
      <c r="T41" s="2">
        <v>45992.9326388889</v>
      </c>
      <c r="U41" s="2">
        <v>45992.0</v>
      </c>
      <c r="V41" s="4">
        <v>48.0</v>
      </c>
      <c r="W41" s="4" t="s">
        <v>550</v>
      </c>
      <c r="X41" s="4">
        <v>2025.0</v>
      </c>
      <c r="Y41" s="4" t="s">
        <v>1540</v>
      </c>
      <c r="Z41" s="4" t="s">
        <v>557</v>
      </c>
      <c r="AA41" s="4" t="s">
        <v>558</v>
      </c>
      <c r="AB41" s="4" t="b">
        <v>0</v>
      </c>
      <c r="AC41" s="4" t="s">
        <v>536</v>
      </c>
      <c r="AD41" s="4" t="s">
        <v>537</v>
      </c>
    </row>
    <row r="42" ht="14.25" customHeight="1">
      <c r="A42" s="4">
        <v>7994876.0</v>
      </c>
      <c r="B42" s="2">
        <v>45992.9152083333</v>
      </c>
      <c r="C42" s="4">
        <v>7222681.0</v>
      </c>
      <c r="D42" s="4" t="s">
        <v>596</v>
      </c>
      <c r="E42" s="2">
        <v>45992.95625</v>
      </c>
      <c r="F42" s="4">
        <v>0.0</v>
      </c>
      <c r="G42" s="4">
        <v>0.0</v>
      </c>
      <c r="H42" s="4"/>
      <c r="I42" s="4"/>
      <c r="J42" s="4" t="s">
        <v>539</v>
      </c>
      <c r="K42" s="4" t="s">
        <v>539</v>
      </c>
      <c r="L42" s="4" t="s">
        <v>1499</v>
      </c>
      <c r="M42" s="4" t="s">
        <v>1482</v>
      </c>
      <c r="N42" s="4"/>
      <c r="O42" s="4" t="s">
        <v>1483</v>
      </c>
      <c r="P42" s="4" t="s">
        <v>1488</v>
      </c>
      <c r="Q42" s="4" t="s">
        <v>1589</v>
      </c>
      <c r="R42" s="4" t="b">
        <v>0</v>
      </c>
      <c r="S42" s="4" t="s">
        <v>1486</v>
      </c>
      <c r="T42" s="2">
        <v>45992.9576388889</v>
      </c>
      <c r="U42" s="2">
        <v>45992.0</v>
      </c>
      <c r="V42" s="4">
        <v>48.0</v>
      </c>
      <c r="W42" s="4" t="s">
        <v>550</v>
      </c>
      <c r="X42" s="4">
        <v>2025.0</v>
      </c>
      <c r="Y42" s="4" t="s">
        <v>1502</v>
      </c>
      <c r="Z42" s="4" t="s">
        <v>557</v>
      </c>
      <c r="AA42" s="4" t="s">
        <v>558</v>
      </c>
      <c r="AB42" s="4" t="b">
        <v>0</v>
      </c>
      <c r="AC42" s="4" t="s">
        <v>567</v>
      </c>
      <c r="AD42" s="4" t="s">
        <v>537</v>
      </c>
    </row>
    <row r="43" ht="14.25" customHeight="1">
      <c r="A43" s="4">
        <v>7995088.0</v>
      </c>
      <c r="B43" s="2">
        <v>45992.9531134259</v>
      </c>
      <c r="C43" s="4">
        <v>7222681.0</v>
      </c>
      <c r="D43" s="4" t="s">
        <v>596</v>
      </c>
      <c r="E43" s="2">
        <v>45992.95625</v>
      </c>
      <c r="F43" s="4">
        <v>1.0</v>
      </c>
      <c r="G43" s="4">
        <v>0.0</v>
      </c>
      <c r="H43" s="4" t="s">
        <v>1565</v>
      </c>
      <c r="I43" s="4" t="s">
        <v>1590</v>
      </c>
      <c r="J43" s="4" t="s">
        <v>1565</v>
      </c>
      <c r="K43" s="4" t="s">
        <v>1567</v>
      </c>
      <c r="L43" s="4" t="s">
        <v>1590</v>
      </c>
      <c r="M43" s="4" t="s">
        <v>1571</v>
      </c>
      <c r="N43" s="4"/>
      <c r="O43" s="4" t="s">
        <v>1591</v>
      </c>
      <c r="P43" s="4" t="s">
        <v>1488</v>
      </c>
      <c r="Q43" s="4" t="s">
        <v>1589</v>
      </c>
      <c r="R43" s="4" t="b">
        <v>0</v>
      </c>
      <c r="S43" s="4" t="s">
        <v>1486</v>
      </c>
      <c r="T43" s="2">
        <v>45992.9576388889</v>
      </c>
      <c r="U43" s="2">
        <v>45992.0</v>
      </c>
      <c r="V43" s="4">
        <v>48.0</v>
      </c>
      <c r="W43" s="4" t="s">
        <v>550</v>
      </c>
      <c r="X43" s="4">
        <v>2025.0</v>
      </c>
      <c r="Y43" s="4" t="s">
        <v>1518</v>
      </c>
      <c r="Z43" s="4" t="s">
        <v>557</v>
      </c>
      <c r="AA43" s="4" t="s">
        <v>558</v>
      </c>
      <c r="AB43" s="4" t="b">
        <v>0</v>
      </c>
      <c r="AC43" s="4" t="s">
        <v>567</v>
      </c>
      <c r="AD43" s="4" t="s">
        <v>537</v>
      </c>
    </row>
    <row r="44" ht="14.25" customHeight="1">
      <c r="A44" s="4">
        <v>7995109.0</v>
      </c>
      <c r="B44" s="2">
        <v>45992.957349537</v>
      </c>
      <c r="C44" s="4">
        <v>7222912.0</v>
      </c>
      <c r="D44" s="4" t="s">
        <v>598</v>
      </c>
      <c r="E44" s="2">
        <v>45992.9576388889</v>
      </c>
      <c r="F44" s="4">
        <v>1.0</v>
      </c>
      <c r="G44" s="4">
        <v>0.0</v>
      </c>
      <c r="H44" s="4" t="s">
        <v>1519</v>
      </c>
      <c r="I44" s="4" t="s">
        <v>1592</v>
      </c>
      <c r="J44" s="4" t="s">
        <v>1519</v>
      </c>
      <c r="K44" s="4" t="s">
        <v>1513</v>
      </c>
      <c r="L44" s="4" t="s">
        <v>1592</v>
      </c>
      <c r="M44" s="4" t="s">
        <v>1593</v>
      </c>
      <c r="N44" s="4" t="s">
        <v>1594</v>
      </c>
      <c r="O44" s="4" t="s">
        <v>1595</v>
      </c>
      <c r="P44" s="4" t="s">
        <v>1596</v>
      </c>
      <c r="Q44" s="4" t="s">
        <v>1597</v>
      </c>
      <c r="R44" s="4" t="b">
        <v>0</v>
      </c>
      <c r="S44" s="4" t="s">
        <v>1486</v>
      </c>
      <c r="T44" s="2">
        <v>45992.9590277778</v>
      </c>
      <c r="U44" s="2">
        <v>45992.0</v>
      </c>
      <c r="V44" s="4">
        <v>48.0</v>
      </c>
      <c r="W44" s="4" t="s">
        <v>550</v>
      </c>
      <c r="X44" s="4">
        <v>2025.0</v>
      </c>
      <c r="Y44" s="4" t="s">
        <v>1518</v>
      </c>
      <c r="Z44" s="4"/>
      <c r="AA44" s="4" t="s">
        <v>558</v>
      </c>
      <c r="AB44" s="4" t="b">
        <v>0</v>
      </c>
      <c r="AC44" s="4" t="s">
        <v>599</v>
      </c>
      <c r="AD44" s="4" t="s">
        <v>537</v>
      </c>
    </row>
    <row r="45" ht="14.25" customHeight="1">
      <c r="A45" s="4">
        <v>7995172.0</v>
      </c>
      <c r="B45" s="2">
        <v>45992.9704398148</v>
      </c>
      <c r="C45" s="4">
        <v>7222975.0</v>
      </c>
      <c r="D45" s="4" t="s">
        <v>600</v>
      </c>
      <c r="E45" s="2">
        <v>45992.9722222222</v>
      </c>
      <c r="F45" s="4">
        <v>1.0</v>
      </c>
      <c r="G45" s="4">
        <v>0.0</v>
      </c>
      <c r="H45" s="4"/>
      <c r="I45" s="4"/>
      <c r="J45" s="4" t="s">
        <v>539</v>
      </c>
      <c r="K45" s="4" t="s">
        <v>539</v>
      </c>
      <c r="L45" s="4" t="s">
        <v>1499</v>
      </c>
      <c r="M45" s="4" t="s">
        <v>1482</v>
      </c>
      <c r="N45" s="4"/>
      <c r="O45" s="4" t="s">
        <v>1598</v>
      </c>
      <c r="P45" s="4" t="s">
        <v>1599</v>
      </c>
      <c r="Q45" s="4" t="s">
        <v>1600</v>
      </c>
      <c r="R45" s="4" t="b">
        <v>0</v>
      </c>
      <c r="S45" s="4" t="s">
        <v>1486</v>
      </c>
      <c r="T45" s="2">
        <v>45992.9736111111</v>
      </c>
      <c r="U45" s="2">
        <v>45992.0</v>
      </c>
      <c r="V45" s="4">
        <v>48.0</v>
      </c>
      <c r="W45" s="4" t="s">
        <v>550</v>
      </c>
      <c r="X45" s="4">
        <v>2025.0</v>
      </c>
      <c r="Y45" s="4" t="s">
        <v>1502</v>
      </c>
      <c r="Z45" s="4" t="s">
        <v>557</v>
      </c>
      <c r="AA45" s="4" t="s">
        <v>558</v>
      </c>
      <c r="AB45" s="4" t="b">
        <v>0</v>
      </c>
      <c r="AC45" s="4" t="s">
        <v>536</v>
      </c>
      <c r="AD45" s="4" t="s">
        <v>537</v>
      </c>
    </row>
    <row r="46" ht="14.25" customHeight="1">
      <c r="A46" s="4">
        <v>7995446.0</v>
      </c>
      <c r="B46" s="2">
        <v>45993.0340277778</v>
      </c>
      <c r="C46" s="4">
        <v>7223248.0</v>
      </c>
      <c r="D46" s="4" t="s">
        <v>602</v>
      </c>
      <c r="E46" s="2">
        <v>45993.0347222222</v>
      </c>
      <c r="F46" s="4">
        <v>1.0</v>
      </c>
      <c r="G46" s="4">
        <v>0.0</v>
      </c>
      <c r="H46" s="4" t="s">
        <v>1511</v>
      </c>
      <c r="I46" s="4" t="s">
        <v>1512</v>
      </c>
      <c r="J46" s="4" t="s">
        <v>1511</v>
      </c>
      <c r="K46" s="4" t="s">
        <v>1513</v>
      </c>
      <c r="L46" s="4" t="s">
        <v>1512</v>
      </c>
      <c r="M46" s="4" t="s">
        <v>1601</v>
      </c>
      <c r="N46" s="4" t="s">
        <v>653</v>
      </c>
      <c r="O46" s="4" t="s">
        <v>1602</v>
      </c>
      <c r="P46" s="4" t="s">
        <v>1496</v>
      </c>
      <c r="Q46" s="4" t="s">
        <v>1603</v>
      </c>
      <c r="R46" s="4" t="b">
        <v>0</v>
      </c>
      <c r="S46" s="4" t="s">
        <v>1486</v>
      </c>
      <c r="T46" s="2">
        <v>45993.0361111111</v>
      </c>
      <c r="U46" s="2">
        <v>45993.0</v>
      </c>
      <c r="V46" s="4">
        <v>48.0</v>
      </c>
      <c r="W46" s="4" t="s">
        <v>550</v>
      </c>
      <c r="X46" s="4">
        <v>2025.0</v>
      </c>
      <c r="Y46" s="4" t="s">
        <v>1518</v>
      </c>
      <c r="Z46" s="4"/>
      <c r="AA46" s="4" t="s">
        <v>558</v>
      </c>
      <c r="AB46" s="4" t="b">
        <v>0</v>
      </c>
      <c r="AC46" s="4" t="s">
        <v>536</v>
      </c>
      <c r="AD46" s="4" t="s">
        <v>537</v>
      </c>
    </row>
    <row r="47" ht="14.25" customHeight="1">
      <c r="A47" s="4">
        <v>7996743.0</v>
      </c>
      <c r="B47" s="2">
        <v>45993.2968402778</v>
      </c>
      <c r="C47" s="4">
        <v>7224530.0</v>
      </c>
      <c r="D47" s="4" t="s">
        <v>603</v>
      </c>
      <c r="E47" s="2">
        <v>45993.2965277778</v>
      </c>
      <c r="F47" s="4">
        <v>1.0</v>
      </c>
      <c r="G47" s="4">
        <v>0.0</v>
      </c>
      <c r="H47" s="4"/>
      <c r="I47" s="4"/>
      <c r="J47" s="4" t="s">
        <v>1480</v>
      </c>
      <c r="K47" s="4" t="s">
        <v>1480</v>
      </c>
      <c r="L47" s="4" t="s">
        <v>1481</v>
      </c>
      <c r="M47" s="4" t="s">
        <v>1482</v>
      </c>
      <c r="N47" s="4" t="s">
        <v>540</v>
      </c>
      <c r="O47" s="4" t="s">
        <v>1483</v>
      </c>
      <c r="P47" s="4" t="s">
        <v>1506</v>
      </c>
      <c r="Q47" s="4" t="s">
        <v>1604</v>
      </c>
      <c r="R47" s="4" t="b">
        <v>0</v>
      </c>
      <c r="S47" s="4" t="s">
        <v>1486</v>
      </c>
      <c r="T47" s="2">
        <v>45993.2979166667</v>
      </c>
      <c r="U47" s="2">
        <v>45993.0</v>
      </c>
      <c r="V47" s="4">
        <v>48.0</v>
      </c>
      <c r="W47" s="4" t="s">
        <v>550</v>
      </c>
      <c r="X47" s="4">
        <v>2025.0</v>
      </c>
      <c r="Y47" s="4" t="s">
        <v>1487</v>
      </c>
      <c r="Z47" s="4" t="s">
        <v>604</v>
      </c>
      <c r="AA47" s="4" t="s">
        <v>605</v>
      </c>
      <c r="AB47" s="4" t="b">
        <v>0</v>
      </c>
      <c r="AC47" s="4" t="s">
        <v>536</v>
      </c>
      <c r="AD47" s="4" t="s">
        <v>537</v>
      </c>
    </row>
    <row r="48" ht="14.25" customHeight="1">
      <c r="A48" s="4">
        <v>7996783.0</v>
      </c>
      <c r="B48" s="2">
        <v>45993.3055208333</v>
      </c>
      <c r="C48" s="4">
        <v>7224570.0</v>
      </c>
      <c r="D48" s="4" t="s">
        <v>606</v>
      </c>
      <c r="E48" s="2">
        <v>45993.3055555556</v>
      </c>
      <c r="F48" s="4">
        <v>1.0</v>
      </c>
      <c r="G48" s="4">
        <v>0.0</v>
      </c>
      <c r="H48" s="4"/>
      <c r="I48" s="4"/>
      <c r="J48" s="4" t="s">
        <v>539</v>
      </c>
      <c r="K48" s="4" t="s">
        <v>539</v>
      </c>
      <c r="L48" s="4" t="s">
        <v>1499</v>
      </c>
      <c r="M48" s="4" t="s">
        <v>1482</v>
      </c>
      <c r="N48" s="4"/>
      <c r="O48" s="4" t="s">
        <v>1543</v>
      </c>
      <c r="P48" s="4" t="s">
        <v>1605</v>
      </c>
      <c r="Q48" s="4" t="s">
        <v>1606</v>
      </c>
      <c r="R48" s="4" t="b">
        <v>0</v>
      </c>
      <c r="S48" s="4" t="s">
        <v>1486</v>
      </c>
      <c r="T48" s="2">
        <v>45993.3069444444</v>
      </c>
      <c r="U48" s="2">
        <v>45993.0</v>
      </c>
      <c r="V48" s="4">
        <v>48.0</v>
      </c>
      <c r="W48" s="4" t="s">
        <v>550</v>
      </c>
      <c r="X48" s="4">
        <v>2025.0</v>
      </c>
      <c r="Y48" s="4" t="s">
        <v>1502</v>
      </c>
      <c r="Z48" s="4"/>
      <c r="AA48" s="4" t="s">
        <v>558</v>
      </c>
      <c r="AB48" s="4" t="b">
        <v>0</v>
      </c>
      <c r="AC48" s="4" t="s">
        <v>536</v>
      </c>
      <c r="AD48" s="4" t="s">
        <v>537</v>
      </c>
    </row>
    <row r="49" ht="14.25" customHeight="1">
      <c r="A49" s="4">
        <v>7996907.0</v>
      </c>
      <c r="B49" s="2">
        <v>45993.333599537</v>
      </c>
      <c r="C49" s="4">
        <v>7224692.0</v>
      </c>
      <c r="D49" s="4" t="s">
        <v>607</v>
      </c>
      <c r="E49" s="2">
        <v>45993.3333333333</v>
      </c>
      <c r="F49" s="4">
        <v>1.0</v>
      </c>
      <c r="G49" s="4">
        <v>0.0</v>
      </c>
      <c r="H49" s="4"/>
      <c r="I49" s="4"/>
      <c r="J49" s="4" t="s">
        <v>1526</v>
      </c>
      <c r="K49" s="4" t="s">
        <v>1527</v>
      </c>
      <c r="L49" s="4" t="s">
        <v>1528</v>
      </c>
      <c r="M49" s="4" t="s">
        <v>1482</v>
      </c>
      <c r="N49" s="4" t="s">
        <v>1529</v>
      </c>
      <c r="O49" s="4" t="s">
        <v>1530</v>
      </c>
      <c r="P49" s="4" t="s">
        <v>1488</v>
      </c>
      <c r="Q49" s="4" t="s">
        <v>1607</v>
      </c>
      <c r="R49" s="4" t="b">
        <v>0</v>
      </c>
      <c r="S49" s="4" t="s">
        <v>1486</v>
      </c>
      <c r="T49" s="2">
        <v>45993.3347222222</v>
      </c>
      <c r="U49" s="2">
        <v>45993.0</v>
      </c>
      <c r="V49" s="4">
        <v>48.0</v>
      </c>
      <c r="W49" s="4" t="s">
        <v>550</v>
      </c>
      <c r="X49" s="4">
        <v>2025.0</v>
      </c>
      <c r="Y49" s="4" t="s">
        <v>1532</v>
      </c>
      <c r="Z49" s="4" t="s">
        <v>557</v>
      </c>
      <c r="AA49" s="4" t="s">
        <v>558</v>
      </c>
      <c r="AB49" s="4" t="b">
        <v>0</v>
      </c>
      <c r="AC49" s="4" t="s">
        <v>536</v>
      </c>
      <c r="AD49" s="4" t="s">
        <v>537</v>
      </c>
    </row>
    <row r="50" ht="14.25" customHeight="1">
      <c r="A50" s="4">
        <v>7919003.0</v>
      </c>
      <c r="B50" s="2">
        <v>45975.6890625</v>
      </c>
      <c r="C50" s="4">
        <v>7148020.0</v>
      </c>
      <c r="D50" s="4" t="s">
        <v>609</v>
      </c>
      <c r="E50" s="2">
        <v>45993.3347222222</v>
      </c>
      <c r="F50" s="4">
        <v>1.0</v>
      </c>
      <c r="G50" s="4">
        <v>0.0</v>
      </c>
      <c r="H50" s="4"/>
      <c r="I50" s="4"/>
      <c r="J50" s="4" t="s">
        <v>539</v>
      </c>
      <c r="K50" s="4" t="s">
        <v>539</v>
      </c>
      <c r="L50" s="4" t="s">
        <v>1499</v>
      </c>
      <c r="M50" s="4" t="s">
        <v>1482</v>
      </c>
      <c r="N50" s="4"/>
      <c r="O50" s="4" t="s">
        <v>1608</v>
      </c>
      <c r="P50" s="4" t="s">
        <v>1558</v>
      </c>
      <c r="Q50" s="4" t="s">
        <v>1609</v>
      </c>
      <c r="R50" s="4" t="b">
        <v>0</v>
      </c>
      <c r="S50" s="4" t="s">
        <v>1486</v>
      </c>
      <c r="T50" s="2">
        <v>45993.3361111111</v>
      </c>
      <c r="U50" s="2">
        <v>45975.0</v>
      </c>
      <c r="V50" s="4">
        <v>45.0</v>
      </c>
      <c r="W50" s="4" t="s">
        <v>545</v>
      </c>
      <c r="X50" s="4">
        <v>2025.0</v>
      </c>
      <c r="Y50" s="4" t="s">
        <v>1502</v>
      </c>
      <c r="Z50" s="4" t="s">
        <v>557</v>
      </c>
      <c r="AA50" s="4" t="s">
        <v>558</v>
      </c>
      <c r="AB50" s="4" t="b">
        <v>0</v>
      </c>
      <c r="AC50" s="4" t="s">
        <v>536</v>
      </c>
      <c r="AD50" s="4" t="s">
        <v>537</v>
      </c>
    </row>
    <row r="51" ht="14.25" customHeight="1">
      <c r="A51" s="4">
        <v>7997021.0</v>
      </c>
      <c r="B51" s="2">
        <v>45993.3578703704</v>
      </c>
      <c r="C51" s="4">
        <v>7224805.0</v>
      </c>
      <c r="D51" s="4" t="s">
        <v>611</v>
      </c>
      <c r="E51" s="2">
        <v>45993.3597222222</v>
      </c>
      <c r="F51" s="4">
        <v>1.0</v>
      </c>
      <c r="G51" s="4">
        <v>0.0</v>
      </c>
      <c r="H51" s="4" t="s">
        <v>1519</v>
      </c>
      <c r="I51" s="4" t="s">
        <v>1610</v>
      </c>
      <c r="J51" s="4" t="s">
        <v>1519</v>
      </c>
      <c r="K51" s="4" t="s">
        <v>1513</v>
      </c>
      <c r="L51" s="4" t="s">
        <v>1610</v>
      </c>
      <c r="M51" s="4" t="s">
        <v>1611</v>
      </c>
      <c r="N51" s="4" t="s">
        <v>540</v>
      </c>
      <c r="O51" s="4" t="s">
        <v>1612</v>
      </c>
      <c r="P51" s="4" t="s">
        <v>1488</v>
      </c>
      <c r="Q51" s="4" t="s">
        <v>1613</v>
      </c>
      <c r="R51" s="4" t="b">
        <v>0</v>
      </c>
      <c r="S51" s="4" t="s">
        <v>1486</v>
      </c>
      <c r="T51" s="2">
        <v>45993.3611111111</v>
      </c>
      <c r="U51" s="2">
        <v>45993.0</v>
      </c>
      <c r="V51" s="4">
        <v>48.0</v>
      </c>
      <c r="W51" s="4" t="s">
        <v>550</v>
      </c>
      <c r="X51" s="4">
        <v>2025.0</v>
      </c>
      <c r="Y51" s="4" t="s">
        <v>1518</v>
      </c>
      <c r="Z51" s="4"/>
      <c r="AA51" s="4" t="s">
        <v>558</v>
      </c>
      <c r="AB51" s="4" t="b">
        <v>0</v>
      </c>
      <c r="AC51" s="4" t="s">
        <v>567</v>
      </c>
      <c r="AD51" s="4" t="s">
        <v>537</v>
      </c>
    </row>
    <row r="52" ht="14.25" customHeight="1">
      <c r="A52" s="4">
        <v>7997649.0</v>
      </c>
      <c r="B52" s="2">
        <v>45993.4396064815</v>
      </c>
      <c r="C52" s="4">
        <v>7225423.0</v>
      </c>
      <c r="D52" s="4" t="s">
        <v>613</v>
      </c>
      <c r="E52" s="2">
        <v>45993.4402777778</v>
      </c>
      <c r="F52" s="4">
        <v>1.0</v>
      </c>
      <c r="G52" s="4">
        <v>0.0</v>
      </c>
      <c r="H52" s="4" t="s">
        <v>1519</v>
      </c>
      <c r="I52" s="4" t="s">
        <v>1533</v>
      </c>
      <c r="J52" s="4" t="s">
        <v>1519</v>
      </c>
      <c r="K52" s="4" t="s">
        <v>1513</v>
      </c>
      <c r="L52" s="4" t="s">
        <v>1533</v>
      </c>
      <c r="M52" s="4" t="s">
        <v>1534</v>
      </c>
      <c r="N52" s="4" t="s">
        <v>540</v>
      </c>
      <c r="O52" s="4" t="s">
        <v>1614</v>
      </c>
      <c r="P52" s="4" t="s">
        <v>1488</v>
      </c>
      <c r="Q52" s="4" t="s">
        <v>1615</v>
      </c>
      <c r="R52" s="4" t="b">
        <v>0</v>
      </c>
      <c r="S52" s="4" t="s">
        <v>1486</v>
      </c>
      <c r="T52" s="2">
        <v>45993.4416666667</v>
      </c>
      <c r="U52" s="2">
        <v>45993.0</v>
      </c>
      <c r="V52" s="4">
        <v>48.0</v>
      </c>
      <c r="W52" s="4" t="s">
        <v>550</v>
      </c>
      <c r="X52" s="4">
        <v>2025.0</v>
      </c>
      <c r="Y52" s="4" t="s">
        <v>1518</v>
      </c>
      <c r="Z52" s="4" t="s">
        <v>557</v>
      </c>
      <c r="AA52" s="4" t="s">
        <v>558</v>
      </c>
      <c r="AB52" s="4" t="b">
        <v>0</v>
      </c>
      <c r="AC52" s="4" t="s">
        <v>536</v>
      </c>
      <c r="AD52" s="4" t="s">
        <v>537</v>
      </c>
    </row>
    <row r="53" ht="14.25" customHeight="1">
      <c r="A53" s="4">
        <v>7997679.0</v>
      </c>
      <c r="B53" s="2">
        <v>45993.4424537037</v>
      </c>
      <c r="C53" s="4">
        <v>7225452.0</v>
      </c>
      <c r="D53" s="4" t="s">
        <v>614</v>
      </c>
      <c r="E53" s="2">
        <v>45993.4465277778</v>
      </c>
      <c r="F53" s="4">
        <v>1.0</v>
      </c>
      <c r="G53" s="4">
        <v>0.0</v>
      </c>
      <c r="H53" s="4"/>
      <c r="I53" s="4"/>
      <c r="J53" s="4" t="s">
        <v>1480</v>
      </c>
      <c r="K53" s="4" t="s">
        <v>1480</v>
      </c>
      <c r="L53" s="4" t="s">
        <v>1481</v>
      </c>
      <c r="M53" s="4" t="s">
        <v>1482</v>
      </c>
      <c r="N53" s="4" t="s">
        <v>540</v>
      </c>
      <c r="O53" s="4" t="s">
        <v>1483</v>
      </c>
      <c r="P53" s="4" t="s">
        <v>1488</v>
      </c>
      <c r="Q53" s="4" t="s">
        <v>1616</v>
      </c>
      <c r="R53" s="4" t="b">
        <v>0</v>
      </c>
      <c r="S53" s="4" t="s">
        <v>1486</v>
      </c>
      <c r="T53" s="2">
        <v>45993.4479166667</v>
      </c>
      <c r="U53" s="2">
        <v>45993.0</v>
      </c>
      <c r="V53" s="4">
        <v>48.0</v>
      </c>
      <c r="W53" s="4" t="s">
        <v>550</v>
      </c>
      <c r="X53" s="4">
        <v>2025.0</v>
      </c>
      <c r="Y53" s="4" t="s">
        <v>1487</v>
      </c>
      <c r="Z53" s="4" t="s">
        <v>541</v>
      </c>
      <c r="AA53" s="4" t="s">
        <v>546</v>
      </c>
      <c r="AB53" s="4" t="b">
        <v>0</v>
      </c>
      <c r="AC53" s="4" t="s">
        <v>536</v>
      </c>
      <c r="AD53" s="4" t="s">
        <v>537</v>
      </c>
    </row>
    <row r="54" ht="14.25" customHeight="1">
      <c r="A54" s="4">
        <v>7997779.0</v>
      </c>
      <c r="B54" s="2">
        <v>45993.4542013889</v>
      </c>
      <c r="C54" s="4">
        <v>7225548.0</v>
      </c>
      <c r="D54" s="4" t="s">
        <v>615</v>
      </c>
      <c r="E54" s="2">
        <v>45993.4631944444</v>
      </c>
      <c r="F54" s="4">
        <v>1.0</v>
      </c>
      <c r="G54" s="4">
        <v>0.0</v>
      </c>
      <c r="H54" s="4"/>
      <c r="I54" s="4"/>
      <c r="J54" s="4" t="s">
        <v>1480</v>
      </c>
      <c r="K54" s="4" t="s">
        <v>1480</v>
      </c>
      <c r="L54" s="4" t="s">
        <v>1481</v>
      </c>
      <c r="M54" s="4" t="s">
        <v>1482</v>
      </c>
      <c r="N54" s="4" t="s">
        <v>540</v>
      </c>
      <c r="O54" s="4" t="s">
        <v>1483</v>
      </c>
      <c r="P54" s="4" t="s">
        <v>1488</v>
      </c>
      <c r="Q54" s="4" t="s">
        <v>1617</v>
      </c>
      <c r="R54" s="4" t="b">
        <v>0</v>
      </c>
      <c r="S54" s="4" t="s">
        <v>1486</v>
      </c>
      <c r="T54" s="2">
        <v>45993.4645833333</v>
      </c>
      <c r="U54" s="2">
        <v>45993.0</v>
      </c>
      <c r="V54" s="4">
        <v>48.0</v>
      </c>
      <c r="W54" s="4" t="s">
        <v>550</v>
      </c>
      <c r="X54" s="4">
        <v>2025.0</v>
      </c>
      <c r="Y54" s="4" t="s">
        <v>1487</v>
      </c>
      <c r="Z54" s="4" t="s">
        <v>557</v>
      </c>
      <c r="AA54" s="4" t="s">
        <v>558</v>
      </c>
      <c r="AB54" s="4" t="b">
        <v>0</v>
      </c>
      <c r="AC54" s="4" t="s">
        <v>567</v>
      </c>
      <c r="AD54" s="4" t="s">
        <v>537</v>
      </c>
    </row>
    <row r="55" ht="14.25" customHeight="1">
      <c r="A55" s="4">
        <v>7996938.0</v>
      </c>
      <c r="B55" s="2">
        <v>45993.3411458333</v>
      </c>
      <c r="C55" s="4">
        <v>7224722.0</v>
      </c>
      <c r="D55" s="4" t="s">
        <v>617</v>
      </c>
      <c r="E55" s="2">
        <v>45993.46875</v>
      </c>
      <c r="F55" s="4">
        <v>1.0</v>
      </c>
      <c r="G55" s="4">
        <v>0.0</v>
      </c>
      <c r="H55" s="4" t="s">
        <v>1519</v>
      </c>
      <c r="I55" s="4" t="s">
        <v>1533</v>
      </c>
      <c r="J55" s="4" t="s">
        <v>1519</v>
      </c>
      <c r="K55" s="4" t="s">
        <v>1513</v>
      </c>
      <c r="L55" s="4" t="s">
        <v>1533</v>
      </c>
      <c r="M55" s="4" t="s">
        <v>1534</v>
      </c>
      <c r="N55" s="4" t="s">
        <v>540</v>
      </c>
      <c r="O55" s="4" t="s">
        <v>1618</v>
      </c>
      <c r="P55" s="4" t="s">
        <v>1488</v>
      </c>
      <c r="Q55" s="4" t="s">
        <v>1619</v>
      </c>
      <c r="R55" s="4" t="b">
        <v>0</v>
      </c>
      <c r="S55" s="4" t="s">
        <v>1486</v>
      </c>
      <c r="T55" s="2">
        <v>45993.4701388889</v>
      </c>
      <c r="U55" s="2">
        <v>45993.0</v>
      </c>
      <c r="V55" s="4">
        <v>48.0</v>
      </c>
      <c r="W55" s="4" t="s">
        <v>550</v>
      </c>
      <c r="X55" s="4">
        <v>2025.0</v>
      </c>
      <c r="Y55" s="4" t="s">
        <v>1518</v>
      </c>
      <c r="Z55" s="4" t="s">
        <v>557</v>
      </c>
      <c r="AA55" s="4" t="s">
        <v>558</v>
      </c>
      <c r="AB55" s="4" t="b">
        <v>0</v>
      </c>
      <c r="AC55" s="4" t="s">
        <v>567</v>
      </c>
      <c r="AD55" s="4" t="s">
        <v>537</v>
      </c>
    </row>
    <row r="56" ht="14.25" customHeight="1">
      <c r="A56" s="4">
        <v>7997946.0</v>
      </c>
      <c r="B56" s="2">
        <v>45993.4743634259</v>
      </c>
      <c r="C56" s="4">
        <v>7225705.0</v>
      </c>
      <c r="D56" s="4" t="s">
        <v>619</v>
      </c>
      <c r="E56" s="2">
        <v>45993.4743055556</v>
      </c>
      <c r="F56" s="4">
        <v>1.0</v>
      </c>
      <c r="G56" s="4">
        <v>0.0</v>
      </c>
      <c r="H56" s="4" t="s">
        <v>1620</v>
      </c>
      <c r="I56" s="4" t="s">
        <v>1621</v>
      </c>
      <c r="J56" s="4" t="s">
        <v>1620</v>
      </c>
      <c r="K56" s="4" t="s">
        <v>1513</v>
      </c>
      <c r="L56" s="4" t="s">
        <v>1621</v>
      </c>
      <c r="M56" s="4" t="s">
        <v>1622</v>
      </c>
      <c r="N56" s="4" t="s">
        <v>1623</v>
      </c>
      <c r="O56" s="4" t="s">
        <v>1624</v>
      </c>
      <c r="P56" s="4" t="s">
        <v>1496</v>
      </c>
      <c r="Q56" s="4" t="s">
        <v>1625</v>
      </c>
      <c r="R56" s="4" t="b">
        <v>0</v>
      </c>
      <c r="S56" s="4" t="s">
        <v>1486</v>
      </c>
      <c r="T56" s="2">
        <v>45993.4756944444</v>
      </c>
      <c r="U56" s="2">
        <v>45993.0</v>
      </c>
      <c r="V56" s="4">
        <v>48.0</v>
      </c>
      <c r="W56" s="4" t="s">
        <v>550</v>
      </c>
      <c r="X56" s="4">
        <v>2025.0</v>
      </c>
      <c r="Y56" s="4" t="s">
        <v>1518</v>
      </c>
      <c r="Z56" s="4"/>
      <c r="AA56" s="4" t="s">
        <v>558</v>
      </c>
      <c r="AB56" s="4" t="b">
        <v>0</v>
      </c>
      <c r="AC56" s="4" t="s">
        <v>554</v>
      </c>
      <c r="AD56" s="4" t="s">
        <v>537</v>
      </c>
    </row>
    <row r="57" ht="14.25" customHeight="1">
      <c r="A57" s="4">
        <v>7939341.0</v>
      </c>
      <c r="B57" s="2">
        <v>45980.5121296296</v>
      </c>
      <c r="C57" s="4">
        <v>7168038.0</v>
      </c>
      <c r="D57" s="4" t="s">
        <v>620</v>
      </c>
      <c r="E57" s="2">
        <v>45993.4840277778</v>
      </c>
      <c r="F57" s="4">
        <v>1.0</v>
      </c>
      <c r="G57" s="4">
        <v>0.0</v>
      </c>
      <c r="H57" s="4"/>
      <c r="I57" s="4"/>
      <c r="J57" s="4" t="s">
        <v>1480</v>
      </c>
      <c r="K57" s="4" t="s">
        <v>1480</v>
      </c>
      <c r="L57" s="4" t="s">
        <v>1481</v>
      </c>
      <c r="M57" s="4" t="s">
        <v>1482</v>
      </c>
      <c r="N57" s="4" t="s">
        <v>540</v>
      </c>
      <c r="O57" s="4" t="s">
        <v>1483</v>
      </c>
      <c r="P57" s="4" t="s">
        <v>1558</v>
      </c>
      <c r="Q57" s="4" t="s">
        <v>1626</v>
      </c>
      <c r="R57" s="4" t="b">
        <v>0</v>
      </c>
      <c r="S57" s="4" t="s">
        <v>1486</v>
      </c>
      <c r="T57" s="2">
        <v>45993.4854166667</v>
      </c>
      <c r="U57" s="2">
        <v>45980.0</v>
      </c>
      <c r="V57" s="4">
        <v>46.0</v>
      </c>
      <c r="W57" s="4" t="s">
        <v>545</v>
      </c>
      <c r="X57" s="4">
        <v>2025.0</v>
      </c>
      <c r="Y57" s="4" t="s">
        <v>1487</v>
      </c>
      <c r="Z57" s="4"/>
      <c r="AA57" s="4" t="s">
        <v>546</v>
      </c>
      <c r="AB57" s="4" t="b">
        <v>0</v>
      </c>
      <c r="AC57" s="4" t="s">
        <v>536</v>
      </c>
      <c r="AD57" s="4" t="s">
        <v>537</v>
      </c>
    </row>
    <row r="58" ht="14.25" customHeight="1">
      <c r="A58" s="4">
        <v>7997825.0</v>
      </c>
      <c r="B58" s="2">
        <v>45993.4601736111</v>
      </c>
      <c r="C58" s="4">
        <v>7225592.0</v>
      </c>
      <c r="D58" s="4" t="s">
        <v>621</v>
      </c>
      <c r="E58" s="2">
        <v>45993.4909722222</v>
      </c>
      <c r="F58" s="4">
        <v>1.0</v>
      </c>
      <c r="G58" s="4">
        <v>0.0</v>
      </c>
      <c r="H58" s="4"/>
      <c r="I58" s="4"/>
      <c r="J58" s="4" t="s">
        <v>1480</v>
      </c>
      <c r="K58" s="4" t="s">
        <v>1480</v>
      </c>
      <c r="L58" s="4" t="s">
        <v>1481</v>
      </c>
      <c r="M58" s="4" t="s">
        <v>1482</v>
      </c>
      <c r="N58" s="4" t="s">
        <v>540</v>
      </c>
      <c r="O58" s="4" t="s">
        <v>1483</v>
      </c>
      <c r="P58" s="4" t="s">
        <v>1627</v>
      </c>
      <c r="Q58" s="4" t="s">
        <v>1628</v>
      </c>
      <c r="R58" s="4" t="b">
        <v>0</v>
      </c>
      <c r="S58" s="4" t="s">
        <v>1486</v>
      </c>
      <c r="T58" s="2">
        <v>45993.4923611111</v>
      </c>
      <c r="U58" s="2">
        <v>45993.0</v>
      </c>
      <c r="V58" s="4">
        <v>48.0</v>
      </c>
      <c r="W58" s="4" t="s">
        <v>550</v>
      </c>
      <c r="X58" s="4">
        <v>2025.0</v>
      </c>
      <c r="Y58" s="4" t="s">
        <v>1487</v>
      </c>
      <c r="Z58" s="4"/>
      <c r="AA58" s="4" t="s">
        <v>624</v>
      </c>
      <c r="AB58" s="4" t="b">
        <v>0</v>
      </c>
      <c r="AC58" s="4" t="s">
        <v>623</v>
      </c>
      <c r="AD58" s="4" t="s">
        <v>537</v>
      </c>
    </row>
    <row r="59" ht="14.25" customHeight="1">
      <c r="A59" s="4">
        <v>7998208.0</v>
      </c>
      <c r="B59" s="2">
        <v>45993.5045833333</v>
      </c>
      <c r="C59" s="4">
        <v>7225967.0</v>
      </c>
      <c r="D59" s="4" t="s">
        <v>625</v>
      </c>
      <c r="E59" s="2">
        <v>45993.5041666667</v>
      </c>
      <c r="F59" s="4">
        <v>1.0</v>
      </c>
      <c r="G59" s="4">
        <v>0.0</v>
      </c>
      <c r="H59" s="4"/>
      <c r="I59" s="4"/>
      <c r="J59" s="4" t="s">
        <v>1526</v>
      </c>
      <c r="K59" s="4" t="s">
        <v>1527</v>
      </c>
      <c r="L59" s="4" t="s">
        <v>1528</v>
      </c>
      <c r="M59" s="4" t="s">
        <v>1482</v>
      </c>
      <c r="N59" s="4" t="s">
        <v>1529</v>
      </c>
      <c r="O59" s="4" t="s">
        <v>1530</v>
      </c>
      <c r="P59" s="4" t="s">
        <v>1488</v>
      </c>
      <c r="Q59" s="4" t="s">
        <v>1629</v>
      </c>
      <c r="R59" s="4" t="b">
        <v>0</v>
      </c>
      <c r="S59" s="4" t="s">
        <v>1486</v>
      </c>
      <c r="T59" s="2">
        <v>45993.5055555556</v>
      </c>
      <c r="U59" s="2">
        <v>45993.0</v>
      </c>
      <c r="V59" s="4">
        <v>48.0</v>
      </c>
      <c r="W59" s="4" t="s">
        <v>550</v>
      </c>
      <c r="X59" s="4">
        <v>2025.0</v>
      </c>
      <c r="Y59" s="4" t="s">
        <v>1532</v>
      </c>
      <c r="Z59" s="4" t="s">
        <v>541</v>
      </c>
      <c r="AA59" s="4" t="s">
        <v>546</v>
      </c>
      <c r="AB59" s="4" t="b">
        <v>0</v>
      </c>
      <c r="AC59" s="4" t="s">
        <v>536</v>
      </c>
      <c r="AD59" s="4" t="s">
        <v>537</v>
      </c>
    </row>
    <row r="60" ht="14.25" customHeight="1">
      <c r="A60" s="4">
        <v>7998387.0</v>
      </c>
      <c r="B60" s="2">
        <v>45993.5273842593</v>
      </c>
      <c r="C60" s="4">
        <v>7226145.0</v>
      </c>
      <c r="D60" s="4" t="s">
        <v>626</v>
      </c>
      <c r="E60" s="2">
        <v>45993.5277777778</v>
      </c>
      <c r="F60" s="4">
        <v>1.0</v>
      </c>
      <c r="G60" s="4">
        <v>0.0</v>
      </c>
      <c r="H60" s="4"/>
      <c r="I60" s="4"/>
      <c r="J60" s="4" t="s">
        <v>1480</v>
      </c>
      <c r="K60" s="4" t="s">
        <v>1480</v>
      </c>
      <c r="L60" s="4" t="s">
        <v>1481</v>
      </c>
      <c r="M60" s="4" t="s">
        <v>1482</v>
      </c>
      <c r="N60" s="4" t="s">
        <v>540</v>
      </c>
      <c r="O60" s="4" t="s">
        <v>1483</v>
      </c>
      <c r="P60" s="4" t="s">
        <v>1488</v>
      </c>
      <c r="Q60" s="4" t="s">
        <v>1630</v>
      </c>
      <c r="R60" s="4" t="b">
        <v>0</v>
      </c>
      <c r="S60" s="4" t="s">
        <v>1486</v>
      </c>
      <c r="T60" s="2">
        <v>45993.5291666667</v>
      </c>
      <c r="U60" s="2">
        <v>45993.0</v>
      </c>
      <c r="V60" s="4">
        <v>48.0</v>
      </c>
      <c r="W60" s="4" t="s">
        <v>550</v>
      </c>
      <c r="X60" s="4">
        <v>2025.0</v>
      </c>
      <c r="Y60" s="4" t="s">
        <v>1487</v>
      </c>
      <c r="Z60" s="4" t="s">
        <v>541</v>
      </c>
      <c r="AA60" s="4" t="s">
        <v>546</v>
      </c>
      <c r="AB60" s="4" t="b">
        <v>0</v>
      </c>
      <c r="AC60" s="4" t="s">
        <v>536</v>
      </c>
      <c r="AD60" s="4" t="s">
        <v>537</v>
      </c>
    </row>
    <row r="61" ht="14.25" customHeight="1">
      <c r="A61" s="4">
        <v>7798272.0</v>
      </c>
      <c r="B61" s="2">
        <v>45951.6030787037</v>
      </c>
      <c r="C61" s="4">
        <v>7033836.0</v>
      </c>
      <c r="D61" s="4" t="s">
        <v>627</v>
      </c>
      <c r="E61" s="2">
        <v>45993.5375</v>
      </c>
      <c r="F61" s="4">
        <v>0.4</v>
      </c>
      <c r="G61" s="4">
        <v>0.0</v>
      </c>
      <c r="H61" s="4"/>
      <c r="I61" s="4"/>
      <c r="J61" s="4" t="s">
        <v>1480</v>
      </c>
      <c r="K61" s="4" t="s">
        <v>1480</v>
      </c>
      <c r="L61" s="4" t="s">
        <v>1481</v>
      </c>
      <c r="M61" s="4" t="s">
        <v>1482</v>
      </c>
      <c r="N61" s="4" t="s">
        <v>540</v>
      </c>
      <c r="O61" s="4" t="s">
        <v>1557</v>
      </c>
      <c r="P61" s="4" t="s">
        <v>1585</v>
      </c>
      <c r="Q61" s="4" t="s">
        <v>1631</v>
      </c>
      <c r="R61" s="4" t="b">
        <v>0</v>
      </c>
      <c r="S61" s="4" t="s">
        <v>1486</v>
      </c>
      <c r="T61" s="2">
        <v>45993.5388888889</v>
      </c>
      <c r="U61" s="2">
        <v>45951.0</v>
      </c>
      <c r="V61" s="4">
        <v>42.0</v>
      </c>
      <c r="W61" s="4" t="s">
        <v>1560</v>
      </c>
      <c r="X61" s="4">
        <v>2025.0</v>
      </c>
      <c r="Y61" s="4" t="s">
        <v>1487</v>
      </c>
      <c r="Z61" s="4" t="s">
        <v>541</v>
      </c>
      <c r="AA61" s="4" t="s">
        <v>546</v>
      </c>
      <c r="AB61" s="4" t="b">
        <v>0</v>
      </c>
      <c r="AC61" s="4" t="s">
        <v>536</v>
      </c>
      <c r="AD61" s="4" t="s">
        <v>537</v>
      </c>
    </row>
    <row r="62" ht="14.25" customHeight="1">
      <c r="A62" s="4">
        <v>7906291.0</v>
      </c>
      <c r="B62" s="2">
        <v>45973.6922800926</v>
      </c>
      <c r="C62" s="4">
        <v>7033836.0</v>
      </c>
      <c r="D62" s="4" t="s">
        <v>627</v>
      </c>
      <c r="E62" s="2">
        <v>45993.5375</v>
      </c>
      <c r="F62" s="4">
        <v>0.05</v>
      </c>
      <c r="G62" s="4">
        <v>0.0</v>
      </c>
      <c r="H62" s="4" t="s">
        <v>1565</v>
      </c>
      <c r="I62" s="4" t="s">
        <v>1566</v>
      </c>
      <c r="J62" s="4" t="s">
        <v>1565</v>
      </c>
      <c r="K62" s="4" t="s">
        <v>1567</v>
      </c>
      <c r="L62" s="4" t="s">
        <v>1566</v>
      </c>
      <c r="M62" s="4" t="s">
        <v>1568</v>
      </c>
      <c r="N62" s="4"/>
      <c r="O62" s="4" t="s">
        <v>1632</v>
      </c>
      <c r="P62" s="4" t="s">
        <v>1488</v>
      </c>
      <c r="Q62" s="4" t="s">
        <v>1631</v>
      </c>
      <c r="R62" s="4" t="b">
        <v>0</v>
      </c>
      <c r="S62" s="4" t="s">
        <v>1486</v>
      </c>
      <c r="T62" s="2">
        <v>45993.5388888889</v>
      </c>
      <c r="U62" s="2">
        <v>45973.0</v>
      </c>
      <c r="V62" s="4">
        <v>45.0</v>
      </c>
      <c r="W62" s="4" t="s">
        <v>545</v>
      </c>
      <c r="X62" s="4">
        <v>2025.0</v>
      </c>
      <c r="Y62" s="4" t="s">
        <v>1518</v>
      </c>
      <c r="Z62" s="4" t="s">
        <v>541</v>
      </c>
      <c r="AA62" s="4" t="s">
        <v>546</v>
      </c>
      <c r="AB62" s="4" t="b">
        <v>0</v>
      </c>
      <c r="AC62" s="4" t="s">
        <v>536</v>
      </c>
      <c r="AD62" s="4" t="s">
        <v>537</v>
      </c>
    </row>
    <row r="63" ht="14.25" customHeight="1">
      <c r="A63" s="4">
        <v>7936434.0</v>
      </c>
      <c r="B63" s="2">
        <v>45979.7852430556</v>
      </c>
      <c r="C63" s="4">
        <v>7033836.0</v>
      </c>
      <c r="D63" s="4" t="s">
        <v>627</v>
      </c>
      <c r="E63" s="2">
        <v>45993.5375</v>
      </c>
      <c r="F63" s="4">
        <v>0.05</v>
      </c>
      <c r="G63" s="4">
        <v>0.0</v>
      </c>
      <c r="H63" s="4" t="s">
        <v>1565</v>
      </c>
      <c r="I63" s="4" t="s">
        <v>1570</v>
      </c>
      <c r="J63" s="4" t="s">
        <v>1565</v>
      </c>
      <c r="K63" s="4" t="s">
        <v>1567</v>
      </c>
      <c r="L63" s="4" t="s">
        <v>1570</v>
      </c>
      <c r="M63" s="4" t="s">
        <v>1571</v>
      </c>
      <c r="N63" s="4"/>
      <c r="O63" s="4" t="s">
        <v>1633</v>
      </c>
      <c r="P63" s="4" t="s">
        <v>1488</v>
      </c>
      <c r="Q63" s="4" t="s">
        <v>1631</v>
      </c>
      <c r="R63" s="4" t="b">
        <v>0</v>
      </c>
      <c r="S63" s="4" t="s">
        <v>1486</v>
      </c>
      <c r="T63" s="2">
        <v>45993.5388888889</v>
      </c>
      <c r="U63" s="2">
        <v>45979.0</v>
      </c>
      <c r="V63" s="4">
        <v>46.0</v>
      </c>
      <c r="W63" s="4" t="s">
        <v>545</v>
      </c>
      <c r="X63" s="4">
        <v>2025.0</v>
      </c>
      <c r="Y63" s="4" t="s">
        <v>1518</v>
      </c>
      <c r="Z63" s="4" t="s">
        <v>541</v>
      </c>
      <c r="AA63" s="4" t="s">
        <v>546</v>
      </c>
      <c r="AB63" s="4" t="b">
        <v>0</v>
      </c>
      <c r="AC63" s="4" t="s">
        <v>536</v>
      </c>
      <c r="AD63" s="4" t="s">
        <v>537</v>
      </c>
    </row>
    <row r="64" ht="14.25" customHeight="1">
      <c r="A64" s="4">
        <v>7967168.0</v>
      </c>
      <c r="B64" s="2">
        <v>45986.5459143519</v>
      </c>
      <c r="C64" s="4">
        <v>7033836.0</v>
      </c>
      <c r="D64" s="4" t="s">
        <v>627</v>
      </c>
      <c r="E64" s="2">
        <v>45993.5375</v>
      </c>
      <c r="F64" s="4">
        <v>0.05</v>
      </c>
      <c r="G64" s="4">
        <v>0.0</v>
      </c>
      <c r="H64" s="4" t="s">
        <v>1565</v>
      </c>
      <c r="I64" s="4" t="s">
        <v>1570</v>
      </c>
      <c r="J64" s="4" t="s">
        <v>1565</v>
      </c>
      <c r="K64" s="4" t="s">
        <v>1567</v>
      </c>
      <c r="L64" s="4" t="s">
        <v>1570</v>
      </c>
      <c r="M64" s="4" t="s">
        <v>1571</v>
      </c>
      <c r="N64" s="4"/>
      <c r="O64" s="4" t="s">
        <v>1634</v>
      </c>
      <c r="P64" s="4" t="s">
        <v>1635</v>
      </c>
      <c r="Q64" s="4" t="s">
        <v>1631</v>
      </c>
      <c r="R64" s="4" t="b">
        <v>0</v>
      </c>
      <c r="S64" s="4" t="s">
        <v>1486</v>
      </c>
      <c r="T64" s="2">
        <v>45993.5388888889</v>
      </c>
      <c r="U64" s="2">
        <v>45986.0</v>
      </c>
      <c r="V64" s="4">
        <v>47.0</v>
      </c>
      <c r="W64" s="4" t="s">
        <v>545</v>
      </c>
      <c r="X64" s="4">
        <v>2025.0</v>
      </c>
      <c r="Y64" s="4" t="s">
        <v>1518</v>
      </c>
      <c r="Z64" s="4" t="s">
        <v>541</v>
      </c>
      <c r="AA64" s="4" t="s">
        <v>546</v>
      </c>
      <c r="AB64" s="4" t="b">
        <v>0</v>
      </c>
      <c r="AC64" s="4" t="s">
        <v>536</v>
      </c>
      <c r="AD64" s="4" t="s">
        <v>537</v>
      </c>
    </row>
    <row r="65" ht="14.25" customHeight="1">
      <c r="A65" s="4">
        <v>7991812.0</v>
      </c>
      <c r="B65" s="2">
        <v>45992.4546180556</v>
      </c>
      <c r="C65" s="4">
        <v>7033836.0</v>
      </c>
      <c r="D65" s="4" t="s">
        <v>627</v>
      </c>
      <c r="E65" s="2">
        <v>45993.5375</v>
      </c>
      <c r="F65" s="4">
        <v>0.05</v>
      </c>
      <c r="G65" s="4">
        <v>0.0</v>
      </c>
      <c r="H65" s="4" t="s">
        <v>1636</v>
      </c>
      <c r="I65" s="4" t="s">
        <v>1637</v>
      </c>
      <c r="J65" s="4" t="s">
        <v>1636</v>
      </c>
      <c r="K65" s="4" t="s">
        <v>1638</v>
      </c>
      <c r="L65" s="4" t="s">
        <v>1637</v>
      </c>
      <c r="M65" s="4" t="s">
        <v>1482</v>
      </c>
      <c r="N65" s="4"/>
      <c r="O65" s="4" t="s">
        <v>1639</v>
      </c>
      <c r="P65" s="4" t="s">
        <v>1635</v>
      </c>
      <c r="Q65" s="4" t="s">
        <v>1631</v>
      </c>
      <c r="R65" s="4" t="b">
        <v>0</v>
      </c>
      <c r="S65" s="4" t="s">
        <v>1486</v>
      </c>
      <c r="T65" s="2">
        <v>45993.5388888889</v>
      </c>
      <c r="U65" s="2">
        <v>45992.0</v>
      </c>
      <c r="V65" s="4">
        <v>48.0</v>
      </c>
      <c r="W65" s="4" t="s">
        <v>550</v>
      </c>
      <c r="X65" s="4">
        <v>2025.0</v>
      </c>
      <c r="Y65" s="4" t="s">
        <v>1518</v>
      </c>
      <c r="Z65" s="4" t="s">
        <v>541</v>
      </c>
      <c r="AA65" s="4" t="s">
        <v>546</v>
      </c>
      <c r="AB65" s="4" t="b">
        <v>0</v>
      </c>
      <c r="AC65" s="4" t="s">
        <v>536</v>
      </c>
      <c r="AD65" s="4" t="s">
        <v>537</v>
      </c>
    </row>
    <row r="66" ht="14.25" customHeight="1">
      <c r="A66" s="4">
        <v>7991824.0</v>
      </c>
      <c r="B66" s="2">
        <v>45992.4561805556</v>
      </c>
      <c r="C66" s="4">
        <v>7033836.0</v>
      </c>
      <c r="D66" s="4" t="s">
        <v>627</v>
      </c>
      <c r="E66" s="2">
        <v>45993.5375</v>
      </c>
      <c r="F66" s="4">
        <v>0.4</v>
      </c>
      <c r="G66" s="4">
        <v>0.0</v>
      </c>
      <c r="H66" s="4" t="s">
        <v>1636</v>
      </c>
      <c r="I66" s="4" t="s">
        <v>1637</v>
      </c>
      <c r="J66" s="4" t="s">
        <v>1636</v>
      </c>
      <c r="K66" s="4" t="s">
        <v>1638</v>
      </c>
      <c r="L66" s="4" t="s">
        <v>1637</v>
      </c>
      <c r="M66" s="4" t="s">
        <v>1482</v>
      </c>
      <c r="N66" s="4" t="s">
        <v>1640</v>
      </c>
      <c r="O66" s="4" t="s">
        <v>1641</v>
      </c>
      <c r="P66" s="4" t="s">
        <v>1635</v>
      </c>
      <c r="Q66" s="4" t="s">
        <v>1631</v>
      </c>
      <c r="R66" s="4" t="b">
        <v>0</v>
      </c>
      <c r="S66" s="4" t="s">
        <v>1486</v>
      </c>
      <c r="T66" s="2">
        <v>45993.5388888889</v>
      </c>
      <c r="U66" s="2">
        <v>45992.0</v>
      </c>
      <c r="V66" s="4">
        <v>48.0</v>
      </c>
      <c r="W66" s="4" t="s">
        <v>550</v>
      </c>
      <c r="X66" s="4">
        <v>2025.0</v>
      </c>
      <c r="Y66" s="4" t="s">
        <v>1518</v>
      </c>
      <c r="Z66" s="4" t="s">
        <v>541</v>
      </c>
      <c r="AA66" s="4" t="s">
        <v>546</v>
      </c>
      <c r="AB66" s="4" t="b">
        <v>0</v>
      </c>
      <c r="AC66" s="4" t="s">
        <v>536</v>
      </c>
      <c r="AD66" s="4" t="s">
        <v>537</v>
      </c>
    </row>
    <row r="67" ht="14.25" customHeight="1">
      <c r="A67" s="4">
        <v>7943045.0</v>
      </c>
      <c r="B67" s="2">
        <v>45981.3194675926</v>
      </c>
      <c r="C67" s="4">
        <v>7171683.0</v>
      </c>
      <c r="D67" s="4" t="s">
        <v>628</v>
      </c>
      <c r="E67" s="2">
        <v>45993.5388888889</v>
      </c>
      <c r="F67" s="4">
        <v>1.0</v>
      </c>
      <c r="G67" s="4">
        <v>0.0</v>
      </c>
      <c r="H67" s="4"/>
      <c r="I67" s="4"/>
      <c r="J67" s="4" t="s">
        <v>1480</v>
      </c>
      <c r="K67" s="4" t="s">
        <v>1480</v>
      </c>
      <c r="L67" s="4" t="s">
        <v>1481</v>
      </c>
      <c r="M67" s="4" t="s">
        <v>1482</v>
      </c>
      <c r="N67" s="4" t="s">
        <v>540</v>
      </c>
      <c r="O67" s="4" t="s">
        <v>1642</v>
      </c>
      <c r="P67" s="4" t="s">
        <v>1558</v>
      </c>
      <c r="Q67" s="4" t="s">
        <v>1643</v>
      </c>
      <c r="R67" s="4" t="b">
        <v>0</v>
      </c>
      <c r="S67" s="4" t="s">
        <v>1486</v>
      </c>
      <c r="T67" s="2">
        <v>45993.5402777778</v>
      </c>
      <c r="U67" s="2">
        <v>45981.0</v>
      </c>
      <c r="V67" s="4">
        <v>46.0</v>
      </c>
      <c r="W67" s="4" t="s">
        <v>545</v>
      </c>
      <c r="X67" s="4">
        <v>2025.0</v>
      </c>
      <c r="Y67" s="4" t="s">
        <v>1487</v>
      </c>
      <c r="Z67" s="4"/>
      <c r="AA67" s="4" t="s">
        <v>629</v>
      </c>
      <c r="AB67" s="4" t="b">
        <v>0</v>
      </c>
      <c r="AC67" s="4" t="s">
        <v>554</v>
      </c>
      <c r="AD67" s="4" t="s">
        <v>537</v>
      </c>
    </row>
    <row r="68" ht="14.25" customHeight="1">
      <c r="A68" s="4">
        <v>7999158.0</v>
      </c>
      <c r="B68" s="2">
        <v>45993.6157175926</v>
      </c>
      <c r="C68" s="4">
        <v>7226908.0</v>
      </c>
      <c r="D68" s="4" t="s">
        <v>630</v>
      </c>
      <c r="E68" s="2">
        <v>45993.6180555556</v>
      </c>
      <c r="F68" s="4">
        <v>1.0</v>
      </c>
      <c r="G68" s="4">
        <v>0.0</v>
      </c>
      <c r="H68" s="4"/>
      <c r="I68" s="4"/>
      <c r="J68" s="4" t="s">
        <v>539</v>
      </c>
      <c r="K68" s="4" t="s">
        <v>539</v>
      </c>
      <c r="L68" s="4" t="s">
        <v>1499</v>
      </c>
      <c r="M68" s="4" t="s">
        <v>1482</v>
      </c>
      <c r="N68" s="4"/>
      <c r="O68" s="4" t="s">
        <v>1644</v>
      </c>
      <c r="P68" s="4" t="s">
        <v>1645</v>
      </c>
      <c r="Q68" s="4" t="s">
        <v>1646</v>
      </c>
      <c r="R68" s="4" t="b">
        <v>0</v>
      </c>
      <c r="S68" s="4" t="s">
        <v>1486</v>
      </c>
      <c r="T68" s="2">
        <v>45993.6194444444</v>
      </c>
      <c r="U68" s="2">
        <v>45993.0</v>
      </c>
      <c r="V68" s="4">
        <v>48.0</v>
      </c>
      <c r="W68" s="4" t="s">
        <v>550</v>
      </c>
      <c r="X68" s="4">
        <v>2025.0</v>
      </c>
      <c r="Y68" s="4" t="s">
        <v>1502</v>
      </c>
      <c r="Z68" s="4" t="s">
        <v>557</v>
      </c>
      <c r="AA68" s="4" t="s">
        <v>558</v>
      </c>
      <c r="AB68" s="4" t="b">
        <v>0</v>
      </c>
      <c r="AC68" s="4" t="s">
        <v>536</v>
      </c>
      <c r="AD68" s="4" t="s">
        <v>537</v>
      </c>
    </row>
    <row r="69" ht="14.25" customHeight="1">
      <c r="A69" s="4">
        <v>7972169.0</v>
      </c>
      <c r="B69" s="2">
        <v>45987.4791203704</v>
      </c>
      <c r="C69" s="4">
        <v>7200361.0</v>
      </c>
      <c r="D69" s="4" t="s">
        <v>632</v>
      </c>
      <c r="E69" s="2">
        <v>45993.6236111111</v>
      </c>
      <c r="F69" s="4">
        <v>1.0</v>
      </c>
      <c r="G69" s="4">
        <v>0.0</v>
      </c>
      <c r="H69" s="4"/>
      <c r="I69" s="4"/>
      <c r="J69" s="4" t="s">
        <v>1480</v>
      </c>
      <c r="K69" s="4" t="s">
        <v>1480</v>
      </c>
      <c r="L69" s="4" t="s">
        <v>1481</v>
      </c>
      <c r="M69" s="4" t="s">
        <v>1482</v>
      </c>
      <c r="N69" s="4" t="s">
        <v>540</v>
      </c>
      <c r="O69" s="4" t="s">
        <v>1483</v>
      </c>
      <c r="P69" s="4" t="s">
        <v>1488</v>
      </c>
      <c r="Q69" s="4" t="s">
        <v>1647</v>
      </c>
      <c r="R69" s="4" t="b">
        <v>0</v>
      </c>
      <c r="S69" s="4" t="s">
        <v>1486</v>
      </c>
      <c r="T69" s="2">
        <v>45987.4861111111</v>
      </c>
      <c r="U69" s="2">
        <v>45987.0</v>
      </c>
      <c r="V69" s="4">
        <v>47.0</v>
      </c>
      <c r="W69" s="4" t="s">
        <v>545</v>
      </c>
      <c r="X69" s="4">
        <v>2025.0</v>
      </c>
      <c r="Y69" s="4" t="s">
        <v>1487</v>
      </c>
      <c r="Z69" s="4"/>
      <c r="AA69" s="4" t="s">
        <v>546</v>
      </c>
      <c r="AB69" s="4" t="b">
        <v>1</v>
      </c>
      <c r="AC69" s="4" t="s">
        <v>536</v>
      </c>
      <c r="AD69" s="4" t="s">
        <v>537</v>
      </c>
    </row>
    <row r="70" ht="14.25" customHeight="1">
      <c r="A70" s="4">
        <v>7999538.0</v>
      </c>
      <c r="B70" s="2">
        <v>45993.6649884259</v>
      </c>
      <c r="C70" s="4">
        <v>7227287.0</v>
      </c>
      <c r="D70" s="4" t="s">
        <v>633</v>
      </c>
      <c r="E70" s="2">
        <v>45993.6659722222</v>
      </c>
      <c r="F70" s="4">
        <v>1.0</v>
      </c>
      <c r="G70" s="4">
        <v>0.0</v>
      </c>
      <c r="H70" s="4" t="s">
        <v>1511</v>
      </c>
      <c r="I70" s="4" t="s">
        <v>1648</v>
      </c>
      <c r="J70" s="4" t="s">
        <v>1511</v>
      </c>
      <c r="K70" s="4" t="s">
        <v>1513</v>
      </c>
      <c r="L70" s="4" t="s">
        <v>1648</v>
      </c>
      <c r="M70" s="4" t="s">
        <v>1649</v>
      </c>
      <c r="N70" s="4" t="s">
        <v>653</v>
      </c>
      <c r="O70" s="4" t="s">
        <v>1650</v>
      </c>
      <c r="P70" s="4" t="s">
        <v>1496</v>
      </c>
      <c r="Q70" s="4" t="s">
        <v>1651</v>
      </c>
      <c r="R70" s="4" t="b">
        <v>0</v>
      </c>
      <c r="S70" s="4" t="s">
        <v>1486</v>
      </c>
      <c r="T70" s="2">
        <v>45993.6673611111</v>
      </c>
      <c r="U70" s="2">
        <v>45993.0</v>
      </c>
      <c r="V70" s="4">
        <v>48.0</v>
      </c>
      <c r="W70" s="4" t="s">
        <v>550</v>
      </c>
      <c r="X70" s="4">
        <v>2025.0</v>
      </c>
      <c r="Y70" s="4" t="s">
        <v>1518</v>
      </c>
      <c r="Z70" s="4"/>
      <c r="AA70" s="4" t="s">
        <v>558</v>
      </c>
      <c r="AB70" s="4" t="b">
        <v>0</v>
      </c>
      <c r="AC70" s="4" t="s">
        <v>536</v>
      </c>
      <c r="AD70" s="4" t="s">
        <v>537</v>
      </c>
    </row>
    <row r="71" ht="14.25" customHeight="1">
      <c r="A71" s="4">
        <v>7999637.0</v>
      </c>
      <c r="B71" s="2">
        <v>45993.6757060185</v>
      </c>
      <c r="C71" s="4">
        <v>7227385.0</v>
      </c>
      <c r="D71" s="4" t="s">
        <v>635</v>
      </c>
      <c r="E71" s="2">
        <v>45993.6763888889</v>
      </c>
      <c r="F71" s="4">
        <v>1.0</v>
      </c>
      <c r="G71" s="4">
        <v>0.0</v>
      </c>
      <c r="H71" s="4"/>
      <c r="I71" s="4"/>
      <c r="J71" s="4" t="s">
        <v>1480</v>
      </c>
      <c r="K71" s="4" t="s">
        <v>1480</v>
      </c>
      <c r="L71" s="4" t="s">
        <v>1481</v>
      </c>
      <c r="M71" s="4" t="s">
        <v>1482</v>
      </c>
      <c r="N71" s="4" t="s">
        <v>540</v>
      </c>
      <c r="O71" s="4" t="s">
        <v>1483</v>
      </c>
      <c r="P71" s="4" t="s">
        <v>1488</v>
      </c>
      <c r="Q71" s="4" t="s">
        <v>1652</v>
      </c>
      <c r="R71" s="4" t="b">
        <v>0</v>
      </c>
      <c r="S71" s="4" t="s">
        <v>1486</v>
      </c>
      <c r="T71" s="2">
        <v>45993.6777777778</v>
      </c>
      <c r="U71" s="2">
        <v>45993.0</v>
      </c>
      <c r="V71" s="4">
        <v>48.0</v>
      </c>
      <c r="W71" s="4" t="s">
        <v>550</v>
      </c>
      <c r="X71" s="4">
        <v>2025.0</v>
      </c>
      <c r="Y71" s="4" t="s">
        <v>1487</v>
      </c>
      <c r="Z71" s="4" t="s">
        <v>557</v>
      </c>
      <c r="AA71" s="4" t="s">
        <v>558</v>
      </c>
      <c r="AB71" s="4" t="b">
        <v>0</v>
      </c>
      <c r="AC71" s="4" t="s">
        <v>536</v>
      </c>
      <c r="AD71" s="4" t="s">
        <v>537</v>
      </c>
    </row>
    <row r="72" ht="14.25" customHeight="1">
      <c r="A72" s="4">
        <v>7999736.0</v>
      </c>
      <c r="B72" s="2">
        <v>45993.6897337963</v>
      </c>
      <c r="C72" s="4">
        <v>7227482.0</v>
      </c>
      <c r="D72" s="4" t="s">
        <v>636</v>
      </c>
      <c r="E72" s="2">
        <v>45993.6902777778</v>
      </c>
      <c r="F72" s="4">
        <v>1.0</v>
      </c>
      <c r="G72" s="4">
        <v>0.0</v>
      </c>
      <c r="H72" s="4"/>
      <c r="I72" s="4"/>
      <c r="J72" s="4" t="s">
        <v>1480</v>
      </c>
      <c r="K72" s="4" t="s">
        <v>1480</v>
      </c>
      <c r="L72" s="4" t="s">
        <v>1481</v>
      </c>
      <c r="M72" s="4" t="s">
        <v>1482</v>
      </c>
      <c r="N72" s="4" t="s">
        <v>540</v>
      </c>
      <c r="O72" s="4" t="s">
        <v>1483</v>
      </c>
      <c r="P72" s="4" t="s">
        <v>1506</v>
      </c>
      <c r="Q72" s="4" t="s">
        <v>1653</v>
      </c>
      <c r="R72" s="4" t="b">
        <v>0</v>
      </c>
      <c r="S72" s="4" t="s">
        <v>1486</v>
      </c>
      <c r="T72" s="2">
        <v>45993.6916666667</v>
      </c>
      <c r="U72" s="2">
        <v>45993.0</v>
      </c>
      <c r="V72" s="4">
        <v>48.0</v>
      </c>
      <c r="W72" s="4" t="s">
        <v>550</v>
      </c>
      <c r="X72" s="4">
        <v>2025.0</v>
      </c>
      <c r="Y72" s="4" t="s">
        <v>1487</v>
      </c>
      <c r="Z72" s="4"/>
      <c r="AA72" s="4" t="s">
        <v>558</v>
      </c>
      <c r="AB72" s="4" t="b">
        <v>0</v>
      </c>
      <c r="AC72" s="4" t="s">
        <v>536</v>
      </c>
      <c r="AD72" s="4" t="s">
        <v>537</v>
      </c>
    </row>
    <row r="73" ht="14.25" customHeight="1">
      <c r="A73" s="4">
        <v>7999751.0</v>
      </c>
      <c r="B73" s="2">
        <v>45993.6913541667</v>
      </c>
      <c r="C73" s="4">
        <v>7227496.0</v>
      </c>
      <c r="D73" s="4" t="s">
        <v>637</v>
      </c>
      <c r="E73" s="2">
        <v>45993.6909722222</v>
      </c>
      <c r="F73" s="4">
        <v>1.0</v>
      </c>
      <c r="G73" s="4">
        <v>0.0</v>
      </c>
      <c r="H73" s="4"/>
      <c r="I73" s="4"/>
      <c r="J73" s="4" t="s">
        <v>539</v>
      </c>
      <c r="K73" s="4" t="s">
        <v>539</v>
      </c>
      <c r="L73" s="4" t="s">
        <v>1499</v>
      </c>
      <c r="M73" s="4" t="s">
        <v>1482</v>
      </c>
      <c r="N73" s="4"/>
      <c r="O73" s="4" t="s">
        <v>1654</v>
      </c>
      <c r="P73" s="4" t="s">
        <v>1655</v>
      </c>
      <c r="Q73" s="4" t="s">
        <v>1656</v>
      </c>
      <c r="R73" s="4" t="b">
        <v>0</v>
      </c>
      <c r="S73" s="4" t="s">
        <v>1486</v>
      </c>
      <c r="T73" s="2">
        <v>45993.6923611111</v>
      </c>
      <c r="U73" s="2">
        <v>45993.0</v>
      </c>
      <c r="V73" s="4">
        <v>48.0</v>
      </c>
      <c r="W73" s="4" t="s">
        <v>550</v>
      </c>
      <c r="X73" s="4">
        <v>2025.0</v>
      </c>
      <c r="Y73" s="4" t="s">
        <v>1502</v>
      </c>
      <c r="Z73" s="4" t="s">
        <v>557</v>
      </c>
      <c r="AA73" s="4" t="s">
        <v>558</v>
      </c>
      <c r="AB73" s="4" t="b">
        <v>0</v>
      </c>
      <c r="AC73" s="4" t="s">
        <v>567</v>
      </c>
      <c r="AD73" s="4" t="s">
        <v>537</v>
      </c>
    </row>
    <row r="74" ht="14.25" customHeight="1">
      <c r="A74" s="4">
        <v>7999975.0</v>
      </c>
      <c r="B74" s="2">
        <v>45993.719525463</v>
      </c>
      <c r="C74" s="4">
        <v>7227716.0</v>
      </c>
      <c r="D74" s="4" t="s">
        <v>639</v>
      </c>
      <c r="E74" s="2">
        <v>45993.7201388889</v>
      </c>
      <c r="F74" s="4">
        <v>1.0</v>
      </c>
      <c r="G74" s="4">
        <v>0.0</v>
      </c>
      <c r="H74" s="4" t="s">
        <v>1511</v>
      </c>
      <c r="I74" s="4" t="s">
        <v>1512</v>
      </c>
      <c r="J74" s="4" t="s">
        <v>1511</v>
      </c>
      <c r="K74" s="4" t="s">
        <v>1513</v>
      </c>
      <c r="L74" s="4" t="s">
        <v>1512</v>
      </c>
      <c r="M74" s="4" t="s">
        <v>1657</v>
      </c>
      <c r="N74" s="4" t="s">
        <v>831</v>
      </c>
      <c r="O74" s="4" t="s">
        <v>1658</v>
      </c>
      <c r="P74" s="4" t="s">
        <v>1645</v>
      </c>
      <c r="Q74" s="4" t="s">
        <v>1659</v>
      </c>
      <c r="R74" s="4" t="b">
        <v>0</v>
      </c>
      <c r="S74" s="4" t="s">
        <v>1486</v>
      </c>
      <c r="T74" s="2">
        <v>45993.7215277778</v>
      </c>
      <c r="U74" s="2">
        <v>45993.0</v>
      </c>
      <c r="V74" s="4">
        <v>48.0</v>
      </c>
      <c r="W74" s="4" t="s">
        <v>550</v>
      </c>
      <c r="X74" s="4">
        <v>2025.0</v>
      </c>
      <c r="Y74" s="4" t="s">
        <v>1518</v>
      </c>
      <c r="Z74" s="4"/>
      <c r="AA74" s="4" t="s">
        <v>558</v>
      </c>
      <c r="AB74" s="4" t="b">
        <v>0</v>
      </c>
      <c r="AC74" s="4" t="s">
        <v>554</v>
      </c>
      <c r="AD74" s="4" t="s">
        <v>537</v>
      </c>
    </row>
    <row r="75" ht="14.25" customHeight="1">
      <c r="A75" s="4">
        <v>7999198.0</v>
      </c>
      <c r="B75" s="2">
        <v>45993.619212963</v>
      </c>
      <c r="C75" s="4">
        <v>7226948.0</v>
      </c>
      <c r="D75" s="4" t="s">
        <v>640</v>
      </c>
      <c r="E75" s="2">
        <v>45993.7256944444</v>
      </c>
      <c r="F75" s="4">
        <v>0.5</v>
      </c>
      <c r="G75" s="4">
        <v>0.0</v>
      </c>
      <c r="H75" s="4"/>
      <c r="I75" s="4"/>
      <c r="J75" s="4" t="s">
        <v>1480</v>
      </c>
      <c r="K75" s="4" t="s">
        <v>1480</v>
      </c>
      <c r="L75" s="4" t="s">
        <v>1481</v>
      </c>
      <c r="M75" s="4" t="s">
        <v>1482</v>
      </c>
      <c r="N75" s="4" t="s">
        <v>540</v>
      </c>
      <c r="O75" s="4" t="s">
        <v>1483</v>
      </c>
      <c r="P75" s="4" t="s">
        <v>1488</v>
      </c>
      <c r="Q75" s="4" t="s">
        <v>1660</v>
      </c>
      <c r="R75" s="4" t="b">
        <v>0</v>
      </c>
      <c r="S75" s="4" t="s">
        <v>1486</v>
      </c>
      <c r="T75" s="2">
        <v>45993.7270833333</v>
      </c>
      <c r="U75" s="2">
        <v>45993.0</v>
      </c>
      <c r="V75" s="4">
        <v>48.0</v>
      </c>
      <c r="W75" s="4" t="s">
        <v>550</v>
      </c>
      <c r="X75" s="4">
        <v>2025.0</v>
      </c>
      <c r="Y75" s="4" t="s">
        <v>1487</v>
      </c>
      <c r="Z75" s="4"/>
      <c r="AA75" s="4" t="s">
        <v>558</v>
      </c>
      <c r="AB75" s="4" t="b">
        <v>0</v>
      </c>
      <c r="AC75" s="4" t="s">
        <v>567</v>
      </c>
      <c r="AD75" s="4" t="s">
        <v>537</v>
      </c>
    </row>
    <row r="76" ht="14.25" customHeight="1">
      <c r="A76" s="4">
        <v>7999968.0</v>
      </c>
      <c r="B76" s="2">
        <v>45993.7189467593</v>
      </c>
      <c r="C76" s="4">
        <v>7226948.0</v>
      </c>
      <c r="D76" s="4" t="s">
        <v>640</v>
      </c>
      <c r="E76" s="2">
        <v>45993.7256944444</v>
      </c>
      <c r="F76" s="4">
        <v>0.5</v>
      </c>
      <c r="G76" s="4">
        <v>0.0</v>
      </c>
      <c r="H76" s="4" t="s">
        <v>1519</v>
      </c>
      <c r="I76" s="4" t="s">
        <v>1661</v>
      </c>
      <c r="J76" s="4" t="s">
        <v>1519</v>
      </c>
      <c r="K76" s="4" t="s">
        <v>1513</v>
      </c>
      <c r="L76" s="4" t="s">
        <v>1661</v>
      </c>
      <c r="M76" s="4" t="s">
        <v>1662</v>
      </c>
      <c r="N76" s="4" t="s">
        <v>540</v>
      </c>
      <c r="O76" s="4" t="s">
        <v>1663</v>
      </c>
      <c r="P76" s="4" t="s">
        <v>1488</v>
      </c>
      <c r="Q76" s="4" t="s">
        <v>1660</v>
      </c>
      <c r="R76" s="4" t="b">
        <v>0</v>
      </c>
      <c r="S76" s="4" t="s">
        <v>1486</v>
      </c>
      <c r="T76" s="2">
        <v>45993.7270833333</v>
      </c>
      <c r="U76" s="2">
        <v>45993.0</v>
      </c>
      <c r="V76" s="4">
        <v>48.0</v>
      </c>
      <c r="W76" s="4" t="s">
        <v>550</v>
      </c>
      <c r="X76" s="4">
        <v>2025.0</v>
      </c>
      <c r="Y76" s="4" t="s">
        <v>1518</v>
      </c>
      <c r="Z76" s="4"/>
      <c r="AA76" s="4" t="s">
        <v>558</v>
      </c>
      <c r="AB76" s="4" t="b">
        <v>0</v>
      </c>
      <c r="AC76" s="4" t="s">
        <v>567</v>
      </c>
      <c r="AD76" s="4" t="s">
        <v>537</v>
      </c>
    </row>
    <row r="77" ht="14.25" customHeight="1">
      <c r="A77" s="4">
        <v>8000078.0</v>
      </c>
      <c r="B77" s="2">
        <v>45993.7342361111</v>
      </c>
      <c r="C77" s="4">
        <v>7227818.0</v>
      </c>
      <c r="D77" s="4" t="s">
        <v>641</v>
      </c>
      <c r="E77" s="2">
        <v>45993.7354166667</v>
      </c>
      <c r="F77" s="4">
        <v>1.0</v>
      </c>
      <c r="G77" s="4">
        <v>0.0</v>
      </c>
      <c r="H77" s="4"/>
      <c r="I77" s="4"/>
      <c r="J77" s="4" t="s">
        <v>1480</v>
      </c>
      <c r="K77" s="4" t="s">
        <v>1480</v>
      </c>
      <c r="L77" s="4" t="s">
        <v>1481</v>
      </c>
      <c r="M77" s="4" t="s">
        <v>1482</v>
      </c>
      <c r="N77" s="4" t="s">
        <v>540</v>
      </c>
      <c r="O77" s="4" t="s">
        <v>1483</v>
      </c>
      <c r="P77" s="4" t="s">
        <v>1488</v>
      </c>
      <c r="Q77" s="4" t="s">
        <v>1664</v>
      </c>
      <c r="R77" s="4" t="b">
        <v>0</v>
      </c>
      <c r="S77" s="4" t="s">
        <v>1486</v>
      </c>
      <c r="T77" s="2">
        <v>45993.7368055556</v>
      </c>
      <c r="U77" s="2">
        <v>45993.0</v>
      </c>
      <c r="V77" s="4">
        <v>48.0</v>
      </c>
      <c r="W77" s="4" t="s">
        <v>550</v>
      </c>
      <c r="X77" s="4">
        <v>2025.0</v>
      </c>
      <c r="Y77" s="4" t="s">
        <v>1487</v>
      </c>
      <c r="Z77" s="4" t="s">
        <v>557</v>
      </c>
      <c r="AA77" s="4" t="s">
        <v>558</v>
      </c>
      <c r="AB77" s="4" t="b">
        <v>0</v>
      </c>
      <c r="AC77" s="4" t="s">
        <v>536</v>
      </c>
      <c r="AD77" s="4" t="s">
        <v>537</v>
      </c>
    </row>
    <row r="78" ht="14.25" customHeight="1">
      <c r="A78" s="4">
        <v>7485030.0</v>
      </c>
      <c r="B78" s="2">
        <v>45858.417337963</v>
      </c>
      <c r="C78" s="4">
        <v>6729572.0</v>
      </c>
      <c r="D78" s="4" t="s">
        <v>642</v>
      </c>
      <c r="E78" s="2">
        <v>45993.7479166667</v>
      </c>
      <c r="F78" s="4">
        <v>1.0</v>
      </c>
      <c r="G78" s="4">
        <v>0.0</v>
      </c>
      <c r="H78" s="4" t="s">
        <v>1519</v>
      </c>
      <c r="I78" s="4" t="s">
        <v>1533</v>
      </c>
      <c r="J78" s="4" t="s">
        <v>1519</v>
      </c>
      <c r="K78" s="4" t="s">
        <v>1513</v>
      </c>
      <c r="L78" s="4" t="s">
        <v>1533</v>
      </c>
      <c r="M78" s="4" t="s">
        <v>1665</v>
      </c>
      <c r="N78" s="4" t="s">
        <v>540</v>
      </c>
      <c r="O78" s="4" t="s">
        <v>1666</v>
      </c>
      <c r="P78" s="4" t="s">
        <v>1516</v>
      </c>
      <c r="Q78" s="4" t="s">
        <v>1667</v>
      </c>
      <c r="R78" s="4" t="b">
        <v>0</v>
      </c>
      <c r="S78" s="4" t="s">
        <v>1486</v>
      </c>
      <c r="T78" s="2">
        <v>45993.7493055556</v>
      </c>
      <c r="U78" s="2">
        <v>45858.0</v>
      </c>
      <c r="V78" s="4">
        <v>28.0</v>
      </c>
      <c r="W78" s="4" t="s">
        <v>1668</v>
      </c>
      <c r="X78" s="4">
        <v>2025.0</v>
      </c>
      <c r="Y78" s="4" t="s">
        <v>1518</v>
      </c>
      <c r="Z78" s="4"/>
      <c r="AA78" s="4" t="s">
        <v>558</v>
      </c>
      <c r="AB78" s="4" t="b">
        <v>1</v>
      </c>
      <c r="AC78" s="4" t="s">
        <v>536</v>
      </c>
      <c r="AD78" s="4" t="s">
        <v>537</v>
      </c>
    </row>
    <row r="79" ht="14.25" customHeight="1">
      <c r="A79" s="4">
        <v>8000368.0</v>
      </c>
      <c r="B79" s="2">
        <v>45993.7988194444</v>
      </c>
      <c r="C79" s="4">
        <v>7228093.0</v>
      </c>
      <c r="D79" s="4" t="s">
        <v>643</v>
      </c>
      <c r="E79" s="2">
        <v>45993.8027777778</v>
      </c>
      <c r="F79" s="4">
        <v>1.0</v>
      </c>
      <c r="G79" s="4">
        <v>0.0</v>
      </c>
      <c r="H79" s="4" t="s">
        <v>1519</v>
      </c>
      <c r="I79" s="4" t="s">
        <v>1581</v>
      </c>
      <c r="J79" s="4" t="s">
        <v>1519</v>
      </c>
      <c r="K79" s="4" t="s">
        <v>1513</v>
      </c>
      <c r="L79" s="4" t="s">
        <v>1581</v>
      </c>
      <c r="M79" s="4" t="s">
        <v>1521</v>
      </c>
      <c r="N79" s="4" t="s">
        <v>540</v>
      </c>
      <c r="O79" s="4" t="s">
        <v>1669</v>
      </c>
      <c r="P79" s="4" t="s">
        <v>1670</v>
      </c>
      <c r="Q79" s="4" t="s">
        <v>1671</v>
      </c>
      <c r="R79" s="4" t="b">
        <v>0</v>
      </c>
      <c r="S79" s="4" t="s">
        <v>1486</v>
      </c>
      <c r="T79" s="2">
        <v>45993.8041666667</v>
      </c>
      <c r="U79" s="2">
        <v>45993.0</v>
      </c>
      <c r="V79" s="4">
        <v>48.0</v>
      </c>
      <c r="W79" s="4" t="s">
        <v>550</v>
      </c>
      <c r="X79" s="4">
        <v>2025.0</v>
      </c>
      <c r="Y79" s="4" t="s">
        <v>1518</v>
      </c>
      <c r="Z79" s="4" t="s">
        <v>557</v>
      </c>
      <c r="AA79" s="4" t="s">
        <v>558</v>
      </c>
      <c r="AB79" s="4" t="b">
        <v>0</v>
      </c>
      <c r="AC79" s="4" t="s">
        <v>536</v>
      </c>
      <c r="AD79" s="4" t="s">
        <v>537</v>
      </c>
    </row>
    <row r="80" ht="14.25" customHeight="1">
      <c r="A80" s="4">
        <v>8000467.0</v>
      </c>
      <c r="B80" s="2">
        <v>45993.8229976852</v>
      </c>
      <c r="C80" s="4">
        <v>7228190.0</v>
      </c>
      <c r="D80" s="4" t="s">
        <v>644</v>
      </c>
      <c r="E80" s="2">
        <v>45993.8347222222</v>
      </c>
      <c r="F80" s="4">
        <v>1.0</v>
      </c>
      <c r="G80" s="4">
        <v>0.0</v>
      </c>
      <c r="H80" s="4"/>
      <c r="I80" s="4"/>
      <c r="J80" s="4" t="s">
        <v>1480</v>
      </c>
      <c r="K80" s="4" t="s">
        <v>1480</v>
      </c>
      <c r="L80" s="4" t="s">
        <v>1481</v>
      </c>
      <c r="M80" s="4" t="s">
        <v>1482</v>
      </c>
      <c r="N80" s="4" t="s">
        <v>540</v>
      </c>
      <c r="O80" s="4" t="s">
        <v>1483</v>
      </c>
      <c r="P80" s="4" t="s">
        <v>1488</v>
      </c>
      <c r="Q80" s="4" t="s">
        <v>1672</v>
      </c>
      <c r="R80" s="4" t="b">
        <v>0</v>
      </c>
      <c r="S80" s="4" t="s">
        <v>1486</v>
      </c>
      <c r="T80" s="2">
        <v>45993.8361111111</v>
      </c>
      <c r="U80" s="2">
        <v>45993.0</v>
      </c>
      <c r="V80" s="4">
        <v>48.0</v>
      </c>
      <c r="W80" s="4" t="s">
        <v>550</v>
      </c>
      <c r="X80" s="4">
        <v>2025.0</v>
      </c>
      <c r="Y80" s="4" t="s">
        <v>1487</v>
      </c>
      <c r="Z80" s="4" t="s">
        <v>557</v>
      </c>
      <c r="AA80" s="4" t="s">
        <v>558</v>
      </c>
      <c r="AB80" s="4" t="b">
        <v>0</v>
      </c>
      <c r="AC80" s="4" t="s">
        <v>536</v>
      </c>
      <c r="AD80" s="4" t="s">
        <v>537</v>
      </c>
    </row>
    <row r="81" ht="14.25" customHeight="1">
      <c r="A81" s="4">
        <v>7998178.0</v>
      </c>
      <c r="B81" s="2">
        <v>45993.5009143519</v>
      </c>
      <c r="C81" s="4">
        <v>7225937.0</v>
      </c>
      <c r="D81" s="4" t="s">
        <v>645</v>
      </c>
      <c r="E81" s="2">
        <v>45993.8659722222</v>
      </c>
      <c r="F81" s="4">
        <v>1.0</v>
      </c>
      <c r="G81" s="4">
        <v>0.0</v>
      </c>
      <c r="H81" s="4"/>
      <c r="I81" s="4"/>
      <c r="J81" s="4" t="s">
        <v>539</v>
      </c>
      <c r="K81" s="4" t="s">
        <v>539</v>
      </c>
      <c r="L81" s="4" t="s">
        <v>1499</v>
      </c>
      <c r="M81" s="4" t="s">
        <v>1482</v>
      </c>
      <c r="N81" s="4"/>
      <c r="O81" s="4" t="s">
        <v>1483</v>
      </c>
      <c r="P81" s="4" t="s">
        <v>1506</v>
      </c>
      <c r="Q81" s="4" t="s">
        <v>1673</v>
      </c>
      <c r="R81" s="4" t="b">
        <v>0</v>
      </c>
      <c r="S81" s="4" t="s">
        <v>1486</v>
      </c>
      <c r="T81" s="2">
        <v>45993.8673611111</v>
      </c>
      <c r="U81" s="2">
        <v>45993.0</v>
      </c>
      <c r="V81" s="4">
        <v>48.0</v>
      </c>
      <c r="W81" s="4" t="s">
        <v>550</v>
      </c>
      <c r="X81" s="4">
        <v>2025.0</v>
      </c>
      <c r="Y81" s="4" t="s">
        <v>1502</v>
      </c>
      <c r="Z81" s="4" t="s">
        <v>541</v>
      </c>
      <c r="AA81" s="4" t="s">
        <v>546</v>
      </c>
      <c r="AB81" s="4" t="b">
        <v>0</v>
      </c>
      <c r="AC81" s="4" t="s">
        <v>536</v>
      </c>
      <c r="AD81" s="4" t="s">
        <v>537</v>
      </c>
    </row>
    <row r="82" ht="14.25" customHeight="1">
      <c r="A82" s="4">
        <v>8000699.0</v>
      </c>
      <c r="B82" s="2">
        <v>45993.8781944444</v>
      </c>
      <c r="C82" s="4">
        <v>7228418.0</v>
      </c>
      <c r="D82" s="4" t="s">
        <v>647</v>
      </c>
      <c r="E82" s="2">
        <v>45993.8791666667</v>
      </c>
      <c r="F82" s="4">
        <v>1.0</v>
      </c>
      <c r="G82" s="4">
        <v>0.0</v>
      </c>
      <c r="H82" s="4"/>
      <c r="I82" s="4"/>
      <c r="J82" s="4" t="s">
        <v>1480</v>
      </c>
      <c r="K82" s="4" t="s">
        <v>1480</v>
      </c>
      <c r="L82" s="4" t="s">
        <v>1481</v>
      </c>
      <c r="M82" s="4" t="s">
        <v>1482</v>
      </c>
      <c r="N82" s="4" t="s">
        <v>540</v>
      </c>
      <c r="O82" s="4" t="s">
        <v>1644</v>
      </c>
      <c r="P82" s="4" t="s">
        <v>1674</v>
      </c>
      <c r="Q82" s="4" t="s">
        <v>1675</v>
      </c>
      <c r="R82" s="4" t="b">
        <v>0</v>
      </c>
      <c r="S82" s="4" t="s">
        <v>1486</v>
      </c>
      <c r="T82" s="2">
        <v>45993.8805555556</v>
      </c>
      <c r="U82" s="2">
        <v>45993.0</v>
      </c>
      <c r="V82" s="4">
        <v>48.0</v>
      </c>
      <c r="W82" s="4" t="s">
        <v>550</v>
      </c>
      <c r="X82" s="4">
        <v>2025.0</v>
      </c>
      <c r="Y82" s="4" t="s">
        <v>1487</v>
      </c>
      <c r="Z82" s="4"/>
      <c r="AA82" s="4" t="s">
        <v>624</v>
      </c>
      <c r="AB82" s="4" t="b">
        <v>0</v>
      </c>
      <c r="AC82" s="4" t="s">
        <v>536</v>
      </c>
      <c r="AD82" s="4" t="s">
        <v>537</v>
      </c>
    </row>
    <row r="83" ht="14.25" customHeight="1">
      <c r="A83" s="4">
        <v>7986423.0</v>
      </c>
      <c r="B83" s="2">
        <v>45990.8993865741</v>
      </c>
      <c r="C83" s="4">
        <v>7214453.0</v>
      </c>
      <c r="D83" s="4" t="s">
        <v>648</v>
      </c>
      <c r="E83" s="2">
        <v>45993.9145833333</v>
      </c>
      <c r="F83" s="4">
        <v>1.0</v>
      </c>
      <c r="G83" s="4">
        <v>0.0</v>
      </c>
      <c r="H83" s="4"/>
      <c r="I83" s="4"/>
      <c r="J83" s="4" t="s">
        <v>1480</v>
      </c>
      <c r="K83" s="4" t="s">
        <v>1480</v>
      </c>
      <c r="L83" s="4" t="s">
        <v>1481</v>
      </c>
      <c r="M83" s="4" t="s">
        <v>1482</v>
      </c>
      <c r="N83" s="4" t="s">
        <v>540</v>
      </c>
      <c r="O83" s="4" t="s">
        <v>1483</v>
      </c>
      <c r="P83" s="4" t="s">
        <v>1488</v>
      </c>
      <c r="Q83" s="4" t="s">
        <v>1676</v>
      </c>
      <c r="R83" s="4" t="b">
        <v>0</v>
      </c>
      <c r="S83" s="4" t="s">
        <v>1486</v>
      </c>
      <c r="T83" s="2">
        <v>45993.9159722222</v>
      </c>
      <c r="U83" s="2">
        <v>45990.0</v>
      </c>
      <c r="V83" s="4">
        <v>47.0</v>
      </c>
      <c r="W83" s="4" t="s">
        <v>545</v>
      </c>
      <c r="X83" s="4">
        <v>2025.0</v>
      </c>
      <c r="Y83" s="4" t="s">
        <v>1487</v>
      </c>
      <c r="Z83" s="4"/>
      <c r="AA83" s="4" t="s">
        <v>649</v>
      </c>
      <c r="AB83" s="4" t="b">
        <v>0</v>
      </c>
      <c r="AC83" s="4" t="s">
        <v>623</v>
      </c>
      <c r="AD83" s="4" t="s">
        <v>537</v>
      </c>
    </row>
    <row r="84" ht="14.25" customHeight="1">
      <c r="A84" s="4">
        <v>8000887.0</v>
      </c>
      <c r="B84" s="2">
        <v>45993.937662037</v>
      </c>
      <c r="C84" s="4">
        <v>7228602.0</v>
      </c>
      <c r="D84" s="4" t="s">
        <v>650</v>
      </c>
      <c r="E84" s="2">
        <v>45993.9444444444</v>
      </c>
      <c r="F84" s="4">
        <v>1.0</v>
      </c>
      <c r="G84" s="4">
        <v>0.0</v>
      </c>
      <c r="H84" s="4"/>
      <c r="I84" s="4"/>
      <c r="J84" s="4" t="s">
        <v>1480</v>
      </c>
      <c r="K84" s="4" t="s">
        <v>1480</v>
      </c>
      <c r="L84" s="4" t="s">
        <v>1481</v>
      </c>
      <c r="M84" s="4" t="s">
        <v>1482</v>
      </c>
      <c r="N84" s="4" t="s">
        <v>540</v>
      </c>
      <c r="O84" s="4" t="s">
        <v>1483</v>
      </c>
      <c r="P84" s="4" t="s">
        <v>1506</v>
      </c>
      <c r="Q84" s="4" t="s">
        <v>1677</v>
      </c>
      <c r="R84" s="4" t="b">
        <v>0</v>
      </c>
      <c r="S84" s="4" t="s">
        <v>1486</v>
      </c>
      <c r="T84" s="2">
        <v>45993.9458333333</v>
      </c>
      <c r="U84" s="2">
        <v>45993.0</v>
      </c>
      <c r="V84" s="4">
        <v>48.0</v>
      </c>
      <c r="W84" s="4" t="s">
        <v>550</v>
      </c>
      <c r="X84" s="4">
        <v>2025.0</v>
      </c>
      <c r="Y84" s="4" t="s">
        <v>1487</v>
      </c>
      <c r="Z84" s="4" t="s">
        <v>557</v>
      </c>
      <c r="AA84" s="4" t="s">
        <v>558</v>
      </c>
      <c r="AB84" s="4" t="b">
        <v>0</v>
      </c>
      <c r="AC84" s="4" t="s">
        <v>536</v>
      </c>
      <c r="AD84" s="4" t="s">
        <v>537</v>
      </c>
    </row>
    <row r="85" ht="14.25" customHeight="1">
      <c r="A85" s="4">
        <v>8001127.0</v>
      </c>
      <c r="B85" s="2">
        <v>45994.0173611111</v>
      </c>
      <c r="C85" s="4">
        <v>7228836.0</v>
      </c>
      <c r="D85" s="4" t="s">
        <v>652</v>
      </c>
      <c r="E85" s="2">
        <v>45994.0194444444</v>
      </c>
      <c r="F85" s="4">
        <v>1.0</v>
      </c>
      <c r="G85" s="4">
        <v>0.0</v>
      </c>
      <c r="H85" s="4"/>
      <c r="I85" s="4"/>
      <c r="J85" s="4" t="s">
        <v>1480</v>
      </c>
      <c r="K85" s="4" t="s">
        <v>1480</v>
      </c>
      <c r="L85" s="4" t="s">
        <v>1511</v>
      </c>
      <c r="M85" s="4" t="s">
        <v>1482</v>
      </c>
      <c r="N85" s="4" t="s">
        <v>653</v>
      </c>
      <c r="O85" s="4" t="s">
        <v>1483</v>
      </c>
      <c r="P85" s="4" t="s">
        <v>1678</v>
      </c>
      <c r="Q85" s="4" t="s">
        <v>1679</v>
      </c>
      <c r="R85" s="4" t="b">
        <v>0</v>
      </c>
      <c r="S85" s="4" t="s">
        <v>1486</v>
      </c>
      <c r="T85" s="2">
        <v>45994.0208333333</v>
      </c>
      <c r="U85" s="2">
        <v>45994.0</v>
      </c>
      <c r="V85" s="4">
        <v>48.0</v>
      </c>
      <c r="W85" s="4" t="s">
        <v>550</v>
      </c>
      <c r="X85" s="4">
        <v>2025.0</v>
      </c>
      <c r="Y85" s="4" t="s">
        <v>1680</v>
      </c>
      <c r="Z85" s="4" t="s">
        <v>557</v>
      </c>
      <c r="AA85" s="4" t="s">
        <v>558</v>
      </c>
      <c r="AB85" s="4" t="b">
        <v>0</v>
      </c>
      <c r="AC85" s="4" t="s">
        <v>536</v>
      </c>
      <c r="AD85" s="4" t="s">
        <v>537</v>
      </c>
    </row>
    <row r="86" ht="14.25" customHeight="1">
      <c r="A86" s="4">
        <v>8001222.0</v>
      </c>
      <c r="B86" s="2">
        <v>45994.0459606481</v>
      </c>
      <c r="C86" s="4">
        <v>7228931.0</v>
      </c>
      <c r="D86" s="4" t="s">
        <v>654</v>
      </c>
      <c r="E86" s="2">
        <v>45994.0465277778</v>
      </c>
      <c r="F86" s="4">
        <v>1.0</v>
      </c>
      <c r="G86" s="4">
        <v>0.0</v>
      </c>
      <c r="H86" s="4"/>
      <c r="I86" s="4"/>
      <c r="J86" s="4" t="s">
        <v>1480</v>
      </c>
      <c r="K86" s="4" t="s">
        <v>1480</v>
      </c>
      <c r="L86" s="4" t="s">
        <v>1511</v>
      </c>
      <c r="M86" s="4" t="s">
        <v>1482</v>
      </c>
      <c r="N86" s="4" t="s">
        <v>653</v>
      </c>
      <c r="O86" s="4" t="s">
        <v>1483</v>
      </c>
      <c r="P86" s="4" t="s">
        <v>1496</v>
      </c>
      <c r="Q86" s="4" t="s">
        <v>1681</v>
      </c>
      <c r="R86" s="4" t="b">
        <v>0</v>
      </c>
      <c r="S86" s="4" t="s">
        <v>1486</v>
      </c>
      <c r="T86" s="2">
        <v>45994.0479166667</v>
      </c>
      <c r="U86" s="2">
        <v>45994.0</v>
      </c>
      <c r="V86" s="4">
        <v>48.0</v>
      </c>
      <c r="W86" s="4" t="s">
        <v>550</v>
      </c>
      <c r="X86" s="4">
        <v>2025.0</v>
      </c>
      <c r="Y86" s="4" t="s">
        <v>1680</v>
      </c>
      <c r="Z86" s="4"/>
      <c r="AA86" s="4" t="s">
        <v>655</v>
      </c>
      <c r="AB86" s="4" t="b">
        <v>0</v>
      </c>
      <c r="AC86" s="4" t="s">
        <v>567</v>
      </c>
      <c r="AD86" s="4" t="s">
        <v>537</v>
      </c>
    </row>
    <row r="87" ht="14.25" customHeight="1">
      <c r="A87" s="4">
        <v>8001238.0</v>
      </c>
      <c r="B87" s="2">
        <v>45994.0528356481</v>
      </c>
      <c r="C87" s="4">
        <v>7228947.0</v>
      </c>
      <c r="D87" s="4" t="s">
        <v>656</v>
      </c>
      <c r="E87" s="2">
        <v>45994.0541666667</v>
      </c>
      <c r="F87" s="4">
        <v>1.0</v>
      </c>
      <c r="G87" s="4">
        <v>0.0</v>
      </c>
      <c r="H87" s="4"/>
      <c r="I87" s="4"/>
      <c r="J87" s="4" t="s">
        <v>1480</v>
      </c>
      <c r="K87" s="4" t="s">
        <v>1480</v>
      </c>
      <c r="L87" s="4" t="s">
        <v>1481</v>
      </c>
      <c r="M87" s="4" t="s">
        <v>1482</v>
      </c>
      <c r="N87" s="4" t="s">
        <v>540</v>
      </c>
      <c r="O87" s="4" t="s">
        <v>1644</v>
      </c>
      <c r="P87" s="4" t="s">
        <v>1488</v>
      </c>
      <c r="Q87" s="4" t="s">
        <v>1682</v>
      </c>
      <c r="R87" s="4" t="b">
        <v>0</v>
      </c>
      <c r="S87" s="4" t="s">
        <v>1486</v>
      </c>
      <c r="T87" s="2">
        <v>45994.0555555556</v>
      </c>
      <c r="U87" s="2">
        <v>45994.0</v>
      </c>
      <c r="V87" s="4">
        <v>48.0</v>
      </c>
      <c r="W87" s="4" t="s">
        <v>550</v>
      </c>
      <c r="X87" s="4">
        <v>2025.0</v>
      </c>
      <c r="Y87" s="4" t="s">
        <v>1487</v>
      </c>
      <c r="Z87" s="4"/>
      <c r="AA87" s="4" t="s">
        <v>657</v>
      </c>
      <c r="AB87" s="4" t="b">
        <v>0</v>
      </c>
      <c r="AC87" s="4" t="s">
        <v>567</v>
      </c>
      <c r="AD87" s="4" t="s">
        <v>537</v>
      </c>
    </row>
    <row r="88" ht="14.25" customHeight="1">
      <c r="A88" s="4">
        <v>8001558.0</v>
      </c>
      <c r="B88" s="2">
        <v>45994.1615509259</v>
      </c>
      <c r="C88" s="4">
        <v>7229263.0</v>
      </c>
      <c r="D88" s="4" t="s">
        <v>658</v>
      </c>
      <c r="E88" s="2">
        <v>45994.1611111111</v>
      </c>
      <c r="F88" s="4">
        <v>1.0</v>
      </c>
      <c r="G88" s="4">
        <v>0.0</v>
      </c>
      <c r="H88" s="4"/>
      <c r="I88" s="4"/>
      <c r="J88" s="4" t="s">
        <v>539</v>
      </c>
      <c r="K88" s="4" t="s">
        <v>539</v>
      </c>
      <c r="L88" s="4" t="s">
        <v>1499</v>
      </c>
      <c r="M88" s="4" t="s">
        <v>1482</v>
      </c>
      <c r="N88" s="4"/>
      <c r="O88" s="4" t="s">
        <v>1598</v>
      </c>
      <c r="P88" s="4" t="s">
        <v>1488</v>
      </c>
      <c r="Q88" s="4" t="s">
        <v>1683</v>
      </c>
      <c r="R88" s="4" t="b">
        <v>0</v>
      </c>
      <c r="S88" s="4" t="s">
        <v>1486</v>
      </c>
      <c r="T88" s="2">
        <v>45994.1625</v>
      </c>
      <c r="U88" s="2">
        <v>45994.0</v>
      </c>
      <c r="V88" s="4">
        <v>48.0</v>
      </c>
      <c r="W88" s="4" t="s">
        <v>550</v>
      </c>
      <c r="X88" s="4">
        <v>2025.0</v>
      </c>
      <c r="Y88" s="4" t="s">
        <v>1502</v>
      </c>
      <c r="Z88" s="4" t="s">
        <v>659</v>
      </c>
      <c r="AA88" s="4" t="s">
        <v>660</v>
      </c>
      <c r="AB88" s="4" t="b">
        <v>0</v>
      </c>
      <c r="AC88" s="4" t="s">
        <v>536</v>
      </c>
      <c r="AD88" s="4" t="s">
        <v>537</v>
      </c>
    </row>
    <row r="89" ht="14.25" customHeight="1">
      <c r="A89" s="4">
        <v>8001804.0</v>
      </c>
      <c r="B89" s="2">
        <v>45994.2394444444</v>
      </c>
      <c r="C89" s="4">
        <v>7229509.0</v>
      </c>
      <c r="D89" s="4" t="s">
        <v>661</v>
      </c>
      <c r="E89" s="2">
        <v>45994.2395833333</v>
      </c>
      <c r="F89" s="4">
        <v>1.0</v>
      </c>
      <c r="G89" s="4">
        <v>0.0</v>
      </c>
      <c r="H89" s="4"/>
      <c r="I89" s="4"/>
      <c r="J89" s="4" t="s">
        <v>539</v>
      </c>
      <c r="K89" s="4" t="s">
        <v>539</v>
      </c>
      <c r="L89" s="4" t="s">
        <v>1499</v>
      </c>
      <c r="M89" s="4" t="s">
        <v>1482</v>
      </c>
      <c r="N89" s="4"/>
      <c r="O89" s="4" t="s">
        <v>1483</v>
      </c>
      <c r="P89" s="4" t="s">
        <v>1506</v>
      </c>
      <c r="Q89" s="4" t="s">
        <v>1684</v>
      </c>
      <c r="R89" s="4" t="b">
        <v>0</v>
      </c>
      <c r="S89" s="4" t="s">
        <v>1486</v>
      </c>
      <c r="T89" s="2">
        <v>45994.2409722222</v>
      </c>
      <c r="U89" s="2">
        <v>45994.0</v>
      </c>
      <c r="V89" s="4">
        <v>48.0</v>
      </c>
      <c r="W89" s="4" t="s">
        <v>550</v>
      </c>
      <c r="X89" s="4">
        <v>2025.0</v>
      </c>
      <c r="Y89" s="4" t="s">
        <v>1502</v>
      </c>
      <c r="Z89" s="4"/>
      <c r="AA89" s="4" t="s">
        <v>662</v>
      </c>
      <c r="AB89" s="4" t="b">
        <v>0</v>
      </c>
      <c r="AC89" s="4" t="s">
        <v>567</v>
      </c>
      <c r="AD89" s="4" t="s">
        <v>537</v>
      </c>
    </row>
    <row r="90" ht="14.25" customHeight="1">
      <c r="A90" s="4">
        <v>8001948.0</v>
      </c>
      <c r="B90" s="2">
        <v>45994.2863773148</v>
      </c>
      <c r="C90" s="4">
        <v>7229653.0</v>
      </c>
      <c r="D90" s="4" t="s">
        <v>663</v>
      </c>
      <c r="E90" s="2">
        <v>45994.2868055556</v>
      </c>
      <c r="F90" s="4">
        <v>1.0</v>
      </c>
      <c r="G90" s="4">
        <v>0.0</v>
      </c>
      <c r="H90" s="4" t="s">
        <v>1685</v>
      </c>
      <c r="I90" s="4" t="s">
        <v>1686</v>
      </c>
      <c r="J90" s="4" t="s">
        <v>1685</v>
      </c>
      <c r="K90" s="4" t="s">
        <v>1513</v>
      </c>
      <c r="L90" s="4" t="s">
        <v>1686</v>
      </c>
      <c r="M90" s="4" t="s">
        <v>1687</v>
      </c>
      <c r="N90" s="4" t="s">
        <v>1688</v>
      </c>
      <c r="O90" s="4" t="s">
        <v>1689</v>
      </c>
      <c r="P90" s="4" t="s">
        <v>1488</v>
      </c>
      <c r="Q90" s="4" t="s">
        <v>1690</v>
      </c>
      <c r="R90" s="4" t="b">
        <v>0</v>
      </c>
      <c r="S90" s="4" t="s">
        <v>1486</v>
      </c>
      <c r="T90" s="2">
        <v>45994.2881944444</v>
      </c>
      <c r="U90" s="2">
        <v>45994.0</v>
      </c>
      <c r="V90" s="4">
        <v>48.0</v>
      </c>
      <c r="W90" s="4" t="s">
        <v>550</v>
      </c>
      <c r="X90" s="4">
        <v>2025.0</v>
      </c>
      <c r="Y90" s="4" t="s">
        <v>1518</v>
      </c>
      <c r="Z90" s="4"/>
      <c r="AA90" s="4" t="s">
        <v>558</v>
      </c>
      <c r="AB90" s="4" t="b">
        <v>0</v>
      </c>
      <c r="AC90" s="4" t="s">
        <v>536</v>
      </c>
      <c r="AD90" s="4" t="s">
        <v>537</v>
      </c>
    </row>
    <row r="91" ht="14.25" customHeight="1">
      <c r="A91" s="4">
        <v>7997897.0</v>
      </c>
      <c r="B91" s="2">
        <v>45993.4687384259</v>
      </c>
      <c r="C91" s="4">
        <v>7225658.0</v>
      </c>
      <c r="D91" s="4" t="s">
        <v>664</v>
      </c>
      <c r="E91" s="2">
        <v>45994.3104166667</v>
      </c>
      <c r="F91" s="4">
        <v>1.0</v>
      </c>
      <c r="G91" s="4">
        <v>0.0</v>
      </c>
      <c r="H91" s="4" t="s">
        <v>1519</v>
      </c>
      <c r="I91" s="4" t="s">
        <v>1691</v>
      </c>
      <c r="J91" s="4" t="s">
        <v>1519</v>
      </c>
      <c r="K91" s="4" t="s">
        <v>1513</v>
      </c>
      <c r="L91" s="4" t="s">
        <v>1691</v>
      </c>
      <c r="M91" s="4" t="s">
        <v>1692</v>
      </c>
      <c r="N91" s="4" t="s">
        <v>540</v>
      </c>
      <c r="O91" s="4" t="s">
        <v>1693</v>
      </c>
      <c r="P91" s="4" t="s">
        <v>1488</v>
      </c>
      <c r="Q91" s="4" t="s">
        <v>1694</v>
      </c>
      <c r="R91" s="4" t="b">
        <v>0</v>
      </c>
      <c r="S91" s="4" t="s">
        <v>1486</v>
      </c>
      <c r="T91" s="2">
        <v>45994.3118055556</v>
      </c>
      <c r="U91" s="2">
        <v>45993.0</v>
      </c>
      <c r="V91" s="4">
        <v>48.0</v>
      </c>
      <c r="W91" s="4" t="s">
        <v>550</v>
      </c>
      <c r="X91" s="4">
        <v>2025.0</v>
      </c>
      <c r="Y91" s="4" t="s">
        <v>1518</v>
      </c>
      <c r="Z91" s="4" t="s">
        <v>541</v>
      </c>
      <c r="AA91" s="4" t="s">
        <v>546</v>
      </c>
      <c r="AB91" s="4" t="b">
        <v>0</v>
      </c>
      <c r="AC91" s="4" t="s">
        <v>536</v>
      </c>
      <c r="AD91" s="4" t="s">
        <v>537</v>
      </c>
    </row>
    <row r="92" ht="14.25" customHeight="1">
      <c r="A92" s="4">
        <v>7961504.0</v>
      </c>
      <c r="B92" s="2">
        <v>45985.4598958333</v>
      </c>
      <c r="C92" s="4">
        <v>7189860.0</v>
      </c>
      <c r="D92" s="4" t="s">
        <v>665</v>
      </c>
      <c r="E92" s="2">
        <v>45994.3145833333</v>
      </c>
      <c r="F92" s="4">
        <v>0.5</v>
      </c>
      <c r="G92" s="4">
        <v>0.0</v>
      </c>
      <c r="H92" s="4" t="s">
        <v>1480</v>
      </c>
      <c r="I92" s="4" t="s">
        <v>1550</v>
      </c>
      <c r="J92" s="4" t="s">
        <v>1480</v>
      </c>
      <c r="K92" s="4" t="s">
        <v>1480</v>
      </c>
      <c r="L92" s="4" t="s">
        <v>1550</v>
      </c>
      <c r="M92" s="4" t="s">
        <v>1551</v>
      </c>
      <c r="N92" s="4" t="s">
        <v>540</v>
      </c>
      <c r="O92" s="4" t="s">
        <v>1552</v>
      </c>
      <c r="P92" s="4" t="s">
        <v>1488</v>
      </c>
      <c r="Q92" s="4" t="s">
        <v>1695</v>
      </c>
      <c r="R92" s="4" t="b">
        <v>0</v>
      </c>
      <c r="S92" s="4" t="s">
        <v>1486</v>
      </c>
      <c r="T92" s="2">
        <v>45994.3159722222</v>
      </c>
      <c r="U92" s="2">
        <v>45985.0</v>
      </c>
      <c r="V92" s="4">
        <v>47.0</v>
      </c>
      <c r="W92" s="4" t="s">
        <v>545</v>
      </c>
      <c r="X92" s="4">
        <v>2025.0</v>
      </c>
      <c r="Y92" s="4" t="s">
        <v>1518</v>
      </c>
      <c r="Z92" s="4"/>
      <c r="AA92" s="4" t="s">
        <v>558</v>
      </c>
      <c r="AB92" s="4" t="b">
        <v>0</v>
      </c>
      <c r="AC92" s="4" t="s">
        <v>567</v>
      </c>
      <c r="AD92" s="4" t="s">
        <v>537</v>
      </c>
    </row>
    <row r="93" ht="14.25" customHeight="1">
      <c r="A93" s="4">
        <v>8002065.0</v>
      </c>
      <c r="B93" s="2">
        <v>45994.3138425926</v>
      </c>
      <c r="C93" s="4">
        <v>7189860.0</v>
      </c>
      <c r="D93" s="4" t="s">
        <v>665</v>
      </c>
      <c r="E93" s="2">
        <v>45994.3145833333</v>
      </c>
      <c r="F93" s="4">
        <v>0.5</v>
      </c>
      <c r="G93" s="4">
        <v>0.0</v>
      </c>
      <c r="H93" s="4" t="s">
        <v>1480</v>
      </c>
      <c r="I93" s="4" t="s">
        <v>1550</v>
      </c>
      <c r="J93" s="4" t="s">
        <v>1480</v>
      </c>
      <c r="K93" s="4" t="s">
        <v>1480</v>
      </c>
      <c r="L93" s="4" t="s">
        <v>1550</v>
      </c>
      <c r="M93" s="4" t="s">
        <v>1551</v>
      </c>
      <c r="N93" s="4" t="s">
        <v>540</v>
      </c>
      <c r="O93" s="4" t="s">
        <v>1552</v>
      </c>
      <c r="P93" s="4" t="s">
        <v>1488</v>
      </c>
      <c r="Q93" s="4" t="s">
        <v>1695</v>
      </c>
      <c r="R93" s="4" t="b">
        <v>0</v>
      </c>
      <c r="S93" s="4" t="s">
        <v>1486</v>
      </c>
      <c r="T93" s="2">
        <v>45994.3159722222</v>
      </c>
      <c r="U93" s="2">
        <v>45994.0</v>
      </c>
      <c r="V93" s="4">
        <v>48.0</v>
      </c>
      <c r="W93" s="4" t="s">
        <v>550</v>
      </c>
      <c r="X93" s="4">
        <v>2025.0</v>
      </c>
      <c r="Y93" s="4" t="s">
        <v>1518</v>
      </c>
      <c r="Z93" s="4"/>
      <c r="AA93" s="4" t="s">
        <v>558</v>
      </c>
      <c r="AB93" s="4" t="b">
        <v>0</v>
      </c>
      <c r="AC93" s="4" t="s">
        <v>567</v>
      </c>
      <c r="AD93" s="4" t="s">
        <v>537</v>
      </c>
    </row>
    <row r="94" ht="14.25" customHeight="1">
      <c r="A94" s="4">
        <v>8002633.0</v>
      </c>
      <c r="B94" s="2">
        <v>45994.3884027778</v>
      </c>
      <c r="C94" s="4">
        <v>7230330.0</v>
      </c>
      <c r="D94" s="4" t="s">
        <v>666</v>
      </c>
      <c r="E94" s="2">
        <v>45994.3895833333</v>
      </c>
      <c r="F94" s="4">
        <v>1.0</v>
      </c>
      <c r="G94" s="4">
        <v>0.0</v>
      </c>
      <c r="H94" s="4"/>
      <c r="I94" s="4"/>
      <c r="J94" s="4" t="s">
        <v>539</v>
      </c>
      <c r="K94" s="4" t="s">
        <v>539</v>
      </c>
      <c r="L94" s="4" t="s">
        <v>1499</v>
      </c>
      <c r="M94" s="4" t="s">
        <v>1482</v>
      </c>
      <c r="N94" s="4"/>
      <c r="O94" s="4" t="s">
        <v>1483</v>
      </c>
      <c r="P94" s="4" t="s">
        <v>1496</v>
      </c>
      <c r="Q94" s="4" t="s">
        <v>1696</v>
      </c>
      <c r="R94" s="4" t="b">
        <v>0</v>
      </c>
      <c r="S94" s="4" t="s">
        <v>1486</v>
      </c>
      <c r="T94" s="2">
        <v>45994.3909722222</v>
      </c>
      <c r="U94" s="2">
        <v>45994.0</v>
      </c>
      <c r="V94" s="4">
        <v>48.0</v>
      </c>
      <c r="W94" s="4" t="s">
        <v>550</v>
      </c>
      <c r="X94" s="4">
        <v>2025.0</v>
      </c>
      <c r="Y94" s="4" t="s">
        <v>1502</v>
      </c>
      <c r="Z94" s="4" t="s">
        <v>557</v>
      </c>
      <c r="AA94" s="4" t="s">
        <v>558</v>
      </c>
      <c r="AB94" s="4" t="b">
        <v>0</v>
      </c>
      <c r="AC94" s="4" t="s">
        <v>536</v>
      </c>
      <c r="AD94" s="4" t="s">
        <v>537</v>
      </c>
    </row>
    <row r="95" ht="14.25" customHeight="1">
      <c r="A95" s="4">
        <v>8002757.0</v>
      </c>
      <c r="B95" s="2">
        <v>45994.4044791667</v>
      </c>
      <c r="C95" s="4">
        <v>7230452.0</v>
      </c>
      <c r="D95" s="4" t="s">
        <v>667</v>
      </c>
      <c r="E95" s="2">
        <v>45994.4041666667</v>
      </c>
      <c r="F95" s="4">
        <v>0.0</v>
      </c>
      <c r="G95" s="4">
        <v>0.0</v>
      </c>
      <c r="H95" s="4"/>
      <c r="I95" s="4"/>
      <c r="J95" s="4"/>
      <c r="K95" s="4"/>
      <c r="L95" s="4"/>
      <c r="M95" s="4" t="s">
        <v>1482</v>
      </c>
      <c r="N95" s="4" t="s">
        <v>1483</v>
      </c>
      <c r="O95" s="4" t="s">
        <v>1697</v>
      </c>
      <c r="P95" s="4" t="s">
        <v>1506</v>
      </c>
      <c r="Q95" s="4" t="s">
        <v>1698</v>
      </c>
      <c r="R95" s="4" t="b">
        <v>1</v>
      </c>
      <c r="S95" s="4" t="s">
        <v>1486</v>
      </c>
      <c r="T95" s="2">
        <v>45994.4055555556</v>
      </c>
      <c r="U95" s="2">
        <v>45994.0</v>
      </c>
      <c r="V95" s="4">
        <v>48.0</v>
      </c>
      <c r="W95" s="4" t="s">
        <v>550</v>
      </c>
      <c r="X95" s="4">
        <v>2025.0</v>
      </c>
      <c r="Y95" s="4" t="s">
        <v>1540</v>
      </c>
      <c r="Z95" s="4"/>
      <c r="AA95" s="4" t="s">
        <v>668</v>
      </c>
      <c r="AB95" s="4" t="b">
        <v>0</v>
      </c>
      <c r="AC95" s="4" t="s">
        <v>536</v>
      </c>
      <c r="AD95" s="4" t="s">
        <v>537</v>
      </c>
    </row>
    <row r="96" ht="14.25" customHeight="1">
      <c r="A96" s="4">
        <v>7967895.0</v>
      </c>
      <c r="B96" s="2">
        <v>45986.6356018518</v>
      </c>
      <c r="C96" s="4">
        <v>7196123.0</v>
      </c>
      <c r="D96" s="4" t="s">
        <v>669</v>
      </c>
      <c r="E96" s="2">
        <v>45994.4097222222</v>
      </c>
      <c r="F96" s="4">
        <v>1.0</v>
      </c>
      <c r="G96" s="4">
        <v>0.0</v>
      </c>
      <c r="H96" s="4"/>
      <c r="I96" s="4"/>
      <c r="J96" s="4" t="s">
        <v>1480</v>
      </c>
      <c r="K96" s="4" t="s">
        <v>1480</v>
      </c>
      <c r="L96" s="4" t="s">
        <v>1481</v>
      </c>
      <c r="M96" s="4" t="s">
        <v>1482</v>
      </c>
      <c r="N96" s="4" t="s">
        <v>540</v>
      </c>
      <c r="O96" s="4" t="s">
        <v>1483</v>
      </c>
      <c r="P96" s="4" t="s">
        <v>1488</v>
      </c>
      <c r="Q96" s="4" t="s">
        <v>1699</v>
      </c>
      <c r="R96" s="4" t="b">
        <v>0</v>
      </c>
      <c r="S96" s="4" t="s">
        <v>1486</v>
      </c>
      <c r="T96" s="2">
        <v>45994.4111111111</v>
      </c>
      <c r="U96" s="2">
        <v>45986.0</v>
      </c>
      <c r="V96" s="4">
        <v>47.0</v>
      </c>
      <c r="W96" s="4" t="s">
        <v>545</v>
      </c>
      <c r="X96" s="4">
        <v>2025.0</v>
      </c>
      <c r="Y96" s="4" t="s">
        <v>1487</v>
      </c>
      <c r="Z96" s="4" t="s">
        <v>541</v>
      </c>
      <c r="AA96" s="4" t="s">
        <v>546</v>
      </c>
      <c r="AB96" s="4" t="b">
        <v>0</v>
      </c>
      <c r="AC96" s="4" t="s">
        <v>536</v>
      </c>
      <c r="AD96" s="4" t="s">
        <v>537</v>
      </c>
    </row>
    <row r="97" ht="14.25" customHeight="1">
      <c r="A97" s="4">
        <v>8002938.0</v>
      </c>
      <c r="B97" s="2">
        <v>45994.4287384259</v>
      </c>
      <c r="C97" s="4">
        <v>7230630.0</v>
      </c>
      <c r="D97" s="4" t="s">
        <v>671</v>
      </c>
      <c r="E97" s="2">
        <v>45994.4291666667</v>
      </c>
      <c r="F97" s="4">
        <v>1.0</v>
      </c>
      <c r="G97" s="4">
        <v>0.0</v>
      </c>
      <c r="H97" s="4"/>
      <c r="I97" s="4"/>
      <c r="J97" s="4" t="s">
        <v>1526</v>
      </c>
      <c r="K97" s="4" t="s">
        <v>1527</v>
      </c>
      <c r="L97" s="4" t="s">
        <v>1528</v>
      </c>
      <c r="M97" s="4" t="s">
        <v>1482</v>
      </c>
      <c r="N97" s="4" t="s">
        <v>1529</v>
      </c>
      <c r="O97" s="4" t="s">
        <v>1530</v>
      </c>
      <c r="P97" s="4" t="s">
        <v>1506</v>
      </c>
      <c r="Q97" s="4" t="s">
        <v>1700</v>
      </c>
      <c r="R97" s="4" t="b">
        <v>0</v>
      </c>
      <c r="S97" s="4" t="s">
        <v>1486</v>
      </c>
      <c r="T97" s="2">
        <v>45994.4305555556</v>
      </c>
      <c r="U97" s="2">
        <v>45994.0</v>
      </c>
      <c r="V97" s="4">
        <v>48.0</v>
      </c>
      <c r="W97" s="4" t="s">
        <v>550</v>
      </c>
      <c r="X97" s="4">
        <v>2025.0</v>
      </c>
      <c r="Y97" s="4" t="s">
        <v>1532</v>
      </c>
      <c r="Z97" s="4" t="s">
        <v>557</v>
      </c>
      <c r="AA97" s="4" t="s">
        <v>558</v>
      </c>
      <c r="AB97" s="4" t="b">
        <v>0</v>
      </c>
      <c r="AC97" s="4" t="s">
        <v>536</v>
      </c>
      <c r="AD97" s="4" t="s">
        <v>537</v>
      </c>
    </row>
    <row r="98" ht="14.25" customHeight="1">
      <c r="A98" s="4">
        <v>8002139.0</v>
      </c>
      <c r="B98" s="2">
        <v>45994.3292476852</v>
      </c>
      <c r="C98" s="4">
        <v>7229842.0</v>
      </c>
      <c r="D98" s="4" t="s">
        <v>672</v>
      </c>
      <c r="E98" s="2">
        <v>45994.4395833333</v>
      </c>
      <c r="F98" s="4">
        <v>1.0</v>
      </c>
      <c r="G98" s="4">
        <v>0.0</v>
      </c>
      <c r="H98" s="4"/>
      <c r="I98" s="4"/>
      <c r="J98" s="4" t="s">
        <v>1480</v>
      </c>
      <c r="K98" s="4" t="s">
        <v>1480</v>
      </c>
      <c r="L98" s="4" t="s">
        <v>1481</v>
      </c>
      <c r="M98" s="4" t="s">
        <v>1482</v>
      </c>
      <c r="N98" s="4" t="s">
        <v>540</v>
      </c>
      <c r="O98" s="4" t="s">
        <v>1500</v>
      </c>
      <c r="P98" s="4" t="s">
        <v>1488</v>
      </c>
      <c r="Q98" s="4" t="s">
        <v>1701</v>
      </c>
      <c r="R98" s="4" t="b">
        <v>0</v>
      </c>
      <c r="S98" s="4" t="s">
        <v>1486</v>
      </c>
      <c r="T98" s="2">
        <v>45994.4409722222</v>
      </c>
      <c r="U98" s="2">
        <v>45994.0</v>
      </c>
      <c r="V98" s="4">
        <v>48.0</v>
      </c>
      <c r="W98" s="4" t="s">
        <v>550</v>
      </c>
      <c r="X98" s="4">
        <v>2025.0</v>
      </c>
      <c r="Y98" s="4" t="s">
        <v>1487</v>
      </c>
      <c r="Z98" s="4"/>
      <c r="AA98" s="4" t="s">
        <v>673</v>
      </c>
      <c r="AB98" s="4" t="b">
        <v>1</v>
      </c>
      <c r="AC98" s="4" t="s">
        <v>599</v>
      </c>
      <c r="AD98" s="4" t="s">
        <v>537</v>
      </c>
    </row>
    <row r="99" ht="14.25" customHeight="1">
      <c r="A99" s="4">
        <v>7992587.0</v>
      </c>
      <c r="B99" s="2">
        <v>45992.5396296296</v>
      </c>
      <c r="C99" s="4">
        <v>7220470.0</v>
      </c>
      <c r="D99" s="4" t="s">
        <v>674</v>
      </c>
      <c r="E99" s="2">
        <v>45994.4631944444</v>
      </c>
      <c r="F99" s="4">
        <v>1.0</v>
      </c>
      <c r="G99" s="4">
        <v>0.0</v>
      </c>
      <c r="H99" s="4" t="s">
        <v>1519</v>
      </c>
      <c r="I99" s="4" t="s">
        <v>1533</v>
      </c>
      <c r="J99" s="4" t="s">
        <v>1519</v>
      </c>
      <c r="K99" s="4" t="s">
        <v>1513</v>
      </c>
      <c r="L99" s="4" t="s">
        <v>1533</v>
      </c>
      <c r="M99" s="4" t="s">
        <v>1534</v>
      </c>
      <c r="N99" s="4" t="s">
        <v>540</v>
      </c>
      <c r="O99" s="4" t="s">
        <v>1702</v>
      </c>
      <c r="P99" s="4" t="s">
        <v>1488</v>
      </c>
      <c r="Q99" s="4" t="s">
        <v>1703</v>
      </c>
      <c r="R99" s="4" t="b">
        <v>0</v>
      </c>
      <c r="S99" s="4" t="s">
        <v>1486</v>
      </c>
      <c r="T99" s="2">
        <v>45994.4645833333</v>
      </c>
      <c r="U99" s="2">
        <v>45992.0</v>
      </c>
      <c r="V99" s="4">
        <v>48.0</v>
      </c>
      <c r="W99" s="4" t="s">
        <v>550</v>
      </c>
      <c r="X99" s="4">
        <v>2025.0</v>
      </c>
      <c r="Y99" s="4" t="s">
        <v>1518</v>
      </c>
      <c r="Z99" s="4" t="s">
        <v>557</v>
      </c>
      <c r="AA99" s="4" t="s">
        <v>558</v>
      </c>
      <c r="AB99" s="4" t="b">
        <v>0</v>
      </c>
      <c r="AC99" s="4" t="s">
        <v>536</v>
      </c>
      <c r="AD99" s="4" t="s">
        <v>537</v>
      </c>
    </row>
    <row r="100" ht="14.25" customHeight="1">
      <c r="A100" s="4">
        <v>8003280.0</v>
      </c>
      <c r="B100" s="2">
        <v>45994.4658680556</v>
      </c>
      <c r="C100" s="4">
        <v>7230971.0</v>
      </c>
      <c r="D100" s="4" t="s">
        <v>675</v>
      </c>
      <c r="E100" s="2">
        <v>45994.4701388889</v>
      </c>
      <c r="F100" s="4">
        <v>1.0</v>
      </c>
      <c r="G100" s="4">
        <v>0.0</v>
      </c>
      <c r="H100" s="4"/>
      <c r="I100" s="4"/>
      <c r="J100" s="4" t="s">
        <v>1480</v>
      </c>
      <c r="K100" s="4" t="s">
        <v>1480</v>
      </c>
      <c r="L100" s="4" t="s">
        <v>1481</v>
      </c>
      <c r="M100" s="4" t="s">
        <v>1482</v>
      </c>
      <c r="N100" s="4" t="s">
        <v>540</v>
      </c>
      <c r="O100" s="4" t="s">
        <v>1483</v>
      </c>
      <c r="P100" s="4" t="s">
        <v>1484</v>
      </c>
      <c r="Q100" s="4" t="s">
        <v>1704</v>
      </c>
      <c r="R100" s="4" t="b">
        <v>0</v>
      </c>
      <c r="S100" s="4" t="s">
        <v>1486</v>
      </c>
      <c r="T100" s="2">
        <v>45994.4715277778</v>
      </c>
      <c r="U100" s="2">
        <v>45994.0</v>
      </c>
      <c r="V100" s="4">
        <v>48.0</v>
      </c>
      <c r="W100" s="4" t="s">
        <v>550</v>
      </c>
      <c r="X100" s="4">
        <v>2025.0</v>
      </c>
      <c r="Y100" s="4" t="s">
        <v>1487</v>
      </c>
      <c r="Z100" s="4" t="s">
        <v>557</v>
      </c>
      <c r="AA100" s="4" t="s">
        <v>558</v>
      </c>
      <c r="AB100" s="4" t="b">
        <v>0</v>
      </c>
      <c r="AC100" s="4" t="s">
        <v>536</v>
      </c>
      <c r="AD100" s="4" t="s">
        <v>537</v>
      </c>
    </row>
    <row r="101" ht="14.25" customHeight="1">
      <c r="A101" s="4">
        <v>8003454.0</v>
      </c>
      <c r="B101" s="2">
        <v>45994.4822453704</v>
      </c>
      <c r="C101" s="4">
        <v>7231141.0</v>
      </c>
      <c r="D101" s="4" t="s">
        <v>677</v>
      </c>
      <c r="E101" s="2">
        <v>45994.4833333333</v>
      </c>
      <c r="F101" s="4">
        <v>1.0</v>
      </c>
      <c r="G101" s="4">
        <v>0.0</v>
      </c>
      <c r="H101" s="4" t="s">
        <v>1511</v>
      </c>
      <c r="I101" s="4" t="s">
        <v>1648</v>
      </c>
      <c r="J101" s="4" t="s">
        <v>1511</v>
      </c>
      <c r="K101" s="4" t="s">
        <v>1513</v>
      </c>
      <c r="L101" s="4" t="s">
        <v>1648</v>
      </c>
      <c r="M101" s="4" t="s">
        <v>1649</v>
      </c>
      <c r="N101" s="4" t="s">
        <v>653</v>
      </c>
      <c r="O101" s="4" t="s">
        <v>1705</v>
      </c>
      <c r="P101" s="4" t="s">
        <v>1496</v>
      </c>
      <c r="Q101" s="4" t="s">
        <v>1706</v>
      </c>
      <c r="R101" s="4" t="b">
        <v>0</v>
      </c>
      <c r="S101" s="4" t="s">
        <v>1486</v>
      </c>
      <c r="T101" s="2">
        <v>45994.4847222222</v>
      </c>
      <c r="U101" s="2">
        <v>45994.0</v>
      </c>
      <c r="V101" s="4">
        <v>48.0</v>
      </c>
      <c r="W101" s="4" t="s">
        <v>550</v>
      </c>
      <c r="X101" s="4">
        <v>2025.0</v>
      </c>
      <c r="Y101" s="4" t="s">
        <v>1518</v>
      </c>
      <c r="Z101" s="4"/>
      <c r="AA101" s="4" t="s">
        <v>558</v>
      </c>
      <c r="AB101" s="4" t="b">
        <v>0</v>
      </c>
      <c r="AC101" s="4" t="s">
        <v>536</v>
      </c>
      <c r="AD101" s="4" t="s">
        <v>537</v>
      </c>
    </row>
    <row r="102" ht="14.25" customHeight="1">
      <c r="A102" s="4">
        <v>7900167.0</v>
      </c>
      <c r="B102" s="2">
        <v>45972.7148611111</v>
      </c>
      <c r="C102" s="4">
        <v>7129479.0</v>
      </c>
      <c r="D102" s="4" t="s">
        <v>678</v>
      </c>
      <c r="E102" s="2">
        <v>45994.4986111111</v>
      </c>
      <c r="F102" s="4">
        <v>1.0</v>
      </c>
      <c r="G102" s="4">
        <v>0.0</v>
      </c>
      <c r="H102" s="4" t="s">
        <v>1480</v>
      </c>
      <c r="I102" s="4" t="s">
        <v>1550</v>
      </c>
      <c r="J102" s="4" t="s">
        <v>1480</v>
      </c>
      <c r="K102" s="4" t="s">
        <v>1480</v>
      </c>
      <c r="L102" s="4" t="s">
        <v>1550</v>
      </c>
      <c r="M102" s="4" t="s">
        <v>1551</v>
      </c>
      <c r="N102" s="4" t="s">
        <v>540</v>
      </c>
      <c r="O102" s="4" t="s">
        <v>1552</v>
      </c>
      <c r="P102" s="4" t="s">
        <v>1488</v>
      </c>
      <c r="Q102" s="4" t="s">
        <v>1707</v>
      </c>
      <c r="R102" s="4" t="b">
        <v>0</v>
      </c>
      <c r="S102" s="4" t="s">
        <v>1486</v>
      </c>
      <c r="T102" s="2">
        <v>45994.5</v>
      </c>
      <c r="U102" s="2">
        <v>45972.0</v>
      </c>
      <c r="V102" s="4">
        <v>45.0</v>
      </c>
      <c r="W102" s="4" t="s">
        <v>545</v>
      </c>
      <c r="X102" s="4">
        <v>2025.0</v>
      </c>
      <c r="Y102" s="4" t="s">
        <v>1518</v>
      </c>
      <c r="Z102" s="4" t="s">
        <v>557</v>
      </c>
      <c r="AA102" s="4" t="s">
        <v>558</v>
      </c>
      <c r="AB102" s="4" t="b">
        <v>0</v>
      </c>
      <c r="AC102" s="4" t="s">
        <v>536</v>
      </c>
      <c r="AD102" s="4" t="s">
        <v>537</v>
      </c>
    </row>
    <row r="103" ht="14.25" customHeight="1">
      <c r="A103" s="4">
        <v>8003625.0</v>
      </c>
      <c r="B103" s="2">
        <v>45994.4990972222</v>
      </c>
      <c r="C103" s="4">
        <v>7231310.0</v>
      </c>
      <c r="D103" s="4" t="s">
        <v>680</v>
      </c>
      <c r="E103" s="2">
        <v>45994.4993055556</v>
      </c>
      <c r="F103" s="4">
        <v>1.0</v>
      </c>
      <c r="G103" s="4">
        <v>0.0</v>
      </c>
      <c r="H103" s="4"/>
      <c r="I103" s="4"/>
      <c r="J103" s="4" t="s">
        <v>1480</v>
      </c>
      <c r="K103" s="4" t="s">
        <v>1480</v>
      </c>
      <c r="L103" s="4" t="s">
        <v>1481</v>
      </c>
      <c r="M103" s="4" t="s">
        <v>1482</v>
      </c>
      <c r="N103" s="4" t="s">
        <v>540</v>
      </c>
      <c r="O103" s="4" t="s">
        <v>1483</v>
      </c>
      <c r="P103" s="4" t="s">
        <v>1488</v>
      </c>
      <c r="Q103" s="4" t="s">
        <v>1708</v>
      </c>
      <c r="R103" s="4" t="b">
        <v>0</v>
      </c>
      <c r="S103" s="4" t="s">
        <v>1486</v>
      </c>
      <c r="T103" s="2">
        <v>45994.5006944444</v>
      </c>
      <c r="U103" s="2">
        <v>45994.0</v>
      </c>
      <c r="V103" s="4">
        <v>48.0</v>
      </c>
      <c r="W103" s="4" t="s">
        <v>550</v>
      </c>
      <c r="X103" s="4">
        <v>2025.0</v>
      </c>
      <c r="Y103" s="4" t="s">
        <v>1487</v>
      </c>
      <c r="Z103" s="4" t="s">
        <v>557</v>
      </c>
      <c r="AA103" s="4" t="s">
        <v>558</v>
      </c>
      <c r="AB103" s="4" t="b">
        <v>0</v>
      </c>
      <c r="AC103" s="4" t="s">
        <v>536</v>
      </c>
      <c r="AD103" s="4" t="s">
        <v>537</v>
      </c>
    </row>
    <row r="104" ht="14.25" customHeight="1">
      <c r="A104" s="4">
        <v>8003766.0</v>
      </c>
      <c r="B104" s="2">
        <v>45994.5149421296</v>
      </c>
      <c r="C104" s="4">
        <v>7231451.0</v>
      </c>
      <c r="D104" s="4" t="s">
        <v>683</v>
      </c>
      <c r="E104" s="2">
        <v>45994.5152777778</v>
      </c>
      <c r="F104" s="4">
        <v>1.0</v>
      </c>
      <c r="G104" s="4">
        <v>0.0</v>
      </c>
      <c r="H104" s="4"/>
      <c r="I104" s="4"/>
      <c r="J104" s="4" t="s">
        <v>1480</v>
      </c>
      <c r="K104" s="4" t="s">
        <v>1480</v>
      </c>
      <c r="L104" s="4" t="s">
        <v>1481</v>
      </c>
      <c r="M104" s="4" t="s">
        <v>1482</v>
      </c>
      <c r="N104" s="4" t="s">
        <v>540</v>
      </c>
      <c r="O104" s="4" t="s">
        <v>1483</v>
      </c>
      <c r="P104" s="4" t="s">
        <v>1506</v>
      </c>
      <c r="Q104" s="4" t="s">
        <v>1709</v>
      </c>
      <c r="R104" s="4" t="b">
        <v>0</v>
      </c>
      <c r="S104" s="4" t="s">
        <v>1486</v>
      </c>
      <c r="T104" s="2">
        <v>45994.5166666667</v>
      </c>
      <c r="U104" s="2">
        <v>45994.0</v>
      </c>
      <c r="V104" s="4">
        <v>48.0</v>
      </c>
      <c r="W104" s="4" t="s">
        <v>550</v>
      </c>
      <c r="X104" s="4">
        <v>2025.0</v>
      </c>
      <c r="Y104" s="4" t="s">
        <v>1487</v>
      </c>
      <c r="Z104" s="4" t="s">
        <v>541</v>
      </c>
      <c r="AA104" s="4" t="s">
        <v>546</v>
      </c>
      <c r="AB104" s="4" t="b">
        <v>0</v>
      </c>
      <c r="AC104" s="4" t="s">
        <v>536</v>
      </c>
      <c r="AD104" s="4" t="s">
        <v>537</v>
      </c>
    </row>
    <row r="105" ht="14.25" customHeight="1">
      <c r="A105" s="4">
        <v>8003904.0</v>
      </c>
      <c r="B105" s="2">
        <v>45994.5190972222</v>
      </c>
      <c r="C105" s="4">
        <v>7231589.0</v>
      </c>
      <c r="D105" s="4" t="s">
        <v>684</v>
      </c>
      <c r="E105" s="2">
        <v>45994.5194444444</v>
      </c>
      <c r="F105" s="4">
        <v>1.0</v>
      </c>
      <c r="G105" s="4">
        <v>0.0</v>
      </c>
      <c r="H105" s="4" t="s">
        <v>1519</v>
      </c>
      <c r="I105" s="4" t="s">
        <v>1710</v>
      </c>
      <c r="J105" s="4" t="s">
        <v>1519</v>
      </c>
      <c r="K105" s="4" t="s">
        <v>1513</v>
      </c>
      <c r="L105" s="4" t="s">
        <v>1710</v>
      </c>
      <c r="M105" s="4" t="s">
        <v>1711</v>
      </c>
      <c r="N105" s="4" t="s">
        <v>1712</v>
      </c>
      <c r="O105" s="4" t="s">
        <v>1713</v>
      </c>
      <c r="P105" s="4" t="s">
        <v>1496</v>
      </c>
      <c r="Q105" s="4" t="s">
        <v>1714</v>
      </c>
      <c r="R105" s="4" t="b">
        <v>0</v>
      </c>
      <c r="S105" s="4" t="s">
        <v>1486</v>
      </c>
      <c r="T105" s="2">
        <v>45994.5208333333</v>
      </c>
      <c r="U105" s="2">
        <v>45994.0</v>
      </c>
      <c r="V105" s="4">
        <v>48.0</v>
      </c>
      <c r="W105" s="4" t="s">
        <v>550</v>
      </c>
      <c r="X105" s="4">
        <v>2025.0</v>
      </c>
      <c r="Y105" s="4" t="s">
        <v>1518</v>
      </c>
      <c r="Z105" s="4" t="s">
        <v>557</v>
      </c>
      <c r="AA105" s="4" t="s">
        <v>558</v>
      </c>
      <c r="AB105" s="4" t="b">
        <v>0</v>
      </c>
      <c r="AC105" s="4" t="s">
        <v>536</v>
      </c>
      <c r="AD105" s="4" t="s">
        <v>537</v>
      </c>
    </row>
    <row r="106" ht="14.25" customHeight="1">
      <c r="A106" s="4">
        <v>8003921.0</v>
      </c>
      <c r="B106" s="2">
        <v>45994.5207060185</v>
      </c>
      <c r="C106" s="4">
        <v>7231606.0</v>
      </c>
      <c r="D106" s="4" t="s">
        <v>685</v>
      </c>
      <c r="E106" s="2">
        <v>45994.5215277778</v>
      </c>
      <c r="F106" s="4">
        <v>1.0</v>
      </c>
      <c r="G106" s="4">
        <v>0.0</v>
      </c>
      <c r="H106" s="4"/>
      <c r="I106" s="4"/>
      <c r="J106" s="4" t="s">
        <v>539</v>
      </c>
      <c r="K106" s="4" t="s">
        <v>539</v>
      </c>
      <c r="L106" s="4" t="s">
        <v>1499</v>
      </c>
      <c r="M106" s="4" t="s">
        <v>1482</v>
      </c>
      <c r="N106" s="4"/>
      <c r="O106" s="4" t="s">
        <v>1483</v>
      </c>
      <c r="P106" s="4" t="s">
        <v>1605</v>
      </c>
      <c r="Q106" s="4" t="s">
        <v>1715</v>
      </c>
      <c r="R106" s="4" t="b">
        <v>0</v>
      </c>
      <c r="S106" s="4" t="s">
        <v>1486</v>
      </c>
      <c r="T106" s="2">
        <v>45994.5229166667</v>
      </c>
      <c r="U106" s="2">
        <v>45994.0</v>
      </c>
      <c r="V106" s="4">
        <v>48.0</v>
      </c>
      <c r="W106" s="4" t="s">
        <v>550</v>
      </c>
      <c r="X106" s="4">
        <v>2025.0</v>
      </c>
      <c r="Y106" s="4" t="s">
        <v>1502</v>
      </c>
      <c r="Z106" s="4"/>
      <c r="AA106" s="4" t="s">
        <v>686</v>
      </c>
      <c r="AB106" s="4" t="b">
        <v>0</v>
      </c>
      <c r="AC106" s="4" t="s">
        <v>599</v>
      </c>
      <c r="AD106" s="4" t="s">
        <v>537</v>
      </c>
    </row>
    <row r="107" ht="14.25" customHeight="1">
      <c r="A107" s="4">
        <v>7965611.0</v>
      </c>
      <c r="B107" s="2">
        <v>45986.3499189815</v>
      </c>
      <c r="C107" s="4">
        <v>7193888.0</v>
      </c>
      <c r="D107" s="4" t="s">
        <v>687</v>
      </c>
      <c r="E107" s="2">
        <v>45994.5305555556</v>
      </c>
      <c r="F107" s="4">
        <v>1.0</v>
      </c>
      <c r="G107" s="4">
        <v>0.0</v>
      </c>
      <c r="H107" s="4"/>
      <c r="I107" s="4"/>
      <c r="J107" s="4" t="s">
        <v>1480</v>
      </c>
      <c r="K107" s="4" t="s">
        <v>1480</v>
      </c>
      <c r="L107" s="4" t="s">
        <v>1481</v>
      </c>
      <c r="M107" s="4" t="s">
        <v>1482</v>
      </c>
      <c r="N107" s="4" t="s">
        <v>540</v>
      </c>
      <c r="O107" s="4" t="s">
        <v>1500</v>
      </c>
      <c r="P107" s="4" t="s">
        <v>1488</v>
      </c>
      <c r="Q107" s="4" t="s">
        <v>1716</v>
      </c>
      <c r="R107" s="4" t="b">
        <v>0</v>
      </c>
      <c r="S107" s="4" t="s">
        <v>1486</v>
      </c>
      <c r="T107" s="2">
        <v>45994.5319444444</v>
      </c>
      <c r="U107" s="2">
        <v>45986.0</v>
      </c>
      <c r="V107" s="4">
        <v>47.0</v>
      </c>
      <c r="W107" s="4" t="s">
        <v>545</v>
      </c>
      <c r="X107" s="4">
        <v>2025.0</v>
      </c>
      <c r="Y107" s="4" t="s">
        <v>1487</v>
      </c>
      <c r="Z107" s="4" t="s">
        <v>541</v>
      </c>
      <c r="AA107" s="4" t="s">
        <v>546</v>
      </c>
      <c r="AB107" s="4" t="b">
        <v>0</v>
      </c>
      <c r="AC107" s="4" t="s">
        <v>536</v>
      </c>
      <c r="AD107" s="4" t="s">
        <v>537</v>
      </c>
    </row>
    <row r="108" ht="14.25" customHeight="1">
      <c r="A108" s="4">
        <v>8004176.0</v>
      </c>
      <c r="B108" s="2">
        <v>45994.5556134259</v>
      </c>
      <c r="C108" s="4">
        <v>7231851.0</v>
      </c>
      <c r="D108" s="4" t="s">
        <v>688</v>
      </c>
      <c r="E108" s="2">
        <v>45994.5625</v>
      </c>
      <c r="F108" s="4">
        <v>1.0</v>
      </c>
      <c r="G108" s="4">
        <v>0.0</v>
      </c>
      <c r="H108" s="4" t="s">
        <v>1519</v>
      </c>
      <c r="I108" s="4" t="s">
        <v>1717</v>
      </c>
      <c r="J108" s="4" t="s">
        <v>1519</v>
      </c>
      <c r="K108" s="4" t="s">
        <v>1513</v>
      </c>
      <c r="L108" s="4" t="s">
        <v>1717</v>
      </c>
      <c r="M108" s="4" t="s">
        <v>1482</v>
      </c>
      <c r="N108" s="4" t="s">
        <v>540</v>
      </c>
      <c r="O108" s="4" t="s">
        <v>1718</v>
      </c>
      <c r="P108" s="4" t="s">
        <v>1488</v>
      </c>
      <c r="Q108" s="4" t="s">
        <v>1719</v>
      </c>
      <c r="R108" s="4" t="b">
        <v>0</v>
      </c>
      <c r="S108" s="4" t="s">
        <v>1486</v>
      </c>
      <c r="T108" s="2">
        <v>45994.5638888889</v>
      </c>
      <c r="U108" s="2">
        <v>45994.0</v>
      </c>
      <c r="V108" s="4">
        <v>48.0</v>
      </c>
      <c r="W108" s="4" t="s">
        <v>550</v>
      </c>
      <c r="X108" s="4">
        <v>2025.0</v>
      </c>
      <c r="Y108" s="4" t="s">
        <v>1518</v>
      </c>
      <c r="Z108" s="4" t="s">
        <v>557</v>
      </c>
      <c r="AA108" s="4" t="s">
        <v>558</v>
      </c>
      <c r="AB108" s="4" t="b">
        <v>0</v>
      </c>
      <c r="AC108" s="4" t="s">
        <v>536</v>
      </c>
      <c r="AD108" s="4" t="s">
        <v>537</v>
      </c>
    </row>
    <row r="109" ht="14.25" customHeight="1">
      <c r="A109" s="4">
        <v>7927605.0</v>
      </c>
      <c r="B109" s="2">
        <v>45978.4045949074</v>
      </c>
      <c r="C109" s="4">
        <v>7156504.0</v>
      </c>
      <c r="D109" s="4" t="s">
        <v>690</v>
      </c>
      <c r="E109" s="2">
        <v>45994.5652777778</v>
      </c>
      <c r="F109" s="4">
        <v>0.4</v>
      </c>
      <c r="G109" s="4">
        <v>0.0</v>
      </c>
      <c r="H109" s="4" t="s">
        <v>1565</v>
      </c>
      <c r="I109" s="4" t="s">
        <v>1566</v>
      </c>
      <c r="J109" s="4" t="s">
        <v>1565</v>
      </c>
      <c r="K109" s="4" t="s">
        <v>1567</v>
      </c>
      <c r="L109" s="4" t="s">
        <v>1566</v>
      </c>
      <c r="M109" s="4" t="s">
        <v>1568</v>
      </c>
      <c r="N109" s="4"/>
      <c r="O109" s="4" t="s">
        <v>1720</v>
      </c>
      <c r="P109" s="4" t="s">
        <v>1496</v>
      </c>
      <c r="Q109" s="4" t="s">
        <v>1721</v>
      </c>
      <c r="R109" s="4" t="b">
        <v>0</v>
      </c>
      <c r="S109" s="4" t="s">
        <v>1486</v>
      </c>
      <c r="T109" s="2">
        <v>45994.5666666667</v>
      </c>
      <c r="U109" s="2">
        <v>45978.0</v>
      </c>
      <c r="V109" s="4">
        <v>46.0</v>
      </c>
      <c r="W109" s="4" t="s">
        <v>545</v>
      </c>
      <c r="X109" s="4">
        <v>2025.0</v>
      </c>
      <c r="Y109" s="4" t="s">
        <v>1518</v>
      </c>
      <c r="Z109" s="4" t="s">
        <v>557</v>
      </c>
      <c r="AA109" s="4" t="s">
        <v>558</v>
      </c>
      <c r="AB109" s="4" t="b">
        <v>0</v>
      </c>
      <c r="AC109" s="4" t="s">
        <v>536</v>
      </c>
      <c r="AD109" s="4" t="s">
        <v>537</v>
      </c>
    </row>
    <row r="110" ht="14.25" customHeight="1">
      <c r="A110" s="4">
        <v>8004340.0</v>
      </c>
      <c r="B110" s="2">
        <v>45994.5649652778</v>
      </c>
      <c r="C110" s="4">
        <v>7156504.0</v>
      </c>
      <c r="D110" s="4" t="s">
        <v>690</v>
      </c>
      <c r="E110" s="2">
        <v>45994.5652777778</v>
      </c>
      <c r="F110" s="4">
        <v>0.2</v>
      </c>
      <c r="G110" s="4">
        <v>0.0</v>
      </c>
      <c r="H110" s="4" t="s">
        <v>1565</v>
      </c>
      <c r="I110" s="4" t="s">
        <v>1722</v>
      </c>
      <c r="J110" s="4" t="s">
        <v>1565</v>
      </c>
      <c r="K110" s="4" t="s">
        <v>1567</v>
      </c>
      <c r="L110" s="4" t="s">
        <v>1722</v>
      </c>
      <c r="M110" s="4" t="s">
        <v>1571</v>
      </c>
      <c r="N110" s="4"/>
      <c r="O110" s="4" t="s">
        <v>1723</v>
      </c>
      <c r="P110" s="4" t="s">
        <v>1496</v>
      </c>
      <c r="Q110" s="4" t="s">
        <v>1721</v>
      </c>
      <c r="R110" s="4" t="b">
        <v>0</v>
      </c>
      <c r="S110" s="4" t="s">
        <v>1486</v>
      </c>
      <c r="T110" s="2">
        <v>45994.5666666667</v>
      </c>
      <c r="U110" s="2">
        <v>45994.0</v>
      </c>
      <c r="V110" s="4">
        <v>48.0</v>
      </c>
      <c r="W110" s="4" t="s">
        <v>550</v>
      </c>
      <c r="X110" s="4">
        <v>2025.0</v>
      </c>
      <c r="Y110" s="4" t="s">
        <v>1518</v>
      </c>
      <c r="Z110" s="4" t="s">
        <v>557</v>
      </c>
      <c r="AA110" s="4" t="s">
        <v>558</v>
      </c>
      <c r="AB110" s="4" t="b">
        <v>0</v>
      </c>
      <c r="AC110" s="4" t="s">
        <v>536</v>
      </c>
      <c r="AD110" s="4" t="s">
        <v>537</v>
      </c>
    </row>
    <row r="111" ht="14.25" customHeight="1">
      <c r="A111" s="4">
        <v>8004341.0</v>
      </c>
      <c r="B111" s="2">
        <v>45994.5649884259</v>
      </c>
      <c r="C111" s="4">
        <v>7156504.0</v>
      </c>
      <c r="D111" s="4" t="s">
        <v>690</v>
      </c>
      <c r="E111" s="2">
        <v>45994.5652777778</v>
      </c>
      <c r="F111" s="4">
        <v>0.4</v>
      </c>
      <c r="G111" s="4">
        <v>0.0</v>
      </c>
      <c r="H111" s="4" t="s">
        <v>1565</v>
      </c>
      <c r="I111" s="4" t="s">
        <v>1722</v>
      </c>
      <c r="J111" s="4" t="s">
        <v>1565</v>
      </c>
      <c r="K111" s="4" t="s">
        <v>1567</v>
      </c>
      <c r="L111" s="4" t="s">
        <v>1722</v>
      </c>
      <c r="M111" s="4" t="s">
        <v>1571</v>
      </c>
      <c r="N111" s="4" t="s">
        <v>1724</v>
      </c>
      <c r="O111" s="4" t="s">
        <v>1725</v>
      </c>
      <c r="P111" s="4" t="s">
        <v>1496</v>
      </c>
      <c r="Q111" s="4" t="s">
        <v>1726</v>
      </c>
      <c r="R111" s="4" t="b">
        <v>0</v>
      </c>
      <c r="S111" s="4" t="s">
        <v>1486</v>
      </c>
      <c r="T111" s="2">
        <v>45994.5666666667</v>
      </c>
      <c r="U111" s="2">
        <v>45994.0</v>
      </c>
      <c r="V111" s="4">
        <v>48.0</v>
      </c>
      <c r="W111" s="4" t="s">
        <v>550</v>
      </c>
      <c r="X111" s="4">
        <v>2025.0</v>
      </c>
      <c r="Y111" s="4" t="s">
        <v>1518</v>
      </c>
      <c r="Z111" s="4" t="s">
        <v>557</v>
      </c>
      <c r="AA111" s="4" t="s">
        <v>558</v>
      </c>
      <c r="AB111" s="4" t="b">
        <v>0</v>
      </c>
      <c r="AC111" s="4" t="s">
        <v>536</v>
      </c>
      <c r="AD111" s="4" t="s">
        <v>537</v>
      </c>
    </row>
    <row r="112" ht="14.25" customHeight="1">
      <c r="A112" s="4">
        <v>7768734.0</v>
      </c>
      <c r="B112" s="2">
        <v>45945.1788078704</v>
      </c>
      <c r="C112" s="4">
        <v>7004999.0</v>
      </c>
      <c r="D112" s="4" t="s">
        <v>691</v>
      </c>
      <c r="E112" s="2">
        <v>45994.5847222222</v>
      </c>
      <c r="F112" s="4">
        <v>1.0</v>
      </c>
      <c r="G112" s="4">
        <v>0.0</v>
      </c>
      <c r="H112" s="4"/>
      <c r="I112" s="4"/>
      <c r="J112" s="4" t="s">
        <v>539</v>
      </c>
      <c r="K112" s="4" t="s">
        <v>539</v>
      </c>
      <c r="L112" s="4" t="s">
        <v>1499</v>
      </c>
      <c r="M112" s="4" t="s">
        <v>1482</v>
      </c>
      <c r="N112" s="4"/>
      <c r="O112" s="4" t="s">
        <v>1483</v>
      </c>
      <c r="P112" s="4" t="s">
        <v>1727</v>
      </c>
      <c r="Q112" s="4" t="s">
        <v>1728</v>
      </c>
      <c r="R112" s="4" t="b">
        <v>0</v>
      </c>
      <c r="S112" s="4" t="s">
        <v>1486</v>
      </c>
      <c r="T112" s="2">
        <v>45994.5861111111</v>
      </c>
      <c r="U112" s="2">
        <v>45945.0</v>
      </c>
      <c r="V112" s="4">
        <v>41.0</v>
      </c>
      <c r="W112" s="4" t="s">
        <v>1560</v>
      </c>
      <c r="X112" s="4">
        <v>2025.0</v>
      </c>
      <c r="Y112" s="4" t="s">
        <v>1502</v>
      </c>
      <c r="Z112" s="4" t="s">
        <v>692</v>
      </c>
      <c r="AA112" s="4" t="s">
        <v>624</v>
      </c>
      <c r="AB112" s="4" t="b">
        <v>0</v>
      </c>
      <c r="AC112" s="4" t="s">
        <v>623</v>
      </c>
      <c r="AD112" s="4" t="s">
        <v>537</v>
      </c>
    </row>
    <row r="113" ht="14.25" customHeight="1">
      <c r="A113" s="4">
        <v>8004558.0</v>
      </c>
      <c r="B113" s="2">
        <v>45994.5898032407</v>
      </c>
      <c r="C113" s="4">
        <v>7232226.0</v>
      </c>
      <c r="D113" s="4" t="s">
        <v>693</v>
      </c>
      <c r="E113" s="2">
        <v>45994.5895833333</v>
      </c>
      <c r="F113" s="4">
        <v>1.0</v>
      </c>
      <c r="G113" s="4">
        <v>0.0</v>
      </c>
      <c r="H113" s="4"/>
      <c r="I113" s="4"/>
      <c r="J113" s="4" t="s">
        <v>1480</v>
      </c>
      <c r="K113" s="4" t="s">
        <v>1480</v>
      </c>
      <c r="L113" s="4" t="s">
        <v>1481</v>
      </c>
      <c r="M113" s="4" t="s">
        <v>1482</v>
      </c>
      <c r="N113" s="4" t="s">
        <v>540</v>
      </c>
      <c r="O113" s="4" t="s">
        <v>1729</v>
      </c>
      <c r="P113" s="4" t="s">
        <v>1488</v>
      </c>
      <c r="Q113" s="4" t="s">
        <v>1730</v>
      </c>
      <c r="R113" s="4" t="b">
        <v>0</v>
      </c>
      <c r="S113" s="4" t="s">
        <v>1486</v>
      </c>
      <c r="T113" s="2">
        <v>45994.5909722222</v>
      </c>
      <c r="U113" s="2">
        <v>45994.0</v>
      </c>
      <c r="V113" s="4">
        <v>48.0</v>
      </c>
      <c r="W113" s="4" t="s">
        <v>550</v>
      </c>
      <c r="X113" s="4">
        <v>2025.0</v>
      </c>
      <c r="Y113" s="4" t="s">
        <v>1487</v>
      </c>
      <c r="Z113" s="4"/>
      <c r="AA113" s="4" t="s">
        <v>694</v>
      </c>
      <c r="AB113" s="4" t="b">
        <v>1</v>
      </c>
      <c r="AC113" s="4" t="s">
        <v>536</v>
      </c>
      <c r="AD113" s="4" t="s">
        <v>537</v>
      </c>
    </row>
    <row r="114" ht="14.25" customHeight="1">
      <c r="A114" s="4">
        <v>8004879.0</v>
      </c>
      <c r="B114" s="2">
        <v>45994.6290856482</v>
      </c>
      <c r="C114" s="4">
        <v>7232539.0</v>
      </c>
      <c r="D114" s="4" t="s">
        <v>695</v>
      </c>
      <c r="E114" s="2">
        <v>45994.6326388889</v>
      </c>
      <c r="F114" s="4">
        <v>1.0</v>
      </c>
      <c r="G114" s="4">
        <v>0.0</v>
      </c>
      <c r="H114" s="4"/>
      <c r="I114" s="4"/>
      <c r="J114" s="4" t="s">
        <v>1480</v>
      </c>
      <c r="K114" s="4" t="s">
        <v>1480</v>
      </c>
      <c r="L114" s="4" t="s">
        <v>1481</v>
      </c>
      <c r="M114" s="4" t="s">
        <v>1482</v>
      </c>
      <c r="N114" s="4" t="s">
        <v>540</v>
      </c>
      <c r="O114" s="4" t="s">
        <v>1731</v>
      </c>
      <c r="P114" s="4" t="s">
        <v>1488</v>
      </c>
      <c r="Q114" s="4" t="s">
        <v>1732</v>
      </c>
      <c r="R114" s="4" t="b">
        <v>0</v>
      </c>
      <c r="S114" s="4" t="s">
        <v>1486</v>
      </c>
      <c r="T114" s="2">
        <v>45994.6340277778</v>
      </c>
      <c r="U114" s="2">
        <v>45994.0</v>
      </c>
      <c r="V114" s="4">
        <v>48.0</v>
      </c>
      <c r="W114" s="4" t="s">
        <v>550</v>
      </c>
      <c r="X114" s="4">
        <v>2025.0</v>
      </c>
      <c r="Y114" s="4" t="s">
        <v>1487</v>
      </c>
      <c r="Z114" s="4"/>
      <c r="AA114" s="4" t="s">
        <v>558</v>
      </c>
      <c r="AB114" s="4" t="b">
        <v>0</v>
      </c>
      <c r="AC114" s="4" t="s">
        <v>567</v>
      </c>
      <c r="AD114" s="4" t="s">
        <v>537</v>
      </c>
    </row>
    <row r="115" ht="14.25" customHeight="1">
      <c r="A115" s="4">
        <v>8003527.0</v>
      </c>
      <c r="B115" s="2">
        <v>45994.4898958333</v>
      </c>
      <c r="C115" s="4">
        <v>7231212.0</v>
      </c>
      <c r="D115" s="4" t="s">
        <v>696</v>
      </c>
      <c r="E115" s="2">
        <v>45994.6381944444</v>
      </c>
      <c r="F115" s="4">
        <v>1.0</v>
      </c>
      <c r="G115" s="4">
        <v>0.0</v>
      </c>
      <c r="H115" s="4" t="s">
        <v>1519</v>
      </c>
      <c r="I115" s="4" t="s">
        <v>1717</v>
      </c>
      <c r="J115" s="4" t="s">
        <v>1519</v>
      </c>
      <c r="K115" s="4" t="s">
        <v>1513</v>
      </c>
      <c r="L115" s="4" t="s">
        <v>1717</v>
      </c>
      <c r="M115" s="4" t="s">
        <v>1482</v>
      </c>
      <c r="N115" s="4" t="s">
        <v>540</v>
      </c>
      <c r="O115" s="4" t="s">
        <v>1733</v>
      </c>
      <c r="P115" s="4" t="s">
        <v>1488</v>
      </c>
      <c r="Q115" s="4" t="s">
        <v>1734</v>
      </c>
      <c r="R115" s="4" t="b">
        <v>0</v>
      </c>
      <c r="S115" s="4" t="s">
        <v>1486</v>
      </c>
      <c r="T115" s="2">
        <v>45994.6395833333</v>
      </c>
      <c r="U115" s="2">
        <v>45994.0</v>
      </c>
      <c r="V115" s="4">
        <v>48.0</v>
      </c>
      <c r="W115" s="4" t="s">
        <v>550</v>
      </c>
      <c r="X115" s="4">
        <v>2025.0</v>
      </c>
      <c r="Y115" s="4" t="s">
        <v>1518</v>
      </c>
      <c r="Z115" s="4" t="s">
        <v>557</v>
      </c>
      <c r="AA115" s="4" t="s">
        <v>558</v>
      </c>
      <c r="AB115" s="4" t="b">
        <v>0</v>
      </c>
      <c r="AC115" s="4" t="s">
        <v>567</v>
      </c>
      <c r="AD115" s="4" t="s">
        <v>537</v>
      </c>
    </row>
    <row r="116" ht="14.25" customHeight="1">
      <c r="A116" s="4">
        <v>7969216.0</v>
      </c>
      <c r="B116" s="2">
        <v>45986.8485532407</v>
      </c>
      <c r="C116" s="4">
        <v>7197435.0</v>
      </c>
      <c r="D116" s="4" t="s">
        <v>697</v>
      </c>
      <c r="E116" s="2">
        <v>45994.6888888889</v>
      </c>
      <c r="F116" s="4">
        <v>1.0</v>
      </c>
      <c r="G116" s="4">
        <v>0.0</v>
      </c>
      <c r="H116" s="4"/>
      <c r="I116" s="4"/>
      <c r="J116" s="4" t="s">
        <v>539</v>
      </c>
      <c r="K116" s="4" t="s">
        <v>539</v>
      </c>
      <c r="L116" s="4" t="s">
        <v>1499</v>
      </c>
      <c r="M116" s="4" t="s">
        <v>1482</v>
      </c>
      <c r="N116" s="4"/>
      <c r="O116" s="4" t="s">
        <v>1483</v>
      </c>
      <c r="P116" s="4" t="s">
        <v>1488</v>
      </c>
      <c r="Q116" s="4" t="s">
        <v>1735</v>
      </c>
      <c r="R116" s="4" t="b">
        <v>0</v>
      </c>
      <c r="S116" s="4" t="s">
        <v>1486</v>
      </c>
      <c r="T116" s="2">
        <v>45995.3152777778</v>
      </c>
      <c r="U116" s="2">
        <v>45986.0</v>
      </c>
      <c r="V116" s="4">
        <v>47.0</v>
      </c>
      <c r="W116" s="4" t="s">
        <v>545</v>
      </c>
      <c r="X116" s="4">
        <v>2025.0</v>
      </c>
      <c r="Y116" s="4" t="s">
        <v>1502</v>
      </c>
      <c r="Z116" s="4"/>
      <c r="AA116" s="4" t="s">
        <v>546</v>
      </c>
      <c r="AB116" s="4" t="b">
        <v>1</v>
      </c>
      <c r="AC116" s="4" t="s">
        <v>567</v>
      </c>
      <c r="AD116" s="4" t="s">
        <v>537</v>
      </c>
    </row>
    <row r="117" ht="14.25" customHeight="1">
      <c r="A117" s="4">
        <v>8005652.0</v>
      </c>
      <c r="B117" s="2">
        <v>45994.7240277778</v>
      </c>
      <c r="C117" s="4">
        <v>7233303.0</v>
      </c>
      <c r="D117" s="4" t="s">
        <v>698</v>
      </c>
      <c r="E117" s="2">
        <v>45994.7243055556</v>
      </c>
      <c r="F117" s="4">
        <v>1.0</v>
      </c>
      <c r="G117" s="4">
        <v>0.0</v>
      </c>
      <c r="H117" s="4"/>
      <c r="I117" s="4"/>
      <c r="J117" s="4" t="s">
        <v>1480</v>
      </c>
      <c r="K117" s="4" t="s">
        <v>1480</v>
      </c>
      <c r="L117" s="4" t="s">
        <v>1511</v>
      </c>
      <c r="M117" s="4" t="s">
        <v>1482</v>
      </c>
      <c r="N117" s="4" t="s">
        <v>653</v>
      </c>
      <c r="O117" s="4" t="s">
        <v>1736</v>
      </c>
      <c r="P117" s="4" t="s">
        <v>1488</v>
      </c>
      <c r="Q117" s="4" t="s">
        <v>1737</v>
      </c>
      <c r="R117" s="4" t="b">
        <v>0</v>
      </c>
      <c r="S117" s="4" t="s">
        <v>1486</v>
      </c>
      <c r="T117" s="2">
        <v>45994.7256944444</v>
      </c>
      <c r="U117" s="2">
        <v>45994.0</v>
      </c>
      <c r="V117" s="4">
        <v>48.0</v>
      </c>
      <c r="W117" s="4" t="s">
        <v>550</v>
      </c>
      <c r="X117" s="4">
        <v>2025.0</v>
      </c>
      <c r="Y117" s="4" t="s">
        <v>1680</v>
      </c>
      <c r="Z117" s="4"/>
      <c r="AA117" s="4" t="s">
        <v>546</v>
      </c>
      <c r="AB117" s="4" t="b">
        <v>0</v>
      </c>
      <c r="AC117" s="4" t="s">
        <v>554</v>
      </c>
      <c r="AD117" s="4" t="s">
        <v>537</v>
      </c>
    </row>
    <row r="118" ht="14.25" customHeight="1">
      <c r="A118" s="4">
        <v>7955001.0</v>
      </c>
      <c r="B118" s="2">
        <v>45983.864375</v>
      </c>
      <c r="C118" s="4">
        <v>7183421.0</v>
      </c>
      <c r="D118" s="4" t="s">
        <v>699</v>
      </c>
      <c r="E118" s="2">
        <v>45994.8548611111</v>
      </c>
      <c r="F118" s="4">
        <v>0.5</v>
      </c>
      <c r="G118" s="4">
        <v>0.0</v>
      </c>
      <c r="H118" s="4" t="s">
        <v>1519</v>
      </c>
      <c r="I118" s="4" t="s">
        <v>1581</v>
      </c>
      <c r="J118" s="4" t="s">
        <v>1519</v>
      </c>
      <c r="K118" s="4" t="s">
        <v>1513</v>
      </c>
      <c r="L118" s="4" t="s">
        <v>1581</v>
      </c>
      <c r="M118" s="4" t="s">
        <v>1738</v>
      </c>
      <c r="N118" s="4" t="s">
        <v>540</v>
      </c>
      <c r="O118" s="4" t="s">
        <v>1739</v>
      </c>
      <c r="P118" s="4" t="s">
        <v>1506</v>
      </c>
      <c r="Q118" s="4" t="s">
        <v>1740</v>
      </c>
      <c r="R118" s="4" t="b">
        <v>0</v>
      </c>
      <c r="S118" s="4" t="s">
        <v>1486</v>
      </c>
      <c r="T118" s="2">
        <v>45994.85625</v>
      </c>
      <c r="U118" s="2">
        <v>45983.0</v>
      </c>
      <c r="V118" s="4">
        <v>46.0</v>
      </c>
      <c r="W118" s="4" t="s">
        <v>545</v>
      </c>
      <c r="X118" s="4">
        <v>2025.0</v>
      </c>
      <c r="Y118" s="4" t="s">
        <v>1518</v>
      </c>
      <c r="Z118" s="4" t="s">
        <v>557</v>
      </c>
      <c r="AA118" s="4" t="s">
        <v>558</v>
      </c>
      <c r="AB118" s="4" t="b">
        <v>0</v>
      </c>
      <c r="AC118" s="4" t="s">
        <v>536</v>
      </c>
      <c r="AD118" s="4" t="s">
        <v>537</v>
      </c>
    </row>
    <row r="119" ht="14.25" customHeight="1">
      <c r="A119" s="4">
        <v>8006273.0</v>
      </c>
      <c r="B119" s="2">
        <v>45994.8515277778</v>
      </c>
      <c r="C119" s="4">
        <v>7183421.0</v>
      </c>
      <c r="D119" s="4" t="s">
        <v>699</v>
      </c>
      <c r="E119" s="2">
        <v>45994.8548611111</v>
      </c>
      <c r="F119" s="4">
        <v>0.5</v>
      </c>
      <c r="G119" s="4">
        <v>0.0</v>
      </c>
      <c r="H119" s="4" t="s">
        <v>1519</v>
      </c>
      <c r="I119" s="4" t="s">
        <v>1533</v>
      </c>
      <c r="J119" s="4" t="s">
        <v>1519</v>
      </c>
      <c r="K119" s="4" t="s">
        <v>1513</v>
      </c>
      <c r="L119" s="4" t="s">
        <v>1533</v>
      </c>
      <c r="M119" s="4" t="s">
        <v>1741</v>
      </c>
      <c r="N119" s="4" t="s">
        <v>540</v>
      </c>
      <c r="O119" s="4" t="s">
        <v>1742</v>
      </c>
      <c r="P119" s="4" t="s">
        <v>1506</v>
      </c>
      <c r="Q119" s="4" t="s">
        <v>1743</v>
      </c>
      <c r="R119" s="4" t="b">
        <v>0</v>
      </c>
      <c r="S119" s="4" t="s">
        <v>1486</v>
      </c>
      <c r="T119" s="2">
        <v>45994.85625</v>
      </c>
      <c r="U119" s="2">
        <v>45994.0</v>
      </c>
      <c r="V119" s="4">
        <v>48.0</v>
      </c>
      <c r="W119" s="4" t="s">
        <v>550</v>
      </c>
      <c r="X119" s="4">
        <v>2025.0</v>
      </c>
      <c r="Y119" s="4" t="s">
        <v>1518</v>
      </c>
      <c r="Z119" s="4" t="s">
        <v>557</v>
      </c>
      <c r="AA119" s="4" t="s">
        <v>558</v>
      </c>
      <c r="AB119" s="4" t="b">
        <v>0</v>
      </c>
      <c r="AC119" s="4" t="s">
        <v>536</v>
      </c>
      <c r="AD119" s="4" t="s">
        <v>537</v>
      </c>
    </row>
    <row r="120" ht="14.25" customHeight="1">
      <c r="A120" s="4">
        <v>8006382.0</v>
      </c>
      <c r="B120" s="2">
        <v>45994.8786458333</v>
      </c>
      <c r="C120" s="4">
        <v>7234024.0</v>
      </c>
      <c r="D120" s="4" t="s">
        <v>701</v>
      </c>
      <c r="E120" s="2">
        <v>45994.8791666667</v>
      </c>
      <c r="F120" s="4">
        <v>1.0</v>
      </c>
      <c r="G120" s="4">
        <v>0.0</v>
      </c>
      <c r="H120" s="4"/>
      <c r="I120" s="4"/>
      <c r="J120" s="4" t="s">
        <v>1480</v>
      </c>
      <c r="K120" s="4" t="s">
        <v>1480</v>
      </c>
      <c r="L120" s="4" t="s">
        <v>1481</v>
      </c>
      <c r="M120" s="4" t="s">
        <v>1482</v>
      </c>
      <c r="N120" s="4" t="s">
        <v>540</v>
      </c>
      <c r="O120" s="4" t="s">
        <v>1483</v>
      </c>
      <c r="P120" s="4" t="s">
        <v>1744</v>
      </c>
      <c r="Q120" s="4" t="s">
        <v>1745</v>
      </c>
      <c r="R120" s="4" t="b">
        <v>0</v>
      </c>
      <c r="S120" s="4" t="s">
        <v>1486</v>
      </c>
      <c r="T120" s="2">
        <v>45994.8805555556</v>
      </c>
      <c r="U120" s="2">
        <v>45994.0</v>
      </c>
      <c r="V120" s="4">
        <v>48.0</v>
      </c>
      <c r="W120" s="4" t="s">
        <v>550</v>
      </c>
      <c r="X120" s="4">
        <v>2025.0</v>
      </c>
      <c r="Y120" s="4" t="s">
        <v>1487</v>
      </c>
      <c r="Z120" s="4" t="s">
        <v>557</v>
      </c>
      <c r="AA120" s="4" t="s">
        <v>558</v>
      </c>
      <c r="AB120" s="4" t="b">
        <v>0</v>
      </c>
      <c r="AC120" s="4" t="s">
        <v>536</v>
      </c>
      <c r="AD120" s="4" t="s">
        <v>537</v>
      </c>
    </row>
    <row r="121" ht="14.25" customHeight="1">
      <c r="A121" s="4">
        <v>8007011.0</v>
      </c>
      <c r="B121" s="2">
        <v>45995.0279282407</v>
      </c>
      <c r="C121" s="4">
        <v>7234633.0</v>
      </c>
      <c r="D121" s="4" t="s">
        <v>702</v>
      </c>
      <c r="E121" s="2">
        <v>45995.0291666667</v>
      </c>
      <c r="F121" s="4">
        <v>1.0</v>
      </c>
      <c r="G121" s="4">
        <v>0.0</v>
      </c>
      <c r="H121" s="4"/>
      <c r="I121" s="4"/>
      <c r="J121" s="4" t="s">
        <v>1480</v>
      </c>
      <c r="K121" s="4" t="s">
        <v>1480</v>
      </c>
      <c r="L121" s="4" t="s">
        <v>1481</v>
      </c>
      <c r="M121" s="4" t="s">
        <v>1482</v>
      </c>
      <c r="N121" s="4" t="s">
        <v>540</v>
      </c>
      <c r="O121" s="4" t="s">
        <v>1746</v>
      </c>
      <c r="P121" s="4" t="s">
        <v>1605</v>
      </c>
      <c r="Q121" s="4" t="s">
        <v>1747</v>
      </c>
      <c r="R121" s="4" t="b">
        <v>0</v>
      </c>
      <c r="S121" s="4" t="s">
        <v>1486</v>
      </c>
      <c r="T121" s="2">
        <v>45995.0305555556</v>
      </c>
      <c r="U121" s="2">
        <v>45995.0</v>
      </c>
      <c r="V121" s="4">
        <v>48.0</v>
      </c>
      <c r="W121" s="4" t="s">
        <v>550</v>
      </c>
      <c r="X121" s="4">
        <v>2025.0</v>
      </c>
      <c r="Y121" s="4" t="s">
        <v>1487</v>
      </c>
      <c r="Z121" s="4" t="s">
        <v>557</v>
      </c>
      <c r="AA121" s="4" t="s">
        <v>558</v>
      </c>
      <c r="AB121" s="4" t="b">
        <v>0</v>
      </c>
      <c r="AC121" s="4" t="s">
        <v>536</v>
      </c>
      <c r="AD121" s="4" t="s">
        <v>537</v>
      </c>
    </row>
    <row r="122" ht="14.25" customHeight="1">
      <c r="A122" s="4">
        <v>8007821.0</v>
      </c>
      <c r="B122" s="2">
        <v>45995.2279166667</v>
      </c>
      <c r="C122" s="4">
        <v>7235439.0</v>
      </c>
      <c r="D122" s="4" t="s">
        <v>704</v>
      </c>
      <c r="E122" s="2">
        <v>45995.2479166667</v>
      </c>
      <c r="F122" s="4">
        <v>1.0</v>
      </c>
      <c r="G122" s="4">
        <v>0.0</v>
      </c>
      <c r="H122" s="4"/>
      <c r="I122" s="4"/>
      <c r="J122" s="4" t="s">
        <v>1480</v>
      </c>
      <c r="K122" s="4" t="s">
        <v>1480</v>
      </c>
      <c r="L122" s="4" t="s">
        <v>1481</v>
      </c>
      <c r="M122" s="4" t="s">
        <v>1482</v>
      </c>
      <c r="N122" s="4" t="s">
        <v>540</v>
      </c>
      <c r="O122" s="4" t="s">
        <v>1483</v>
      </c>
      <c r="P122" s="4" t="s">
        <v>1506</v>
      </c>
      <c r="Q122" s="4" t="s">
        <v>1748</v>
      </c>
      <c r="R122" s="4" t="b">
        <v>0</v>
      </c>
      <c r="S122" s="4" t="s">
        <v>1486</v>
      </c>
      <c r="T122" s="2">
        <v>45995.2493055556</v>
      </c>
      <c r="U122" s="2">
        <v>45995.0</v>
      </c>
      <c r="V122" s="4">
        <v>48.0</v>
      </c>
      <c r="W122" s="4" t="s">
        <v>550</v>
      </c>
      <c r="X122" s="4">
        <v>2025.0</v>
      </c>
      <c r="Y122" s="4" t="s">
        <v>1487</v>
      </c>
      <c r="Z122" s="4"/>
      <c r="AA122" s="4" t="s">
        <v>624</v>
      </c>
      <c r="AB122" s="4" t="b">
        <v>1</v>
      </c>
      <c r="AC122" s="4" t="s">
        <v>536</v>
      </c>
      <c r="AD122" s="4" t="s">
        <v>537</v>
      </c>
    </row>
    <row r="123" ht="14.25" customHeight="1">
      <c r="A123" s="4">
        <v>7969216.0</v>
      </c>
      <c r="B123" s="2">
        <v>45986.8485532407</v>
      </c>
      <c r="C123" s="4">
        <v>7197435.0</v>
      </c>
      <c r="D123" s="4" t="s">
        <v>705</v>
      </c>
      <c r="E123" s="2">
        <v>45995.3138888889</v>
      </c>
      <c r="F123" s="4">
        <v>1.0</v>
      </c>
      <c r="G123" s="4">
        <v>0.0</v>
      </c>
      <c r="H123" s="4"/>
      <c r="I123" s="4"/>
      <c r="J123" s="4" t="s">
        <v>539</v>
      </c>
      <c r="K123" s="4" t="s">
        <v>539</v>
      </c>
      <c r="L123" s="4" t="s">
        <v>1499</v>
      </c>
      <c r="M123" s="4" t="s">
        <v>1482</v>
      </c>
      <c r="N123" s="4"/>
      <c r="O123" s="4" t="s">
        <v>1483</v>
      </c>
      <c r="P123" s="4" t="s">
        <v>1488</v>
      </c>
      <c r="Q123" s="4" t="s">
        <v>1735</v>
      </c>
      <c r="R123" s="4" t="b">
        <v>0</v>
      </c>
      <c r="S123" s="4" t="s">
        <v>1486</v>
      </c>
      <c r="T123" s="2">
        <v>45995.3152777778</v>
      </c>
      <c r="U123" s="2">
        <v>45986.0</v>
      </c>
      <c r="V123" s="4">
        <v>47.0</v>
      </c>
      <c r="W123" s="4" t="s">
        <v>545</v>
      </c>
      <c r="X123" s="4">
        <v>2025.0</v>
      </c>
      <c r="Y123" s="4" t="s">
        <v>1502</v>
      </c>
      <c r="Z123" s="4" t="s">
        <v>541</v>
      </c>
      <c r="AA123" s="4" t="s">
        <v>546</v>
      </c>
      <c r="AB123" s="4" t="b">
        <v>0</v>
      </c>
      <c r="AC123" s="4" t="s">
        <v>536</v>
      </c>
      <c r="AD123" s="4" t="s">
        <v>537</v>
      </c>
    </row>
    <row r="124" ht="14.25" customHeight="1">
      <c r="A124" s="4">
        <v>7940245.0</v>
      </c>
      <c r="B124" s="2">
        <v>45980.6239814815</v>
      </c>
      <c r="C124" s="4">
        <v>7168930.0</v>
      </c>
      <c r="D124" s="4" t="s">
        <v>707</v>
      </c>
      <c r="E124" s="2">
        <v>45995.3381944444</v>
      </c>
      <c r="F124" s="4">
        <v>1.0</v>
      </c>
      <c r="G124" s="4">
        <v>0.0</v>
      </c>
      <c r="H124" s="4"/>
      <c r="I124" s="4"/>
      <c r="J124" s="4" t="s">
        <v>539</v>
      </c>
      <c r="K124" s="4" t="s">
        <v>539</v>
      </c>
      <c r="L124" s="4" t="s">
        <v>1499</v>
      </c>
      <c r="M124" s="4" t="s">
        <v>1482</v>
      </c>
      <c r="N124" s="4"/>
      <c r="O124" s="4" t="s">
        <v>1500</v>
      </c>
      <c r="P124" s="4" t="s">
        <v>1496</v>
      </c>
      <c r="Q124" s="4" t="s">
        <v>1501</v>
      </c>
      <c r="R124" s="4" t="b">
        <v>0</v>
      </c>
      <c r="S124" s="4" t="s">
        <v>1486</v>
      </c>
      <c r="T124" s="2">
        <v>46000.3375</v>
      </c>
      <c r="U124" s="2">
        <v>45980.0</v>
      </c>
      <c r="V124" s="4">
        <v>46.0</v>
      </c>
      <c r="W124" s="4" t="s">
        <v>545</v>
      </c>
      <c r="X124" s="4">
        <v>2025.0</v>
      </c>
      <c r="Y124" s="4" t="s">
        <v>1502</v>
      </c>
      <c r="Z124" s="4" t="s">
        <v>557</v>
      </c>
      <c r="AA124" s="4" t="s">
        <v>558</v>
      </c>
      <c r="AB124" s="4" t="b">
        <v>1</v>
      </c>
      <c r="AC124" s="4" t="s">
        <v>567</v>
      </c>
      <c r="AD124" s="4" t="s">
        <v>537</v>
      </c>
    </row>
    <row r="125" ht="14.25" customHeight="1">
      <c r="A125" s="4">
        <v>7940245.0</v>
      </c>
      <c r="B125" s="2">
        <v>45980.6239814815</v>
      </c>
      <c r="C125" s="4">
        <v>7168930.0</v>
      </c>
      <c r="D125" s="4" t="s">
        <v>708</v>
      </c>
      <c r="E125" s="2">
        <v>45995.35</v>
      </c>
      <c r="F125" s="4">
        <v>1.0</v>
      </c>
      <c r="G125" s="4">
        <v>0.0</v>
      </c>
      <c r="H125" s="4"/>
      <c r="I125" s="4"/>
      <c r="J125" s="4" t="s">
        <v>539</v>
      </c>
      <c r="K125" s="4" t="s">
        <v>539</v>
      </c>
      <c r="L125" s="4" t="s">
        <v>1499</v>
      </c>
      <c r="M125" s="4" t="s">
        <v>1482</v>
      </c>
      <c r="N125" s="4"/>
      <c r="O125" s="4" t="s">
        <v>1500</v>
      </c>
      <c r="P125" s="4" t="s">
        <v>1496</v>
      </c>
      <c r="Q125" s="4" t="s">
        <v>1501</v>
      </c>
      <c r="R125" s="4" t="b">
        <v>0</v>
      </c>
      <c r="S125" s="4" t="s">
        <v>1486</v>
      </c>
      <c r="T125" s="2">
        <v>46000.3375</v>
      </c>
      <c r="U125" s="2">
        <v>45980.0</v>
      </c>
      <c r="V125" s="4">
        <v>46.0</v>
      </c>
      <c r="W125" s="4" t="s">
        <v>545</v>
      </c>
      <c r="X125" s="4">
        <v>2025.0</v>
      </c>
      <c r="Y125" s="4" t="s">
        <v>1502</v>
      </c>
      <c r="Z125" s="4"/>
      <c r="AA125" s="4" t="s">
        <v>558</v>
      </c>
      <c r="AB125" s="4" t="b">
        <v>1</v>
      </c>
      <c r="AC125" s="4" t="s">
        <v>554</v>
      </c>
      <c r="AD125" s="4" t="s">
        <v>537</v>
      </c>
    </row>
    <row r="126" ht="14.25" customHeight="1">
      <c r="A126" s="4">
        <v>7891062.0</v>
      </c>
      <c r="B126" s="2">
        <v>45971.3481018519</v>
      </c>
      <c r="C126" s="4">
        <v>7120535.0</v>
      </c>
      <c r="D126" s="4" t="s">
        <v>709</v>
      </c>
      <c r="E126" s="2">
        <v>45995.3715277778</v>
      </c>
      <c r="F126" s="4">
        <v>1.0</v>
      </c>
      <c r="G126" s="4">
        <v>0.0</v>
      </c>
      <c r="H126" s="4" t="s">
        <v>1519</v>
      </c>
      <c r="I126" s="4" t="s">
        <v>1533</v>
      </c>
      <c r="J126" s="4" t="s">
        <v>1519</v>
      </c>
      <c r="K126" s="4" t="s">
        <v>1513</v>
      </c>
      <c r="L126" s="4" t="s">
        <v>1533</v>
      </c>
      <c r="M126" s="4" t="s">
        <v>1749</v>
      </c>
      <c r="N126" s="4" t="s">
        <v>540</v>
      </c>
      <c r="O126" s="4" t="s">
        <v>1750</v>
      </c>
      <c r="P126" s="4" t="s">
        <v>1496</v>
      </c>
      <c r="Q126" s="4" t="s">
        <v>1751</v>
      </c>
      <c r="R126" s="4" t="b">
        <v>0</v>
      </c>
      <c r="S126" s="4" t="s">
        <v>1486</v>
      </c>
      <c r="T126" s="2">
        <v>45995.3729166667</v>
      </c>
      <c r="U126" s="2">
        <v>45971.0</v>
      </c>
      <c r="V126" s="4">
        <v>45.0</v>
      </c>
      <c r="W126" s="4" t="s">
        <v>545</v>
      </c>
      <c r="X126" s="4">
        <v>2025.0</v>
      </c>
      <c r="Y126" s="4" t="s">
        <v>1518</v>
      </c>
      <c r="Z126" s="4" t="s">
        <v>557</v>
      </c>
      <c r="AA126" s="4" t="s">
        <v>558</v>
      </c>
      <c r="AB126" s="4" t="b">
        <v>0</v>
      </c>
      <c r="AC126" s="4" t="s">
        <v>536</v>
      </c>
      <c r="AD126" s="4" t="s">
        <v>537</v>
      </c>
    </row>
    <row r="127" ht="14.25" customHeight="1">
      <c r="A127" s="4">
        <v>8008954.0</v>
      </c>
      <c r="B127" s="2">
        <v>45995.407974537</v>
      </c>
      <c r="C127" s="4">
        <v>7236563.0</v>
      </c>
      <c r="D127" s="4" t="s">
        <v>710</v>
      </c>
      <c r="E127" s="2">
        <v>45995.4076388889</v>
      </c>
      <c r="F127" s="4">
        <v>1.0</v>
      </c>
      <c r="G127" s="4">
        <v>0.0</v>
      </c>
      <c r="H127" s="4"/>
      <c r="I127" s="4"/>
      <c r="J127" s="4" t="s">
        <v>1526</v>
      </c>
      <c r="K127" s="4" t="s">
        <v>1527</v>
      </c>
      <c r="L127" s="4" t="s">
        <v>1528</v>
      </c>
      <c r="M127" s="4" t="s">
        <v>1482</v>
      </c>
      <c r="N127" s="4" t="s">
        <v>1529</v>
      </c>
      <c r="O127" s="4" t="s">
        <v>1530</v>
      </c>
      <c r="P127" s="4" t="s">
        <v>1488</v>
      </c>
      <c r="Q127" s="4" t="s">
        <v>1752</v>
      </c>
      <c r="R127" s="4" t="b">
        <v>0</v>
      </c>
      <c r="S127" s="4" t="s">
        <v>1486</v>
      </c>
      <c r="T127" s="2">
        <v>45995.4090277778</v>
      </c>
      <c r="U127" s="2">
        <v>45995.0</v>
      </c>
      <c r="V127" s="4">
        <v>48.0</v>
      </c>
      <c r="W127" s="4" t="s">
        <v>550</v>
      </c>
      <c r="X127" s="4">
        <v>2025.0</v>
      </c>
      <c r="Y127" s="4" t="s">
        <v>1532</v>
      </c>
      <c r="Z127" s="4" t="s">
        <v>711</v>
      </c>
      <c r="AA127" s="4" t="s">
        <v>712</v>
      </c>
      <c r="AB127" s="4" t="b">
        <v>0</v>
      </c>
      <c r="AC127" s="4" t="s">
        <v>536</v>
      </c>
      <c r="AD127" s="4" t="s">
        <v>537</v>
      </c>
    </row>
    <row r="128" ht="14.25" customHeight="1">
      <c r="A128" s="4">
        <v>8009865.0</v>
      </c>
      <c r="B128" s="2">
        <v>45995.5211342593</v>
      </c>
      <c r="C128" s="4">
        <v>7237457.0</v>
      </c>
      <c r="D128" s="4" t="s">
        <v>713</v>
      </c>
      <c r="E128" s="2">
        <v>45995.5215277778</v>
      </c>
      <c r="F128" s="4">
        <v>1.0</v>
      </c>
      <c r="G128" s="4">
        <v>0.0</v>
      </c>
      <c r="H128" s="4" t="s">
        <v>1519</v>
      </c>
      <c r="I128" s="4" t="s">
        <v>1533</v>
      </c>
      <c r="J128" s="4" t="s">
        <v>1519</v>
      </c>
      <c r="K128" s="4" t="s">
        <v>1513</v>
      </c>
      <c r="L128" s="4" t="s">
        <v>1533</v>
      </c>
      <c r="M128" s="4" t="s">
        <v>1534</v>
      </c>
      <c r="N128" s="4" t="s">
        <v>540</v>
      </c>
      <c r="O128" s="4" t="s">
        <v>1753</v>
      </c>
      <c r="P128" s="4" t="s">
        <v>1645</v>
      </c>
      <c r="Q128" s="4" t="s">
        <v>1754</v>
      </c>
      <c r="R128" s="4" t="b">
        <v>0</v>
      </c>
      <c r="S128" s="4" t="s">
        <v>1486</v>
      </c>
      <c r="T128" s="2">
        <v>45995.5229166667</v>
      </c>
      <c r="U128" s="2">
        <v>45995.0</v>
      </c>
      <c r="V128" s="4">
        <v>48.0</v>
      </c>
      <c r="W128" s="4" t="s">
        <v>550</v>
      </c>
      <c r="X128" s="4">
        <v>2025.0</v>
      </c>
      <c r="Y128" s="4" t="s">
        <v>1518</v>
      </c>
      <c r="Z128" s="4" t="s">
        <v>557</v>
      </c>
      <c r="AA128" s="4" t="s">
        <v>558</v>
      </c>
      <c r="AB128" s="4" t="b">
        <v>0</v>
      </c>
      <c r="AC128" s="4" t="s">
        <v>536</v>
      </c>
      <c r="AD128" s="4" t="s">
        <v>537</v>
      </c>
    </row>
    <row r="129" ht="14.25" customHeight="1">
      <c r="A129" s="4">
        <v>8009891.0</v>
      </c>
      <c r="B129" s="2">
        <v>45995.5241898148</v>
      </c>
      <c r="C129" s="4">
        <v>7237483.0</v>
      </c>
      <c r="D129" s="4" t="s">
        <v>715</v>
      </c>
      <c r="E129" s="2">
        <v>45995.5256944444</v>
      </c>
      <c r="F129" s="4">
        <v>1.0</v>
      </c>
      <c r="G129" s="4">
        <v>0.0</v>
      </c>
      <c r="H129" s="4"/>
      <c r="I129" s="4"/>
      <c r="J129" s="4" t="s">
        <v>539</v>
      </c>
      <c r="K129" s="4" t="s">
        <v>539</v>
      </c>
      <c r="L129" s="4" t="s">
        <v>1499</v>
      </c>
      <c r="M129" s="4" t="s">
        <v>1482</v>
      </c>
      <c r="N129" s="4"/>
      <c r="O129" s="4" t="s">
        <v>1500</v>
      </c>
      <c r="P129" s="4" t="s">
        <v>1488</v>
      </c>
      <c r="Q129" s="4" t="s">
        <v>1755</v>
      </c>
      <c r="R129" s="4" t="b">
        <v>0</v>
      </c>
      <c r="S129" s="4" t="s">
        <v>1486</v>
      </c>
      <c r="T129" s="2">
        <v>45995.5270833333</v>
      </c>
      <c r="U129" s="2">
        <v>45995.0</v>
      </c>
      <c r="V129" s="4">
        <v>48.0</v>
      </c>
      <c r="W129" s="4" t="s">
        <v>550</v>
      </c>
      <c r="X129" s="4">
        <v>2025.0</v>
      </c>
      <c r="Y129" s="4" t="s">
        <v>1502</v>
      </c>
      <c r="Z129" s="4"/>
      <c r="AA129" s="4" t="s">
        <v>546</v>
      </c>
      <c r="AB129" s="4" t="b">
        <v>0</v>
      </c>
      <c r="AC129" s="4" t="s">
        <v>567</v>
      </c>
      <c r="AD129" s="4" t="s">
        <v>537</v>
      </c>
    </row>
    <row r="130" ht="14.25" customHeight="1">
      <c r="A130" s="4">
        <v>8009953.0</v>
      </c>
      <c r="B130" s="2">
        <v>45995.5315393519</v>
      </c>
      <c r="C130" s="4">
        <v>7237545.0</v>
      </c>
      <c r="D130" s="4" t="s">
        <v>716</v>
      </c>
      <c r="E130" s="2">
        <v>45995.5319444444</v>
      </c>
      <c r="F130" s="4">
        <v>1.0</v>
      </c>
      <c r="G130" s="4">
        <v>0.0</v>
      </c>
      <c r="H130" s="4"/>
      <c r="I130" s="4"/>
      <c r="J130" s="4" t="s">
        <v>1526</v>
      </c>
      <c r="K130" s="4" t="s">
        <v>1527</v>
      </c>
      <c r="L130" s="4" t="s">
        <v>1528</v>
      </c>
      <c r="M130" s="4" t="s">
        <v>1482</v>
      </c>
      <c r="N130" s="4" t="s">
        <v>1529</v>
      </c>
      <c r="O130" s="4" t="s">
        <v>1530</v>
      </c>
      <c r="P130" s="4" t="s">
        <v>1756</v>
      </c>
      <c r="Q130" s="4" t="s">
        <v>1757</v>
      </c>
      <c r="R130" s="4" t="b">
        <v>0</v>
      </c>
      <c r="S130" s="4" t="s">
        <v>1486</v>
      </c>
      <c r="T130" s="2">
        <v>45995.5333333333</v>
      </c>
      <c r="U130" s="2">
        <v>45995.0</v>
      </c>
      <c r="V130" s="4">
        <v>48.0</v>
      </c>
      <c r="W130" s="4" t="s">
        <v>550</v>
      </c>
      <c r="X130" s="4">
        <v>2025.0</v>
      </c>
      <c r="Y130" s="4" t="s">
        <v>1532</v>
      </c>
      <c r="Z130" s="4" t="s">
        <v>541</v>
      </c>
      <c r="AA130" s="4"/>
      <c r="AB130" s="4" t="b">
        <v>0</v>
      </c>
      <c r="AC130" s="4" t="s">
        <v>536</v>
      </c>
      <c r="AD130" s="4" t="s">
        <v>537</v>
      </c>
    </row>
    <row r="131" ht="14.25" customHeight="1">
      <c r="A131" s="4">
        <v>8010142.0</v>
      </c>
      <c r="B131" s="2">
        <v>45995.5505902778</v>
      </c>
      <c r="C131" s="4">
        <v>7237731.0</v>
      </c>
      <c r="D131" s="4" t="s">
        <v>717</v>
      </c>
      <c r="E131" s="2">
        <v>45995.5625</v>
      </c>
      <c r="F131" s="4">
        <v>1.0</v>
      </c>
      <c r="G131" s="4">
        <v>0.0</v>
      </c>
      <c r="H131" s="4"/>
      <c r="I131" s="4"/>
      <c r="J131" s="4" t="s">
        <v>1480</v>
      </c>
      <c r="K131" s="4" t="s">
        <v>1480</v>
      </c>
      <c r="L131" s="4" t="s">
        <v>1481</v>
      </c>
      <c r="M131" s="4" t="s">
        <v>1482</v>
      </c>
      <c r="N131" s="4" t="s">
        <v>540</v>
      </c>
      <c r="O131" s="4" t="s">
        <v>1483</v>
      </c>
      <c r="P131" s="4" t="s">
        <v>1488</v>
      </c>
      <c r="Q131" s="4" t="s">
        <v>1758</v>
      </c>
      <c r="R131" s="4" t="b">
        <v>0</v>
      </c>
      <c r="S131" s="4" t="s">
        <v>1486</v>
      </c>
      <c r="T131" s="2">
        <v>45995.5638888889</v>
      </c>
      <c r="U131" s="2">
        <v>45995.0</v>
      </c>
      <c r="V131" s="4">
        <v>48.0</v>
      </c>
      <c r="W131" s="4" t="s">
        <v>550</v>
      </c>
      <c r="X131" s="4">
        <v>2025.0</v>
      </c>
      <c r="Y131" s="4" t="s">
        <v>1487</v>
      </c>
      <c r="Z131" s="4" t="s">
        <v>557</v>
      </c>
      <c r="AA131" s="4" t="s">
        <v>718</v>
      </c>
      <c r="AB131" s="4" t="b">
        <v>0</v>
      </c>
      <c r="AC131" s="4" t="s">
        <v>536</v>
      </c>
      <c r="AD131" s="4" t="s">
        <v>537</v>
      </c>
    </row>
    <row r="132" ht="14.25" customHeight="1">
      <c r="A132" s="4">
        <v>7917032.0</v>
      </c>
      <c r="B132" s="2">
        <v>45975.3864236111</v>
      </c>
      <c r="C132" s="4">
        <v>7146070.0</v>
      </c>
      <c r="D132" s="4" t="s">
        <v>719</v>
      </c>
      <c r="E132" s="2">
        <v>45995.5986111111</v>
      </c>
      <c r="F132" s="4">
        <v>0.4</v>
      </c>
      <c r="G132" s="4">
        <v>0.0</v>
      </c>
      <c r="H132" s="4" t="s">
        <v>1511</v>
      </c>
      <c r="I132" s="4" t="s">
        <v>1759</v>
      </c>
      <c r="J132" s="4" t="s">
        <v>1511</v>
      </c>
      <c r="K132" s="4" t="s">
        <v>1513</v>
      </c>
      <c r="L132" s="4" t="s">
        <v>1759</v>
      </c>
      <c r="M132" s="4" t="s">
        <v>1760</v>
      </c>
      <c r="N132" s="4" t="s">
        <v>653</v>
      </c>
      <c r="O132" s="4" t="s">
        <v>1761</v>
      </c>
      <c r="P132" s="4" t="s">
        <v>1496</v>
      </c>
      <c r="Q132" s="4" t="s">
        <v>1762</v>
      </c>
      <c r="R132" s="4" t="b">
        <v>0</v>
      </c>
      <c r="S132" s="4" t="s">
        <v>1486</v>
      </c>
      <c r="T132" s="2">
        <v>45995.6</v>
      </c>
      <c r="U132" s="2">
        <v>45975.0</v>
      </c>
      <c r="V132" s="4">
        <v>45.0</v>
      </c>
      <c r="W132" s="4" t="s">
        <v>545</v>
      </c>
      <c r="X132" s="4">
        <v>2025.0</v>
      </c>
      <c r="Y132" s="4" t="s">
        <v>1518</v>
      </c>
      <c r="Z132" s="4" t="s">
        <v>557</v>
      </c>
      <c r="AA132" s="4" t="s">
        <v>558</v>
      </c>
      <c r="AB132" s="4" t="b">
        <v>0</v>
      </c>
      <c r="AC132" s="4" t="s">
        <v>536</v>
      </c>
      <c r="AD132" s="4" t="s">
        <v>537</v>
      </c>
    </row>
    <row r="133" ht="14.25" customHeight="1">
      <c r="A133" s="4">
        <v>7917743.0</v>
      </c>
      <c r="B133" s="2">
        <v>45975.4828356481</v>
      </c>
      <c r="C133" s="4">
        <v>7146070.0</v>
      </c>
      <c r="D133" s="4" t="s">
        <v>719</v>
      </c>
      <c r="E133" s="2">
        <v>45995.5986111111</v>
      </c>
      <c r="F133" s="4">
        <v>0.1</v>
      </c>
      <c r="G133" s="4">
        <v>0.0</v>
      </c>
      <c r="H133" s="4" t="s">
        <v>1511</v>
      </c>
      <c r="I133" s="4" t="s">
        <v>1648</v>
      </c>
      <c r="J133" s="4" t="s">
        <v>1511</v>
      </c>
      <c r="K133" s="4" t="s">
        <v>1513</v>
      </c>
      <c r="L133" s="4" t="s">
        <v>1648</v>
      </c>
      <c r="M133" s="4" t="s">
        <v>1649</v>
      </c>
      <c r="N133" s="4" t="s">
        <v>653</v>
      </c>
      <c r="O133" s="4" t="s">
        <v>1763</v>
      </c>
      <c r="P133" s="4" t="s">
        <v>1496</v>
      </c>
      <c r="Q133" s="4" t="s">
        <v>1762</v>
      </c>
      <c r="R133" s="4" t="b">
        <v>0</v>
      </c>
      <c r="S133" s="4" t="s">
        <v>1486</v>
      </c>
      <c r="T133" s="2">
        <v>45995.6</v>
      </c>
      <c r="U133" s="2">
        <v>45975.0</v>
      </c>
      <c r="V133" s="4">
        <v>45.0</v>
      </c>
      <c r="W133" s="4" t="s">
        <v>545</v>
      </c>
      <c r="X133" s="4">
        <v>2025.0</v>
      </c>
      <c r="Y133" s="4" t="s">
        <v>1518</v>
      </c>
      <c r="Z133" s="4" t="s">
        <v>557</v>
      </c>
      <c r="AA133" s="4" t="s">
        <v>558</v>
      </c>
      <c r="AB133" s="4" t="b">
        <v>0</v>
      </c>
      <c r="AC133" s="4" t="s">
        <v>536</v>
      </c>
      <c r="AD133" s="4" t="s">
        <v>537</v>
      </c>
    </row>
    <row r="134" ht="14.25" customHeight="1">
      <c r="A134" s="4">
        <v>7993650.0</v>
      </c>
      <c r="B134" s="2">
        <v>45992.6759953704</v>
      </c>
      <c r="C134" s="4">
        <v>7146070.0</v>
      </c>
      <c r="D134" s="4" t="s">
        <v>719</v>
      </c>
      <c r="E134" s="2">
        <v>45995.5986111111</v>
      </c>
      <c r="F134" s="4">
        <v>0.1</v>
      </c>
      <c r="G134" s="4">
        <v>0.0</v>
      </c>
      <c r="H134" s="4" t="s">
        <v>1511</v>
      </c>
      <c r="I134" s="4" t="s">
        <v>1648</v>
      </c>
      <c r="J134" s="4" t="s">
        <v>1511</v>
      </c>
      <c r="K134" s="4" t="s">
        <v>1513</v>
      </c>
      <c r="L134" s="4" t="s">
        <v>1648</v>
      </c>
      <c r="M134" s="4" t="s">
        <v>1649</v>
      </c>
      <c r="N134" s="4" t="s">
        <v>653</v>
      </c>
      <c r="O134" s="4" t="s">
        <v>1764</v>
      </c>
      <c r="P134" s="4" t="s">
        <v>1496</v>
      </c>
      <c r="Q134" s="4" t="s">
        <v>1762</v>
      </c>
      <c r="R134" s="4" t="b">
        <v>0</v>
      </c>
      <c r="S134" s="4" t="s">
        <v>1486</v>
      </c>
      <c r="T134" s="2">
        <v>45995.6</v>
      </c>
      <c r="U134" s="2">
        <v>45992.0</v>
      </c>
      <c r="V134" s="4">
        <v>48.0</v>
      </c>
      <c r="W134" s="4" t="s">
        <v>550</v>
      </c>
      <c r="X134" s="4">
        <v>2025.0</v>
      </c>
      <c r="Y134" s="4" t="s">
        <v>1518</v>
      </c>
      <c r="Z134" s="4" t="s">
        <v>557</v>
      </c>
      <c r="AA134" s="4" t="s">
        <v>558</v>
      </c>
      <c r="AB134" s="4" t="b">
        <v>0</v>
      </c>
      <c r="AC134" s="4" t="s">
        <v>536</v>
      </c>
      <c r="AD134" s="4" t="s">
        <v>537</v>
      </c>
    </row>
    <row r="135" ht="14.25" customHeight="1">
      <c r="A135" s="4">
        <v>8010441.0</v>
      </c>
      <c r="B135" s="2">
        <v>45995.582962963</v>
      </c>
      <c r="C135" s="4">
        <v>7146070.0</v>
      </c>
      <c r="D135" s="4" t="s">
        <v>719</v>
      </c>
      <c r="E135" s="2">
        <v>45995.5986111111</v>
      </c>
      <c r="F135" s="4">
        <v>0.4</v>
      </c>
      <c r="G135" s="4">
        <v>0.0</v>
      </c>
      <c r="H135" s="4" t="s">
        <v>1511</v>
      </c>
      <c r="I135" s="4" t="s">
        <v>1648</v>
      </c>
      <c r="J135" s="4" t="s">
        <v>1511</v>
      </c>
      <c r="K135" s="4" t="s">
        <v>1513</v>
      </c>
      <c r="L135" s="4" t="s">
        <v>1648</v>
      </c>
      <c r="M135" s="4" t="s">
        <v>1649</v>
      </c>
      <c r="N135" s="4" t="s">
        <v>653</v>
      </c>
      <c r="O135" s="4" t="s">
        <v>1765</v>
      </c>
      <c r="P135" s="4" t="s">
        <v>1496</v>
      </c>
      <c r="Q135" s="4" t="s">
        <v>1762</v>
      </c>
      <c r="R135" s="4" t="b">
        <v>0</v>
      </c>
      <c r="S135" s="4" t="s">
        <v>1486</v>
      </c>
      <c r="T135" s="2">
        <v>45995.6</v>
      </c>
      <c r="U135" s="2">
        <v>45995.0</v>
      </c>
      <c r="V135" s="4">
        <v>48.0</v>
      </c>
      <c r="W135" s="4" t="s">
        <v>550</v>
      </c>
      <c r="X135" s="4">
        <v>2025.0</v>
      </c>
      <c r="Y135" s="4" t="s">
        <v>1518</v>
      </c>
      <c r="Z135" s="4" t="s">
        <v>557</v>
      </c>
      <c r="AA135" s="4" t="s">
        <v>558</v>
      </c>
      <c r="AB135" s="4" t="b">
        <v>0</v>
      </c>
      <c r="AC135" s="4" t="s">
        <v>536</v>
      </c>
      <c r="AD135" s="4" t="s">
        <v>537</v>
      </c>
    </row>
    <row r="136" ht="14.25" customHeight="1">
      <c r="A136" s="4">
        <v>7582153.0</v>
      </c>
      <c r="B136" s="2">
        <v>45889.9108680556</v>
      </c>
      <c r="C136" s="4">
        <v>6822630.0</v>
      </c>
      <c r="D136" s="4" t="s">
        <v>720</v>
      </c>
      <c r="E136" s="2">
        <v>45995.6</v>
      </c>
      <c r="F136" s="4">
        <v>1.0</v>
      </c>
      <c r="G136" s="4">
        <v>0.0</v>
      </c>
      <c r="H136" s="4" t="s">
        <v>1519</v>
      </c>
      <c r="I136" s="4" t="s">
        <v>1533</v>
      </c>
      <c r="J136" s="4" t="s">
        <v>1519</v>
      </c>
      <c r="K136" s="4" t="s">
        <v>1513</v>
      </c>
      <c r="L136" s="4" t="s">
        <v>1533</v>
      </c>
      <c r="M136" s="4" t="s">
        <v>1766</v>
      </c>
      <c r="N136" s="4" t="s">
        <v>540</v>
      </c>
      <c r="O136" s="4" t="s">
        <v>1767</v>
      </c>
      <c r="P136" s="4" t="s">
        <v>1562</v>
      </c>
      <c r="Q136" s="4" t="s">
        <v>1768</v>
      </c>
      <c r="R136" s="4" t="b">
        <v>0</v>
      </c>
      <c r="S136" s="4" t="s">
        <v>1486</v>
      </c>
      <c r="T136" s="2">
        <v>46021.4805555556</v>
      </c>
      <c r="U136" s="2">
        <v>45889.0</v>
      </c>
      <c r="V136" s="4">
        <v>33.0</v>
      </c>
      <c r="W136" s="4" t="s">
        <v>1769</v>
      </c>
      <c r="X136" s="4">
        <v>2025.0</v>
      </c>
      <c r="Y136" s="4" t="s">
        <v>1518</v>
      </c>
      <c r="Z136" s="4" t="s">
        <v>557</v>
      </c>
      <c r="AA136" s="4" t="s">
        <v>558</v>
      </c>
      <c r="AB136" s="4" t="b">
        <v>0</v>
      </c>
      <c r="AC136" s="4" t="s">
        <v>536</v>
      </c>
      <c r="AD136" s="4" t="s">
        <v>537</v>
      </c>
    </row>
    <row r="137" ht="14.25" customHeight="1">
      <c r="A137" s="4">
        <v>8010595.0</v>
      </c>
      <c r="B137" s="2">
        <v>45995.602025463</v>
      </c>
      <c r="C137" s="4">
        <v>7238173.0</v>
      </c>
      <c r="D137" s="4" t="s">
        <v>722</v>
      </c>
      <c r="E137" s="2">
        <v>45995.6027777778</v>
      </c>
      <c r="F137" s="4">
        <v>1.0</v>
      </c>
      <c r="G137" s="4">
        <v>0.0</v>
      </c>
      <c r="H137" s="4"/>
      <c r="I137" s="4"/>
      <c r="J137" s="4" t="s">
        <v>1480</v>
      </c>
      <c r="K137" s="4" t="s">
        <v>1480</v>
      </c>
      <c r="L137" s="4" t="s">
        <v>1481</v>
      </c>
      <c r="M137" s="4" t="s">
        <v>1482</v>
      </c>
      <c r="N137" s="4" t="s">
        <v>540</v>
      </c>
      <c r="O137" s="4" t="s">
        <v>1483</v>
      </c>
      <c r="P137" s="4" t="s">
        <v>1770</v>
      </c>
      <c r="Q137" s="4" t="s">
        <v>1771</v>
      </c>
      <c r="R137" s="4" t="b">
        <v>0</v>
      </c>
      <c r="S137" s="4" t="s">
        <v>1486</v>
      </c>
      <c r="T137" s="2">
        <v>45995.6041666667</v>
      </c>
      <c r="U137" s="2">
        <v>45995.0</v>
      </c>
      <c r="V137" s="4">
        <v>48.0</v>
      </c>
      <c r="W137" s="4" t="s">
        <v>550</v>
      </c>
      <c r="X137" s="4">
        <v>2025.0</v>
      </c>
      <c r="Y137" s="4" t="s">
        <v>1487</v>
      </c>
      <c r="Z137" s="4"/>
      <c r="AA137" s="4" t="s">
        <v>558</v>
      </c>
      <c r="AB137" s="4" t="b">
        <v>0</v>
      </c>
      <c r="AC137" s="4" t="s">
        <v>554</v>
      </c>
      <c r="AD137" s="4" t="s">
        <v>537</v>
      </c>
    </row>
    <row r="138" ht="14.25" customHeight="1">
      <c r="A138" s="4">
        <v>8010819.0</v>
      </c>
      <c r="B138" s="2">
        <v>45995.6307986111</v>
      </c>
      <c r="C138" s="4">
        <v>7238395.0</v>
      </c>
      <c r="D138" s="4" t="s">
        <v>723</v>
      </c>
      <c r="E138" s="2">
        <v>45995.6354166667</v>
      </c>
      <c r="F138" s="4">
        <v>1.0</v>
      </c>
      <c r="G138" s="4">
        <v>0.0</v>
      </c>
      <c r="H138" s="4"/>
      <c r="I138" s="4"/>
      <c r="J138" s="4" t="s">
        <v>1480</v>
      </c>
      <c r="K138" s="4" t="s">
        <v>1480</v>
      </c>
      <c r="L138" s="4" t="s">
        <v>1481</v>
      </c>
      <c r="M138" s="4" t="s">
        <v>1482</v>
      </c>
      <c r="N138" s="4" t="s">
        <v>540</v>
      </c>
      <c r="O138" s="4" t="s">
        <v>1557</v>
      </c>
      <c r="P138" s="4" t="s">
        <v>1496</v>
      </c>
      <c r="Q138" s="4" t="s">
        <v>1772</v>
      </c>
      <c r="R138" s="4" t="b">
        <v>0</v>
      </c>
      <c r="S138" s="4" t="s">
        <v>1486</v>
      </c>
      <c r="T138" s="2">
        <v>45995.6368055556</v>
      </c>
      <c r="U138" s="2">
        <v>45995.0</v>
      </c>
      <c r="V138" s="4">
        <v>48.0</v>
      </c>
      <c r="W138" s="4" t="s">
        <v>550</v>
      </c>
      <c r="X138" s="4">
        <v>2025.0</v>
      </c>
      <c r="Y138" s="4" t="s">
        <v>1487</v>
      </c>
      <c r="Z138" s="4" t="s">
        <v>557</v>
      </c>
      <c r="AA138" s="4" t="s">
        <v>558</v>
      </c>
      <c r="AB138" s="4" t="b">
        <v>0</v>
      </c>
      <c r="AC138" s="4" t="s">
        <v>567</v>
      </c>
      <c r="AD138" s="4" t="s">
        <v>537</v>
      </c>
    </row>
    <row r="139" ht="14.25" customHeight="1">
      <c r="A139" s="4">
        <v>7845651.0</v>
      </c>
      <c r="B139" s="2">
        <v>45960.5446296296</v>
      </c>
      <c r="C139" s="4">
        <v>7077601.0</v>
      </c>
      <c r="D139" s="4" t="s">
        <v>724</v>
      </c>
      <c r="E139" s="2">
        <v>45995.6493055556</v>
      </c>
      <c r="F139" s="4">
        <v>0.5</v>
      </c>
      <c r="G139" s="4">
        <v>0.0</v>
      </c>
      <c r="H139" s="4"/>
      <c r="I139" s="4"/>
      <c r="J139" s="4" t="s">
        <v>1480</v>
      </c>
      <c r="K139" s="4" t="s">
        <v>1480</v>
      </c>
      <c r="L139" s="4" t="s">
        <v>1481</v>
      </c>
      <c r="M139" s="4" t="s">
        <v>1482</v>
      </c>
      <c r="N139" s="4" t="s">
        <v>540</v>
      </c>
      <c r="O139" s="4" t="s">
        <v>1483</v>
      </c>
      <c r="P139" s="4" t="s">
        <v>1645</v>
      </c>
      <c r="Q139" s="4" t="s">
        <v>1773</v>
      </c>
      <c r="R139" s="4" t="b">
        <v>0</v>
      </c>
      <c r="S139" s="4" t="s">
        <v>1486</v>
      </c>
      <c r="T139" s="2">
        <v>45999.8194444444</v>
      </c>
      <c r="U139" s="2">
        <v>45960.0</v>
      </c>
      <c r="V139" s="4">
        <v>43.0</v>
      </c>
      <c r="W139" s="4" t="s">
        <v>1560</v>
      </c>
      <c r="X139" s="4">
        <v>2025.0</v>
      </c>
      <c r="Y139" s="4" t="s">
        <v>1487</v>
      </c>
      <c r="Z139" s="4" t="s">
        <v>557</v>
      </c>
      <c r="AA139" s="4" t="s">
        <v>558</v>
      </c>
      <c r="AB139" s="4" t="b">
        <v>0</v>
      </c>
      <c r="AC139" s="4" t="s">
        <v>536</v>
      </c>
      <c r="AD139" s="4" t="s">
        <v>537</v>
      </c>
    </row>
    <row r="140" ht="14.25" customHeight="1">
      <c r="A140" s="4">
        <v>8015628.0</v>
      </c>
      <c r="B140" s="2">
        <v>45995.6488425926</v>
      </c>
      <c r="C140" s="4">
        <v>7077601.0</v>
      </c>
      <c r="D140" s="4" t="s">
        <v>724</v>
      </c>
      <c r="E140" s="2">
        <v>45995.6493055556</v>
      </c>
      <c r="F140" s="4">
        <v>0.5</v>
      </c>
      <c r="G140" s="4">
        <v>0.0</v>
      </c>
      <c r="H140" s="4" t="s">
        <v>1774</v>
      </c>
      <c r="I140" s="4"/>
      <c r="J140" s="4" t="s">
        <v>1774</v>
      </c>
      <c r="K140" s="4" t="s">
        <v>1775</v>
      </c>
      <c r="L140" s="4"/>
      <c r="M140" s="4"/>
      <c r="N140" s="4"/>
      <c r="O140" s="4"/>
      <c r="P140" s="4"/>
      <c r="Q140" s="4" t="s">
        <v>1776</v>
      </c>
      <c r="R140" s="4" t="b">
        <v>0</v>
      </c>
      <c r="S140" s="4" t="s">
        <v>1486</v>
      </c>
      <c r="T140" s="2">
        <v>45999.8194444444</v>
      </c>
      <c r="U140" s="2">
        <v>45995.0</v>
      </c>
      <c r="V140" s="4">
        <v>48.0</v>
      </c>
      <c r="W140" s="4" t="s">
        <v>550</v>
      </c>
      <c r="X140" s="4">
        <v>2025.0</v>
      </c>
      <c r="Y140" s="4" t="s">
        <v>1518</v>
      </c>
      <c r="Z140" s="4" t="s">
        <v>557</v>
      </c>
      <c r="AA140" s="4" t="s">
        <v>558</v>
      </c>
      <c r="AB140" s="4" t="b">
        <v>0</v>
      </c>
      <c r="AC140" s="4" t="s">
        <v>536</v>
      </c>
      <c r="AD140" s="4" t="s">
        <v>537</v>
      </c>
    </row>
    <row r="141" ht="14.25" customHeight="1">
      <c r="A141" s="4">
        <v>8011262.0</v>
      </c>
      <c r="B141" s="2">
        <v>45995.6833217593</v>
      </c>
      <c r="C141" s="4">
        <v>7238833.0</v>
      </c>
      <c r="D141" s="4" t="s">
        <v>728</v>
      </c>
      <c r="E141" s="2">
        <v>45995.6861111111</v>
      </c>
      <c r="F141" s="4">
        <v>1.0</v>
      </c>
      <c r="G141" s="4">
        <v>0.0</v>
      </c>
      <c r="H141" s="4" t="s">
        <v>1519</v>
      </c>
      <c r="I141" s="4" t="s">
        <v>1777</v>
      </c>
      <c r="J141" s="4" t="s">
        <v>1519</v>
      </c>
      <c r="K141" s="4" t="s">
        <v>1513</v>
      </c>
      <c r="L141" s="4" t="s">
        <v>1777</v>
      </c>
      <c r="M141" s="4" t="s">
        <v>1778</v>
      </c>
      <c r="N141" s="4" t="s">
        <v>540</v>
      </c>
      <c r="O141" s="4" t="s">
        <v>1779</v>
      </c>
      <c r="P141" s="4" t="s">
        <v>1488</v>
      </c>
      <c r="Q141" s="4" t="s">
        <v>1780</v>
      </c>
      <c r="R141" s="4" t="b">
        <v>0</v>
      </c>
      <c r="S141" s="4" t="s">
        <v>1486</v>
      </c>
      <c r="T141" s="2">
        <v>45995.6875</v>
      </c>
      <c r="U141" s="2">
        <v>45995.0</v>
      </c>
      <c r="V141" s="4">
        <v>48.0</v>
      </c>
      <c r="W141" s="4" t="s">
        <v>550</v>
      </c>
      <c r="X141" s="4">
        <v>2025.0</v>
      </c>
      <c r="Y141" s="4" t="s">
        <v>1518</v>
      </c>
      <c r="Z141" s="4"/>
      <c r="AA141" s="4" t="s">
        <v>558</v>
      </c>
      <c r="AB141" s="4" t="b">
        <v>0</v>
      </c>
      <c r="AC141" s="4" t="s">
        <v>536</v>
      </c>
      <c r="AD141" s="4" t="s">
        <v>537</v>
      </c>
    </row>
    <row r="142" ht="14.25" customHeight="1">
      <c r="A142" s="4">
        <v>8011758.0</v>
      </c>
      <c r="B142" s="2">
        <v>45995.7496064815</v>
      </c>
      <c r="C142" s="4">
        <v>7239323.0</v>
      </c>
      <c r="D142" s="4" t="s">
        <v>729</v>
      </c>
      <c r="E142" s="2">
        <v>45995.7506944444</v>
      </c>
      <c r="F142" s="4">
        <v>1.0</v>
      </c>
      <c r="G142" s="4">
        <v>0.0</v>
      </c>
      <c r="H142" s="4" t="s">
        <v>1519</v>
      </c>
      <c r="I142" s="4" t="s">
        <v>1781</v>
      </c>
      <c r="J142" s="4" t="s">
        <v>1519</v>
      </c>
      <c r="K142" s="4" t="s">
        <v>1513</v>
      </c>
      <c r="L142" s="4" t="s">
        <v>1781</v>
      </c>
      <c r="M142" s="4" t="s">
        <v>1692</v>
      </c>
      <c r="N142" s="4" t="s">
        <v>540</v>
      </c>
      <c r="O142" s="4" t="s">
        <v>1782</v>
      </c>
      <c r="P142" s="4" t="s">
        <v>1488</v>
      </c>
      <c r="Q142" s="4" t="s">
        <v>1783</v>
      </c>
      <c r="R142" s="4" t="b">
        <v>0</v>
      </c>
      <c r="S142" s="4" t="s">
        <v>1486</v>
      </c>
      <c r="T142" s="2">
        <v>45995.7520833333</v>
      </c>
      <c r="U142" s="2">
        <v>45995.0</v>
      </c>
      <c r="V142" s="4">
        <v>48.0</v>
      </c>
      <c r="W142" s="4" t="s">
        <v>550</v>
      </c>
      <c r="X142" s="4">
        <v>2025.0</v>
      </c>
      <c r="Y142" s="4" t="s">
        <v>1518</v>
      </c>
      <c r="Z142" s="4"/>
      <c r="AA142" s="4" t="s">
        <v>558</v>
      </c>
      <c r="AB142" s="4" t="b">
        <v>0</v>
      </c>
      <c r="AC142" s="4" t="s">
        <v>567</v>
      </c>
      <c r="AD142" s="4" t="s">
        <v>537</v>
      </c>
    </row>
    <row r="143" ht="14.25" customHeight="1">
      <c r="A143" s="4">
        <v>8011487.0</v>
      </c>
      <c r="B143" s="2">
        <v>45995.7123611111</v>
      </c>
      <c r="C143" s="4">
        <v>7239055.0</v>
      </c>
      <c r="D143" s="4" t="s">
        <v>730</v>
      </c>
      <c r="E143" s="2">
        <v>45995.7791666667</v>
      </c>
      <c r="F143" s="4">
        <v>1.0</v>
      </c>
      <c r="G143" s="4">
        <v>0.0</v>
      </c>
      <c r="H143" s="4"/>
      <c r="I143" s="4"/>
      <c r="J143" s="4" t="s">
        <v>1480</v>
      </c>
      <c r="K143" s="4" t="s">
        <v>1480</v>
      </c>
      <c r="L143" s="4" t="s">
        <v>1481</v>
      </c>
      <c r="M143" s="4" t="s">
        <v>1482</v>
      </c>
      <c r="N143" s="4" t="s">
        <v>540</v>
      </c>
      <c r="O143" s="4" t="s">
        <v>1784</v>
      </c>
      <c r="P143" s="4" t="s">
        <v>1488</v>
      </c>
      <c r="Q143" s="4" t="s">
        <v>1785</v>
      </c>
      <c r="R143" s="4" t="b">
        <v>0</v>
      </c>
      <c r="S143" s="4" t="s">
        <v>1486</v>
      </c>
      <c r="T143" s="2">
        <v>45995.7805555556</v>
      </c>
      <c r="U143" s="2">
        <v>45995.0</v>
      </c>
      <c r="V143" s="4">
        <v>48.0</v>
      </c>
      <c r="W143" s="4" t="s">
        <v>550</v>
      </c>
      <c r="X143" s="4">
        <v>2025.0</v>
      </c>
      <c r="Y143" s="4" t="s">
        <v>1487</v>
      </c>
      <c r="Z143" s="4" t="s">
        <v>541</v>
      </c>
      <c r="AA143" s="4" t="s">
        <v>546</v>
      </c>
      <c r="AB143" s="4" t="b">
        <v>0</v>
      </c>
      <c r="AC143" s="4" t="s">
        <v>536</v>
      </c>
      <c r="AD143" s="4" t="s">
        <v>537</v>
      </c>
    </row>
    <row r="144" ht="14.25" customHeight="1">
      <c r="A144" s="4">
        <v>8012257.0</v>
      </c>
      <c r="B144" s="2">
        <v>45995.8302430556</v>
      </c>
      <c r="C144" s="4">
        <v>7239820.0</v>
      </c>
      <c r="D144" s="4" t="s">
        <v>731</v>
      </c>
      <c r="E144" s="2">
        <v>45995.8326388889</v>
      </c>
      <c r="F144" s="4">
        <v>1.0</v>
      </c>
      <c r="G144" s="4">
        <v>0.0</v>
      </c>
      <c r="H144" s="4"/>
      <c r="I144" s="4"/>
      <c r="J144" s="4" t="s">
        <v>1490</v>
      </c>
      <c r="K144" s="4" t="s">
        <v>542</v>
      </c>
      <c r="L144" s="4"/>
      <c r="M144" s="4" t="s">
        <v>1482</v>
      </c>
      <c r="N144" s="4" t="s">
        <v>1786</v>
      </c>
      <c r="O144" s="4" t="s">
        <v>1787</v>
      </c>
      <c r="P144" s="4" t="s">
        <v>1496</v>
      </c>
      <c r="Q144" s="4" t="s">
        <v>1788</v>
      </c>
      <c r="R144" s="4" t="b">
        <v>0</v>
      </c>
      <c r="S144" s="4" t="s">
        <v>1486</v>
      </c>
      <c r="T144" s="2">
        <v>45995.8340277778</v>
      </c>
      <c r="U144" s="2">
        <v>45995.0</v>
      </c>
      <c r="V144" s="4">
        <v>48.0</v>
      </c>
      <c r="W144" s="4" t="s">
        <v>550</v>
      </c>
      <c r="X144" s="4">
        <v>2025.0</v>
      </c>
      <c r="Y144" s="4" t="s">
        <v>1494</v>
      </c>
      <c r="Z144" s="4" t="s">
        <v>557</v>
      </c>
      <c r="AA144" s="4" t="s">
        <v>732</v>
      </c>
      <c r="AB144" s="4" t="b">
        <v>0</v>
      </c>
      <c r="AC144" s="4" t="s">
        <v>567</v>
      </c>
      <c r="AD144" s="4" t="s">
        <v>537</v>
      </c>
    </row>
    <row r="145" ht="14.25" customHeight="1">
      <c r="A145" s="4">
        <v>8010622.0</v>
      </c>
      <c r="B145" s="2">
        <v>45995.6044791667</v>
      </c>
      <c r="C145" s="4">
        <v>7238199.0</v>
      </c>
      <c r="D145" s="4" t="s">
        <v>733</v>
      </c>
      <c r="E145" s="2">
        <v>45995.8555555556</v>
      </c>
      <c r="F145" s="4">
        <v>1.0</v>
      </c>
      <c r="G145" s="4">
        <v>0.0</v>
      </c>
      <c r="H145" s="4"/>
      <c r="I145" s="4"/>
      <c r="J145" s="4" t="s">
        <v>1480</v>
      </c>
      <c r="K145" s="4" t="s">
        <v>1480</v>
      </c>
      <c r="L145" s="4" t="s">
        <v>1481</v>
      </c>
      <c r="M145" s="4" t="s">
        <v>1482</v>
      </c>
      <c r="N145" s="4" t="s">
        <v>540</v>
      </c>
      <c r="O145" s="4" t="s">
        <v>1483</v>
      </c>
      <c r="P145" s="4" t="s">
        <v>1488</v>
      </c>
      <c r="Q145" s="4" t="s">
        <v>1789</v>
      </c>
      <c r="R145" s="4" t="b">
        <v>0</v>
      </c>
      <c r="S145" s="4" t="s">
        <v>1486</v>
      </c>
      <c r="T145" s="2">
        <v>45995.9798611111</v>
      </c>
      <c r="U145" s="2">
        <v>45995.0</v>
      </c>
      <c r="V145" s="4">
        <v>48.0</v>
      </c>
      <c r="W145" s="4" t="s">
        <v>550</v>
      </c>
      <c r="X145" s="4">
        <v>2025.0</v>
      </c>
      <c r="Y145" s="4" t="s">
        <v>1487</v>
      </c>
      <c r="Z145" s="4"/>
      <c r="AA145" s="4" t="s">
        <v>558</v>
      </c>
      <c r="AB145" s="4" t="b">
        <v>1</v>
      </c>
      <c r="AC145" s="4" t="s">
        <v>599</v>
      </c>
      <c r="AD145" s="4" t="s">
        <v>537</v>
      </c>
    </row>
    <row r="146" ht="14.25" customHeight="1">
      <c r="A146" s="4">
        <v>8012691.0</v>
      </c>
      <c r="B146" s="2">
        <v>45995.9000115741</v>
      </c>
      <c r="C146" s="4">
        <v>7240251.0</v>
      </c>
      <c r="D146" s="4" t="s">
        <v>734</v>
      </c>
      <c r="E146" s="2">
        <v>45995.9</v>
      </c>
      <c r="F146" s="4">
        <v>1.0</v>
      </c>
      <c r="G146" s="4">
        <v>0.0</v>
      </c>
      <c r="H146" s="4"/>
      <c r="I146" s="4"/>
      <c r="J146" s="4" t="s">
        <v>1526</v>
      </c>
      <c r="K146" s="4" t="s">
        <v>1527</v>
      </c>
      <c r="L146" s="4" t="s">
        <v>1528</v>
      </c>
      <c r="M146" s="4" t="s">
        <v>1482</v>
      </c>
      <c r="N146" s="4" t="s">
        <v>1529</v>
      </c>
      <c r="O146" s="4" t="s">
        <v>1530</v>
      </c>
      <c r="P146" s="4" t="s">
        <v>1790</v>
      </c>
      <c r="Q146" s="4" t="s">
        <v>1791</v>
      </c>
      <c r="R146" s="4" t="b">
        <v>0</v>
      </c>
      <c r="S146" s="4" t="s">
        <v>1486</v>
      </c>
      <c r="T146" s="2">
        <v>45995.9013888889</v>
      </c>
      <c r="U146" s="2">
        <v>45995.0</v>
      </c>
      <c r="V146" s="4">
        <v>48.0</v>
      </c>
      <c r="W146" s="4" t="s">
        <v>550</v>
      </c>
      <c r="X146" s="4">
        <v>2025.0</v>
      </c>
      <c r="Y146" s="4" t="s">
        <v>1532</v>
      </c>
      <c r="Z146" s="4" t="s">
        <v>557</v>
      </c>
      <c r="AA146" s="4" t="s">
        <v>558</v>
      </c>
      <c r="AB146" s="4" t="b">
        <v>0</v>
      </c>
      <c r="AC146" s="4" t="s">
        <v>536</v>
      </c>
      <c r="AD146" s="4" t="s">
        <v>537</v>
      </c>
    </row>
    <row r="147" ht="14.25" customHeight="1">
      <c r="A147" s="4">
        <v>8012754.0</v>
      </c>
      <c r="B147" s="2">
        <v>45995.9114814815</v>
      </c>
      <c r="C147" s="4">
        <v>7240312.0</v>
      </c>
      <c r="D147" s="4" t="s">
        <v>736</v>
      </c>
      <c r="E147" s="2">
        <v>45995.9145833333</v>
      </c>
      <c r="F147" s="4">
        <v>1.0</v>
      </c>
      <c r="G147" s="4">
        <v>0.0</v>
      </c>
      <c r="H147" s="4"/>
      <c r="I147" s="4"/>
      <c r="J147" s="4" t="s">
        <v>539</v>
      </c>
      <c r="K147" s="4" t="s">
        <v>539</v>
      </c>
      <c r="L147" s="4" t="s">
        <v>1499</v>
      </c>
      <c r="M147" s="4" t="s">
        <v>1482</v>
      </c>
      <c r="N147" s="4"/>
      <c r="O147" s="4" t="s">
        <v>1483</v>
      </c>
      <c r="P147" s="4" t="s">
        <v>1544</v>
      </c>
      <c r="Q147" s="4" t="s">
        <v>1792</v>
      </c>
      <c r="R147" s="4" t="b">
        <v>0</v>
      </c>
      <c r="S147" s="4" t="s">
        <v>1486</v>
      </c>
      <c r="T147" s="2">
        <v>45995.9159722222</v>
      </c>
      <c r="U147" s="2">
        <v>45995.0</v>
      </c>
      <c r="V147" s="4">
        <v>48.0</v>
      </c>
      <c r="W147" s="4" t="s">
        <v>550</v>
      </c>
      <c r="X147" s="4">
        <v>2025.0</v>
      </c>
      <c r="Y147" s="4" t="s">
        <v>1502</v>
      </c>
      <c r="Z147" s="4"/>
      <c r="AA147" s="4" t="s">
        <v>558</v>
      </c>
      <c r="AB147" s="4" t="b">
        <v>0</v>
      </c>
      <c r="AC147" s="4" t="s">
        <v>599</v>
      </c>
      <c r="AD147" s="4" t="s">
        <v>537</v>
      </c>
    </row>
    <row r="148" ht="14.25" customHeight="1">
      <c r="A148" s="4">
        <v>8012771.0</v>
      </c>
      <c r="B148" s="2">
        <v>45995.9152546296</v>
      </c>
      <c r="C148" s="4">
        <v>7240329.0</v>
      </c>
      <c r="D148" s="4" t="s">
        <v>737</v>
      </c>
      <c r="E148" s="2">
        <v>45995.9375</v>
      </c>
      <c r="F148" s="4">
        <v>1.0</v>
      </c>
      <c r="G148" s="4">
        <v>0.0</v>
      </c>
      <c r="H148" s="4" t="s">
        <v>1620</v>
      </c>
      <c r="I148" s="4" t="s">
        <v>1621</v>
      </c>
      <c r="J148" s="4" t="s">
        <v>1620</v>
      </c>
      <c r="K148" s="4" t="s">
        <v>1513</v>
      </c>
      <c r="L148" s="4" t="s">
        <v>1621</v>
      </c>
      <c r="M148" s="4" t="s">
        <v>1622</v>
      </c>
      <c r="N148" s="4" t="s">
        <v>1623</v>
      </c>
      <c r="O148" s="4" t="s">
        <v>1793</v>
      </c>
      <c r="P148" s="4" t="s">
        <v>1794</v>
      </c>
      <c r="Q148" s="4" t="s">
        <v>1795</v>
      </c>
      <c r="R148" s="4" t="b">
        <v>0</v>
      </c>
      <c r="S148" s="4" t="s">
        <v>1486</v>
      </c>
      <c r="T148" s="2">
        <v>45995.9388888889</v>
      </c>
      <c r="U148" s="2">
        <v>45995.0</v>
      </c>
      <c r="V148" s="4">
        <v>48.0</v>
      </c>
      <c r="W148" s="4" t="s">
        <v>550</v>
      </c>
      <c r="X148" s="4">
        <v>2025.0</v>
      </c>
      <c r="Y148" s="4" t="s">
        <v>1518</v>
      </c>
      <c r="Z148" s="4" t="s">
        <v>557</v>
      </c>
      <c r="AA148" s="4" t="s">
        <v>558</v>
      </c>
      <c r="AB148" s="4" t="b">
        <v>0</v>
      </c>
      <c r="AC148" s="4" t="s">
        <v>536</v>
      </c>
      <c r="AD148" s="4" t="s">
        <v>537</v>
      </c>
    </row>
    <row r="149" ht="14.25" customHeight="1">
      <c r="A149" s="4">
        <v>8013097.0</v>
      </c>
      <c r="B149" s="2">
        <v>45995.9666203704</v>
      </c>
      <c r="C149" s="4">
        <v>7240652.0</v>
      </c>
      <c r="D149" s="4" t="s">
        <v>739</v>
      </c>
      <c r="E149" s="2">
        <v>45995.9673611111</v>
      </c>
      <c r="F149" s="4">
        <v>1.0</v>
      </c>
      <c r="G149" s="4">
        <v>0.0</v>
      </c>
      <c r="H149" s="4"/>
      <c r="I149" s="4"/>
      <c r="J149" s="4" t="s">
        <v>1480</v>
      </c>
      <c r="K149" s="4" t="s">
        <v>1480</v>
      </c>
      <c r="L149" s="4" t="s">
        <v>1481</v>
      </c>
      <c r="M149" s="4" t="s">
        <v>1482</v>
      </c>
      <c r="N149" s="4" t="s">
        <v>540</v>
      </c>
      <c r="O149" s="4" t="s">
        <v>1557</v>
      </c>
      <c r="P149" s="4" t="s">
        <v>1645</v>
      </c>
      <c r="Q149" s="4" t="s">
        <v>1796</v>
      </c>
      <c r="R149" s="4" t="b">
        <v>0</v>
      </c>
      <c r="S149" s="4" t="s">
        <v>1486</v>
      </c>
      <c r="T149" s="2">
        <v>45995.96875</v>
      </c>
      <c r="U149" s="2">
        <v>45995.0</v>
      </c>
      <c r="V149" s="4">
        <v>48.0</v>
      </c>
      <c r="W149" s="4" t="s">
        <v>550</v>
      </c>
      <c r="X149" s="4">
        <v>2025.0</v>
      </c>
      <c r="Y149" s="4" t="s">
        <v>1487</v>
      </c>
      <c r="Z149" s="4" t="s">
        <v>557</v>
      </c>
      <c r="AA149" s="4" t="s">
        <v>558</v>
      </c>
      <c r="AB149" s="4" t="b">
        <v>0</v>
      </c>
      <c r="AC149" s="4" t="s">
        <v>536</v>
      </c>
      <c r="AD149" s="4" t="s">
        <v>537</v>
      </c>
    </row>
    <row r="150" ht="14.25" customHeight="1">
      <c r="A150" s="4">
        <v>8010622.0</v>
      </c>
      <c r="B150" s="2">
        <v>45995.6044791667</v>
      </c>
      <c r="C150" s="4">
        <v>7238199.0</v>
      </c>
      <c r="D150" s="4" t="s">
        <v>741</v>
      </c>
      <c r="E150" s="2">
        <v>45995.9784722222</v>
      </c>
      <c r="F150" s="4">
        <v>1.0</v>
      </c>
      <c r="G150" s="4">
        <v>0.0</v>
      </c>
      <c r="H150" s="4"/>
      <c r="I150" s="4"/>
      <c r="J150" s="4" t="s">
        <v>1480</v>
      </c>
      <c r="K150" s="4" t="s">
        <v>1480</v>
      </c>
      <c r="L150" s="4" t="s">
        <v>1481</v>
      </c>
      <c r="M150" s="4" t="s">
        <v>1482</v>
      </c>
      <c r="N150" s="4" t="s">
        <v>540</v>
      </c>
      <c r="O150" s="4" t="s">
        <v>1483</v>
      </c>
      <c r="P150" s="4" t="s">
        <v>1488</v>
      </c>
      <c r="Q150" s="4" t="s">
        <v>1789</v>
      </c>
      <c r="R150" s="4" t="b">
        <v>0</v>
      </c>
      <c r="S150" s="4" t="s">
        <v>1486</v>
      </c>
      <c r="T150" s="2">
        <v>45995.9798611111</v>
      </c>
      <c r="U150" s="2">
        <v>45995.0</v>
      </c>
      <c r="V150" s="4">
        <v>48.0</v>
      </c>
      <c r="W150" s="4" t="s">
        <v>550</v>
      </c>
      <c r="X150" s="4">
        <v>2025.0</v>
      </c>
      <c r="Y150" s="4" t="s">
        <v>1487</v>
      </c>
      <c r="Z150" s="4" t="s">
        <v>557</v>
      </c>
      <c r="AA150" s="4" t="s">
        <v>558</v>
      </c>
      <c r="AB150" s="4" t="b">
        <v>0</v>
      </c>
      <c r="AC150" s="4" t="s">
        <v>536</v>
      </c>
      <c r="AD150" s="4" t="s">
        <v>537</v>
      </c>
    </row>
    <row r="151" ht="14.25" customHeight="1">
      <c r="A151" s="4">
        <v>8013227.0</v>
      </c>
      <c r="B151" s="2">
        <v>45995.9881018518</v>
      </c>
      <c r="C151" s="4">
        <v>7240782.0</v>
      </c>
      <c r="D151" s="4" t="s">
        <v>743</v>
      </c>
      <c r="E151" s="2">
        <v>45995.9895833333</v>
      </c>
      <c r="F151" s="4">
        <v>1.0</v>
      </c>
      <c r="G151" s="4">
        <v>0.0</v>
      </c>
      <c r="H151" s="4" t="s">
        <v>1519</v>
      </c>
      <c r="I151" s="4" t="s">
        <v>1781</v>
      </c>
      <c r="J151" s="4" t="s">
        <v>1519</v>
      </c>
      <c r="K151" s="4" t="s">
        <v>1513</v>
      </c>
      <c r="L151" s="4" t="s">
        <v>1781</v>
      </c>
      <c r="M151" s="4" t="s">
        <v>1692</v>
      </c>
      <c r="N151" s="4" t="s">
        <v>540</v>
      </c>
      <c r="O151" s="4" t="s">
        <v>1797</v>
      </c>
      <c r="P151" s="4" t="s">
        <v>1798</v>
      </c>
      <c r="Q151" s="4" t="s">
        <v>1799</v>
      </c>
      <c r="R151" s="4" t="b">
        <v>0</v>
      </c>
      <c r="S151" s="4" t="s">
        <v>1486</v>
      </c>
      <c r="T151" s="2">
        <v>45995.9909722222</v>
      </c>
      <c r="U151" s="2">
        <v>45995.0</v>
      </c>
      <c r="V151" s="4">
        <v>48.0</v>
      </c>
      <c r="W151" s="4" t="s">
        <v>550</v>
      </c>
      <c r="X151" s="4">
        <v>2025.0</v>
      </c>
      <c r="Y151" s="4" t="s">
        <v>1518</v>
      </c>
      <c r="Z151" s="4"/>
      <c r="AA151" s="4" t="s">
        <v>558</v>
      </c>
      <c r="AB151" s="4" t="b">
        <v>0</v>
      </c>
      <c r="AC151" s="4" t="s">
        <v>567</v>
      </c>
      <c r="AD151" s="4" t="s">
        <v>537</v>
      </c>
    </row>
    <row r="152" ht="14.25" customHeight="1">
      <c r="A152" s="4">
        <v>8013504.0</v>
      </c>
      <c r="B152" s="2">
        <v>45996.0423611111</v>
      </c>
      <c r="C152" s="4">
        <v>7241058.0</v>
      </c>
      <c r="D152" s="4" t="s">
        <v>744</v>
      </c>
      <c r="E152" s="2">
        <v>45996.0423611111</v>
      </c>
      <c r="F152" s="4">
        <v>1.0</v>
      </c>
      <c r="G152" s="4">
        <v>0.0</v>
      </c>
      <c r="H152" s="4"/>
      <c r="I152" s="4"/>
      <c r="J152" s="4" t="s">
        <v>539</v>
      </c>
      <c r="K152" s="4" t="s">
        <v>539</v>
      </c>
      <c r="L152" s="4" t="s">
        <v>1499</v>
      </c>
      <c r="M152" s="4" t="s">
        <v>1482</v>
      </c>
      <c r="N152" s="4"/>
      <c r="O152" s="4" t="s">
        <v>1800</v>
      </c>
      <c r="P152" s="4" t="s">
        <v>1488</v>
      </c>
      <c r="Q152" s="4" t="s">
        <v>1801</v>
      </c>
      <c r="R152" s="4" t="b">
        <v>0</v>
      </c>
      <c r="S152" s="4" t="s">
        <v>1486</v>
      </c>
      <c r="T152" s="2">
        <v>45996.04375</v>
      </c>
      <c r="U152" s="2">
        <v>45996.0</v>
      </c>
      <c r="V152" s="4">
        <v>48.0</v>
      </c>
      <c r="W152" s="4" t="s">
        <v>550</v>
      </c>
      <c r="X152" s="4">
        <v>2025.0</v>
      </c>
      <c r="Y152" s="4" t="s">
        <v>1502</v>
      </c>
      <c r="Z152" s="4"/>
      <c r="AA152" s="4" t="s">
        <v>624</v>
      </c>
      <c r="AB152" s="4" t="b">
        <v>1</v>
      </c>
      <c r="AC152" s="4" t="s">
        <v>599</v>
      </c>
      <c r="AD152" s="4" t="s">
        <v>537</v>
      </c>
    </row>
    <row r="153" ht="14.25" customHeight="1">
      <c r="A153" s="4">
        <v>8014024.0</v>
      </c>
      <c r="B153" s="2">
        <v>45996.1404282407</v>
      </c>
      <c r="C153" s="4">
        <v>7241576.0</v>
      </c>
      <c r="D153" s="4" t="s">
        <v>745</v>
      </c>
      <c r="E153" s="2">
        <v>45996.1416666667</v>
      </c>
      <c r="F153" s="4">
        <v>1.0</v>
      </c>
      <c r="G153" s="4">
        <v>0.0</v>
      </c>
      <c r="H153" s="4"/>
      <c r="I153" s="4"/>
      <c r="J153" s="4" t="s">
        <v>1480</v>
      </c>
      <c r="K153" s="4" t="s">
        <v>1480</v>
      </c>
      <c r="L153" s="4" t="s">
        <v>1481</v>
      </c>
      <c r="M153" s="4" t="s">
        <v>1482</v>
      </c>
      <c r="N153" s="4" t="s">
        <v>540</v>
      </c>
      <c r="O153" s="4" t="s">
        <v>1802</v>
      </c>
      <c r="P153" s="4" t="s">
        <v>1488</v>
      </c>
      <c r="Q153" s="4" t="s">
        <v>1803</v>
      </c>
      <c r="R153" s="4" t="b">
        <v>0</v>
      </c>
      <c r="S153" s="4" t="s">
        <v>1486</v>
      </c>
      <c r="T153" s="2">
        <v>45996.1430555556</v>
      </c>
      <c r="U153" s="2">
        <v>45996.0</v>
      </c>
      <c r="V153" s="4">
        <v>48.0</v>
      </c>
      <c r="W153" s="4" t="s">
        <v>550</v>
      </c>
      <c r="X153" s="4">
        <v>2025.0</v>
      </c>
      <c r="Y153" s="4" t="s">
        <v>1487</v>
      </c>
      <c r="Z153" s="4"/>
      <c r="AA153" s="4" t="s">
        <v>558</v>
      </c>
      <c r="AB153" s="4" t="b">
        <v>0</v>
      </c>
      <c r="AC153" s="4" t="s">
        <v>554</v>
      </c>
      <c r="AD153" s="4" t="s">
        <v>537</v>
      </c>
    </row>
    <row r="154" ht="14.25" customHeight="1">
      <c r="A154" s="4">
        <v>7497513.0</v>
      </c>
      <c r="B154" s="2">
        <v>45862.2140277778</v>
      </c>
      <c r="C154" s="4">
        <v>6741515.0</v>
      </c>
      <c r="D154" s="4" t="s">
        <v>746</v>
      </c>
      <c r="E154" s="2">
        <v>45996.1861111111</v>
      </c>
      <c r="F154" s="4">
        <v>1.0</v>
      </c>
      <c r="G154" s="4">
        <v>0.0</v>
      </c>
      <c r="H154" s="4"/>
      <c r="I154" s="4"/>
      <c r="J154" s="4" t="s">
        <v>1480</v>
      </c>
      <c r="K154" s="4" t="s">
        <v>1480</v>
      </c>
      <c r="L154" s="4" t="s">
        <v>1511</v>
      </c>
      <c r="M154" s="4" t="s">
        <v>1482</v>
      </c>
      <c r="N154" s="4" t="s">
        <v>653</v>
      </c>
      <c r="O154" s="4" t="s">
        <v>1483</v>
      </c>
      <c r="P154" s="4" t="s">
        <v>1516</v>
      </c>
      <c r="Q154" s="4" t="s">
        <v>1804</v>
      </c>
      <c r="R154" s="4" t="b">
        <v>0</v>
      </c>
      <c r="S154" s="4" t="s">
        <v>1486</v>
      </c>
      <c r="T154" s="2">
        <v>45996.1875</v>
      </c>
      <c r="U154" s="2">
        <v>45862.0</v>
      </c>
      <c r="V154" s="4">
        <v>29.0</v>
      </c>
      <c r="W154" s="4" t="s">
        <v>1668</v>
      </c>
      <c r="X154" s="4">
        <v>2025.0</v>
      </c>
      <c r="Y154" s="4" t="s">
        <v>1680</v>
      </c>
      <c r="Z154" s="4"/>
      <c r="AA154" s="4" t="s">
        <v>747</v>
      </c>
      <c r="AB154" s="4" t="b">
        <v>0</v>
      </c>
      <c r="AC154" s="4" t="s">
        <v>536</v>
      </c>
      <c r="AD154" s="4" t="s">
        <v>537</v>
      </c>
    </row>
    <row r="155" ht="14.25" customHeight="1">
      <c r="A155" s="4">
        <v>8014973.0</v>
      </c>
      <c r="B155" s="2">
        <v>45996.31625</v>
      </c>
      <c r="C155" s="4">
        <v>7242522.0</v>
      </c>
      <c r="D155" s="4" t="s">
        <v>748</v>
      </c>
      <c r="E155" s="2">
        <v>45996.3256944444</v>
      </c>
      <c r="F155" s="4">
        <v>1.0</v>
      </c>
      <c r="G155" s="4">
        <v>0.0</v>
      </c>
      <c r="H155" s="4"/>
      <c r="I155" s="4"/>
      <c r="J155" s="4" t="s">
        <v>1480</v>
      </c>
      <c r="K155" s="4" t="s">
        <v>1480</v>
      </c>
      <c r="L155" s="4" t="s">
        <v>1481</v>
      </c>
      <c r="M155" s="4" t="s">
        <v>1482</v>
      </c>
      <c r="N155" s="4" t="s">
        <v>540</v>
      </c>
      <c r="O155" s="4" t="s">
        <v>1483</v>
      </c>
      <c r="P155" s="4" t="s">
        <v>1645</v>
      </c>
      <c r="Q155" s="4" t="s">
        <v>1805</v>
      </c>
      <c r="R155" s="4" t="b">
        <v>0</v>
      </c>
      <c r="S155" s="4" t="s">
        <v>1486</v>
      </c>
      <c r="T155" s="2">
        <v>45996.3270833333</v>
      </c>
      <c r="U155" s="2">
        <v>45996.0</v>
      </c>
      <c r="V155" s="4">
        <v>48.0</v>
      </c>
      <c r="W155" s="4" t="s">
        <v>550</v>
      </c>
      <c r="X155" s="4">
        <v>2025.0</v>
      </c>
      <c r="Y155" s="4" t="s">
        <v>1487</v>
      </c>
      <c r="Z155" s="4" t="s">
        <v>557</v>
      </c>
      <c r="AA155" s="4" t="s">
        <v>558</v>
      </c>
      <c r="AB155" s="4" t="b">
        <v>0</v>
      </c>
      <c r="AC155" s="4" t="s">
        <v>536</v>
      </c>
      <c r="AD155" s="4" t="s">
        <v>537</v>
      </c>
    </row>
    <row r="156" ht="14.25" customHeight="1">
      <c r="A156" s="4">
        <v>8009647.0</v>
      </c>
      <c r="B156" s="2">
        <v>45995.4953472222</v>
      </c>
      <c r="C156" s="4">
        <v>7237240.0</v>
      </c>
      <c r="D156" s="4" t="s">
        <v>750</v>
      </c>
      <c r="E156" s="2">
        <v>45996.3895833333</v>
      </c>
      <c r="F156" s="4">
        <v>1.0</v>
      </c>
      <c r="G156" s="4">
        <v>0.0</v>
      </c>
      <c r="H156" s="4"/>
      <c r="I156" s="4"/>
      <c r="J156" s="4" t="s">
        <v>1480</v>
      </c>
      <c r="K156" s="4" t="s">
        <v>1480</v>
      </c>
      <c r="L156" s="4" t="s">
        <v>1481</v>
      </c>
      <c r="M156" s="4" t="s">
        <v>1482</v>
      </c>
      <c r="N156" s="4" t="s">
        <v>540</v>
      </c>
      <c r="O156" s="4" t="s">
        <v>1806</v>
      </c>
      <c r="P156" s="4" t="s">
        <v>1635</v>
      </c>
      <c r="Q156" s="4" t="s">
        <v>1807</v>
      </c>
      <c r="R156" s="4" t="b">
        <v>0</v>
      </c>
      <c r="S156" s="4" t="s">
        <v>1486</v>
      </c>
      <c r="T156" s="2">
        <v>45996.3909722222</v>
      </c>
      <c r="U156" s="2">
        <v>45995.0</v>
      </c>
      <c r="V156" s="4">
        <v>48.0</v>
      </c>
      <c r="W156" s="4" t="s">
        <v>550</v>
      </c>
      <c r="X156" s="4">
        <v>2025.0</v>
      </c>
      <c r="Y156" s="4" t="s">
        <v>1487</v>
      </c>
      <c r="Z156" s="4" t="s">
        <v>541</v>
      </c>
      <c r="AA156" s="4" t="s">
        <v>546</v>
      </c>
      <c r="AB156" s="4" t="b">
        <v>0</v>
      </c>
      <c r="AC156" s="4" t="s">
        <v>567</v>
      </c>
      <c r="AD156" s="4" t="s">
        <v>537</v>
      </c>
    </row>
    <row r="157" ht="14.25" customHeight="1">
      <c r="A157" s="4">
        <v>7938821.0</v>
      </c>
      <c r="B157" s="2">
        <v>45980.4618171296</v>
      </c>
      <c r="C157" s="4">
        <v>7167524.0</v>
      </c>
      <c r="D157" s="4" t="s">
        <v>751</v>
      </c>
      <c r="E157" s="2">
        <v>45996.4013888889</v>
      </c>
      <c r="F157" s="4">
        <v>0.5</v>
      </c>
      <c r="G157" s="4">
        <v>0.0</v>
      </c>
      <c r="H157" s="4" t="s">
        <v>1480</v>
      </c>
      <c r="I157" s="4" t="s">
        <v>1550</v>
      </c>
      <c r="J157" s="4" t="s">
        <v>1480</v>
      </c>
      <c r="K157" s="4" t="s">
        <v>1480</v>
      </c>
      <c r="L157" s="4" t="s">
        <v>1550</v>
      </c>
      <c r="M157" s="4" t="s">
        <v>1551</v>
      </c>
      <c r="N157" s="4" t="s">
        <v>540</v>
      </c>
      <c r="O157" s="4" t="s">
        <v>1552</v>
      </c>
      <c r="P157" s="4" t="s">
        <v>1808</v>
      </c>
      <c r="Q157" s="4" t="s">
        <v>1809</v>
      </c>
      <c r="R157" s="4" t="b">
        <v>0</v>
      </c>
      <c r="S157" s="4" t="s">
        <v>1486</v>
      </c>
      <c r="T157" s="2">
        <v>45999.3993055556</v>
      </c>
      <c r="U157" s="2">
        <v>45980.0</v>
      </c>
      <c r="V157" s="4">
        <v>46.0</v>
      </c>
      <c r="W157" s="4" t="s">
        <v>545</v>
      </c>
      <c r="X157" s="4">
        <v>2025.0</v>
      </c>
      <c r="Y157" s="4" t="s">
        <v>1518</v>
      </c>
      <c r="Z157" s="4" t="s">
        <v>557</v>
      </c>
      <c r="AA157" s="4" t="s">
        <v>558</v>
      </c>
      <c r="AB157" s="4" t="b">
        <v>0</v>
      </c>
      <c r="AC157" s="4" t="s">
        <v>536</v>
      </c>
      <c r="AD157" s="4" t="s">
        <v>537</v>
      </c>
    </row>
    <row r="158" ht="14.25" customHeight="1">
      <c r="A158" s="4">
        <v>8045725.0</v>
      </c>
      <c r="B158" s="2">
        <v>45996.4011574074</v>
      </c>
      <c r="C158" s="4">
        <v>7167524.0</v>
      </c>
      <c r="D158" s="4" t="s">
        <v>751</v>
      </c>
      <c r="E158" s="2">
        <v>45996.4013888889</v>
      </c>
      <c r="F158" s="4">
        <v>0.5</v>
      </c>
      <c r="G158" s="4">
        <v>0.0</v>
      </c>
      <c r="H158" s="4" t="s">
        <v>1774</v>
      </c>
      <c r="I158" s="4"/>
      <c r="J158" s="4" t="s">
        <v>1774</v>
      </c>
      <c r="K158" s="4" t="s">
        <v>1775</v>
      </c>
      <c r="L158" s="4"/>
      <c r="M158" s="4"/>
      <c r="N158" s="4"/>
      <c r="O158" s="4"/>
      <c r="P158" s="4"/>
      <c r="Q158" s="4" t="s">
        <v>1776</v>
      </c>
      <c r="R158" s="4" t="b">
        <v>0</v>
      </c>
      <c r="S158" s="4" t="s">
        <v>1486</v>
      </c>
      <c r="T158" s="2">
        <v>45999.3993055556</v>
      </c>
      <c r="U158" s="2">
        <v>45996.0</v>
      </c>
      <c r="V158" s="4">
        <v>48.0</v>
      </c>
      <c r="W158" s="4" t="s">
        <v>550</v>
      </c>
      <c r="X158" s="4">
        <v>2025.0</v>
      </c>
      <c r="Y158" s="4" t="s">
        <v>1518</v>
      </c>
      <c r="Z158" s="4" t="s">
        <v>557</v>
      </c>
      <c r="AA158" s="4" t="s">
        <v>558</v>
      </c>
      <c r="AB158" s="4" t="b">
        <v>0</v>
      </c>
      <c r="AC158" s="4" t="s">
        <v>536</v>
      </c>
      <c r="AD158" s="4" t="s">
        <v>537</v>
      </c>
    </row>
    <row r="159" ht="14.25" customHeight="1">
      <c r="A159" s="4">
        <v>8015792.0</v>
      </c>
      <c r="B159" s="2">
        <v>45996.4076851852</v>
      </c>
      <c r="C159" s="4">
        <v>7243328.0</v>
      </c>
      <c r="D159" s="4" t="s">
        <v>753</v>
      </c>
      <c r="E159" s="2">
        <v>45996.4076388889</v>
      </c>
      <c r="F159" s="4">
        <v>1.0</v>
      </c>
      <c r="G159" s="4">
        <v>0.0</v>
      </c>
      <c r="H159" s="4"/>
      <c r="I159" s="4"/>
      <c r="J159" s="4" t="s">
        <v>1526</v>
      </c>
      <c r="K159" s="4" t="s">
        <v>1527</v>
      </c>
      <c r="L159" s="4" t="s">
        <v>1528</v>
      </c>
      <c r="M159" s="4" t="s">
        <v>1482</v>
      </c>
      <c r="N159" s="4" t="s">
        <v>1529</v>
      </c>
      <c r="O159" s="4" t="s">
        <v>1530</v>
      </c>
      <c r="P159" s="4" t="s">
        <v>1496</v>
      </c>
      <c r="Q159" s="4" t="s">
        <v>1810</v>
      </c>
      <c r="R159" s="4" t="b">
        <v>0</v>
      </c>
      <c r="S159" s="4" t="s">
        <v>1486</v>
      </c>
      <c r="T159" s="2">
        <v>45996.4090277778</v>
      </c>
      <c r="U159" s="2">
        <v>45996.0</v>
      </c>
      <c r="V159" s="4">
        <v>48.0</v>
      </c>
      <c r="W159" s="4" t="s">
        <v>550</v>
      </c>
      <c r="X159" s="4">
        <v>2025.0</v>
      </c>
      <c r="Y159" s="4" t="s">
        <v>1532</v>
      </c>
      <c r="Z159" s="4" t="s">
        <v>754</v>
      </c>
      <c r="AA159" s="4" t="s">
        <v>755</v>
      </c>
      <c r="AB159" s="4" t="b">
        <v>0</v>
      </c>
      <c r="AC159" s="4" t="s">
        <v>536</v>
      </c>
      <c r="AD159" s="4" t="s">
        <v>537</v>
      </c>
    </row>
    <row r="160" ht="14.25" customHeight="1">
      <c r="A160" s="4">
        <v>8016598.0</v>
      </c>
      <c r="B160" s="2">
        <v>45996.4882175926</v>
      </c>
      <c r="C160" s="4">
        <v>7244129.0</v>
      </c>
      <c r="D160" s="4" t="s">
        <v>756</v>
      </c>
      <c r="E160" s="2">
        <v>45996.4888888889</v>
      </c>
      <c r="F160" s="4">
        <v>1.0</v>
      </c>
      <c r="G160" s="4">
        <v>0.0</v>
      </c>
      <c r="H160" s="4"/>
      <c r="I160" s="4"/>
      <c r="J160" s="4" t="s">
        <v>539</v>
      </c>
      <c r="K160" s="4" t="s">
        <v>539</v>
      </c>
      <c r="L160" s="4" t="s">
        <v>1499</v>
      </c>
      <c r="M160" s="4" t="s">
        <v>1482</v>
      </c>
      <c r="N160" s="4"/>
      <c r="O160" s="4" t="s">
        <v>1811</v>
      </c>
      <c r="P160" s="4" t="s">
        <v>1770</v>
      </c>
      <c r="Q160" s="4" t="s">
        <v>1812</v>
      </c>
      <c r="R160" s="4" t="b">
        <v>0</v>
      </c>
      <c r="S160" s="4" t="s">
        <v>1486</v>
      </c>
      <c r="T160" s="2">
        <v>45996.4902777778</v>
      </c>
      <c r="U160" s="2">
        <v>45996.0</v>
      </c>
      <c r="V160" s="4">
        <v>48.0</v>
      </c>
      <c r="W160" s="4" t="s">
        <v>550</v>
      </c>
      <c r="X160" s="4">
        <v>2025.0</v>
      </c>
      <c r="Y160" s="4" t="s">
        <v>1502</v>
      </c>
      <c r="Z160" s="4" t="s">
        <v>557</v>
      </c>
      <c r="AA160" s="4" t="s">
        <v>558</v>
      </c>
      <c r="AB160" s="4" t="b">
        <v>0</v>
      </c>
      <c r="AC160" s="4" t="s">
        <v>536</v>
      </c>
      <c r="AD160" s="4" t="s">
        <v>537</v>
      </c>
    </row>
    <row r="161" ht="14.25" customHeight="1">
      <c r="A161" s="4">
        <v>8015924.0</v>
      </c>
      <c r="B161" s="2">
        <v>45996.4223148148</v>
      </c>
      <c r="C161" s="4">
        <v>7243458.0</v>
      </c>
      <c r="D161" s="4" t="s">
        <v>758</v>
      </c>
      <c r="E161" s="2">
        <v>45996.5027777778</v>
      </c>
      <c r="F161" s="4">
        <v>1.0</v>
      </c>
      <c r="G161" s="4">
        <v>0.0</v>
      </c>
      <c r="H161" s="4"/>
      <c r="I161" s="4"/>
      <c r="J161" s="4" t="s">
        <v>1480</v>
      </c>
      <c r="K161" s="4" t="s">
        <v>1480</v>
      </c>
      <c r="L161" s="4" t="s">
        <v>1511</v>
      </c>
      <c r="M161" s="4" t="s">
        <v>1482</v>
      </c>
      <c r="N161" s="4" t="s">
        <v>653</v>
      </c>
      <c r="O161" s="4" t="s">
        <v>1483</v>
      </c>
      <c r="P161" s="4" t="s">
        <v>1496</v>
      </c>
      <c r="Q161" s="4" t="s">
        <v>1813</v>
      </c>
      <c r="R161" s="4" t="b">
        <v>0</v>
      </c>
      <c r="S161" s="4" t="s">
        <v>1486</v>
      </c>
      <c r="T161" s="2">
        <v>45996.5041666667</v>
      </c>
      <c r="U161" s="2">
        <v>45996.0</v>
      </c>
      <c r="V161" s="4">
        <v>48.0</v>
      </c>
      <c r="W161" s="4" t="s">
        <v>550</v>
      </c>
      <c r="X161" s="4">
        <v>2025.0</v>
      </c>
      <c r="Y161" s="4" t="s">
        <v>1680</v>
      </c>
      <c r="Z161" s="4" t="s">
        <v>557</v>
      </c>
      <c r="AA161" s="4" t="s">
        <v>558</v>
      </c>
      <c r="AB161" s="4" t="b">
        <v>0</v>
      </c>
      <c r="AC161" s="4" t="s">
        <v>536</v>
      </c>
      <c r="AD161" s="4" t="s">
        <v>537</v>
      </c>
    </row>
    <row r="162" ht="14.25" customHeight="1">
      <c r="A162" s="4">
        <v>8016887.0</v>
      </c>
      <c r="B162" s="2">
        <v>45996.513912037</v>
      </c>
      <c r="C162" s="4">
        <v>7244418.0</v>
      </c>
      <c r="D162" s="4" t="s">
        <v>759</v>
      </c>
      <c r="E162" s="2">
        <v>45996.5208333333</v>
      </c>
      <c r="F162" s="4">
        <v>1.0</v>
      </c>
      <c r="G162" s="4">
        <v>0.0</v>
      </c>
      <c r="H162" s="4"/>
      <c r="I162" s="4"/>
      <c r="J162" s="4" t="s">
        <v>539</v>
      </c>
      <c r="K162" s="4" t="s">
        <v>539</v>
      </c>
      <c r="L162" s="4" t="s">
        <v>1499</v>
      </c>
      <c r="M162" s="4" t="s">
        <v>1482</v>
      </c>
      <c r="N162" s="4"/>
      <c r="O162" s="4" t="s">
        <v>1483</v>
      </c>
      <c r="P162" s="4" t="s">
        <v>1645</v>
      </c>
      <c r="Q162" s="4" t="s">
        <v>1814</v>
      </c>
      <c r="R162" s="4" t="b">
        <v>0</v>
      </c>
      <c r="S162" s="4" t="s">
        <v>1486</v>
      </c>
      <c r="T162" s="2">
        <v>45996.5222222222</v>
      </c>
      <c r="U162" s="2">
        <v>45996.0</v>
      </c>
      <c r="V162" s="4">
        <v>48.0</v>
      </c>
      <c r="W162" s="4" t="s">
        <v>550</v>
      </c>
      <c r="X162" s="4">
        <v>2025.0</v>
      </c>
      <c r="Y162" s="4" t="s">
        <v>1502</v>
      </c>
      <c r="Z162" s="4" t="s">
        <v>604</v>
      </c>
      <c r="AA162" s="4" t="s">
        <v>605</v>
      </c>
      <c r="AB162" s="4" t="b">
        <v>0</v>
      </c>
      <c r="AC162" s="4" t="s">
        <v>536</v>
      </c>
      <c r="AD162" s="4" t="s">
        <v>537</v>
      </c>
    </row>
    <row r="163" ht="14.25" customHeight="1">
      <c r="A163" s="4">
        <v>8016906.0</v>
      </c>
      <c r="B163" s="2">
        <v>45996.5159143519</v>
      </c>
      <c r="C163" s="4">
        <v>7244437.0</v>
      </c>
      <c r="D163" s="4" t="s">
        <v>761</v>
      </c>
      <c r="E163" s="2">
        <v>45996.5208333333</v>
      </c>
      <c r="F163" s="4">
        <v>1.0</v>
      </c>
      <c r="G163" s="4">
        <v>0.0</v>
      </c>
      <c r="H163" s="4"/>
      <c r="I163" s="4"/>
      <c r="J163" s="4" t="s">
        <v>1480</v>
      </c>
      <c r="K163" s="4" t="s">
        <v>1480</v>
      </c>
      <c r="L163" s="4" t="s">
        <v>1481</v>
      </c>
      <c r="M163" s="4" t="s">
        <v>1482</v>
      </c>
      <c r="N163" s="4" t="s">
        <v>540</v>
      </c>
      <c r="O163" s="4" t="s">
        <v>1815</v>
      </c>
      <c r="P163" s="4" t="s">
        <v>1674</v>
      </c>
      <c r="Q163" s="4" t="s">
        <v>1816</v>
      </c>
      <c r="R163" s="4" t="b">
        <v>0</v>
      </c>
      <c r="S163" s="4" t="s">
        <v>1486</v>
      </c>
      <c r="T163" s="2">
        <v>45996.5222222222</v>
      </c>
      <c r="U163" s="2">
        <v>45996.0</v>
      </c>
      <c r="V163" s="4">
        <v>48.0</v>
      </c>
      <c r="W163" s="4" t="s">
        <v>550</v>
      </c>
      <c r="X163" s="4">
        <v>2025.0</v>
      </c>
      <c r="Y163" s="4" t="s">
        <v>1487</v>
      </c>
      <c r="Z163" s="4"/>
      <c r="AA163" s="4" t="s">
        <v>558</v>
      </c>
      <c r="AB163" s="4" t="b">
        <v>0</v>
      </c>
      <c r="AC163" s="4" t="s">
        <v>554</v>
      </c>
      <c r="AD163" s="4" t="s">
        <v>537</v>
      </c>
    </row>
    <row r="164" ht="14.25" customHeight="1">
      <c r="A164" s="4">
        <v>8017195.0</v>
      </c>
      <c r="B164" s="2">
        <v>45996.5427662037</v>
      </c>
      <c r="C164" s="4">
        <v>7244725.0</v>
      </c>
      <c r="D164" s="4" t="s">
        <v>762</v>
      </c>
      <c r="E164" s="2">
        <v>45996.5430555556</v>
      </c>
      <c r="F164" s="4">
        <v>1.0</v>
      </c>
      <c r="G164" s="4">
        <v>0.0</v>
      </c>
      <c r="H164" s="4"/>
      <c r="I164" s="4"/>
      <c r="J164" s="4" t="s">
        <v>1480</v>
      </c>
      <c r="K164" s="4" t="s">
        <v>1480</v>
      </c>
      <c r="L164" s="4" t="s">
        <v>1511</v>
      </c>
      <c r="M164" s="4" t="s">
        <v>1482</v>
      </c>
      <c r="N164" s="4" t="s">
        <v>653</v>
      </c>
      <c r="O164" s="4" t="s">
        <v>1500</v>
      </c>
      <c r="P164" s="4" t="s">
        <v>1496</v>
      </c>
      <c r="Q164" s="4" t="s">
        <v>1817</v>
      </c>
      <c r="R164" s="4" t="b">
        <v>0</v>
      </c>
      <c r="S164" s="4" t="s">
        <v>1486</v>
      </c>
      <c r="T164" s="2">
        <v>45996.5444444444</v>
      </c>
      <c r="U164" s="2">
        <v>45996.0</v>
      </c>
      <c r="V164" s="4">
        <v>48.0</v>
      </c>
      <c r="W164" s="4" t="s">
        <v>550</v>
      </c>
      <c r="X164" s="4">
        <v>2025.0</v>
      </c>
      <c r="Y164" s="4" t="s">
        <v>1680</v>
      </c>
      <c r="Z164" s="4" t="s">
        <v>557</v>
      </c>
      <c r="AA164" s="4" t="s">
        <v>558</v>
      </c>
      <c r="AB164" s="4" t="b">
        <v>1</v>
      </c>
      <c r="AC164" s="4" t="s">
        <v>567</v>
      </c>
      <c r="AD164" s="4" t="s">
        <v>537</v>
      </c>
    </row>
    <row r="165" ht="14.25" customHeight="1">
      <c r="A165" s="4">
        <v>8017293.0</v>
      </c>
      <c r="B165" s="2">
        <v>45996.5510648148</v>
      </c>
      <c r="C165" s="4">
        <v>7244822.0</v>
      </c>
      <c r="D165" s="4" t="s">
        <v>764</v>
      </c>
      <c r="E165" s="2">
        <v>45996.5513888889</v>
      </c>
      <c r="F165" s="4">
        <v>1.0</v>
      </c>
      <c r="G165" s="4">
        <v>0.0</v>
      </c>
      <c r="H165" s="4"/>
      <c r="I165" s="4"/>
      <c r="J165" s="4" t="s">
        <v>539</v>
      </c>
      <c r="K165" s="4" t="s">
        <v>539</v>
      </c>
      <c r="L165" s="4" t="s">
        <v>1499</v>
      </c>
      <c r="M165" s="4" t="s">
        <v>1482</v>
      </c>
      <c r="N165" s="4"/>
      <c r="O165" s="4" t="s">
        <v>1500</v>
      </c>
      <c r="P165" s="4" t="s">
        <v>1496</v>
      </c>
      <c r="Q165" s="4" t="s">
        <v>1818</v>
      </c>
      <c r="R165" s="4" t="b">
        <v>0</v>
      </c>
      <c r="S165" s="4" t="s">
        <v>1486</v>
      </c>
      <c r="T165" s="2">
        <v>45996.5527777778</v>
      </c>
      <c r="U165" s="2">
        <v>45996.0</v>
      </c>
      <c r="V165" s="4">
        <v>48.0</v>
      </c>
      <c r="W165" s="4" t="s">
        <v>550</v>
      </c>
      <c r="X165" s="4">
        <v>2025.0</v>
      </c>
      <c r="Y165" s="4" t="s">
        <v>1502</v>
      </c>
      <c r="Z165" s="4"/>
      <c r="AA165" s="4" t="s">
        <v>558</v>
      </c>
      <c r="AB165" s="4" t="b">
        <v>1</v>
      </c>
      <c r="AC165" s="4" t="s">
        <v>567</v>
      </c>
      <c r="AD165" s="4" t="s">
        <v>537</v>
      </c>
    </row>
    <row r="166" ht="14.25" customHeight="1">
      <c r="A166" s="4">
        <v>7752462.0</v>
      </c>
      <c r="B166" s="2">
        <v>45940.2339236111</v>
      </c>
      <c r="C166" s="4">
        <v>6989049.0</v>
      </c>
      <c r="D166" s="4" t="s">
        <v>765</v>
      </c>
      <c r="E166" s="2">
        <v>45996.5805555556</v>
      </c>
      <c r="F166" s="4">
        <v>0.0</v>
      </c>
      <c r="G166" s="4">
        <v>0.0</v>
      </c>
      <c r="H166" s="4"/>
      <c r="I166" s="4"/>
      <c r="J166" s="4" t="s">
        <v>539</v>
      </c>
      <c r="K166" s="4" t="s">
        <v>539</v>
      </c>
      <c r="L166" s="4" t="s">
        <v>1499</v>
      </c>
      <c r="M166" s="4" t="s">
        <v>1482</v>
      </c>
      <c r="N166" s="4"/>
      <c r="O166" s="4" t="s">
        <v>1483</v>
      </c>
      <c r="P166" s="4" t="s">
        <v>1819</v>
      </c>
      <c r="Q166" s="4" t="s">
        <v>1820</v>
      </c>
      <c r="R166" s="4" t="b">
        <v>0</v>
      </c>
      <c r="S166" s="4" t="s">
        <v>1486</v>
      </c>
      <c r="T166" s="2">
        <v>46021.3993055556</v>
      </c>
      <c r="U166" s="2">
        <v>45940.0</v>
      </c>
      <c r="V166" s="4">
        <v>40.0</v>
      </c>
      <c r="W166" s="4" t="s">
        <v>1560</v>
      </c>
      <c r="X166" s="4">
        <v>2025.0</v>
      </c>
      <c r="Y166" s="4" t="s">
        <v>1502</v>
      </c>
      <c r="Z166" s="4" t="s">
        <v>557</v>
      </c>
      <c r="AA166" s="4" t="s">
        <v>768</v>
      </c>
      <c r="AB166" s="4" t="b">
        <v>0</v>
      </c>
      <c r="AC166" s="4" t="s">
        <v>536</v>
      </c>
      <c r="AD166" s="4" t="s">
        <v>537</v>
      </c>
    </row>
    <row r="167" ht="14.25" customHeight="1">
      <c r="A167" s="4">
        <v>8045706.0</v>
      </c>
      <c r="B167" s="2">
        <v>45996.5804398148</v>
      </c>
      <c r="C167" s="4">
        <v>6989049.0</v>
      </c>
      <c r="D167" s="4" t="s">
        <v>765</v>
      </c>
      <c r="E167" s="2">
        <v>45996.5805555556</v>
      </c>
      <c r="F167" s="4">
        <v>1.0</v>
      </c>
      <c r="G167" s="4">
        <v>0.0</v>
      </c>
      <c r="H167" s="4" t="s">
        <v>1774</v>
      </c>
      <c r="I167" s="4"/>
      <c r="J167" s="4" t="s">
        <v>1774</v>
      </c>
      <c r="K167" s="4" t="s">
        <v>1775</v>
      </c>
      <c r="L167" s="4"/>
      <c r="M167" s="4"/>
      <c r="N167" s="4"/>
      <c r="O167" s="4"/>
      <c r="P167" s="4"/>
      <c r="Q167" s="4" t="s">
        <v>1776</v>
      </c>
      <c r="R167" s="4" t="b">
        <v>0</v>
      </c>
      <c r="S167" s="4" t="s">
        <v>1486</v>
      </c>
      <c r="T167" s="2">
        <v>46021.3993055556</v>
      </c>
      <c r="U167" s="2">
        <v>45996.0</v>
      </c>
      <c r="V167" s="4">
        <v>48.0</v>
      </c>
      <c r="W167" s="4" t="s">
        <v>550</v>
      </c>
      <c r="X167" s="4">
        <v>2025.0</v>
      </c>
      <c r="Y167" s="4" t="s">
        <v>1518</v>
      </c>
      <c r="Z167" s="4" t="s">
        <v>557</v>
      </c>
      <c r="AA167" s="4" t="s">
        <v>768</v>
      </c>
      <c r="AB167" s="4" t="b">
        <v>0</v>
      </c>
      <c r="AC167" s="4" t="s">
        <v>536</v>
      </c>
      <c r="AD167" s="4" t="s">
        <v>537</v>
      </c>
    </row>
    <row r="168" ht="14.25" customHeight="1">
      <c r="A168" s="4">
        <v>8017757.0</v>
      </c>
      <c r="B168" s="2">
        <v>45996.5913194444</v>
      </c>
      <c r="C168" s="4">
        <v>7245281.0</v>
      </c>
      <c r="D168" s="4" t="s">
        <v>769</v>
      </c>
      <c r="E168" s="2">
        <v>45996.6020833333</v>
      </c>
      <c r="F168" s="4">
        <v>1.0</v>
      </c>
      <c r="G168" s="4">
        <v>0.0</v>
      </c>
      <c r="H168" s="4"/>
      <c r="I168" s="4"/>
      <c r="J168" s="4" t="s">
        <v>1480</v>
      </c>
      <c r="K168" s="4" t="s">
        <v>1480</v>
      </c>
      <c r="L168" s="4" t="s">
        <v>1481</v>
      </c>
      <c r="M168" s="4" t="s">
        <v>1482</v>
      </c>
      <c r="N168" s="4" t="s">
        <v>540</v>
      </c>
      <c r="O168" s="4" t="s">
        <v>1483</v>
      </c>
      <c r="P168" s="4" t="s">
        <v>1635</v>
      </c>
      <c r="Q168" s="4" t="s">
        <v>1821</v>
      </c>
      <c r="R168" s="4" t="b">
        <v>0</v>
      </c>
      <c r="S168" s="4" t="s">
        <v>1486</v>
      </c>
      <c r="T168" s="2">
        <v>45996.6034722222</v>
      </c>
      <c r="U168" s="2">
        <v>45996.0</v>
      </c>
      <c r="V168" s="4">
        <v>48.0</v>
      </c>
      <c r="W168" s="4" t="s">
        <v>550</v>
      </c>
      <c r="X168" s="4">
        <v>2025.0</v>
      </c>
      <c r="Y168" s="4" t="s">
        <v>1487</v>
      </c>
      <c r="Z168" s="4"/>
      <c r="AA168" s="4" t="s">
        <v>558</v>
      </c>
      <c r="AB168" s="4" t="b">
        <v>0</v>
      </c>
      <c r="AC168" s="4" t="s">
        <v>567</v>
      </c>
      <c r="AD168" s="4" t="s">
        <v>537</v>
      </c>
    </row>
    <row r="169" ht="14.25" customHeight="1">
      <c r="A169" s="4">
        <v>8018416.0</v>
      </c>
      <c r="B169" s="2">
        <v>45996.6484606481</v>
      </c>
      <c r="C169" s="4">
        <v>7245932.0</v>
      </c>
      <c r="D169" s="4" t="s">
        <v>770</v>
      </c>
      <c r="E169" s="2">
        <v>45996.65625</v>
      </c>
      <c r="F169" s="4">
        <v>0.5</v>
      </c>
      <c r="G169" s="4">
        <v>0.0</v>
      </c>
      <c r="H169" s="4" t="s">
        <v>1480</v>
      </c>
      <c r="I169" s="4" t="s">
        <v>1550</v>
      </c>
      <c r="J169" s="4" t="s">
        <v>1480</v>
      </c>
      <c r="K169" s="4" t="s">
        <v>1480</v>
      </c>
      <c r="L169" s="4" t="s">
        <v>1550</v>
      </c>
      <c r="M169" s="4" t="s">
        <v>1551</v>
      </c>
      <c r="N169" s="4" t="s">
        <v>540</v>
      </c>
      <c r="O169" s="4" t="s">
        <v>1552</v>
      </c>
      <c r="P169" s="4" t="s">
        <v>1558</v>
      </c>
      <c r="Q169" s="4" t="s">
        <v>1822</v>
      </c>
      <c r="R169" s="4" t="b">
        <v>0</v>
      </c>
      <c r="S169" s="4" t="s">
        <v>1486</v>
      </c>
      <c r="T169" s="2">
        <v>45996.6576388889</v>
      </c>
      <c r="U169" s="2">
        <v>45996.0</v>
      </c>
      <c r="V169" s="4">
        <v>48.0</v>
      </c>
      <c r="W169" s="4" t="s">
        <v>550</v>
      </c>
      <c r="X169" s="4">
        <v>2025.0</v>
      </c>
      <c r="Y169" s="4" t="s">
        <v>1518</v>
      </c>
      <c r="Z169" s="4" t="s">
        <v>557</v>
      </c>
      <c r="AA169" s="4" t="s">
        <v>558</v>
      </c>
      <c r="AB169" s="4" t="b">
        <v>0</v>
      </c>
      <c r="AC169" s="4" t="s">
        <v>536</v>
      </c>
      <c r="AD169" s="4" t="s">
        <v>537</v>
      </c>
    </row>
    <row r="170" ht="14.25" customHeight="1">
      <c r="A170" s="4">
        <v>8018417.0</v>
      </c>
      <c r="B170" s="2">
        <v>45996.6484606481</v>
      </c>
      <c r="C170" s="4">
        <v>7245932.0</v>
      </c>
      <c r="D170" s="4" t="s">
        <v>770</v>
      </c>
      <c r="E170" s="2">
        <v>45996.65625</v>
      </c>
      <c r="F170" s="4">
        <v>0.5</v>
      </c>
      <c r="G170" s="4">
        <v>0.0</v>
      </c>
      <c r="H170" s="4" t="s">
        <v>1480</v>
      </c>
      <c r="I170" s="4" t="s">
        <v>1550</v>
      </c>
      <c r="J170" s="4" t="s">
        <v>1480</v>
      </c>
      <c r="K170" s="4" t="s">
        <v>1480</v>
      </c>
      <c r="L170" s="4" t="s">
        <v>1550</v>
      </c>
      <c r="M170" s="4" t="s">
        <v>1551</v>
      </c>
      <c r="N170" s="4" t="s">
        <v>540</v>
      </c>
      <c r="O170" s="4"/>
      <c r="P170" s="4" t="s">
        <v>1558</v>
      </c>
      <c r="Q170" s="4" t="s">
        <v>1822</v>
      </c>
      <c r="R170" s="4" t="b">
        <v>0</v>
      </c>
      <c r="S170" s="4" t="s">
        <v>1486</v>
      </c>
      <c r="T170" s="2">
        <v>45996.6576388889</v>
      </c>
      <c r="U170" s="2">
        <v>45996.0</v>
      </c>
      <c r="V170" s="4">
        <v>48.0</v>
      </c>
      <c r="W170" s="4" t="s">
        <v>550</v>
      </c>
      <c r="X170" s="4">
        <v>2025.0</v>
      </c>
      <c r="Y170" s="4" t="s">
        <v>1518</v>
      </c>
      <c r="Z170" s="4" t="s">
        <v>557</v>
      </c>
      <c r="AA170" s="4" t="s">
        <v>558</v>
      </c>
      <c r="AB170" s="4" t="b">
        <v>0</v>
      </c>
      <c r="AC170" s="4" t="s">
        <v>536</v>
      </c>
      <c r="AD170" s="4" t="s">
        <v>537</v>
      </c>
    </row>
    <row r="171" ht="14.25" customHeight="1">
      <c r="A171" s="4">
        <v>8018420.0</v>
      </c>
      <c r="B171" s="2">
        <v>45996.6486458333</v>
      </c>
      <c r="C171" s="4">
        <v>7245932.0</v>
      </c>
      <c r="D171" s="4" t="s">
        <v>770</v>
      </c>
      <c r="E171" s="2">
        <v>45996.65625</v>
      </c>
      <c r="F171" s="4">
        <v>0.0</v>
      </c>
      <c r="G171" s="4">
        <v>0.0</v>
      </c>
      <c r="H171" s="4" t="s">
        <v>1823</v>
      </c>
      <c r="I171" s="4"/>
      <c r="J171" s="4" t="s">
        <v>1823</v>
      </c>
      <c r="K171" s="4" t="s">
        <v>1823</v>
      </c>
      <c r="L171" s="4"/>
      <c r="M171" s="4" t="s">
        <v>1482</v>
      </c>
      <c r="N171" s="4" t="s">
        <v>1552</v>
      </c>
      <c r="O171" s="4"/>
      <c r="P171" s="4" t="s">
        <v>1558</v>
      </c>
      <c r="Q171" s="4" t="s">
        <v>1822</v>
      </c>
      <c r="R171" s="4" t="b">
        <v>1</v>
      </c>
      <c r="S171" s="4" t="s">
        <v>1486</v>
      </c>
      <c r="T171" s="2">
        <v>45996.6576388889</v>
      </c>
      <c r="U171" s="2">
        <v>45996.0</v>
      </c>
      <c r="V171" s="4">
        <v>48.0</v>
      </c>
      <c r="W171" s="4" t="s">
        <v>550</v>
      </c>
      <c r="X171" s="4">
        <v>2025.0</v>
      </c>
      <c r="Y171" s="4" t="s">
        <v>1540</v>
      </c>
      <c r="Z171" s="4" t="s">
        <v>557</v>
      </c>
      <c r="AA171" s="4" t="s">
        <v>558</v>
      </c>
      <c r="AB171" s="4" t="b">
        <v>0</v>
      </c>
      <c r="AC171" s="4" t="s">
        <v>536</v>
      </c>
      <c r="AD171" s="4" t="s">
        <v>537</v>
      </c>
    </row>
    <row r="172" ht="14.25" customHeight="1">
      <c r="A172" s="4">
        <v>7945071.0</v>
      </c>
      <c r="B172" s="2">
        <v>45981.5860648148</v>
      </c>
      <c r="C172" s="4">
        <v>7173666.0</v>
      </c>
      <c r="D172" s="4" t="s">
        <v>771</v>
      </c>
      <c r="E172" s="2">
        <v>45996.6916666667</v>
      </c>
      <c r="F172" s="4">
        <v>1.0</v>
      </c>
      <c r="G172" s="4">
        <v>0.0</v>
      </c>
      <c r="H172" s="4"/>
      <c r="I172" s="4"/>
      <c r="J172" s="4" t="s">
        <v>1480</v>
      </c>
      <c r="K172" s="4" t="s">
        <v>1480</v>
      </c>
      <c r="L172" s="4" t="s">
        <v>1511</v>
      </c>
      <c r="M172" s="4" t="s">
        <v>1482</v>
      </c>
      <c r="N172" s="4" t="s">
        <v>653</v>
      </c>
      <c r="O172" s="4" t="s">
        <v>1557</v>
      </c>
      <c r="P172" s="4" t="s">
        <v>1496</v>
      </c>
      <c r="Q172" s="4" t="s">
        <v>1824</v>
      </c>
      <c r="R172" s="4" t="b">
        <v>0</v>
      </c>
      <c r="S172" s="4" t="s">
        <v>1486</v>
      </c>
      <c r="T172" s="2">
        <v>45996.6930555556</v>
      </c>
      <c r="U172" s="2">
        <v>45981.0</v>
      </c>
      <c r="V172" s="4">
        <v>46.0</v>
      </c>
      <c r="W172" s="4" t="s">
        <v>545</v>
      </c>
      <c r="X172" s="4">
        <v>2025.0</v>
      </c>
      <c r="Y172" s="4" t="s">
        <v>1680</v>
      </c>
      <c r="Z172" s="4"/>
      <c r="AA172" s="4" t="s">
        <v>558</v>
      </c>
      <c r="AB172" s="4" t="b">
        <v>0</v>
      </c>
      <c r="AC172" s="4" t="s">
        <v>567</v>
      </c>
      <c r="AD172" s="4" t="s">
        <v>537</v>
      </c>
    </row>
    <row r="173" ht="14.25" customHeight="1">
      <c r="A173" s="4">
        <v>8022536.0</v>
      </c>
      <c r="B173" s="2">
        <v>45997.1691550926</v>
      </c>
      <c r="C173" s="4">
        <v>7250031.0</v>
      </c>
      <c r="D173" s="4" t="s">
        <v>772</v>
      </c>
      <c r="E173" s="2">
        <v>45997.1694444444</v>
      </c>
      <c r="F173" s="4">
        <v>0.0</v>
      </c>
      <c r="G173" s="4">
        <v>0.0</v>
      </c>
      <c r="H173" s="4"/>
      <c r="I173" s="4"/>
      <c r="J173" s="4"/>
      <c r="K173" s="4"/>
      <c r="L173" s="4"/>
      <c r="M173" s="4" t="s">
        <v>1482</v>
      </c>
      <c r="N173" s="4" t="s">
        <v>1483</v>
      </c>
      <c r="O173" s="4" t="s">
        <v>1825</v>
      </c>
      <c r="P173" s="4" t="s">
        <v>1488</v>
      </c>
      <c r="Q173" s="4" t="s">
        <v>1826</v>
      </c>
      <c r="R173" s="4" t="b">
        <v>1</v>
      </c>
      <c r="S173" s="4" t="s">
        <v>1486</v>
      </c>
      <c r="T173" s="2">
        <v>45997.1708333333</v>
      </c>
      <c r="U173" s="2">
        <v>45997.0</v>
      </c>
      <c r="V173" s="4">
        <v>48.0</v>
      </c>
      <c r="W173" s="4" t="s">
        <v>550</v>
      </c>
      <c r="X173" s="4">
        <v>2025.0</v>
      </c>
      <c r="Y173" s="4" t="s">
        <v>1540</v>
      </c>
      <c r="Z173" s="4"/>
      <c r="AA173" s="4" t="s">
        <v>773</v>
      </c>
      <c r="AB173" s="4" t="b">
        <v>0</v>
      </c>
      <c r="AC173" s="4" t="s">
        <v>536</v>
      </c>
      <c r="AD173" s="4" t="s">
        <v>537</v>
      </c>
    </row>
    <row r="174" ht="14.25" customHeight="1">
      <c r="A174" s="4">
        <v>8025604.0</v>
      </c>
      <c r="B174" s="2">
        <v>45997.5719212963</v>
      </c>
      <c r="C174" s="4">
        <v>7253089.0</v>
      </c>
      <c r="D174" s="4" t="s">
        <v>774</v>
      </c>
      <c r="E174" s="2">
        <v>45997.5736111111</v>
      </c>
      <c r="F174" s="4">
        <v>1.0</v>
      </c>
      <c r="G174" s="4">
        <v>0.0</v>
      </c>
      <c r="H174" s="4" t="s">
        <v>1519</v>
      </c>
      <c r="I174" s="4" t="s">
        <v>1827</v>
      </c>
      <c r="J174" s="4" t="s">
        <v>1519</v>
      </c>
      <c r="K174" s="4" t="s">
        <v>1513</v>
      </c>
      <c r="L174" s="4" t="s">
        <v>1827</v>
      </c>
      <c r="M174" s="4" t="s">
        <v>1828</v>
      </c>
      <c r="N174" s="4" t="s">
        <v>540</v>
      </c>
      <c r="O174" s="4" t="s">
        <v>1829</v>
      </c>
      <c r="P174" s="4" t="s">
        <v>1605</v>
      </c>
      <c r="Q174" s="4" t="s">
        <v>1830</v>
      </c>
      <c r="R174" s="4" t="b">
        <v>0</v>
      </c>
      <c r="S174" s="4" t="s">
        <v>1486</v>
      </c>
      <c r="T174" s="2">
        <v>45997.575</v>
      </c>
      <c r="U174" s="2">
        <v>45997.0</v>
      </c>
      <c r="V174" s="4">
        <v>48.0</v>
      </c>
      <c r="W174" s="4" t="s">
        <v>550</v>
      </c>
      <c r="X174" s="4">
        <v>2025.0</v>
      </c>
      <c r="Y174" s="4" t="s">
        <v>1518</v>
      </c>
      <c r="Z174" s="4" t="s">
        <v>557</v>
      </c>
      <c r="AA174" s="4" t="s">
        <v>558</v>
      </c>
      <c r="AB174" s="4" t="b">
        <v>0</v>
      </c>
      <c r="AC174" s="4" t="s">
        <v>536</v>
      </c>
      <c r="AD174" s="4" t="s">
        <v>537</v>
      </c>
    </row>
    <row r="175" ht="14.25" customHeight="1">
      <c r="A175" s="4">
        <v>8026564.0</v>
      </c>
      <c r="B175" s="2">
        <v>45997.6736226852</v>
      </c>
      <c r="C175" s="4">
        <v>7254048.0</v>
      </c>
      <c r="D175" s="4" t="s">
        <v>775</v>
      </c>
      <c r="E175" s="2">
        <v>45997.6770833333</v>
      </c>
      <c r="F175" s="4">
        <v>1.0</v>
      </c>
      <c r="G175" s="4">
        <v>0.0</v>
      </c>
      <c r="H175" s="4"/>
      <c r="I175" s="4"/>
      <c r="J175" s="4" t="s">
        <v>1480</v>
      </c>
      <c r="K175" s="4" t="s">
        <v>1480</v>
      </c>
      <c r="L175" s="4" t="s">
        <v>1481</v>
      </c>
      <c r="M175" s="4" t="s">
        <v>1482</v>
      </c>
      <c r="N175" s="4" t="s">
        <v>540</v>
      </c>
      <c r="O175" s="4" t="s">
        <v>1483</v>
      </c>
      <c r="P175" s="4" t="s">
        <v>1635</v>
      </c>
      <c r="Q175" s="4" t="s">
        <v>1831</v>
      </c>
      <c r="R175" s="4" t="b">
        <v>0</v>
      </c>
      <c r="S175" s="4" t="s">
        <v>1486</v>
      </c>
      <c r="T175" s="2">
        <v>45997.6798611111</v>
      </c>
      <c r="U175" s="2">
        <v>45997.0</v>
      </c>
      <c r="V175" s="4">
        <v>48.0</v>
      </c>
      <c r="W175" s="4" t="s">
        <v>550</v>
      </c>
      <c r="X175" s="4">
        <v>2025.0</v>
      </c>
      <c r="Y175" s="4" t="s">
        <v>1487</v>
      </c>
      <c r="Z175" s="4"/>
      <c r="AA175" s="4" t="s">
        <v>558</v>
      </c>
      <c r="AB175" s="4" t="b">
        <v>1</v>
      </c>
      <c r="AC175" s="4" t="s">
        <v>599</v>
      </c>
      <c r="AD175" s="4" t="s">
        <v>537</v>
      </c>
    </row>
    <row r="176" ht="14.25" customHeight="1">
      <c r="A176" s="4">
        <v>8026564.0</v>
      </c>
      <c r="B176" s="2">
        <v>45997.6736226852</v>
      </c>
      <c r="C176" s="4">
        <v>7254048.0</v>
      </c>
      <c r="D176" s="4" t="s">
        <v>776</v>
      </c>
      <c r="E176" s="2">
        <v>45997.6784722222</v>
      </c>
      <c r="F176" s="4">
        <v>1.0</v>
      </c>
      <c r="G176" s="4">
        <v>0.0</v>
      </c>
      <c r="H176" s="4"/>
      <c r="I176" s="4"/>
      <c r="J176" s="4" t="s">
        <v>1480</v>
      </c>
      <c r="K176" s="4" t="s">
        <v>1480</v>
      </c>
      <c r="L176" s="4" t="s">
        <v>1481</v>
      </c>
      <c r="M176" s="4" t="s">
        <v>1482</v>
      </c>
      <c r="N176" s="4" t="s">
        <v>540</v>
      </c>
      <c r="O176" s="4" t="s">
        <v>1483</v>
      </c>
      <c r="P176" s="4" t="s">
        <v>1635</v>
      </c>
      <c r="Q176" s="4" t="s">
        <v>1831</v>
      </c>
      <c r="R176" s="4" t="b">
        <v>0</v>
      </c>
      <c r="S176" s="4" t="s">
        <v>1486</v>
      </c>
      <c r="T176" s="2">
        <v>45997.6798611111</v>
      </c>
      <c r="U176" s="2">
        <v>45997.0</v>
      </c>
      <c r="V176" s="4">
        <v>48.0</v>
      </c>
      <c r="W176" s="4" t="s">
        <v>550</v>
      </c>
      <c r="X176" s="4">
        <v>2025.0</v>
      </c>
      <c r="Y176" s="4" t="s">
        <v>1487</v>
      </c>
      <c r="Z176" s="4"/>
      <c r="AA176" s="4" t="s">
        <v>558</v>
      </c>
      <c r="AB176" s="4" t="b">
        <v>0</v>
      </c>
      <c r="AC176" s="4" t="s">
        <v>599</v>
      </c>
      <c r="AD176" s="4" t="s">
        <v>537</v>
      </c>
    </row>
    <row r="177" ht="14.25" customHeight="1">
      <c r="A177" s="4">
        <v>8027597.0</v>
      </c>
      <c r="B177" s="2">
        <v>45997.7763194444</v>
      </c>
      <c r="C177" s="4">
        <v>7255075.0</v>
      </c>
      <c r="D177" s="4" t="s">
        <v>777</v>
      </c>
      <c r="E177" s="2">
        <v>45997.7888888889</v>
      </c>
      <c r="F177" s="4">
        <v>1.0</v>
      </c>
      <c r="G177" s="4">
        <v>0.0</v>
      </c>
      <c r="H177" s="4"/>
      <c r="I177" s="4"/>
      <c r="J177" s="4" t="s">
        <v>1480</v>
      </c>
      <c r="K177" s="4" t="s">
        <v>1480</v>
      </c>
      <c r="L177" s="4" t="s">
        <v>1481</v>
      </c>
      <c r="M177" s="4" t="s">
        <v>1482</v>
      </c>
      <c r="N177" s="4" t="s">
        <v>540</v>
      </c>
      <c r="O177" s="4" t="s">
        <v>1483</v>
      </c>
      <c r="P177" s="4" t="s">
        <v>1488</v>
      </c>
      <c r="Q177" s="4" t="s">
        <v>1832</v>
      </c>
      <c r="R177" s="4" t="b">
        <v>0</v>
      </c>
      <c r="S177" s="4" t="s">
        <v>1486</v>
      </c>
      <c r="T177" s="2">
        <v>45997.7902777778</v>
      </c>
      <c r="U177" s="2">
        <v>45997.0</v>
      </c>
      <c r="V177" s="4">
        <v>48.0</v>
      </c>
      <c r="W177" s="4" t="s">
        <v>550</v>
      </c>
      <c r="X177" s="4">
        <v>2025.0</v>
      </c>
      <c r="Y177" s="4" t="s">
        <v>1487</v>
      </c>
      <c r="Z177" s="4" t="s">
        <v>541</v>
      </c>
      <c r="AA177" s="4" t="s">
        <v>546</v>
      </c>
      <c r="AB177" s="4" t="b">
        <v>0</v>
      </c>
      <c r="AC177" s="4" t="s">
        <v>536</v>
      </c>
      <c r="AD177" s="4" t="s">
        <v>537</v>
      </c>
    </row>
    <row r="178" ht="14.25" customHeight="1">
      <c r="A178" s="4">
        <v>8028307.0</v>
      </c>
      <c r="B178" s="2">
        <v>45997.8529976852</v>
      </c>
      <c r="C178" s="4">
        <v>7255782.0</v>
      </c>
      <c r="D178" s="4" t="s">
        <v>779</v>
      </c>
      <c r="E178" s="2">
        <v>45997.8583333333</v>
      </c>
      <c r="F178" s="4">
        <v>1.0</v>
      </c>
      <c r="G178" s="4">
        <v>0.0</v>
      </c>
      <c r="H178" s="4" t="s">
        <v>1685</v>
      </c>
      <c r="I178" s="4" t="s">
        <v>1686</v>
      </c>
      <c r="J178" s="4" t="s">
        <v>1685</v>
      </c>
      <c r="K178" s="4" t="s">
        <v>1513</v>
      </c>
      <c r="L178" s="4" t="s">
        <v>1686</v>
      </c>
      <c r="M178" s="4" t="s">
        <v>1687</v>
      </c>
      <c r="N178" s="4" t="s">
        <v>1833</v>
      </c>
      <c r="O178" s="4" t="s">
        <v>1834</v>
      </c>
      <c r="P178" s="4" t="s">
        <v>1835</v>
      </c>
      <c r="Q178" s="4" t="s">
        <v>1836</v>
      </c>
      <c r="R178" s="4" t="b">
        <v>0</v>
      </c>
      <c r="S178" s="4" t="s">
        <v>1486</v>
      </c>
      <c r="T178" s="2">
        <v>45997.8597222222</v>
      </c>
      <c r="U178" s="2">
        <v>45997.0</v>
      </c>
      <c r="V178" s="4">
        <v>48.0</v>
      </c>
      <c r="W178" s="4" t="s">
        <v>550</v>
      </c>
      <c r="X178" s="4">
        <v>2025.0</v>
      </c>
      <c r="Y178" s="4" t="s">
        <v>1518</v>
      </c>
      <c r="Z178" s="4" t="s">
        <v>557</v>
      </c>
      <c r="AA178" s="4" t="s">
        <v>558</v>
      </c>
      <c r="AB178" s="4" t="b">
        <v>0</v>
      </c>
      <c r="AC178" s="4" t="s">
        <v>536</v>
      </c>
      <c r="AD178" s="4" t="s">
        <v>537</v>
      </c>
    </row>
    <row r="179" ht="14.25" customHeight="1">
      <c r="A179" s="4">
        <v>8028897.0</v>
      </c>
      <c r="B179" s="2">
        <v>45997.9190162037</v>
      </c>
      <c r="C179" s="4">
        <v>7256372.0</v>
      </c>
      <c r="D179" s="4" t="s">
        <v>781</v>
      </c>
      <c r="E179" s="2">
        <v>45997.9208333333</v>
      </c>
      <c r="F179" s="4">
        <v>1.0</v>
      </c>
      <c r="G179" s="4">
        <v>0.0</v>
      </c>
      <c r="H179" s="4"/>
      <c r="I179" s="4"/>
      <c r="J179" s="4" t="s">
        <v>1480</v>
      </c>
      <c r="K179" s="4" t="s">
        <v>1480</v>
      </c>
      <c r="L179" s="4" t="s">
        <v>1481</v>
      </c>
      <c r="M179" s="4" t="s">
        <v>1482</v>
      </c>
      <c r="N179" s="4" t="s">
        <v>540</v>
      </c>
      <c r="O179" s="4" t="s">
        <v>1483</v>
      </c>
      <c r="P179" s="4" t="s">
        <v>1627</v>
      </c>
      <c r="Q179" s="4" t="s">
        <v>1837</v>
      </c>
      <c r="R179" s="4" t="b">
        <v>0</v>
      </c>
      <c r="S179" s="4" t="s">
        <v>1486</v>
      </c>
      <c r="T179" s="2">
        <v>45997.9222222222</v>
      </c>
      <c r="U179" s="2">
        <v>45997.0</v>
      </c>
      <c r="V179" s="4">
        <v>48.0</v>
      </c>
      <c r="W179" s="4" t="s">
        <v>550</v>
      </c>
      <c r="X179" s="4">
        <v>2025.0</v>
      </c>
      <c r="Y179" s="4" t="s">
        <v>1487</v>
      </c>
      <c r="Z179" s="4" t="s">
        <v>557</v>
      </c>
      <c r="AA179" s="4" t="s">
        <v>558</v>
      </c>
      <c r="AB179" s="4" t="b">
        <v>0</v>
      </c>
      <c r="AC179" s="4" t="s">
        <v>536</v>
      </c>
      <c r="AD179" s="4" t="s">
        <v>537</v>
      </c>
    </row>
    <row r="180" ht="14.25" customHeight="1">
      <c r="A180" s="4">
        <v>8029016.0</v>
      </c>
      <c r="B180" s="2">
        <v>45997.9342824074</v>
      </c>
      <c r="C180" s="4">
        <v>7256490.0</v>
      </c>
      <c r="D180" s="4" t="s">
        <v>783</v>
      </c>
      <c r="E180" s="2">
        <v>45997.9347222222</v>
      </c>
      <c r="F180" s="4">
        <v>1.0</v>
      </c>
      <c r="G180" s="4">
        <v>0.0</v>
      </c>
      <c r="H180" s="4"/>
      <c r="I180" s="4"/>
      <c r="J180" s="4" t="s">
        <v>1526</v>
      </c>
      <c r="K180" s="4" t="s">
        <v>1527</v>
      </c>
      <c r="L180" s="4" t="s">
        <v>1528</v>
      </c>
      <c r="M180" s="4" t="s">
        <v>1482</v>
      </c>
      <c r="N180" s="4" t="s">
        <v>1529</v>
      </c>
      <c r="O180" s="4" t="s">
        <v>1530</v>
      </c>
      <c r="P180" s="4" t="s">
        <v>1488</v>
      </c>
      <c r="Q180" s="4" t="s">
        <v>1838</v>
      </c>
      <c r="R180" s="4" t="b">
        <v>0</v>
      </c>
      <c r="S180" s="4" t="s">
        <v>1486</v>
      </c>
      <c r="T180" s="2">
        <v>45997.9361111111</v>
      </c>
      <c r="U180" s="2">
        <v>45997.0</v>
      </c>
      <c r="V180" s="4">
        <v>48.0</v>
      </c>
      <c r="W180" s="4" t="s">
        <v>550</v>
      </c>
      <c r="X180" s="4">
        <v>2025.0</v>
      </c>
      <c r="Y180" s="4" t="s">
        <v>1532</v>
      </c>
      <c r="Z180" s="4" t="s">
        <v>557</v>
      </c>
      <c r="AA180" s="4" t="s">
        <v>558</v>
      </c>
      <c r="AB180" s="4" t="b">
        <v>0</v>
      </c>
      <c r="AC180" s="4" t="s">
        <v>536</v>
      </c>
      <c r="AD180" s="4" t="s">
        <v>537</v>
      </c>
    </row>
    <row r="181" ht="14.25" customHeight="1">
      <c r="A181" s="4">
        <v>8029919.0</v>
      </c>
      <c r="B181" s="2">
        <v>45998.0425347222</v>
      </c>
      <c r="C181" s="4">
        <v>7257392.0</v>
      </c>
      <c r="D181" s="4" t="s">
        <v>784</v>
      </c>
      <c r="E181" s="2">
        <v>45998.0423611111</v>
      </c>
      <c r="F181" s="4">
        <v>0.0</v>
      </c>
      <c r="G181" s="4">
        <v>0.0</v>
      </c>
      <c r="H181" s="4"/>
      <c r="I181" s="4"/>
      <c r="J181" s="4"/>
      <c r="K181" s="4"/>
      <c r="L181" s="4"/>
      <c r="M181" s="4" t="s">
        <v>1482</v>
      </c>
      <c r="N181" s="4" t="s">
        <v>1839</v>
      </c>
      <c r="O181" s="4" t="s">
        <v>1840</v>
      </c>
      <c r="P181" s="4" t="s">
        <v>1605</v>
      </c>
      <c r="Q181" s="4" t="s">
        <v>1841</v>
      </c>
      <c r="R181" s="4" t="b">
        <v>1</v>
      </c>
      <c r="S181" s="4" t="s">
        <v>1486</v>
      </c>
      <c r="T181" s="2">
        <v>45998.04375</v>
      </c>
      <c r="U181" s="2">
        <v>45998.0</v>
      </c>
      <c r="V181" s="4">
        <v>48.0</v>
      </c>
      <c r="W181" s="4" t="s">
        <v>550</v>
      </c>
      <c r="X181" s="4">
        <v>2025.0</v>
      </c>
      <c r="Y181" s="4" t="s">
        <v>1540</v>
      </c>
      <c r="Z181" s="4"/>
      <c r="AA181" s="4" t="s">
        <v>558</v>
      </c>
      <c r="AB181" s="4" t="b">
        <v>0</v>
      </c>
      <c r="AC181" s="4" t="s">
        <v>536</v>
      </c>
      <c r="AD181" s="4" t="s">
        <v>537</v>
      </c>
    </row>
    <row r="182" ht="14.25" customHeight="1">
      <c r="A182" s="4">
        <v>8030912.0</v>
      </c>
      <c r="B182" s="2">
        <v>45998.1521180556</v>
      </c>
      <c r="C182" s="4">
        <v>7258384.0</v>
      </c>
      <c r="D182" s="4" t="s">
        <v>785</v>
      </c>
      <c r="E182" s="2">
        <v>45998.1520833333</v>
      </c>
      <c r="F182" s="4">
        <v>1.0</v>
      </c>
      <c r="G182" s="4">
        <v>0.0</v>
      </c>
      <c r="H182" s="4"/>
      <c r="I182" s="4"/>
      <c r="J182" s="4" t="s">
        <v>1480</v>
      </c>
      <c r="K182" s="4" t="s">
        <v>1480</v>
      </c>
      <c r="L182" s="4" t="s">
        <v>1481</v>
      </c>
      <c r="M182" s="4" t="s">
        <v>1482</v>
      </c>
      <c r="N182" s="4" t="s">
        <v>540</v>
      </c>
      <c r="O182" s="4" t="s">
        <v>1842</v>
      </c>
      <c r="P182" s="4" t="s">
        <v>1674</v>
      </c>
      <c r="Q182" s="4" t="s">
        <v>1843</v>
      </c>
      <c r="R182" s="4" t="b">
        <v>0</v>
      </c>
      <c r="S182" s="4" t="s">
        <v>1486</v>
      </c>
      <c r="T182" s="2">
        <v>45998.1534722222</v>
      </c>
      <c r="U182" s="2">
        <v>45998.0</v>
      </c>
      <c r="V182" s="4">
        <v>48.0</v>
      </c>
      <c r="W182" s="4" t="s">
        <v>550</v>
      </c>
      <c r="X182" s="4">
        <v>2025.0</v>
      </c>
      <c r="Y182" s="4" t="s">
        <v>1487</v>
      </c>
      <c r="Z182" s="4"/>
      <c r="AA182" s="4" t="s">
        <v>786</v>
      </c>
      <c r="AB182" s="4" t="b">
        <v>0</v>
      </c>
      <c r="AC182" s="4" t="s">
        <v>599</v>
      </c>
      <c r="AD182" s="4" t="s">
        <v>537</v>
      </c>
    </row>
    <row r="183" ht="14.25" customHeight="1">
      <c r="A183" s="4">
        <v>8031843.0</v>
      </c>
      <c r="B183" s="2">
        <v>45998.2489930556</v>
      </c>
      <c r="C183" s="4">
        <v>7259314.0</v>
      </c>
      <c r="D183" s="4" t="s">
        <v>787</v>
      </c>
      <c r="E183" s="2">
        <v>45998.2541666667</v>
      </c>
      <c r="F183" s="4">
        <v>1.0</v>
      </c>
      <c r="G183" s="4">
        <v>0.0</v>
      </c>
      <c r="H183" s="4"/>
      <c r="I183" s="4"/>
      <c r="J183" s="4" t="s">
        <v>1480</v>
      </c>
      <c r="K183" s="4" t="s">
        <v>1480</v>
      </c>
      <c r="L183" s="4" t="s">
        <v>1481</v>
      </c>
      <c r="M183" s="4" t="s">
        <v>1482</v>
      </c>
      <c r="N183" s="4" t="s">
        <v>540</v>
      </c>
      <c r="O183" s="4" t="s">
        <v>1483</v>
      </c>
      <c r="P183" s="4" t="s">
        <v>1506</v>
      </c>
      <c r="Q183" s="4" t="s">
        <v>1844</v>
      </c>
      <c r="R183" s="4" t="b">
        <v>0</v>
      </c>
      <c r="S183" s="4" t="s">
        <v>1486</v>
      </c>
      <c r="T183" s="2">
        <v>45998.2555555556</v>
      </c>
      <c r="U183" s="2">
        <v>45998.0</v>
      </c>
      <c r="V183" s="4">
        <v>48.0</v>
      </c>
      <c r="W183" s="4" t="s">
        <v>550</v>
      </c>
      <c r="X183" s="4">
        <v>2025.0</v>
      </c>
      <c r="Y183" s="4" t="s">
        <v>1487</v>
      </c>
      <c r="Z183" s="4" t="s">
        <v>557</v>
      </c>
      <c r="AA183" s="4" t="s">
        <v>558</v>
      </c>
      <c r="AB183" s="4" t="b">
        <v>0</v>
      </c>
      <c r="AC183" s="4" t="s">
        <v>536</v>
      </c>
      <c r="AD183" s="4" t="s">
        <v>537</v>
      </c>
    </row>
    <row r="184" ht="14.25" customHeight="1">
      <c r="A184" s="4">
        <v>8027282.0</v>
      </c>
      <c r="B184" s="2">
        <v>45997.7379513889</v>
      </c>
      <c r="C184" s="4">
        <v>7254761.0</v>
      </c>
      <c r="D184" s="4" t="s">
        <v>789</v>
      </c>
      <c r="E184" s="2">
        <v>45998.4729166667</v>
      </c>
      <c r="F184" s="4">
        <v>0.5</v>
      </c>
      <c r="G184" s="4">
        <v>0.0</v>
      </c>
      <c r="H184" s="4"/>
      <c r="I184" s="4"/>
      <c r="J184" s="4" t="s">
        <v>1480</v>
      </c>
      <c r="K184" s="4" t="s">
        <v>1480</v>
      </c>
      <c r="L184" s="4" t="s">
        <v>1511</v>
      </c>
      <c r="M184" s="4" t="s">
        <v>1482</v>
      </c>
      <c r="N184" s="4" t="s">
        <v>653</v>
      </c>
      <c r="O184" s="4" t="s">
        <v>1557</v>
      </c>
      <c r="P184" s="4" t="s">
        <v>1845</v>
      </c>
      <c r="Q184" s="4" t="s">
        <v>1846</v>
      </c>
      <c r="R184" s="4" t="b">
        <v>0</v>
      </c>
      <c r="S184" s="4" t="s">
        <v>1486</v>
      </c>
      <c r="T184" s="2">
        <v>46001.6118055556</v>
      </c>
      <c r="U184" s="2">
        <v>45997.0</v>
      </c>
      <c r="V184" s="4">
        <v>48.0</v>
      </c>
      <c r="W184" s="4" t="s">
        <v>550</v>
      </c>
      <c r="X184" s="4">
        <v>2025.0</v>
      </c>
      <c r="Y184" s="4" t="s">
        <v>1680</v>
      </c>
      <c r="Z184" s="4"/>
      <c r="AA184" s="4" t="s">
        <v>558</v>
      </c>
      <c r="AB184" s="4" t="b">
        <v>1</v>
      </c>
      <c r="AC184" s="4" t="s">
        <v>554</v>
      </c>
      <c r="AD184" s="4" t="s">
        <v>537</v>
      </c>
    </row>
    <row r="185" ht="14.25" customHeight="1">
      <c r="A185" s="4">
        <v>8034195.0</v>
      </c>
      <c r="B185" s="2">
        <v>45998.4709027778</v>
      </c>
      <c r="C185" s="4">
        <v>7254761.0</v>
      </c>
      <c r="D185" s="4" t="s">
        <v>789</v>
      </c>
      <c r="E185" s="2">
        <v>45998.4729166667</v>
      </c>
      <c r="F185" s="4">
        <v>0.5</v>
      </c>
      <c r="G185" s="4">
        <v>0.0</v>
      </c>
      <c r="H185" s="4" t="s">
        <v>1511</v>
      </c>
      <c r="I185" s="4" t="s">
        <v>1847</v>
      </c>
      <c r="J185" s="4" t="s">
        <v>1511</v>
      </c>
      <c r="K185" s="4" t="s">
        <v>1513</v>
      </c>
      <c r="L185" s="4" t="s">
        <v>1847</v>
      </c>
      <c r="M185" s="4" t="s">
        <v>1534</v>
      </c>
      <c r="N185" s="4" t="s">
        <v>653</v>
      </c>
      <c r="O185" s="4" t="s">
        <v>1848</v>
      </c>
      <c r="P185" s="4" t="s">
        <v>1845</v>
      </c>
      <c r="Q185" s="4" t="s">
        <v>1846</v>
      </c>
      <c r="R185" s="4" t="b">
        <v>0</v>
      </c>
      <c r="S185" s="4" t="s">
        <v>1486</v>
      </c>
      <c r="T185" s="2">
        <v>46001.6118055556</v>
      </c>
      <c r="U185" s="2">
        <v>45998.0</v>
      </c>
      <c r="V185" s="4">
        <v>48.0</v>
      </c>
      <c r="W185" s="4" t="s">
        <v>550</v>
      </c>
      <c r="X185" s="4">
        <v>2025.0</v>
      </c>
      <c r="Y185" s="4" t="s">
        <v>1518</v>
      </c>
      <c r="Z185" s="4"/>
      <c r="AA185" s="4" t="s">
        <v>558</v>
      </c>
      <c r="AB185" s="4" t="b">
        <v>1</v>
      </c>
      <c r="AC185" s="4" t="s">
        <v>554</v>
      </c>
      <c r="AD185" s="4" t="s">
        <v>537</v>
      </c>
    </row>
    <row r="186" ht="14.25" customHeight="1">
      <c r="A186" s="4">
        <v>8034257.0</v>
      </c>
      <c r="B186" s="2">
        <v>45998.4765509259</v>
      </c>
      <c r="C186" s="4">
        <v>7261719.0</v>
      </c>
      <c r="D186" s="4" t="s">
        <v>790</v>
      </c>
      <c r="E186" s="2">
        <v>45998.4826388889</v>
      </c>
      <c r="F186" s="4">
        <v>1.0</v>
      </c>
      <c r="G186" s="4">
        <v>0.0</v>
      </c>
      <c r="H186" s="4"/>
      <c r="I186" s="4"/>
      <c r="J186" s="4" t="s">
        <v>1526</v>
      </c>
      <c r="K186" s="4" t="s">
        <v>1527</v>
      </c>
      <c r="L186" s="4" t="s">
        <v>1528</v>
      </c>
      <c r="M186" s="4" t="s">
        <v>1482</v>
      </c>
      <c r="N186" s="4" t="s">
        <v>1529</v>
      </c>
      <c r="O186" s="4" t="s">
        <v>1849</v>
      </c>
      <c r="P186" s="4" t="s">
        <v>1488</v>
      </c>
      <c r="Q186" s="4" t="s">
        <v>1850</v>
      </c>
      <c r="R186" s="4" t="b">
        <v>0</v>
      </c>
      <c r="S186" s="4" t="s">
        <v>1486</v>
      </c>
      <c r="T186" s="2">
        <v>46021.4715277778</v>
      </c>
      <c r="U186" s="2">
        <v>45998.0</v>
      </c>
      <c r="V186" s="4">
        <v>48.0</v>
      </c>
      <c r="W186" s="4" t="s">
        <v>550</v>
      </c>
      <c r="X186" s="4">
        <v>2025.0</v>
      </c>
      <c r="Y186" s="4" t="s">
        <v>1532</v>
      </c>
      <c r="Z186" s="4" t="s">
        <v>791</v>
      </c>
      <c r="AA186" s="4" t="s">
        <v>792</v>
      </c>
      <c r="AB186" s="4" t="b">
        <v>1</v>
      </c>
      <c r="AC186" s="4" t="s">
        <v>536</v>
      </c>
      <c r="AD186" s="4" t="s">
        <v>537</v>
      </c>
    </row>
    <row r="187" ht="14.25" customHeight="1">
      <c r="A187" s="4">
        <v>8012688.0</v>
      </c>
      <c r="B187" s="2">
        <v>45995.8996180556</v>
      </c>
      <c r="C187" s="4">
        <v>7240248.0</v>
      </c>
      <c r="D187" s="4" t="s">
        <v>793</v>
      </c>
      <c r="E187" s="2">
        <v>45998.4979166667</v>
      </c>
      <c r="F187" s="4">
        <v>1.0</v>
      </c>
      <c r="G187" s="4">
        <v>0.0</v>
      </c>
      <c r="H187" s="4"/>
      <c r="I187" s="4"/>
      <c r="J187" s="4" t="s">
        <v>1480</v>
      </c>
      <c r="K187" s="4" t="s">
        <v>1480</v>
      </c>
      <c r="L187" s="4" t="s">
        <v>1511</v>
      </c>
      <c r="M187" s="4" t="s">
        <v>1482</v>
      </c>
      <c r="N187" s="4" t="s">
        <v>653</v>
      </c>
      <c r="O187" s="4" t="s">
        <v>1483</v>
      </c>
      <c r="P187" s="4" t="s">
        <v>1496</v>
      </c>
      <c r="Q187" s="4" t="s">
        <v>1851</v>
      </c>
      <c r="R187" s="4" t="b">
        <v>0</v>
      </c>
      <c r="S187" s="4" t="s">
        <v>1486</v>
      </c>
      <c r="T187" s="2">
        <v>45998.4993055556</v>
      </c>
      <c r="U187" s="2">
        <v>45995.0</v>
      </c>
      <c r="V187" s="4">
        <v>48.0</v>
      </c>
      <c r="W187" s="4" t="s">
        <v>550</v>
      </c>
      <c r="X187" s="4">
        <v>2025.0</v>
      </c>
      <c r="Y187" s="4" t="s">
        <v>1680</v>
      </c>
      <c r="Z187" s="4" t="s">
        <v>557</v>
      </c>
      <c r="AA187" s="4" t="s">
        <v>558</v>
      </c>
      <c r="AB187" s="4" t="b">
        <v>0</v>
      </c>
      <c r="AC187" s="4" t="s">
        <v>536</v>
      </c>
      <c r="AD187" s="4" t="s">
        <v>537</v>
      </c>
    </row>
    <row r="188" ht="14.25" customHeight="1">
      <c r="A188" s="4">
        <v>8037057.0</v>
      </c>
      <c r="B188" s="2">
        <v>45998.7029861111</v>
      </c>
      <c r="C188" s="4">
        <v>7264509.0</v>
      </c>
      <c r="D188" s="4" t="s">
        <v>794</v>
      </c>
      <c r="E188" s="2">
        <v>45998.7180555556</v>
      </c>
      <c r="F188" s="4">
        <v>1.0</v>
      </c>
      <c r="G188" s="4">
        <v>0.0</v>
      </c>
      <c r="H188" s="4"/>
      <c r="I188" s="4"/>
      <c r="J188" s="4" t="s">
        <v>1480</v>
      </c>
      <c r="K188" s="4" t="s">
        <v>1480</v>
      </c>
      <c r="L188" s="4" t="s">
        <v>1481</v>
      </c>
      <c r="M188" s="4" t="s">
        <v>1482</v>
      </c>
      <c r="N188" s="4" t="s">
        <v>540</v>
      </c>
      <c r="O188" s="4" t="s">
        <v>1483</v>
      </c>
      <c r="P188" s="4" t="s">
        <v>1852</v>
      </c>
      <c r="Q188" s="4" t="s">
        <v>1853</v>
      </c>
      <c r="R188" s="4" t="b">
        <v>0</v>
      </c>
      <c r="S188" s="4" t="s">
        <v>1486</v>
      </c>
      <c r="T188" s="2">
        <v>45998.7194444444</v>
      </c>
      <c r="U188" s="2">
        <v>45998.0</v>
      </c>
      <c r="V188" s="4">
        <v>48.0</v>
      </c>
      <c r="W188" s="4" t="s">
        <v>550</v>
      </c>
      <c r="X188" s="4">
        <v>2025.0</v>
      </c>
      <c r="Y188" s="4" t="s">
        <v>1487</v>
      </c>
      <c r="Z188" s="4" t="s">
        <v>795</v>
      </c>
      <c r="AA188" s="4" t="s">
        <v>649</v>
      </c>
      <c r="AB188" s="4" t="b">
        <v>0</v>
      </c>
      <c r="AC188" s="4" t="s">
        <v>623</v>
      </c>
      <c r="AD188" s="4" t="s">
        <v>537</v>
      </c>
    </row>
    <row r="189" ht="14.25" customHeight="1">
      <c r="A189" s="4">
        <v>8012498.0</v>
      </c>
      <c r="B189" s="2">
        <v>45995.867337963</v>
      </c>
      <c r="C189" s="4">
        <v>7240059.0</v>
      </c>
      <c r="D189" s="4" t="s">
        <v>796</v>
      </c>
      <c r="E189" s="2">
        <v>45998.7576388889</v>
      </c>
      <c r="F189" s="4">
        <v>1.0</v>
      </c>
      <c r="G189" s="4">
        <v>0.0</v>
      </c>
      <c r="H189" s="4"/>
      <c r="I189" s="4"/>
      <c r="J189" s="4" t="s">
        <v>1480</v>
      </c>
      <c r="K189" s="4" t="s">
        <v>1480</v>
      </c>
      <c r="L189" s="4" t="s">
        <v>1481</v>
      </c>
      <c r="M189" s="4" t="s">
        <v>1482</v>
      </c>
      <c r="N189" s="4" t="s">
        <v>540</v>
      </c>
      <c r="O189" s="4" t="s">
        <v>1483</v>
      </c>
      <c r="P189" s="4" t="s">
        <v>1488</v>
      </c>
      <c r="Q189" s="4" t="s">
        <v>1854</v>
      </c>
      <c r="R189" s="4" t="b">
        <v>0</v>
      </c>
      <c r="S189" s="4" t="s">
        <v>1486</v>
      </c>
      <c r="T189" s="2">
        <v>45998.7590277778</v>
      </c>
      <c r="U189" s="2">
        <v>45995.0</v>
      </c>
      <c r="V189" s="4">
        <v>48.0</v>
      </c>
      <c r="W189" s="4" t="s">
        <v>550</v>
      </c>
      <c r="X189" s="4">
        <v>2025.0</v>
      </c>
      <c r="Y189" s="4" t="s">
        <v>1487</v>
      </c>
      <c r="Z189" s="4" t="s">
        <v>557</v>
      </c>
      <c r="AA189" s="4" t="s">
        <v>558</v>
      </c>
      <c r="AB189" s="4" t="b">
        <v>0</v>
      </c>
      <c r="AC189" s="4" t="s">
        <v>536</v>
      </c>
      <c r="AD189" s="4" t="s">
        <v>537</v>
      </c>
    </row>
    <row r="190" ht="14.25" customHeight="1">
      <c r="A190" s="4">
        <v>8037865.0</v>
      </c>
      <c r="B190" s="2">
        <v>45998.7678935185</v>
      </c>
      <c r="C190" s="4">
        <v>7265317.0</v>
      </c>
      <c r="D190" s="4" t="s">
        <v>797</v>
      </c>
      <c r="E190" s="2">
        <v>45998.7715277778</v>
      </c>
      <c r="F190" s="4">
        <v>1.0</v>
      </c>
      <c r="G190" s="4">
        <v>0.0</v>
      </c>
      <c r="H190" s="4"/>
      <c r="I190" s="4"/>
      <c r="J190" s="4" t="s">
        <v>1480</v>
      </c>
      <c r="K190" s="4" t="s">
        <v>1480</v>
      </c>
      <c r="L190" s="4"/>
      <c r="M190" s="4" t="s">
        <v>1482</v>
      </c>
      <c r="N190" s="4" t="s">
        <v>798</v>
      </c>
      <c r="O190" s="4" t="s">
        <v>1729</v>
      </c>
      <c r="P190" s="4" t="s">
        <v>1855</v>
      </c>
      <c r="Q190" s="4" t="s">
        <v>1856</v>
      </c>
      <c r="R190" s="4" t="b">
        <v>0</v>
      </c>
      <c r="S190" s="4" t="s">
        <v>1486</v>
      </c>
      <c r="T190" s="2">
        <v>45998.7729166667</v>
      </c>
      <c r="U190" s="2">
        <v>45998.0</v>
      </c>
      <c r="V190" s="4">
        <v>48.0</v>
      </c>
      <c r="W190" s="4" t="s">
        <v>550</v>
      </c>
      <c r="X190" s="4">
        <v>2025.0</v>
      </c>
      <c r="Y190" s="4" t="s">
        <v>1857</v>
      </c>
      <c r="Z190" s="4"/>
      <c r="AA190" s="4" t="s">
        <v>799</v>
      </c>
      <c r="AB190" s="4" t="b">
        <v>0</v>
      </c>
      <c r="AC190" s="4" t="s">
        <v>536</v>
      </c>
      <c r="AD190" s="4" t="s">
        <v>537</v>
      </c>
    </row>
    <row r="191" ht="14.25" customHeight="1">
      <c r="A191" s="4">
        <v>8037951.0</v>
      </c>
      <c r="B191" s="2">
        <v>45998.7761226852</v>
      </c>
      <c r="C191" s="4">
        <v>7265403.0</v>
      </c>
      <c r="D191" s="4" t="s">
        <v>800</v>
      </c>
      <c r="E191" s="2">
        <v>45998.7763888889</v>
      </c>
      <c r="F191" s="4">
        <v>1.0</v>
      </c>
      <c r="G191" s="4">
        <v>0.0</v>
      </c>
      <c r="H191" s="4" t="s">
        <v>1519</v>
      </c>
      <c r="I191" s="4" t="s">
        <v>1858</v>
      </c>
      <c r="J191" s="4" t="s">
        <v>1519</v>
      </c>
      <c r="K191" s="4" t="s">
        <v>1513</v>
      </c>
      <c r="L191" s="4" t="s">
        <v>1858</v>
      </c>
      <c r="M191" s="4" t="s">
        <v>1482</v>
      </c>
      <c r="N191" s="4" t="s">
        <v>540</v>
      </c>
      <c r="O191" s="4" t="s">
        <v>1859</v>
      </c>
      <c r="P191" s="4" t="s">
        <v>1674</v>
      </c>
      <c r="Q191" s="4" t="s">
        <v>1860</v>
      </c>
      <c r="R191" s="4" t="b">
        <v>0</v>
      </c>
      <c r="S191" s="4" t="s">
        <v>1486</v>
      </c>
      <c r="T191" s="2">
        <v>45998.7777777778</v>
      </c>
      <c r="U191" s="2">
        <v>45998.0</v>
      </c>
      <c r="V191" s="4">
        <v>48.0</v>
      </c>
      <c r="W191" s="4" t="s">
        <v>550</v>
      </c>
      <c r="X191" s="4">
        <v>2025.0</v>
      </c>
      <c r="Y191" s="4" t="s">
        <v>1518</v>
      </c>
      <c r="Z191" s="4"/>
      <c r="AA191" s="4" t="s">
        <v>558</v>
      </c>
      <c r="AB191" s="4" t="b">
        <v>0</v>
      </c>
      <c r="AC191" s="4" t="s">
        <v>599</v>
      </c>
      <c r="AD191" s="4" t="s">
        <v>537</v>
      </c>
    </row>
    <row r="192" ht="14.25" customHeight="1">
      <c r="A192" s="4">
        <v>8040809.0</v>
      </c>
      <c r="B192" s="2">
        <v>45999.0220601852</v>
      </c>
      <c r="C192" s="4">
        <v>7268249.0</v>
      </c>
      <c r="D192" s="4" t="s">
        <v>802</v>
      </c>
      <c r="E192" s="2">
        <v>45999.0243055556</v>
      </c>
      <c r="F192" s="4">
        <v>1.0</v>
      </c>
      <c r="G192" s="4">
        <v>0.0</v>
      </c>
      <c r="H192" s="4"/>
      <c r="I192" s="4"/>
      <c r="J192" s="4" t="s">
        <v>1480</v>
      </c>
      <c r="K192" s="4" t="s">
        <v>1480</v>
      </c>
      <c r="L192" s="4" t="s">
        <v>1511</v>
      </c>
      <c r="M192" s="4" t="s">
        <v>1482</v>
      </c>
      <c r="N192" s="4" t="s">
        <v>653</v>
      </c>
      <c r="O192" s="4" t="s">
        <v>1483</v>
      </c>
      <c r="P192" s="4" t="s">
        <v>1845</v>
      </c>
      <c r="Q192" s="4" t="s">
        <v>1861</v>
      </c>
      <c r="R192" s="4" t="b">
        <v>0</v>
      </c>
      <c r="S192" s="4" t="s">
        <v>1486</v>
      </c>
      <c r="T192" s="2">
        <v>45999.0256944444</v>
      </c>
      <c r="U192" s="2">
        <v>45999.0</v>
      </c>
      <c r="V192" s="4">
        <v>49.0</v>
      </c>
      <c r="W192" s="4" t="s">
        <v>550</v>
      </c>
      <c r="X192" s="4">
        <v>2025.0</v>
      </c>
      <c r="Y192" s="4" t="s">
        <v>1680</v>
      </c>
      <c r="Z192" s="4" t="s">
        <v>557</v>
      </c>
      <c r="AA192" s="4" t="s">
        <v>558</v>
      </c>
      <c r="AB192" s="4" t="b">
        <v>0</v>
      </c>
      <c r="AC192" s="4" t="s">
        <v>536</v>
      </c>
      <c r="AD192" s="4" t="s">
        <v>537</v>
      </c>
    </row>
    <row r="193" ht="14.25" customHeight="1">
      <c r="A193" s="4">
        <v>8044422.0</v>
      </c>
      <c r="B193" s="2">
        <v>45999.3072685185</v>
      </c>
      <c r="C193" s="4">
        <v>7271853.0</v>
      </c>
      <c r="D193" s="4" t="s">
        <v>803</v>
      </c>
      <c r="E193" s="2">
        <v>45999.3083333333</v>
      </c>
      <c r="F193" s="4">
        <v>0.5</v>
      </c>
      <c r="G193" s="4">
        <v>0.0</v>
      </c>
      <c r="H193" s="4" t="s">
        <v>1519</v>
      </c>
      <c r="I193" s="4" t="s">
        <v>1553</v>
      </c>
      <c r="J193" s="4" t="s">
        <v>1519</v>
      </c>
      <c r="K193" s="4" t="s">
        <v>1513</v>
      </c>
      <c r="L193" s="4" t="s">
        <v>1553</v>
      </c>
      <c r="M193" s="4" t="s">
        <v>1862</v>
      </c>
      <c r="N193" s="4" t="s">
        <v>540</v>
      </c>
      <c r="O193" s="4" t="s">
        <v>1863</v>
      </c>
      <c r="P193" s="4" t="s">
        <v>1674</v>
      </c>
      <c r="Q193" s="4" t="s">
        <v>1864</v>
      </c>
      <c r="R193" s="4" t="b">
        <v>0</v>
      </c>
      <c r="S193" s="4" t="s">
        <v>1486</v>
      </c>
      <c r="T193" s="2">
        <v>46020.9194444444</v>
      </c>
      <c r="U193" s="2">
        <v>45999.0</v>
      </c>
      <c r="V193" s="4">
        <v>49.0</v>
      </c>
      <c r="W193" s="4" t="s">
        <v>550</v>
      </c>
      <c r="X193" s="4">
        <v>2025.0</v>
      </c>
      <c r="Y193" s="4" t="s">
        <v>1518</v>
      </c>
      <c r="Z193" s="4" t="s">
        <v>557</v>
      </c>
      <c r="AA193" s="4" t="s">
        <v>558</v>
      </c>
      <c r="AB193" s="4" t="b">
        <v>0</v>
      </c>
      <c r="AC193" s="4" t="s">
        <v>536</v>
      </c>
      <c r="AD193" s="4" t="s">
        <v>537</v>
      </c>
    </row>
    <row r="194" ht="14.25" customHeight="1">
      <c r="A194" s="4">
        <v>8049093.0</v>
      </c>
      <c r="B194" s="2">
        <v>45999.3081944444</v>
      </c>
      <c r="C194" s="4">
        <v>7271853.0</v>
      </c>
      <c r="D194" s="4" t="s">
        <v>803</v>
      </c>
      <c r="E194" s="2">
        <v>45999.3083333333</v>
      </c>
      <c r="F194" s="4">
        <v>0.5</v>
      </c>
      <c r="G194" s="4">
        <v>0.0</v>
      </c>
      <c r="H194" s="4" t="s">
        <v>1774</v>
      </c>
      <c r="I194" s="4"/>
      <c r="J194" s="4" t="s">
        <v>1774</v>
      </c>
      <c r="K194" s="4" t="s">
        <v>1775</v>
      </c>
      <c r="L194" s="4"/>
      <c r="M194" s="4"/>
      <c r="N194" s="4"/>
      <c r="O194" s="4"/>
      <c r="P194" s="4"/>
      <c r="Q194" s="4" t="s">
        <v>1776</v>
      </c>
      <c r="R194" s="4" t="b">
        <v>0</v>
      </c>
      <c r="S194" s="4" t="s">
        <v>1486</v>
      </c>
      <c r="T194" s="2">
        <v>46020.9194444444</v>
      </c>
      <c r="U194" s="2">
        <v>45999.0</v>
      </c>
      <c r="V194" s="4">
        <v>49.0</v>
      </c>
      <c r="W194" s="4" t="s">
        <v>550</v>
      </c>
      <c r="X194" s="4">
        <v>2025.0</v>
      </c>
      <c r="Y194" s="4" t="s">
        <v>1518</v>
      </c>
      <c r="Z194" s="4" t="s">
        <v>557</v>
      </c>
      <c r="AA194" s="4" t="s">
        <v>558</v>
      </c>
      <c r="AB194" s="4" t="b">
        <v>0</v>
      </c>
      <c r="AC194" s="4" t="s">
        <v>536</v>
      </c>
      <c r="AD194" s="4" t="s">
        <v>537</v>
      </c>
    </row>
    <row r="195" ht="14.25" customHeight="1">
      <c r="A195" s="4">
        <v>8003260.0</v>
      </c>
      <c r="B195" s="2">
        <v>45994.4633912037</v>
      </c>
      <c r="C195" s="4">
        <v>7230951.0</v>
      </c>
      <c r="D195" s="4" t="s">
        <v>804</v>
      </c>
      <c r="E195" s="2">
        <v>45999.3291666667</v>
      </c>
      <c r="F195" s="4">
        <v>1.0</v>
      </c>
      <c r="G195" s="4">
        <v>0.0</v>
      </c>
      <c r="H195" s="4"/>
      <c r="I195" s="4"/>
      <c r="J195" s="4" t="s">
        <v>1480</v>
      </c>
      <c r="K195" s="4" t="s">
        <v>1480</v>
      </c>
      <c r="L195" s="4" t="s">
        <v>1511</v>
      </c>
      <c r="M195" s="4" t="s">
        <v>1482</v>
      </c>
      <c r="N195" s="4" t="s">
        <v>653</v>
      </c>
      <c r="O195" s="4" t="s">
        <v>1483</v>
      </c>
      <c r="P195" s="4" t="s">
        <v>1488</v>
      </c>
      <c r="Q195" s="4" t="s">
        <v>1865</v>
      </c>
      <c r="R195" s="4" t="b">
        <v>0</v>
      </c>
      <c r="S195" s="4" t="s">
        <v>1486</v>
      </c>
      <c r="T195" s="2">
        <v>45999.3305555556</v>
      </c>
      <c r="U195" s="2">
        <v>45994.0</v>
      </c>
      <c r="V195" s="4">
        <v>48.0</v>
      </c>
      <c r="W195" s="4" t="s">
        <v>550</v>
      </c>
      <c r="X195" s="4">
        <v>2025.0</v>
      </c>
      <c r="Y195" s="4" t="s">
        <v>1680</v>
      </c>
      <c r="Z195" s="4"/>
      <c r="AA195" s="4" t="s">
        <v>558</v>
      </c>
      <c r="AB195" s="4" t="b">
        <v>0</v>
      </c>
      <c r="AC195" s="4" t="s">
        <v>599</v>
      </c>
      <c r="AD195" s="4" t="s">
        <v>537</v>
      </c>
    </row>
    <row r="196" ht="14.25" customHeight="1">
      <c r="A196" s="4">
        <v>7948869.0</v>
      </c>
      <c r="B196" s="2">
        <v>45982.3828125</v>
      </c>
      <c r="C196" s="4">
        <v>7177412.0</v>
      </c>
      <c r="D196" s="4" t="s">
        <v>805</v>
      </c>
      <c r="E196" s="2">
        <v>45999.3958333333</v>
      </c>
      <c r="F196" s="4">
        <v>0.5</v>
      </c>
      <c r="G196" s="4">
        <v>0.0</v>
      </c>
      <c r="H196" s="4"/>
      <c r="I196" s="4"/>
      <c r="J196" s="4" t="s">
        <v>1480</v>
      </c>
      <c r="K196" s="4" t="s">
        <v>1480</v>
      </c>
      <c r="L196" s="4" t="s">
        <v>1481</v>
      </c>
      <c r="M196" s="4" t="s">
        <v>1482</v>
      </c>
      <c r="N196" s="4" t="s">
        <v>540</v>
      </c>
      <c r="O196" s="4" t="s">
        <v>1557</v>
      </c>
      <c r="P196" s="4" t="s">
        <v>1488</v>
      </c>
      <c r="Q196" s="4" t="s">
        <v>1866</v>
      </c>
      <c r="R196" s="4" t="b">
        <v>0</v>
      </c>
      <c r="S196" s="4" t="s">
        <v>1486</v>
      </c>
      <c r="T196" s="2">
        <v>45999.3972222222</v>
      </c>
      <c r="U196" s="2">
        <v>45982.0</v>
      </c>
      <c r="V196" s="4">
        <v>46.0</v>
      </c>
      <c r="W196" s="4" t="s">
        <v>545</v>
      </c>
      <c r="X196" s="4">
        <v>2025.0</v>
      </c>
      <c r="Y196" s="4" t="s">
        <v>1487</v>
      </c>
      <c r="Z196" s="4" t="s">
        <v>557</v>
      </c>
      <c r="AA196" s="4" t="s">
        <v>558</v>
      </c>
      <c r="AB196" s="4" t="b">
        <v>0</v>
      </c>
      <c r="AC196" s="4" t="s">
        <v>567</v>
      </c>
      <c r="AD196" s="4" t="s">
        <v>537</v>
      </c>
    </row>
    <row r="197" ht="14.25" customHeight="1">
      <c r="A197" s="4">
        <v>8045658.0</v>
      </c>
      <c r="B197" s="2">
        <v>45999.3953356482</v>
      </c>
      <c r="C197" s="4">
        <v>7177412.0</v>
      </c>
      <c r="D197" s="4" t="s">
        <v>805</v>
      </c>
      <c r="E197" s="2">
        <v>45999.3958333333</v>
      </c>
      <c r="F197" s="4">
        <v>0.5</v>
      </c>
      <c r="G197" s="4">
        <v>0.0</v>
      </c>
      <c r="H197" s="4" t="s">
        <v>1480</v>
      </c>
      <c r="I197" s="4" t="s">
        <v>1550</v>
      </c>
      <c r="J197" s="4" t="s">
        <v>1480</v>
      </c>
      <c r="K197" s="4" t="s">
        <v>1480</v>
      </c>
      <c r="L197" s="4" t="s">
        <v>1550</v>
      </c>
      <c r="M197" s="4" t="s">
        <v>1551</v>
      </c>
      <c r="N197" s="4" t="s">
        <v>540</v>
      </c>
      <c r="O197" s="4" t="s">
        <v>1552</v>
      </c>
      <c r="P197" s="4" t="s">
        <v>1488</v>
      </c>
      <c r="Q197" s="4" t="s">
        <v>1866</v>
      </c>
      <c r="R197" s="4" t="b">
        <v>0</v>
      </c>
      <c r="S197" s="4" t="s">
        <v>1486</v>
      </c>
      <c r="T197" s="2">
        <v>45999.3972222222</v>
      </c>
      <c r="U197" s="2">
        <v>45999.0</v>
      </c>
      <c r="V197" s="4">
        <v>49.0</v>
      </c>
      <c r="W197" s="4" t="s">
        <v>550</v>
      </c>
      <c r="X197" s="4">
        <v>2025.0</v>
      </c>
      <c r="Y197" s="4" t="s">
        <v>1518</v>
      </c>
      <c r="Z197" s="4" t="s">
        <v>557</v>
      </c>
      <c r="AA197" s="4" t="s">
        <v>558</v>
      </c>
      <c r="AB197" s="4" t="b">
        <v>0</v>
      </c>
      <c r="AC197" s="4" t="s">
        <v>567</v>
      </c>
      <c r="AD197" s="4" t="s">
        <v>537</v>
      </c>
    </row>
    <row r="198" ht="14.25" customHeight="1">
      <c r="A198" s="4">
        <v>8046070.0</v>
      </c>
      <c r="B198" s="2">
        <v>45999.4237615741</v>
      </c>
      <c r="C198" s="4">
        <v>7273486.0</v>
      </c>
      <c r="D198" s="4" t="s">
        <v>806</v>
      </c>
      <c r="E198" s="2">
        <v>45999.4243055556</v>
      </c>
      <c r="F198" s="4">
        <v>1.0</v>
      </c>
      <c r="G198" s="4">
        <v>0.0</v>
      </c>
      <c r="H198" s="4"/>
      <c r="I198" s="4"/>
      <c r="J198" s="4" t="s">
        <v>1480</v>
      </c>
      <c r="K198" s="4" t="s">
        <v>1480</v>
      </c>
      <c r="L198" s="4" t="s">
        <v>1481</v>
      </c>
      <c r="M198" s="4" t="s">
        <v>1482</v>
      </c>
      <c r="N198" s="4" t="s">
        <v>540</v>
      </c>
      <c r="O198" s="4" t="s">
        <v>1867</v>
      </c>
      <c r="P198" s="4" t="s">
        <v>1635</v>
      </c>
      <c r="Q198" s="4" t="s">
        <v>1868</v>
      </c>
      <c r="R198" s="4" t="b">
        <v>0</v>
      </c>
      <c r="S198" s="4" t="s">
        <v>1486</v>
      </c>
      <c r="T198" s="2">
        <v>45999.4256944444</v>
      </c>
      <c r="U198" s="2">
        <v>45999.0</v>
      </c>
      <c r="V198" s="4">
        <v>49.0</v>
      </c>
      <c r="W198" s="4" t="s">
        <v>550</v>
      </c>
      <c r="X198" s="4">
        <v>2025.0</v>
      </c>
      <c r="Y198" s="4" t="s">
        <v>1487</v>
      </c>
      <c r="Z198" s="4"/>
      <c r="AA198" s="4" t="s">
        <v>558</v>
      </c>
      <c r="AB198" s="4" t="b">
        <v>0</v>
      </c>
      <c r="AC198" s="4" t="s">
        <v>599</v>
      </c>
      <c r="AD198" s="4" t="s">
        <v>537</v>
      </c>
    </row>
    <row r="199" ht="14.25" customHeight="1">
      <c r="A199" s="4">
        <v>7973353.0</v>
      </c>
      <c r="B199" s="2">
        <v>45987.6404166667</v>
      </c>
      <c r="C199" s="4">
        <v>7201522.0</v>
      </c>
      <c r="D199" s="4" t="s">
        <v>807</v>
      </c>
      <c r="E199" s="2">
        <v>45999.4597222222</v>
      </c>
      <c r="F199" s="4">
        <v>1.0</v>
      </c>
      <c r="G199" s="4">
        <v>0.0</v>
      </c>
      <c r="H199" s="4"/>
      <c r="I199" s="4"/>
      <c r="J199" s="4" t="s">
        <v>539</v>
      </c>
      <c r="K199" s="4" t="s">
        <v>539</v>
      </c>
      <c r="L199" s="4" t="s">
        <v>1499</v>
      </c>
      <c r="M199" s="4" t="s">
        <v>1482</v>
      </c>
      <c r="N199" s="4"/>
      <c r="O199" s="4" t="s">
        <v>1869</v>
      </c>
      <c r="P199" s="4" t="s">
        <v>1488</v>
      </c>
      <c r="Q199" s="4" t="s">
        <v>1870</v>
      </c>
      <c r="R199" s="4" t="b">
        <v>0</v>
      </c>
      <c r="S199" s="4" t="s">
        <v>1486</v>
      </c>
      <c r="T199" s="2">
        <v>45999.4611111111</v>
      </c>
      <c r="U199" s="2">
        <v>45987.0</v>
      </c>
      <c r="V199" s="4">
        <v>47.0</v>
      </c>
      <c r="W199" s="4" t="s">
        <v>545</v>
      </c>
      <c r="X199" s="4">
        <v>2025.0</v>
      </c>
      <c r="Y199" s="4" t="s">
        <v>1502</v>
      </c>
      <c r="Z199" s="4"/>
      <c r="AA199" s="4" t="s">
        <v>808</v>
      </c>
      <c r="AB199" s="4" t="b">
        <v>1</v>
      </c>
      <c r="AC199" s="4" t="s">
        <v>536</v>
      </c>
      <c r="AD199" s="4" t="s">
        <v>537</v>
      </c>
    </row>
    <row r="200" ht="14.25" customHeight="1">
      <c r="A200" s="4">
        <v>8046610.0</v>
      </c>
      <c r="B200" s="2">
        <v>45999.4614699074</v>
      </c>
      <c r="C200" s="4">
        <v>7274020.0</v>
      </c>
      <c r="D200" s="4" t="s">
        <v>809</v>
      </c>
      <c r="E200" s="2">
        <v>45999.4625</v>
      </c>
      <c r="F200" s="4">
        <v>0.5</v>
      </c>
      <c r="G200" s="4">
        <v>0.0</v>
      </c>
      <c r="H200" s="4" t="s">
        <v>1519</v>
      </c>
      <c r="I200" s="4" t="s">
        <v>1553</v>
      </c>
      <c r="J200" s="4" t="s">
        <v>1519</v>
      </c>
      <c r="K200" s="4" t="s">
        <v>1513</v>
      </c>
      <c r="L200" s="4" t="s">
        <v>1553</v>
      </c>
      <c r="M200" s="4" t="s">
        <v>1871</v>
      </c>
      <c r="N200" s="4" t="s">
        <v>540</v>
      </c>
      <c r="O200" s="4" t="s">
        <v>1872</v>
      </c>
      <c r="P200" s="4" t="s">
        <v>1674</v>
      </c>
      <c r="Q200" s="4" t="s">
        <v>1873</v>
      </c>
      <c r="R200" s="4" t="b">
        <v>0</v>
      </c>
      <c r="S200" s="4" t="s">
        <v>1486</v>
      </c>
      <c r="T200" s="2">
        <v>45999.4638888889</v>
      </c>
      <c r="U200" s="2">
        <v>45999.0</v>
      </c>
      <c r="V200" s="4">
        <v>49.0</v>
      </c>
      <c r="W200" s="4" t="s">
        <v>550</v>
      </c>
      <c r="X200" s="4">
        <v>2025.0</v>
      </c>
      <c r="Y200" s="4" t="s">
        <v>1518</v>
      </c>
      <c r="Z200" s="4"/>
      <c r="AA200" s="4" t="s">
        <v>558</v>
      </c>
      <c r="AB200" s="4" t="b">
        <v>0</v>
      </c>
      <c r="AC200" s="4" t="s">
        <v>536</v>
      </c>
      <c r="AD200" s="4" t="s">
        <v>537</v>
      </c>
    </row>
    <row r="201" ht="14.25" customHeight="1">
      <c r="A201" s="4">
        <v>8046613.0</v>
      </c>
      <c r="B201" s="2">
        <v>45999.4615046296</v>
      </c>
      <c r="C201" s="4">
        <v>7274020.0</v>
      </c>
      <c r="D201" s="4" t="s">
        <v>809</v>
      </c>
      <c r="E201" s="2">
        <v>45999.4625</v>
      </c>
      <c r="F201" s="4">
        <v>0.5</v>
      </c>
      <c r="G201" s="4">
        <v>0.0</v>
      </c>
      <c r="H201" s="4" t="s">
        <v>1519</v>
      </c>
      <c r="I201" s="4" t="s">
        <v>1553</v>
      </c>
      <c r="J201" s="4" t="s">
        <v>1519</v>
      </c>
      <c r="K201" s="4" t="s">
        <v>1513</v>
      </c>
      <c r="L201" s="4" t="s">
        <v>1553</v>
      </c>
      <c r="M201" s="4" t="s">
        <v>1871</v>
      </c>
      <c r="N201" s="4" t="s">
        <v>540</v>
      </c>
      <c r="O201" s="4" t="s">
        <v>1872</v>
      </c>
      <c r="P201" s="4" t="s">
        <v>1674</v>
      </c>
      <c r="Q201" s="4" t="s">
        <v>1873</v>
      </c>
      <c r="R201" s="4" t="b">
        <v>0</v>
      </c>
      <c r="S201" s="4" t="s">
        <v>1486</v>
      </c>
      <c r="T201" s="2">
        <v>45999.4638888889</v>
      </c>
      <c r="U201" s="2">
        <v>45999.0</v>
      </c>
      <c r="V201" s="4">
        <v>49.0</v>
      </c>
      <c r="W201" s="4" t="s">
        <v>550</v>
      </c>
      <c r="X201" s="4">
        <v>2025.0</v>
      </c>
      <c r="Y201" s="4" t="s">
        <v>1518</v>
      </c>
      <c r="Z201" s="4"/>
      <c r="AA201" s="4" t="s">
        <v>558</v>
      </c>
      <c r="AB201" s="4" t="b">
        <v>0</v>
      </c>
      <c r="AC201" s="4" t="s">
        <v>536</v>
      </c>
      <c r="AD201" s="4" t="s">
        <v>537</v>
      </c>
    </row>
    <row r="202" ht="14.25" customHeight="1">
      <c r="A202" s="4">
        <v>7967965.0</v>
      </c>
      <c r="B202" s="2">
        <v>45986.6457986111</v>
      </c>
      <c r="C202" s="4">
        <v>7196193.0</v>
      </c>
      <c r="D202" s="4" t="s">
        <v>810</v>
      </c>
      <c r="E202" s="2">
        <v>45999.5013888889</v>
      </c>
      <c r="F202" s="4">
        <v>1.0</v>
      </c>
      <c r="G202" s="4">
        <v>0.0</v>
      </c>
      <c r="H202" s="4" t="s">
        <v>1565</v>
      </c>
      <c r="I202" s="4" t="s">
        <v>1570</v>
      </c>
      <c r="J202" s="4" t="s">
        <v>1565</v>
      </c>
      <c r="K202" s="4" t="s">
        <v>1567</v>
      </c>
      <c r="L202" s="4" t="s">
        <v>1570</v>
      </c>
      <c r="M202" s="4" t="s">
        <v>1571</v>
      </c>
      <c r="N202" s="4"/>
      <c r="O202" s="4" t="s">
        <v>1874</v>
      </c>
      <c r="P202" s="4" t="s">
        <v>1488</v>
      </c>
      <c r="Q202" s="4" t="s">
        <v>1875</v>
      </c>
      <c r="R202" s="4" t="b">
        <v>0</v>
      </c>
      <c r="S202" s="4" t="s">
        <v>1486</v>
      </c>
      <c r="T202" s="2">
        <v>45999.5027777778</v>
      </c>
      <c r="U202" s="2">
        <v>45986.0</v>
      </c>
      <c r="V202" s="4">
        <v>47.0</v>
      </c>
      <c r="W202" s="4" t="s">
        <v>545</v>
      </c>
      <c r="X202" s="4">
        <v>2025.0</v>
      </c>
      <c r="Y202" s="4" t="s">
        <v>1518</v>
      </c>
      <c r="Z202" s="4"/>
      <c r="AA202" s="4" t="s">
        <v>558</v>
      </c>
      <c r="AB202" s="4" t="b">
        <v>0</v>
      </c>
      <c r="AC202" s="4" t="s">
        <v>567</v>
      </c>
      <c r="AD202" s="4" t="s">
        <v>537</v>
      </c>
    </row>
    <row r="203" ht="14.25" customHeight="1">
      <c r="A203" s="4">
        <v>8047869.0</v>
      </c>
      <c r="B203" s="2">
        <v>45999.5361342593</v>
      </c>
      <c r="C203" s="4">
        <v>7275272.0</v>
      </c>
      <c r="D203" s="4" t="s">
        <v>811</v>
      </c>
      <c r="E203" s="2">
        <v>45999.5361111111</v>
      </c>
      <c r="F203" s="4">
        <v>1.0</v>
      </c>
      <c r="G203" s="4">
        <v>0.0</v>
      </c>
      <c r="H203" s="4" t="s">
        <v>1519</v>
      </c>
      <c r="I203" s="4" t="s">
        <v>1781</v>
      </c>
      <c r="J203" s="4" t="s">
        <v>1519</v>
      </c>
      <c r="K203" s="4" t="s">
        <v>1513</v>
      </c>
      <c r="L203" s="4" t="s">
        <v>1781</v>
      </c>
      <c r="M203" s="4" t="s">
        <v>1692</v>
      </c>
      <c r="N203" s="4" t="s">
        <v>540</v>
      </c>
      <c r="O203" s="4" t="s">
        <v>1876</v>
      </c>
      <c r="P203" s="4" t="s">
        <v>1506</v>
      </c>
      <c r="Q203" s="4" t="s">
        <v>1877</v>
      </c>
      <c r="R203" s="4" t="b">
        <v>0</v>
      </c>
      <c r="S203" s="4" t="s">
        <v>1486</v>
      </c>
      <c r="T203" s="2">
        <v>45999.5375</v>
      </c>
      <c r="U203" s="2">
        <v>45999.0</v>
      </c>
      <c r="V203" s="4">
        <v>49.0</v>
      </c>
      <c r="W203" s="4" t="s">
        <v>550</v>
      </c>
      <c r="X203" s="4">
        <v>2025.0</v>
      </c>
      <c r="Y203" s="4" t="s">
        <v>1518</v>
      </c>
      <c r="Z203" s="4" t="s">
        <v>557</v>
      </c>
      <c r="AA203" s="4" t="s">
        <v>558</v>
      </c>
      <c r="AB203" s="4" t="b">
        <v>0</v>
      </c>
      <c r="AC203" s="4" t="s">
        <v>536</v>
      </c>
      <c r="AD203" s="4" t="s">
        <v>537</v>
      </c>
    </row>
    <row r="204" ht="14.25" customHeight="1">
      <c r="A204" s="4">
        <v>8032634.0</v>
      </c>
      <c r="B204" s="2">
        <v>45998.3191782407</v>
      </c>
      <c r="C204" s="4">
        <v>7260101.0</v>
      </c>
      <c r="D204" s="4" t="s">
        <v>813</v>
      </c>
      <c r="E204" s="2">
        <v>45999.5520833333</v>
      </c>
      <c r="F204" s="4">
        <v>0.5</v>
      </c>
      <c r="G204" s="4">
        <v>0.0</v>
      </c>
      <c r="H204" s="4" t="s">
        <v>1685</v>
      </c>
      <c r="I204" s="4" t="s">
        <v>1686</v>
      </c>
      <c r="J204" s="4" t="s">
        <v>1685</v>
      </c>
      <c r="K204" s="4" t="s">
        <v>1513</v>
      </c>
      <c r="L204" s="4" t="s">
        <v>1686</v>
      </c>
      <c r="M204" s="4" t="s">
        <v>1878</v>
      </c>
      <c r="N204" s="4"/>
      <c r="O204" s="4" t="s">
        <v>1879</v>
      </c>
      <c r="P204" s="4" t="s">
        <v>1880</v>
      </c>
      <c r="Q204" s="4" t="s">
        <v>1881</v>
      </c>
      <c r="R204" s="4" t="b">
        <v>0</v>
      </c>
      <c r="S204" s="4" t="s">
        <v>1486</v>
      </c>
      <c r="T204" s="2">
        <v>45999.5534722222</v>
      </c>
      <c r="U204" s="2">
        <v>45998.0</v>
      </c>
      <c r="V204" s="4">
        <v>48.0</v>
      </c>
      <c r="W204" s="4" t="s">
        <v>550</v>
      </c>
      <c r="X204" s="4">
        <v>2025.0</v>
      </c>
      <c r="Y204" s="4" t="s">
        <v>1518</v>
      </c>
      <c r="Z204" s="4" t="s">
        <v>557</v>
      </c>
      <c r="AA204" s="4" t="s">
        <v>558</v>
      </c>
      <c r="AB204" s="4" t="b">
        <v>0</v>
      </c>
      <c r="AC204" s="4" t="s">
        <v>536</v>
      </c>
      <c r="AD204" s="4" t="s">
        <v>537</v>
      </c>
    </row>
    <row r="205" ht="14.25" customHeight="1">
      <c r="A205" s="4">
        <v>8047988.0</v>
      </c>
      <c r="B205" s="2">
        <v>45999.5423263889</v>
      </c>
      <c r="C205" s="4">
        <v>7260101.0</v>
      </c>
      <c r="D205" s="4" t="s">
        <v>813</v>
      </c>
      <c r="E205" s="2">
        <v>45999.5520833333</v>
      </c>
      <c r="F205" s="4">
        <v>0.5</v>
      </c>
      <c r="G205" s="4">
        <v>0.0</v>
      </c>
      <c r="H205" s="4" t="s">
        <v>1685</v>
      </c>
      <c r="I205" s="4" t="s">
        <v>1686</v>
      </c>
      <c r="J205" s="4" t="s">
        <v>1685</v>
      </c>
      <c r="K205" s="4" t="s">
        <v>1513</v>
      </c>
      <c r="L205" s="4" t="s">
        <v>1686</v>
      </c>
      <c r="M205" s="4" t="s">
        <v>1878</v>
      </c>
      <c r="N205" s="4"/>
      <c r="O205" s="4" t="s">
        <v>1882</v>
      </c>
      <c r="P205" s="4" t="s">
        <v>1880</v>
      </c>
      <c r="Q205" s="4" t="s">
        <v>1883</v>
      </c>
      <c r="R205" s="4" t="b">
        <v>0</v>
      </c>
      <c r="S205" s="4" t="s">
        <v>1486</v>
      </c>
      <c r="T205" s="2">
        <v>45999.5534722222</v>
      </c>
      <c r="U205" s="2">
        <v>45999.0</v>
      </c>
      <c r="V205" s="4">
        <v>49.0</v>
      </c>
      <c r="W205" s="4" t="s">
        <v>550</v>
      </c>
      <c r="X205" s="4">
        <v>2025.0</v>
      </c>
      <c r="Y205" s="4" t="s">
        <v>1518</v>
      </c>
      <c r="Z205" s="4" t="s">
        <v>557</v>
      </c>
      <c r="AA205" s="4" t="s">
        <v>558</v>
      </c>
      <c r="AB205" s="4" t="b">
        <v>0</v>
      </c>
      <c r="AC205" s="4" t="s">
        <v>536</v>
      </c>
      <c r="AD205" s="4" t="s">
        <v>537</v>
      </c>
    </row>
    <row r="206" ht="14.25" customHeight="1">
      <c r="A206" s="4">
        <v>8017299.0</v>
      </c>
      <c r="B206" s="2">
        <v>45996.5514930556</v>
      </c>
      <c r="C206" s="4">
        <v>7244828.0</v>
      </c>
      <c r="D206" s="4" t="s">
        <v>814</v>
      </c>
      <c r="E206" s="2">
        <v>45999.5770833333</v>
      </c>
      <c r="F206" s="4">
        <v>1.0</v>
      </c>
      <c r="G206" s="4">
        <v>0.0</v>
      </c>
      <c r="H206" s="4" t="s">
        <v>1480</v>
      </c>
      <c r="I206" s="4" t="s">
        <v>1550</v>
      </c>
      <c r="J206" s="4" t="s">
        <v>1480</v>
      </c>
      <c r="K206" s="4" t="s">
        <v>1480</v>
      </c>
      <c r="L206" s="4" t="s">
        <v>1550</v>
      </c>
      <c r="M206" s="4" t="s">
        <v>1551</v>
      </c>
      <c r="N206" s="4" t="s">
        <v>540</v>
      </c>
      <c r="O206" s="4" t="s">
        <v>1552</v>
      </c>
      <c r="P206" s="4" t="s">
        <v>1488</v>
      </c>
      <c r="Q206" s="4" t="s">
        <v>1884</v>
      </c>
      <c r="R206" s="4" t="b">
        <v>0</v>
      </c>
      <c r="S206" s="4" t="s">
        <v>1486</v>
      </c>
      <c r="T206" s="2">
        <v>45999.5784722222</v>
      </c>
      <c r="U206" s="2">
        <v>45996.0</v>
      </c>
      <c r="V206" s="4">
        <v>48.0</v>
      </c>
      <c r="W206" s="4" t="s">
        <v>550</v>
      </c>
      <c r="X206" s="4">
        <v>2025.0</v>
      </c>
      <c r="Y206" s="4" t="s">
        <v>1518</v>
      </c>
      <c r="Z206" s="4"/>
      <c r="AA206" s="4" t="s">
        <v>558</v>
      </c>
      <c r="AB206" s="4" t="b">
        <v>0</v>
      </c>
      <c r="AC206" s="4" t="s">
        <v>536</v>
      </c>
      <c r="AD206" s="4" t="s">
        <v>537</v>
      </c>
    </row>
    <row r="207" ht="14.25" customHeight="1">
      <c r="A207" s="4">
        <v>7936496.0</v>
      </c>
      <c r="B207" s="2">
        <v>45979.8013657407</v>
      </c>
      <c r="C207" s="4">
        <v>7165234.0</v>
      </c>
      <c r="D207" s="4" t="s">
        <v>815</v>
      </c>
      <c r="E207" s="2">
        <v>45999.5791666667</v>
      </c>
      <c r="F207" s="4">
        <v>0.5</v>
      </c>
      <c r="G207" s="4">
        <v>0.0</v>
      </c>
      <c r="H207" s="4" t="s">
        <v>1519</v>
      </c>
      <c r="I207" s="4" t="s">
        <v>1781</v>
      </c>
      <c r="J207" s="4" t="s">
        <v>1519</v>
      </c>
      <c r="K207" s="4" t="s">
        <v>1513</v>
      </c>
      <c r="L207" s="4" t="s">
        <v>1781</v>
      </c>
      <c r="M207" s="4" t="s">
        <v>1692</v>
      </c>
      <c r="N207" s="4" t="s">
        <v>540</v>
      </c>
      <c r="O207" s="4" t="s">
        <v>1885</v>
      </c>
      <c r="P207" s="4" t="s">
        <v>1886</v>
      </c>
      <c r="Q207" s="4" t="s">
        <v>1887</v>
      </c>
      <c r="R207" s="4" t="b">
        <v>0</v>
      </c>
      <c r="S207" s="4" t="s">
        <v>1486</v>
      </c>
      <c r="T207" s="2">
        <v>45999.5805555556</v>
      </c>
      <c r="U207" s="2">
        <v>45979.0</v>
      </c>
      <c r="V207" s="4">
        <v>46.0</v>
      </c>
      <c r="W207" s="4" t="s">
        <v>545</v>
      </c>
      <c r="X207" s="4">
        <v>2025.0</v>
      </c>
      <c r="Y207" s="4" t="s">
        <v>1518</v>
      </c>
      <c r="Z207" s="4"/>
      <c r="AA207" s="4" t="s">
        <v>558</v>
      </c>
      <c r="AB207" s="4" t="b">
        <v>0</v>
      </c>
      <c r="AC207" s="4" t="s">
        <v>554</v>
      </c>
      <c r="AD207" s="4" t="s">
        <v>537</v>
      </c>
    </row>
    <row r="208" ht="14.25" customHeight="1">
      <c r="A208" s="4">
        <v>8048544.0</v>
      </c>
      <c r="B208" s="2">
        <v>45999.5789583333</v>
      </c>
      <c r="C208" s="4">
        <v>7165234.0</v>
      </c>
      <c r="D208" s="4" t="s">
        <v>815</v>
      </c>
      <c r="E208" s="2">
        <v>45999.5791666667</v>
      </c>
      <c r="F208" s="4">
        <v>0.5</v>
      </c>
      <c r="G208" s="4">
        <v>0.0</v>
      </c>
      <c r="H208" s="4" t="s">
        <v>1888</v>
      </c>
      <c r="I208" s="4" t="s">
        <v>1889</v>
      </c>
      <c r="J208" s="4" t="s">
        <v>1888</v>
      </c>
      <c r="K208" s="4" t="s">
        <v>1775</v>
      </c>
      <c r="L208" s="4" t="s">
        <v>1889</v>
      </c>
      <c r="M208" s="4" t="s">
        <v>1890</v>
      </c>
      <c r="N208" s="4"/>
      <c r="O208" s="4" t="s">
        <v>1483</v>
      </c>
      <c r="P208" s="4" t="s">
        <v>1794</v>
      </c>
      <c r="Q208" s="4" t="s">
        <v>1887</v>
      </c>
      <c r="R208" s="4" t="b">
        <v>0</v>
      </c>
      <c r="S208" s="4" t="s">
        <v>1486</v>
      </c>
      <c r="T208" s="2">
        <v>45999.5805555556</v>
      </c>
      <c r="U208" s="2">
        <v>45999.0</v>
      </c>
      <c r="V208" s="4">
        <v>49.0</v>
      </c>
      <c r="W208" s="4" t="s">
        <v>550</v>
      </c>
      <c r="X208" s="4">
        <v>2025.0</v>
      </c>
      <c r="Y208" s="4" t="s">
        <v>1518</v>
      </c>
      <c r="Z208" s="4"/>
      <c r="AA208" s="4" t="s">
        <v>558</v>
      </c>
      <c r="AB208" s="4" t="b">
        <v>0</v>
      </c>
      <c r="AC208" s="4" t="s">
        <v>554</v>
      </c>
      <c r="AD208" s="4" t="s">
        <v>537</v>
      </c>
    </row>
    <row r="209" ht="14.25" customHeight="1">
      <c r="A209" s="4">
        <v>7331742.0</v>
      </c>
      <c r="B209" s="2">
        <v>45813.4433680556</v>
      </c>
      <c r="C209" s="4">
        <v>6579359.0</v>
      </c>
      <c r="D209" s="4" t="s">
        <v>817</v>
      </c>
      <c r="E209" s="2">
        <v>45999.5888888889</v>
      </c>
      <c r="F209" s="4">
        <v>0.0</v>
      </c>
      <c r="G209" s="4">
        <v>0.0</v>
      </c>
      <c r="H209" s="4"/>
      <c r="I209" s="4"/>
      <c r="J209" s="4" t="s">
        <v>539</v>
      </c>
      <c r="K209" s="4" t="s">
        <v>539</v>
      </c>
      <c r="L209" s="4" t="s">
        <v>1499</v>
      </c>
      <c r="M209" s="4" t="s">
        <v>1482</v>
      </c>
      <c r="N209" s="4"/>
      <c r="O209" s="4" t="s">
        <v>1483</v>
      </c>
      <c r="P209" s="4" t="s">
        <v>1891</v>
      </c>
      <c r="Q209" s="4" t="s">
        <v>1892</v>
      </c>
      <c r="R209" s="4" t="b">
        <v>0</v>
      </c>
      <c r="S209" s="4" t="s">
        <v>1486</v>
      </c>
      <c r="T209" s="2">
        <v>45999.5902777778</v>
      </c>
      <c r="U209" s="2">
        <v>45813.0</v>
      </c>
      <c r="V209" s="4">
        <v>22.0</v>
      </c>
      <c r="W209" s="4" t="s">
        <v>1525</v>
      </c>
      <c r="X209" s="4">
        <v>2025.0</v>
      </c>
      <c r="Y209" s="4" t="s">
        <v>1502</v>
      </c>
      <c r="Z209" s="4"/>
      <c r="AA209" s="4" t="s">
        <v>558</v>
      </c>
      <c r="AB209" s="4" t="b">
        <v>0</v>
      </c>
      <c r="AC209" s="4" t="s">
        <v>536</v>
      </c>
      <c r="AD209" s="4" t="s">
        <v>537</v>
      </c>
    </row>
    <row r="210" ht="14.25" customHeight="1">
      <c r="A210" s="4">
        <v>7500448.0</v>
      </c>
      <c r="B210" s="2">
        <v>45862.6865277778</v>
      </c>
      <c r="C210" s="4">
        <v>6579359.0</v>
      </c>
      <c r="D210" s="4" t="s">
        <v>817</v>
      </c>
      <c r="E210" s="2">
        <v>45999.5888888889</v>
      </c>
      <c r="F210" s="4">
        <v>0.5</v>
      </c>
      <c r="G210" s="4">
        <v>0.0</v>
      </c>
      <c r="H210" s="4" t="s">
        <v>1888</v>
      </c>
      <c r="I210" s="4" t="s">
        <v>1889</v>
      </c>
      <c r="J210" s="4" t="s">
        <v>1888</v>
      </c>
      <c r="K210" s="4" t="s">
        <v>1775</v>
      </c>
      <c r="L210" s="4" t="s">
        <v>1889</v>
      </c>
      <c r="M210" s="4" t="s">
        <v>1893</v>
      </c>
      <c r="N210" s="4"/>
      <c r="O210" s="4" t="s">
        <v>1483</v>
      </c>
      <c r="P210" s="4" t="s">
        <v>1894</v>
      </c>
      <c r="Q210" s="4" t="s">
        <v>1892</v>
      </c>
      <c r="R210" s="4" t="b">
        <v>0</v>
      </c>
      <c r="S210" s="4" t="s">
        <v>1486</v>
      </c>
      <c r="T210" s="2">
        <v>45999.5902777778</v>
      </c>
      <c r="U210" s="2">
        <v>45862.0</v>
      </c>
      <c r="V210" s="4">
        <v>29.0</v>
      </c>
      <c r="W210" s="4" t="s">
        <v>1668</v>
      </c>
      <c r="X210" s="4">
        <v>2025.0</v>
      </c>
      <c r="Y210" s="4" t="s">
        <v>1518</v>
      </c>
      <c r="Z210" s="4"/>
      <c r="AA210" s="4" t="s">
        <v>558</v>
      </c>
      <c r="AB210" s="4" t="b">
        <v>0</v>
      </c>
      <c r="AC210" s="4" t="s">
        <v>536</v>
      </c>
      <c r="AD210" s="4" t="s">
        <v>537</v>
      </c>
    </row>
    <row r="211" ht="14.25" customHeight="1">
      <c r="A211" s="4">
        <v>8048690.0</v>
      </c>
      <c r="B211" s="2">
        <v>45999.5878009259</v>
      </c>
      <c r="C211" s="4">
        <v>6579359.0</v>
      </c>
      <c r="D211" s="4" t="s">
        <v>817</v>
      </c>
      <c r="E211" s="2">
        <v>45999.5888888889</v>
      </c>
      <c r="F211" s="4">
        <v>0.5</v>
      </c>
      <c r="G211" s="4">
        <v>0.0</v>
      </c>
      <c r="H211" s="4" t="s">
        <v>1888</v>
      </c>
      <c r="I211" s="4" t="s">
        <v>1889</v>
      </c>
      <c r="J211" s="4" t="s">
        <v>1888</v>
      </c>
      <c r="K211" s="4" t="s">
        <v>1775</v>
      </c>
      <c r="L211" s="4" t="s">
        <v>1889</v>
      </c>
      <c r="M211" s="4" t="s">
        <v>1893</v>
      </c>
      <c r="N211" s="4"/>
      <c r="O211" s="4" t="s">
        <v>1483</v>
      </c>
      <c r="P211" s="4" t="s">
        <v>1488</v>
      </c>
      <c r="Q211" s="4" t="s">
        <v>1892</v>
      </c>
      <c r="R211" s="4" t="b">
        <v>0</v>
      </c>
      <c r="S211" s="4" t="s">
        <v>1486</v>
      </c>
      <c r="T211" s="2">
        <v>45999.5902777778</v>
      </c>
      <c r="U211" s="2">
        <v>45999.0</v>
      </c>
      <c r="V211" s="4">
        <v>49.0</v>
      </c>
      <c r="W211" s="4" t="s">
        <v>550</v>
      </c>
      <c r="X211" s="4">
        <v>2025.0</v>
      </c>
      <c r="Y211" s="4" t="s">
        <v>1518</v>
      </c>
      <c r="Z211" s="4"/>
      <c r="AA211" s="4" t="s">
        <v>558</v>
      </c>
      <c r="AB211" s="4" t="b">
        <v>0</v>
      </c>
      <c r="AC211" s="4" t="s">
        <v>536</v>
      </c>
      <c r="AD211" s="4" t="s">
        <v>537</v>
      </c>
    </row>
    <row r="212" ht="14.25" customHeight="1">
      <c r="A212" s="4">
        <v>8048952.0</v>
      </c>
      <c r="B212" s="2">
        <v>45999.6041319444</v>
      </c>
      <c r="C212" s="4">
        <v>7276342.0</v>
      </c>
      <c r="D212" s="4" t="s">
        <v>823</v>
      </c>
      <c r="E212" s="2">
        <v>45999.6076388889</v>
      </c>
      <c r="F212" s="4">
        <v>1.0</v>
      </c>
      <c r="G212" s="4">
        <v>0.0</v>
      </c>
      <c r="H212" s="4"/>
      <c r="I212" s="4"/>
      <c r="J212" s="4" t="s">
        <v>1480</v>
      </c>
      <c r="K212" s="4" t="s">
        <v>1480</v>
      </c>
      <c r="L212" s="4" t="s">
        <v>1481</v>
      </c>
      <c r="M212" s="4" t="s">
        <v>1482</v>
      </c>
      <c r="N212" s="4" t="s">
        <v>540</v>
      </c>
      <c r="O212" s="4" t="s">
        <v>1557</v>
      </c>
      <c r="P212" s="4" t="s">
        <v>1558</v>
      </c>
      <c r="Q212" s="4" t="s">
        <v>1895</v>
      </c>
      <c r="R212" s="4" t="b">
        <v>0</v>
      </c>
      <c r="S212" s="4" t="s">
        <v>1486</v>
      </c>
      <c r="T212" s="2">
        <v>45999.6090277778</v>
      </c>
      <c r="U212" s="2">
        <v>45999.0</v>
      </c>
      <c r="V212" s="4">
        <v>49.0</v>
      </c>
      <c r="W212" s="4" t="s">
        <v>550</v>
      </c>
      <c r="X212" s="4">
        <v>2025.0</v>
      </c>
      <c r="Y212" s="4" t="s">
        <v>1487</v>
      </c>
      <c r="Z212" s="4" t="s">
        <v>557</v>
      </c>
      <c r="AA212" s="4" t="s">
        <v>558</v>
      </c>
      <c r="AB212" s="4" t="b">
        <v>0</v>
      </c>
      <c r="AC212" s="4" t="s">
        <v>536</v>
      </c>
      <c r="AD212" s="4" t="s">
        <v>537</v>
      </c>
    </row>
    <row r="213" ht="14.25" customHeight="1">
      <c r="A213" s="4">
        <v>7810796.0</v>
      </c>
      <c r="B213" s="2">
        <v>45953.5134143519</v>
      </c>
      <c r="C213" s="4">
        <v>7045685.0</v>
      </c>
      <c r="D213" s="4" t="s">
        <v>825</v>
      </c>
      <c r="E213" s="2">
        <v>45999.6194444444</v>
      </c>
      <c r="F213" s="4">
        <v>1.0</v>
      </c>
      <c r="G213" s="4">
        <v>0.0</v>
      </c>
      <c r="H213" s="4"/>
      <c r="I213" s="4"/>
      <c r="J213" s="4" t="s">
        <v>1480</v>
      </c>
      <c r="K213" s="4" t="s">
        <v>1480</v>
      </c>
      <c r="L213" s="4" t="s">
        <v>1481</v>
      </c>
      <c r="M213" s="4" t="s">
        <v>1482</v>
      </c>
      <c r="N213" s="4" t="s">
        <v>540</v>
      </c>
      <c r="O213" s="4" t="s">
        <v>1896</v>
      </c>
      <c r="P213" s="4" t="s">
        <v>1558</v>
      </c>
      <c r="Q213" s="4" t="s">
        <v>1897</v>
      </c>
      <c r="R213" s="4" t="b">
        <v>0</v>
      </c>
      <c r="S213" s="4" t="s">
        <v>1486</v>
      </c>
      <c r="T213" s="2">
        <v>45999.6208333333</v>
      </c>
      <c r="U213" s="2">
        <v>45953.0</v>
      </c>
      <c r="V213" s="4">
        <v>42.0</v>
      </c>
      <c r="W213" s="4" t="s">
        <v>1560</v>
      </c>
      <c r="X213" s="4">
        <v>2025.0</v>
      </c>
      <c r="Y213" s="4" t="s">
        <v>1487</v>
      </c>
      <c r="Z213" s="4" t="s">
        <v>826</v>
      </c>
      <c r="AA213" s="4" t="s">
        <v>828</v>
      </c>
      <c r="AB213" s="4" t="b">
        <v>0</v>
      </c>
      <c r="AC213" s="4" t="s">
        <v>536</v>
      </c>
      <c r="AD213" s="4" t="s">
        <v>537</v>
      </c>
    </row>
    <row r="214" ht="14.25" customHeight="1">
      <c r="A214" s="4">
        <v>8005651.0</v>
      </c>
      <c r="B214" s="2">
        <v>45994.7238425926</v>
      </c>
      <c r="C214" s="4">
        <v>7233302.0</v>
      </c>
      <c r="D214" s="4" t="s">
        <v>829</v>
      </c>
      <c r="E214" s="2">
        <v>45999.6666666667</v>
      </c>
      <c r="F214" s="4">
        <v>0.5</v>
      </c>
      <c r="G214" s="4">
        <v>0.0</v>
      </c>
      <c r="H214" s="4" t="s">
        <v>1519</v>
      </c>
      <c r="I214" s="4" t="s">
        <v>1581</v>
      </c>
      <c r="J214" s="4" t="s">
        <v>1519</v>
      </c>
      <c r="K214" s="4" t="s">
        <v>1513</v>
      </c>
      <c r="L214" s="4" t="s">
        <v>1581</v>
      </c>
      <c r="M214" s="4" t="s">
        <v>1521</v>
      </c>
      <c r="N214" s="4" t="s">
        <v>540</v>
      </c>
      <c r="O214" s="4" t="s">
        <v>1898</v>
      </c>
      <c r="P214" s="4" t="s">
        <v>1794</v>
      </c>
      <c r="Q214" s="4" t="s">
        <v>1899</v>
      </c>
      <c r="R214" s="4" t="b">
        <v>0</v>
      </c>
      <c r="S214" s="4" t="s">
        <v>1486</v>
      </c>
      <c r="T214" s="2">
        <v>45999.6680555556</v>
      </c>
      <c r="U214" s="2">
        <v>45994.0</v>
      </c>
      <c r="V214" s="4">
        <v>48.0</v>
      </c>
      <c r="W214" s="4" t="s">
        <v>550</v>
      </c>
      <c r="X214" s="4">
        <v>2025.0</v>
      </c>
      <c r="Y214" s="4" t="s">
        <v>1518</v>
      </c>
      <c r="Z214" s="4" t="s">
        <v>557</v>
      </c>
      <c r="AA214" s="4" t="s">
        <v>558</v>
      </c>
      <c r="AB214" s="4" t="b">
        <v>0</v>
      </c>
      <c r="AC214" s="4" t="s">
        <v>536</v>
      </c>
      <c r="AD214" s="4" t="s">
        <v>537</v>
      </c>
    </row>
    <row r="215" ht="14.25" customHeight="1">
      <c r="A215" s="4">
        <v>8049921.0</v>
      </c>
      <c r="B215" s="2">
        <v>45999.6590625</v>
      </c>
      <c r="C215" s="4">
        <v>7233302.0</v>
      </c>
      <c r="D215" s="4" t="s">
        <v>829</v>
      </c>
      <c r="E215" s="2">
        <v>45999.6666666667</v>
      </c>
      <c r="F215" s="4">
        <v>0.5</v>
      </c>
      <c r="G215" s="4">
        <v>0.0</v>
      </c>
      <c r="H215" s="4" t="s">
        <v>1519</v>
      </c>
      <c r="I215" s="4" t="s">
        <v>1781</v>
      </c>
      <c r="J215" s="4" t="s">
        <v>1519</v>
      </c>
      <c r="K215" s="4" t="s">
        <v>1513</v>
      </c>
      <c r="L215" s="4" t="s">
        <v>1781</v>
      </c>
      <c r="M215" s="4" t="s">
        <v>1692</v>
      </c>
      <c r="N215" s="4" t="s">
        <v>540</v>
      </c>
      <c r="O215" s="4" t="s">
        <v>1900</v>
      </c>
      <c r="P215" s="4" t="s">
        <v>1794</v>
      </c>
      <c r="Q215" s="4" t="s">
        <v>1899</v>
      </c>
      <c r="R215" s="4" t="b">
        <v>0</v>
      </c>
      <c r="S215" s="4" t="s">
        <v>1486</v>
      </c>
      <c r="T215" s="2">
        <v>45999.6680555556</v>
      </c>
      <c r="U215" s="2">
        <v>45999.0</v>
      </c>
      <c r="V215" s="4">
        <v>49.0</v>
      </c>
      <c r="W215" s="4" t="s">
        <v>550</v>
      </c>
      <c r="X215" s="4">
        <v>2025.0</v>
      </c>
      <c r="Y215" s="4" t="s">
        <v>1518</v>
      </c>
      <c r="Z215" s="4" t="s">
        <v>557</v>
      </c>
      <c r="AA215" s="4" t="s">
        <v>558</v>
      </c>
      <c r="AB215" s="4" t="b">
        <v>0</v>
      </c>
      <c r="AC215" s="4" t="s">
        <v>536</v>
      </c>
      <c r="AD215" s="4" t="s">
        <v>537</v>
      </c>
    </row>
    <row r="216" ht="14.25" customHeight="1">
      <c r="A216" s="4">
        <v>8046416.0</v>
      </c>
      <c r="B216" s="2">
        <v>45999.4489467593</v>
      </c>
      <c r="C216" s="4">
        <v>7273827.0</v>
      </c>
      <c r="D216" s="4" t="s">
        <v>830</v>
      </c>
      <c r="E216" s="2">
        <v>45999.6680555556</v>
      </c>
      <c r="F216" s="4">
        <v>1.0</v>
      </c>
      <c r="G216" s="4">
        <v>0.0</v>
      </c>
      <c r="H216" s="4"/>
      <c r="I216" s="4"/>
      <c r="J216" s="4" t="s">
        <v>1480</v>
      </c>
      <c r="K216" s="4" t="s">
        <v>1480</v>
      </c>
      <c r="L216" s="4" t="s">
        <v>1901</v>
      </c>
      <c r="M216" s="4" t="s">
        <v>1482</v>
      </c>
      <c r="N216" s="4" t="s">
        <v>831</v>
      </c>
      <c r="O216" s="4" t="s">
        <v>1902</v>
      </c>
      <c r="P216" s="4" t="s">
        <v>1627</v>
      </c>
      <c r="Q216" s="4" t="s">
        <v>1903</v>
      </c>
      <c r="R216" s="4" t="b">
        <v>0</v>
      </c>
      <c r="S216" s="4" t="s">
        <v>1486</v>
      </c>
      <c r="T216" s="2">
        <v>45999.6694444444</v>
      </c>
      <c r="U216" s="2">
        <v>45999.0</v>
      </c>
      <c r="V216" s="4">
        <v>49.0</v>
      </c>
      <c r="W216" s="4" t="s">
        <v>550</v>
      </c>
      <c r="X216" s="4">
        <v>2025.0</v>
      </c>
      <c r="Y216" s="4" t="s">
        <v>1904</v>
      </c>
      <c r="Z216" s="4" t="s">
        <v>541</v>
      </c>
      <c r="AA216" s="4" t="s">
        <v>546</v>
      </c>
      <c r="AB216" s="4" t="b">
        <v>0</v>
      </c>
      <c r="AC216" s="4" t="s">
        <v>536</v>
      </c>
      <c r="AD216" s="4" t="s">
        <v>537</v>
      </c>
    </row>
    <row r="217" ht="14.25" customHeight="1">
      <c r="A217" s="4">
        <v>7938027.0</v>
      </c>
      <c r="B217" s="2">
        <v>45980.3414351852</v>
      </c>
      <c r="C217" s="4">
        <v>7166736.0</v>
      </c>
      <c r="D217" s="4" t="s">
        <v>833</v>
      </c>
      <c r="E217" s="2">
        <v>45999.6895833333</v>
      </c>
      <c r="F217" s="4">
        <v>1.0</v>
      </c>
      <c r="G217" s="4">
        <v>0.0</v>
      </c>
      <c r="H217" s="4"/>
      <c r="I217" s="4"/>
      <c r="J217" s="4" t="s">
        <v>1480</v>
      </c>
      <c r="K217" s="4" t="s">
        <v>1480</v>
      </c>
      <c r="L217" s="4" t="s">
        <v>1481</v>
      </c>
      <c r="M217" s="4" t="s">
        <v>1482</v>
      </c>
      <c r="N217" s="4" t="s">
        <v>540</v>
      </c>
      <c r="O217" s="4" t="s">
        <v>1483</v>
      </c>
      <c r="P217" s="4" t="s">
        <v>1790</v>
      </c>
      <c r="Q217" s="4" t="s">
        <v>1905</v>
      </c>
      <c r="R217" s="4" t="b">
        <v>0</v>
      </c>
      <c r="S217" s="4" t="s">
        <v>1486</v>
      </c>
      <c r="T217" s="2">
        <v>45999.6909722222</v>
      </c>
      <c r="U217" s="2">
        <v>45980.0</v>
      </c>
      <c r="V217" s="4">
        <v>46.0</v>
      </c>
      <c r="W217" s="4" t="s">
        <v>545</v>
      </c>
      <c r="X217" s="4">
        <v>2025.0</v>
      </c>
      <c r="Y217" s="4" t="s">
        <v>1487</v>
      </c>
      <c r="Z217" s="4" t="s">
        <v>557</v>
      </c>
      <c r="AA217" s="4" t="s">
        <v>558</v>
      </c>
      <c r="AB217" s="4" t="b">
        <v>0</v>
      </c>
      <c r="AC217" s="4" t="s">
        <v>536</v>
      </c>
      <c r="AD217" s="4" t="s">
        <v>537</v>
      </c>
    </row>
    <row r="218" ht="14.25" customHeight="1">
      <c r="A218" s="4">
        <v>8050596.0</v>
      </c>
      <c r="B218" s="2">
        <v>45999.7022569444</v>
      </c>
      <c r="C218" s="4">
        <v>7277976.0</v>
      </c>
      <c r="D218" s="4" t="s">
        <v>834</v>
      </c>
      <c r="E218" s="2">
        <v>45999.7027777778</v>
      </c>
      <c r="F218" s="4">
        <v>1.0</v>
      </c>
      <c r="G218" s="4">
        <v>0.0</v>
      </c>
      <c r="H218" s="4"/>
      <c r="I218" s="4"/>
      <c r="J218" s="4" t="s">
        <v>539</v>
      </c>
      <c r="K218" s="4" t="s">
        <v>539</v>
      </c>
      <c r="L218" s="4" t="s">
        <v>1499</v>
      </c>
      <c r="M218" s="4" t="s">
        <v>1482</v>
      </c>
      <c r="N218" s="4"/>
      <c r="O218" s="4" t="s">
        <v>1906</v>
      </c>
      <c r="P218" s="4" t="s">
        <v>1488</v>
      </c>
      <c r="Q218" s="4" t="s">
        <v>1907</v>
      </c>
      <c r="R218" s="4" t="b">
        <v>0</v>
      </c>
      <c r="S218" s="4" t="s">
        <v>1486</v>
      </c>
      <c r="T218" s="2">
        <v>45999.7041666667</v>
      </c>
      <c r="U218" s="2">
        <v>45999.0</v>
      </c>
      <c r="V218" s="4">
        <v>49.0</v>
      </c>
      <c r="W218" s="4" t="s">
        <v>550</v>
      </c>
      <c r="X218" s="4">
        <v>2025.0</v>
      </c>
      <c r="Y218" s="4" t="s">
        <v>1502</v>
      </c>
      <c r="Z218" s="4"/>
      <c r="AA218" s="4" t="s">
        <v>835</v>
      </c>
      <c r="AB218" s="4" t="b">
        <v>0</v>
      </c>
      <c r="AC218" s="4" t="s">
        <v>567</v>
      </c>
      <c r="AD218" s="4" t="s">
        <v>537</v>
      </c>
    </row>
    <row r="219" ht="14.25" customHeight="1">
      <c r="A219" s="4">
        <v>7845651.0</v>
      </c>
      <c r="B219" s="2">
        <v>45960.5446296296</v>
      </c>
      <c r="C219" s="4">
        <v>7077601.0</v>
      </c>
      <c r="D219" s="4" t="s">
        <v>836</v>
      </c>
      <c r="E219" s="2">
        <v>45999.8180555556</v>
      </c>
      <c r="F219" s="4">
        <v>0.4</v>
      </c>
      <c r="G219" s="4">
        <v>0.0</v>
      </c>
      <c r="H219" s="4"/>
      <c r="I219" s="4"/>
      <c r="J219" s="4" t="s">
        <v>1480</v>
      </c>
      <c r="K219" s="4" t="s">
        <v>1480</v>
      </c>
      <c r="L219" s="4" t="s">
        <v>1481</v>
      </c>
      <c r="M219" s="4" t="s">
        <v>1482</v>
      </c>
      <c r="N219" s="4" t="s">
        <v>540</v>
      </c>
      <c r="O219" s="4" t="s">
        <v>1483</v>
      </c>
      <c r="P219" s="4" t="s">
        <v>1645</v>
      </c>
      <c r="Q219" s="4" t="s">
        <v>1773</v>
      </c>
      <c r="R219" s="4" t="b">
        <v>0</v>
      </c>
      <c r="S219" s="4" t="s">
        <v>1486</v>
      </c>
      <c r="T219" s="2">
        <v>45999.8194444444</v>
      </c>
      <c r="U219" s="2">
        <v>45960.0</v>
      </c>
      <c r="V219" s="4">
        <v>43.0</v>
      </c>
      <c r="W219" s="4" t="s">
        <v>1560</v>
      </c>
      <c r="X219" s="4">
        <v>2025.0</v>
      </c>
      <c r="Y219" s="4" t="s">
        <v>1487</v>
      </c>
      <c r="Z219" s="4" t="s">
        <v>557</v>
      </c>
      <c r="AA219" s="4" t="s">
        <v>558</v>
      </c>
      <c r="AB219" s="4" t="b">
        <v>0</v>
      </c>
      <c r="AC219" s="4" t="s">
        <v>536</v>
      </c>
      <c r="AD219" s="4" t="s">
        <v>537</v>
      </c>
    </row>
    <row r="220" ht="14.25" customHeight="1">
      <c r="A220" s="4">
        <v>8015628.0</v>
      </c>
      <c r="B220" s="2">
        <v>45995.6488425926</v>
      </c>
      <c r="C220" s="4">
        <v>7077601.0</v>
      </c>
      <c r="D220" s="4" t="s">
        <v>836</v>
      </c>
      <c r="E220" s="2">
        <v>45999.8180555556</v>
      </c>
      <c r="F220" s="4">
        <v>0.2</v>
      </c>
      <c r="G220" s="4">
        <v>0.0</v>
      </c>
      <c r="H220" s="4" t="s">
        <v>1774</v>
      </c>
      <c r="I220" s="4"/>
      <c r="J220" s="4" t="s">
        <v>1774</v>
      </c>
      <c r="K220" s="4" t="s">
        <v>1775</v>
      </c>
      <c r="L220" s="4"/>
      <c r="M220" s="4"/>
      <c r="N220" s="4"/>
      <c r="O220" s="4"/>
      <c r="P220" s="4"/>
      <c r="Q220" s="4" t="s">
        <v>1776</v>
      </c>
      <c r="R220" s="4" t="b">
        <v>0</v>
      </c>
      <c r="S220" s="4" t="s">
        <v>1486</v>
      </c>
      <c r="T220" s="2">
        <v>45999.8194444444</v>
      </c>
      <c r="U220" s="2">
        <v>45995.0</v>
      </c>
      <c r="V220" s="4">
        <v>48.0</v>
      </c>
      <c r="W220" s="4" t="s">
        <v>550</v>
      </c>
      <c r="X220" s="4">
        <v>2025.0</v>
      </c>
      <c r="Y220" s="4" t="s">
        <v>1518</v>
      </c>
      <c r="Z220" s="4" t="s">
        <v>557</v>
      </c>
      <c r="AA220" s="4" t="s">
        <v>558</v>
      </c>
      <c r="AB220" s="4" t="b">
        <v>0</v>
      </c>
      <c r="AC220" s="4" t="s">
        <v>536</v>
      </c>
      <c r="AD220" s="4" t="s">
        <v>537</v>
      </c>
    </row>
    <row r="221" ht="14.25" customHeight="1">
      <c r="A221" s="4">
        <v>8052272.0</v>
      </c>
      <c r="B221" s="2">
        <v>45999.8181134259</v>
      </c>
      <c r="C221" s="4">
        <v>7077601.0</v>
      </c>
      <c r="D221" s="4" t="s">
        <v>836</v>
      </c>
      <c r="E221" s="2">
        <v>45999.8180555556</v>
      </c>
      <c r="F221" s="4">
        <v>0.4</v>
      </c>
      <c r="G221" s="4">
        <v>0.0</v>
      </c>
      <c r="H221" s="4" t="s">
        <v>1888</v>
      </c>
      <c r="I221" s="4" t="s">
        <v>1889</v>
      </c>
      <c r="J221" s="4" t="s">
        <v>1888</v>
      </c>
      <c r="K221" s="4" t="s">
        <v>1775</v>
      </c>
      <c r="L221" s="4" t="s">
        <v>1889</v>
      </c>
      <c r="M221" s="4" t="s">
        <v>1893</v>
      </c>
      <c r="N221" s="4"/>
      <c r="O221" s="4" t="s">
        <v>1483</v>
      </c>
      <c r="P221" s="4" t="s">
        <v>1645</v>
      </c>
      <c r="Q221" s="4" t="s">
        <v>1908</v>
      </c>
      <c r="R221" s="4" t="b">
        <v>0</v>
      </c>
      <c r="S221" s="4" t="s">
        <v>1486</v>
      </c>
      <c r="T221" s="2">
        <v>45999.8194444444</v>
      </c>
      <c r="U221" s="2">
        <v>45999.0</v>
      </c>
      <c r="V221" s="4">
        <v>49.0</v>
      </c>
      <c r="W221" s="4" t="s">
        <v>550</v>
      </c>
      <c r="X221" s="4">
        <v>2025.0</v>
      </c>
      <c r="Y221" s="4" t="s">
        <v>1518</v>
      </c>
      <c r="Z221" s="4" t="s">
        <v>557</v>
      </c>
      <c r="AA221" s="4" t="s">
        <v>558</v>
      </c>
      <c r="AB221" s="4" t="b">
        <v>0</v>
      </c>
      <c r="AC221" s="4" t="s">
        <v>536</v>
      </c>
      <c r="AD221" s="4" t="s">
        <v>537</v>
      </c>
    </row>
    <row r="222" ht="14.25" customHeight="1">
      <c r="A222" s="4">
        <v>8052407.0</v>
      </c>
      <c r="B222" s="2">
        <v>45999.8277546296</v>
      </c>
      <c r="C222" s="4">
        <v>7279779.0</v>
      </c>
      <c r="D222" s="4" t="s">
        <v>841</v>
      </c>
      <c r="E222" s="2">
        <v>45999.83125</v>
      </c>
      <c r="F222" s="4">
        <v>1.0</v>
      </c>
      <c r="G222" s="4">
        <v>0.0</v>
      </c>
      <c r="H222" s="4" t="s">
        <v>1519</v>
      </c>
      <c r="I222" s="4" t="s">
        <v>1909</v>
      </c>
      <c r="J222" s="4" t="s">
        <v>1519</v>
      </c>
      <c r="K222" s="4" t="s">
        <v>1513</v>
      </c>
      <c r="L222" s="4" t="s">
        <v>1909</v>
      </c>
      <c r="M222" s="4" t="s">
        <v>1482</v>
      </c>
      <c r="N222" s="4" t="s">
        <v>1594</v>
      </c>
      <c r="O222" s="4" t="s">
        <v>1910</v>
      </c>
      <c r="P222" s="4" t="s">
        <v>1911</v>
      </c>
      <c r="Q222" s="4" t="s">
        <v>1912</v>
      </c>
      <c r="R222" s="4" t="b">
        <v>0</v>
      </c>
      <c r="S222" s="4" t="s">
        <v>1486</v>
      </c>
      <c r="T222" s="2">
        <v>45999.8326388889</v>
      </c>
      <c r="U222" s="2">
        <v>45999.0</v>
      </c>
      <c r="V222" s="4">
        <v>49.0</v>
      </c>
      <c r="W222" s="4" t="s">
        <v>550</v>
      </c>
      <c r="X222" s="4">
        <v>2025.0</v>
      </c>
      <c r="Y222" s="4" t="s">
        <v>1518</v>
      </c>
      <c r="Z222" s="4"/>
      <c r="AA222" s="4" t="s">
        <v>558</v>
      </c>
      <c r="AB222" s="4" t="b">
        <v>0</v>
      </c>
      <c r="AC222" s="4" t="s">
        <v>599</v>
      </c>
      <c r="AD222" s="4" t="s">
        <v>537</v>
      </c>
    </row>
    <row r="223" ht="14.25" customHeight="1">
      <c r="A223" s="4">
        <v>8052797.0</v>
      </c>
      <c r="B223" s="2">
        <v>45999.8536689815</v>
      </c>
      <c r="C223" s="4">
        <v>7280163.0</v>
      </c>
      <c r="D223" s="4" t="s">
        <v>842</v>
      </c>
      <c r="E223" s="2">
        <v>45999.8541666667</v>
      </c>
      <c r="F223" s="4">
        <v>1.0</v>
      </c>
      <c r="G223" s="4">
        <v>0.0</v>
      </c>
      <c r="H223" s="4" t="s">
        <v>1519</v>
      </c>
      <c r="I223" s="4" t="s">
        <v>1913</v>
      </c>
      <c r="J223" s="4" t="s">
        <v>1519</v>
      </c>
      <c r="K223" s="4" t="s">
        <v>1513</v>
      </c>
      <c r="L223" s="4" t="s">
        <v>1913</v>
      </c>
      <c r="M223" s="4" t="s">
        <v>1482</v>
      </c>
      <c r="N223" s="4" t="s">
        <v>1594</v>
      </c>
      <c r="O223" s="4" t="s">
        <v>1914</v>
      </c>
      <c r="P223" s="4" t="s">
        <v>1915</v>
      </c>
      <c r="Q223" s="4" t="s">
        <v>1916</v>
      </c>
      <c r="R223" s="4" t="b">
        <v>0</v>
      </c>
      <c r="S223" s="4" t="s">
        <v>1486</v>
      </c>
      <c r="T223" s="2">
        <v>45999.8555555556</v>
      </c>
      <c r="U223" s="2">
        <v>45999.0</v>
      </c>
      <c r="V223" s="4">
        <v>49.0</v>
      </c>
      <c r="W223" s="4" t="s">
        <v>550</v>
      </c>
      <c r="X223" s="4">
        <v>2025.0</v>
      </c>
      <c r="Y223" s="4" t="s">
        <v>1518</v>
      </c>
      <c r="Z223" s="4"/>
      <c r="AA223" s="4" t="s">
        <v>558</v>
      </c>
      <c r="AB223" s="4" t="b">
        <v>0</v>
      </c>
      <c r="AC223" s="4" t="s">
        <v>599</v>
      </c>
      <c r="AD223" s="4" t="s">
        <v>537</v>
      </c>
    </row>
    <row r="224" ht="14.25" customHeight="1">
      <c r="A224" s="4">
        <v>8053942.0</v>
      </c>
      <c r="B224" s="2">
        <v>45999.9318634259</v>
      </c>
      <c r="C224" s="4">
        <v>7281303.0</v>
      </c>
      <c r="D224" s="4" t="s">
        <v>843</v>
      </c>
      <c r="E224" s="2">
        <v>45999.9548611111</v>
      </c>
      <c r="F224" s="4">
        <v>1.0</v>
      </c>
      <c r="G224" s="4">
        <v>0.0</v>
      </c>
      <c r="H224" s="4"/>
      <c r="I224" s="4"/>
      <c r="J224" s="4" t="s">
        <v>1480</v>
      </c>
      <c r="K224" s="4" t="s">
        <v>1480</v>
      </c>
      <c r="L224" s="4" t="s">
        <v>1481</v>
      </c>
      <c r="M224" s="4" t="s">
        <v>1482</v>
      </c>
      <c r="N224" s="4" t="s">
        <v>540</v>
      </c>
      <c r="O224" s="4" t="s">
        <v>1917</v>
      </c>
      <c r="P224" s="4" t="s">
        <v>1488</v>
      </c>
      <c r="Q224" s="4" t="s">
        <v>1918</v>
      </c>
      <c r="R224" s="4" t="b">
        <v>0</v>
      </c>
      <c r="S224" s="4" t="s">
        <v>1486</v>
      </c>
      <c r="T224" s="2">
        <v>45999.95625</v>
      </c>
      <c r="U224" s="2">
        <v>45999.0</v>
      </c>
      <c r="V224" s="4">
        <v>49.0</v>
      </c>
      <c r="W224" s="4" t="s">
        <v>550</v>
      </c>
      <c r="X224" s="4">
        <v>2025.0</v>
      </c>
      <c r="Y224" s="4" t="s">
        <v>1487</v>
      </c>
      <c r="Z224" s="4"/>
      <c r="AA224" s="4" t="s">
        <v>558</v>
      </c>
      <c r="AB224" s="4" t="b">
        <v>0</v>
      </c>
      <c r="AC224" s="4" t="s">
        <v>536</v>
      </c>
      <c r="AD224" s="4" t="s">
        <v>537</v>
      </c>
    </row>
    <row r="225" ht="14.25" customHeight="1">
      <c r="A225" s="4">
        <v>8054335.0</v>
      </c>
      <c r="B225" s="2">
        <v>45999.958587963</v>
      </c>
      <c r="C225" s="4">
        <v>7281696.0</v>
      </c>
      <c r="D225" s="4" t="s">
        <v>844</v>
      </c>
      <c r="E225" s="2">
        <v>45999.9590277778</v>
      </c>
      <c r="F225" s="4">
        <v>1.0</v>
      </c>
      <c r="G225" s="4">
        <v>0.0</v>
      </c>
      <c r="H225" s="4"/>
      <c r="I225" s="4"/>
      <c r="J225" s="4" t="s">
        <v>1480</v>
      </c>
      <c r="K225" s="4" t="s">
        <v>1480</v>
      </c>
      <c r="L225" s="4" t="s">
        <v>1481</v>
      </c>
      <c r="M225" s="4" t="s">
        <v>1482</v>
      </c>
      <c r="N225" s="4" t="s">
        <v>540</v>
      </c>
      <c r="O225" s="4" t="s">
        <v>1483</v>
      </c>
      <c r="P225" s="4" t="s">
        <v>1488</v>
      </c>
      <c r="Q225" s="4" t="s">
        <v>1919</v>
      </c>
      <c r="R225" s="4" t="b">
        <v>0</v>
      </c>
      <c r="S225" s="4" t="s">
        <v>1486</v>
      </c>
      <c r="T225" s="2">
        <v>45999.9604166667</v>
      </c>
      <c r="U225" s="2">
        <v>45999.0</v>
      </c>
      <c r="V225" s="4">
        <v>49.0</v>
      </c>
      <c r="W225" s="4" t="s">
        <v>550</v>
      </c>
      <c r="X225" s="4">
        <v>2025.0</v>
      </c>
      <c r="Y225" s="4" t="s">
        <v>1487</v>
      </c>
      <c r="Z225" s="4" t="s">
        <v>541</v>
      </c>
      <c r="AA225" s="4" t="s">
        <v>546</v>
      </c>
      <c r="AB225" s="4" t="b">
        <v>0</v>
      </c>
      <c r="AC225" s="4" t="s">
        <v>536</v>
      </c>
      <c r="AD225" s="4" t="s">
        <v>537</v>
      </c>
    </row>
    <row r="226" ht="14.25" customHeight="1">
      <c r="A226" s="4">
        <v>8054825.0</v>
      </c>
      <c r="B226" s="2">
        <v>45999.9935763889</v>
      </c>
      <c r="C226" s="4">
        <v>7282184.0</v>
      </c>
      <c r="D226" s="4" t="s">
        <v>845</v>
      </c>
      <c r="E226" s="2">
        <v>45999.99375</v>
      </c>
      <c r="F226" s="4">
        <v>1.0</v>
      </c>
      <c r="G226" s="4">
        <v>0.0</v>
      </c>
      <c r="H226" s="4"/>
      <c r="I226" s="4"/>
      <c r="J226" s="4" t="s">
        <v>1526</v>
      </c>
      <c r="K226" s="4" t="s">
        <v>1527</v>
      </c>
      <c r="L226" s="4" t="s">
        <v>1528</v>
      </c>
      <c r="M226" s="4" t="s">
        <v>1482</v>
      </c>
      <c r="N226" s="4" t="s">
        <v>1529</v>
      </c>
      <c r="O226" s="4" t="s">
        <v>1530</v>
      </c>
      <c r="P226" s="4" t="s">
        <v>1627</v>
      </c>
      <c r="Q226" s="4" t="s">
        <v>1920</v>
      </c>
      <c r="R226" s="4" t="b">
        <v>0</v>
      </c>
      <c r="S226" s="4" t="s">
        <v>1486</v>
      </c>
      <c r="T226" s="2">
        <v>45999.9951388889</v>
      </c>
      <c r="U226" s="2">
        <v>45999.0</v>
      </c>
      <c r="V226" s="4">
        <v>49.0</v>
      </c>
      <c r="W226" s="4" t="s">
        <v>550</v>
      </c>
      <c r="X226" s="4">
        <v>2025.0</v>
      </c>
      <c r="Y226" s="4" t="s">
        <v>1532</v>
      </c>
      <c r="Z226" s="4" t="s">
        <v>557</v>
      </c>
      <c r="AA226" s="4" t="s">
        <v>558</v>
      </c>
      <c r="AB226" s="4" t="b">
        <v>0</v>
      </c>
      <c r="AC226" s="4" t="s">
        <v>536</v>
      </c>
      <c r="AD226" s="4" t="s">
        <v>537</v>
      </c>
    </row>
    <row r="227" ht="14.25" customHeight="1">
      <c r="A227" s="4">
        <v>8055983.0</v>
      </c>
      <c r="B227" s="2">
        <v>46000.0731712963</v>
      </c>
      <c r="C227" s="4">
        <v>7283340.0</v>
      </c>
      <c r="D227" s="4" t="s">
        <v>846</v>
      </c>
      <c r="E227" s="2">
        <v>46000.0736111111</v>
      </c>
      <c r="F227" s="4">
        <v>1.0</v>
      </c>
      <c r="G227" s="4">
        <v>0.0</v>
      </c>
      <c r="H227" s="4"/>
      <c r="I227" s="4"/>
      <c r="J227" s="4" t="s">
        <v>1526</v>
      </c>
      <c r="K227" s="4" t="s">
        <v>1527</v>
      </c>
      <c r="L227" s="4" t="s">
        <v>1528</v>
      </c>
      <c r="M227" s="4" t="s">
        <v>1482</v>
      </c>
      <c r="N227" s="4" t="s">
        <v>1529</v>
      </c>
      <c r="O227" s="4" t="s">
        <v>1530</v>
      </c>
      <c r="P227" s="4" t="s">
        <v>1506</v>
      </c>
      <c r="Q227" s="4" t="s">
        <v>1921</v>
      </c>
      <c r="R227" s="4" t="b">
        <v>0</v>
      </c>
      <c r="S227" s="4" t="s">
        <v>1486</v>
      </c>
      <c r="T227" s="2">
        <v>46000.075</v>
      </c>
      <c r="U227" s="2">
        <v>46000.0</v>
      </c>
      <c r="V227" s="4">
        <v>49.0</v>
      </c>
      <c r="W227" s="4" t="s">
        <v>550</v>
      </c>
      <c r="X227" s="4">
        <v>2025.0</v>
      </c>
      <c r="Y227" s="4" t="s">
        <v>1532</v>
      </c>
      <c r="Z227" s="4" t="s">
        <v>791</v>
      </c>
      <c r="AA227" s="4" t="s">
        <v>792</v>
      </c>
      <c r="AB227" s="4" t="b">
        <v>0</v>
      </c>
      <c r="AC227" s="4" t="s">
        <v>536</v>
      </c>
      <c r="AD227" s="4" t="s">
        <v>537</v>
      </c>
    </row>
    <row r="228" ht="14.25" customHeight="1">
      <c r="A228" s="4">
        <v>8057671.0</v>
      </c>
      <c r="B228" s="2">
        <v>46000.1906597222</v>
      </c>
      <c r="C228" s="4">
        <v>7285028.0</v>
      </c>
      <c r="D228" s="4" t="s">
        <v>847</v>
      </c>
      <c r="E228" s="2">
        <v>46000.19375</v>
      </c>
      <c r="F228" s="4">
        <v>1.0</v>
      </c>
      <c r="G228" s="4">
        <v>0.0</v>
      </c>
      <c r="H228" s="4"/>
      <c r="I228" s="4"/>
      <c r="J228" s="4" t="s">
        <v>1480</v>
      </c>
      <c r="K228" s="4" t="s">
        <v>1480</v>
      </c>
      <c r="L228" s="4" t="s">
        <v>1481</v>
      </c>
      <c r="M228" s="4" t="s">
        <v>1482</v>
      </c>
      <c r="N228" s="4" t="s">
        <v>540</v>
      </c>
      <c r="O228" s="4" t="s">
        <v>1922</v>
      </c>
      <c r="P228" s="4" t="s">
        <v>1923</v>
      </c>
      <c r="Q228" s="4" t="s">
        <v>1924</v>
      </c>
      <c r="R228" s="4" t="b">
        <v>0</v>
      </c>
      <c r="S228" s="4" t="s">
        <v>1486</v>
      </c>
      <c r="T228" s="2">
        <v>46000.1951388889</v>
      </c>
      <c r="U228" s="2">
        <v>46000.0</v>
      </c>
      <c r="V228" s="4">
        <v>49.0</v>
      </c>
      <c r="W228" s="4" t="s">
        <v>550</v>
      </c>
      <c r="X228" s="4">
        <v>2025.0</v>
      </c>
      <c r="Y228" s="4" t="s">
        <v>1487</v>
      </c>
      <c r="Z228" s="4"/>
      <c r="AA228" s="4" t="s">
        <v>747</v>
      </c>
      <c r="AB228" s="4" t="b">
        <v>0</v>
      </c>
      <c r="AC228" s="4" t="s">
        <v>536</v>
      </c>
      <c r="AD228" s="4" t="s">
        <v>537</v>
      </c>
    </row>
    <row r="229" ht="14.25" customHeight="1">
      <c r="A229" s="4">
        <v>7940245.0</v>
      </c>
      <c r="B229" s="2">
        <v>45980.6239814815</v>
      </c>
      <c r="C229" s="4">
        <v>7168930.0</v>
      </c>
      <c r="D229" s="4" t="s">
        <v>848</v>
      </c>
      <c r="E229" s="2">
        <v>46000.3361111111</v>
      </c>
      <c r="F229" s="4">
        <v>1.0</v>
      </c>
      <c r="G229" s="4">
        <v>0.0</v>
      </c>
      <c r="H229" s="4"/>
      <c r="I229" s="4"/>
      <c r="J229" s="4" t="s">
        <v>539</v>
      </c>
      <c r="K229" s="4" t="s">
        <v>539</v>
      </c>
      <c r="L229" s="4" t="s">
        <v>1499</v>
      </c>
      <c r="M229" s="4" t="s">
        <v>1482</v>
      </c>
      <c r="N229" s="4"/>
      <c r="O229" s="4" t="s">
        <v>1500</v>
      </c>
      <c r="P229" s="4" t="s">
        <v>1496</v>
      </c>
      <c r="Q229" s="4" t="s">
        <v>1501</v>
      </c>
      <c r="R229" s="4" t="b">
        <v>0</v>
      </c>
      <c r="S229" s="4" t="s">
        <v>1486</v>
      </c>
      <c r="T229" s="2">
        <v>46000.3375</v>
      </c>
      <c r="U229" s="2">
        <v>45980.0</v>
      </c>
      <c r="V229" s="4">
        <v>46.0</v>
      </c>
      <c r="W229" s="4" t="s">
        <v>545</v>
      </c>
      <c r="X229" s="4">
        <v>2025.0</v>
      </c>
      <c r="Y229" s="4" t="s">
        <v>1502</v>
      </c>
      <c r="Z229" s="4" t="s">
        <v>557</v>
      </c>
      <c r="AA229" s="4" t="s">
        <v>558</v>
      </c>
      <c r="AB229" s="4" t="b">
        <v>0</v>
      </c>
      <c r="AC229" s="4" t="s">
        <v>567</v>
      </c>
      <c r="AD229" s="4" t="s">
        <v>537</v>
      </c>
    </row>
    <row r="230" ht="14.25" customHeight="1">
      <c r="A230" s="4">
        <v>8060751.0</v>
      </c>
      <c r="B230" s="2">
        <v>46000.3849189815</v>
      </c>
      <c r="C230" s="4">
        <v>7288102.0</v>
      </c>
      <c r="D230" s="4" t="s">
        <v>849</v>
      </c>
      <c r="E230" s="2">
        <v>46000.3847222222</v>
      </c>
      <c r="F230" s="4">
        <v>1.0</v>
      </c>
      <c r="G230" s="4">
        <v>0.0</v>
      </c>
      <c r="H230" s="4"/>
      <c r="I230" s="4"/>
      <c r="J230" s="4" t="s">
        <v>539</v>
      </c>
      <c r="K230" s="4" t="s">
        <v>539</v>
      </c>
      <c r="L230" s="4" t="s">
        <v>1499</v>
      </c>
      <c r="M230" s="4" t="s">
        <v>1482</v>
      </c>
      <c r="N230" s="4"/>
      <c r="O230" s="4" t="s">
        <v>1598</v>
      </c>
      <c r="P230" s="4" t="s">
        <v>1645</v>
      </c>
      <c r="Q230" s="4" t="s">
        <v>1925</v>
      </c>
      <c r="R230" s="4" t="b">
        <v>0</v>
      </c>
      <c r="S230" s="4" t="s">
        <v>1486</v>
      </c>
      <c r="T230" s="2">
        <v>46000.3861111111</v>
      </c>
      <c r="U230" s="2">
        <v>46000.0</v>
      </c>
      <c r="V230" s="4">
        <v>49.0</v>
      </c>
      <c r="W230" s="4" t="s">
        <v>550</v>
      </c>
      <c r="X230" s="4">
        <v>2025.0</v>
      </c>
      <c r="Y230" s="4" t="s">
        <v>1502</v>
      </c>
      <c r="Z230" s="4" t="s">
        <v>541</v>
      </c>
      <c r="AA230" s="4" t="s">
        <v>546</v>
      </c>
      <c r="AB230" s="4" t="b">
        <v>0</v>
      </c>
      <c r="AC230" s="4" t="s">
        <v>536</v>
      </c>
      <c r="AD230" s="4" t="s">
        <v>537</v>
      </c>
    </row>
    <row r="231" ht="14.25" customHeight="1">
      <c r="A231" s="4">
        <v>8060917.0</v>
      </c>
      <c r="B231" s="2">
        <v>46000.3918055556</v>
      </c>
      <c r="C231" s="4">
        <v>7288268.0</v>
      </c>
      <c r="D231" s="4" t="s">
        <v>850</v>
      </c>
      <c r="E231" s="2">
        <v>46000.3923611111</v>
      </c>
      <c r="F231" s="4">
        <v>1.0</v>
      </c>
      <c r="G231" s="4">
        <v>0.0</v>
      </c>
      <c r="H231" s="4"/>
      <c r="I231" s="4"/>
      <c r="J231" s="4" t="s">
        <v>1526</v>
      </c>
      <c r="K231" s="4" t="s">
        <v>1527</v>
      </c>
      <c r="L231" s="4" t="s">
        <v>1528</v>
      </c>
      <c r="M231" s="4" t="s">
        <v>1482</v>
      </c>
      <c r="N231" s="4" t="s">
        <v>1529</v>
      </c>
      <c r="O231" s="4" t="s">
        <v>1530</v>
      </c>
      <c r="P231" s="4" t="s">
        <v>1488</v>
      </c>
      <c r="Q231" s="4" t="s">
        <v>1926</v>
      </c>
      <c r="R231" s="4" t="b">
        <v>0</v>
      </c>
      <c r="S231" s="4" t="s">
        <v>1486</v>
      </c>
      <c r="T231" s="2">
        <v>46000.39375</v>
      </c>
      <c r="U231" s="2">
        <v>46000.0</v>
      </c>
      <c r="V231" s="4">
        <v>49.0</v>
      </c>
      <c r="W231" s="4" t="s">
        <v>550</v>
      </c>
      <c r="X231" s="4">
        <v>2025.0</v>
      </c>
      <c r="Y231" s="4" t="s">
        <v>1532</v>
      </c>
      <c r="Z231" s="4" t="s">
        <v>557</v>
      </c>
      <c r="AA231" s="4" t="s">
        <v>624</v>
      </c>
      <c r="AB231" s="4" t="b">
        <v>0</v>
      </c>
      <c r="AC231" s="4" t="s">
        <v>536</v>
      </c>
      <c r="AD231" s="4" t="s">
        <v>537</v>
      </c>
    </row>
    <row r="232" ht="14.25" customHeight="1">
      <c r="A232" s="4">
        <v>7866874.0</v>
      </c>
      <c r="B232" s="2">
        <v>45966.3428356481</v>
      </c>
      <c r="C232" s="4">
        <v>7097059.0</v>
      </c>
      <c r="D232" s="4" t="s">
        <v>851</v>
      </c>
      <c r="E232" s="2">
        <v>46000.4020833333</v>
      </c>
      <c r="F232" s="4">
        <v>1.0</v>
      </c>
      <c r="G232" s="4">
        <v>0.0</v>
      </c>
      <c r="H232" s="4"/>
      <c r="I232" s="4"/>
      <c r="J232" s="4" t="s">
        <v>1480</v>
      </c>
      <c r="K232" s="4" t="s">
        <v>1480</v>
      </c>
      <c r="L232" s="4" t="s">
        <v>1481</v>
      </c>
      <c r="M232" s="4" t="s">
        <v>1482</v>
      </c>
      <c r="N232" s="4" t="s">
        <v>540</v>
      </c>
      <c r="O232" s="4" t="s">
        <v>1927</v>
      </c>
      <c r="P232" s="4" t="s">
        <v>1585</v>
      </c>
      <c r="Q232" s="4" t="s">
        <v>1928</v>
      </c>
      <c r="R232" s="4" t="b">
        <v>0</v>
      </c>
      <c r="S232" s="4" t="s">
        <v>1486</v>
      </c>
      <c r="T232" s="2">
        <v>46000.4034722222</v>
      </c>
      <c r="U232" s="2">
        <v>45966.0</v>
      </c>
      <c r="V232" s="4">
        <v>44.0</v>
      </c>
      <c r="W232" s="4" t="s">
        <v>545</v>
      </c>
      <c r="X232" s="4">
        <v>2025.0</v>
      </c>
      <c r="Y232" s="4" t="s">
        <v>1487</v>
      </c>
      <c r="Z232" s="4" t="s">
        <v>604</v>
      </c>
      <c r="AA232" s="4" t="s">
        <v>605</v>
      </c>
      <c r="AB232" s="4" t="b">
        <v>0</v>
      </c>
      <c r="AC232" s="4" t="s">
        <v>536</v>
      </c>
      <c r="AD232" s="4" t="s">
        <v>537</v>
      </c>
    </row>
    <row r="233" ht="14.25" customHeight="1">
      <c r="A233" s="4">
        <v>8061381.0</v>
      </c>
      <c r="B233" s="2">
        <v>46000.4121527778</v>
      </c>
      <c r="C233" s="4">
        <v>7288731.0</v>
      </c>
      <c r="D233" s="4" t="s">
        <v>852</v>
      </c>
      <c r="E233" s="2">
        <v>46000.4118055556</v>
      </c>
      <c r="F233" s="4">
        <v>1.0</v>
      </c>
      <c r="G233" s="4">
        <v>0.0</v>
      </c>
      <c r="H233" s="4"/>
      <c r="I233" s="4"/>
      <c r="J233" s="4" t="s">
        <v>1526</v>
      </c>
      <c r="K233" s="4" t="s">
        <v>1527</v>
      </c>
      <c r="L233" s="4" t="s">
        <v>1528</v>
      </c>
      <c r="M233" s="4" t="s">
        <v>1482</v>
      </c>
      <c r="N233" s="4" t="s">
        <v>1529</v>
      </c>
      <c r="O233" s="4" t="s">
        <v>1530</v>
      </c>
      <c r="P233" s="4" t="s">
        <v>1488</v>
      </c>
      <c r="Q233" s="4" t="s">
        <v>1929</v>
      </c>
      <c r="R233" s="4" t="b">
        <v>0</v>
      </c>
      <c r="S233" s="4" t="s">
        <v>1486</v>
      </c>
      <c r="T233" s="2">
        <v>46000.4131944444</v>
      </c>
      <c r="U233" s="2">
        <v>46000.0</v>
      </c>
      <c r="V233" s="4">
        <v>49.0</v>
      </c>
      <c r="W233" s="4" t="s">
        <v>550</v>
      </c>
      <c r="X233" s="4">
        <v>2025.0</v>
      </c>
      <c r="Y233" s="4" t="s">
        <v>1532</v>
      </c>
      <c r="Z233" s="4" t="s">
        <v>853</v>
      </c>
      <c r="AA233" s="4" t="s">
        <v>835</v>
      </c>
      <c r="AB233" s="4" t="b">
        <v>0</v>
      </c>
      <c r="AC233" s="4" t="s">
        <v>536</v>
      </c>
      <c r="AD233" s="4" t="s">
        <v>537</v>
      </c>
    </row>
    <row r="234" ht="14.25" customHeight="1">
      <c r="A234" s="4">
        <v>8050567.0</v>
      </c>
      <c r="B234" s="2">
        <v>45999.7000578704</v>
      </c>
      <c r="C234" s="4">
        <v>7277947.0</v>
      </c>
      <c r="D234" s="4" t="s">
        <v>855</v>
      </c>
      <c r="E234" s="2">
        <v>46000.4284722222</v>
      </c>
      <c r="F234" s="4">
        <v>1.0</v>
      </c>
      <c r="G234" s="4">
        <v>0.0</v>
      </c>
      <c r="H234" s="4"/>
      <c r="I234" s="4"/>
      <c r="J234" s="4" t="s">
        <v>1480</v>
      </c>
      <c r="K234" s="4" t="s">
        <v>1480</v>
      </c>
      <c r="L234" s="4" t="s">
        <v>1481</v>
      </c>
      <c r="M234" s="4" t="s">
        <v>1482</v>
      </c>
      <c r="N234" s="4" t="s">
        <v>540</v>
      </c>
      <c r="O234" s="4" t="s">
        <v>1644</v>
      </c>
      <c r="P234" s="4" t="s">
        <v>1794</v>
      </c>
      <c r="Q234" s="4" t="s">
        <v>1930</v>
      </c>
      <c r="R234" s="4" t="b">
        <v>0</v>
      </c>
      <c r="S234" s="4" t="s">
        <v>1486</v>
      </c>
      <c r="T234" s="2">
        <v>46000.4298611111</v>
      </c>
      <c r="U234" s="2">
        <v>45999.0</v>
      </c>
      <c r="V234" s="4">
        <v>49.0</v>
      </c>
      <c r="W234" s="4" t="s">
        <v>550</v>
      </c>
      <c r="X234" s="4">
        <v>2025.0</v>
      </c>
      <c r="Y234" s="4" t="s">
        <v>1487</v>
      </c>
      <c r="Z234" s="4" t="s">
        <v>557</v>
      </c>
      <c r="AA234" s="4" t="s">
        <v>558</v>
      </c>
      <c r="AB234" s="4" t="b">
        <v>0</v>
      </c>
      <c r="AC234" s="4" t="s">
        <v>536</v>
      </c>
      <c r="AD234" s="4" t="s">
        <v>537</v>
      </c>
    </row>
    <row r="235" ht="14.25" customHeight="1">
      <c r="A235" s="4">
        <v>8061431.0</v>
      </c>
      <c r="B235" s="2">
        <v>46000.4149421296</v>
      </c>
      <c r="C235" s="4">
        <v>7288780.0</v>
      </c>
      <c r="D235" s="4" t="s">
        <v>856</v>
      </c>
      <c r="E235" s="2">
        <v>46000.4909722222</v>
      </c>
      <c r="F235" s="4">
        <v>1.0</v>
      </c>
      <c r="G235" s="4">
        <v>0.0</v>
      </c>
      <c r="H235" s="4"/>
      <c r="I235" s="4"/>
      <c r="J235" s="4" t="s">
        <v>1480</v>
      </c>
      <c r="K235" s="4" t="s">
        <v>1480</v>
      </c>
      <c r="L235" s="4" t="s">
        <v>1481</v>
      </c>
      <c r="M235" s="4" t="s">
        <v>1482</v>
      </c>
      <c r="N235" s="4" t="s">
        <v>540</v>
      </c>
      <c r="O235" s="4" t="s">
        <v>1931</v>
      </c>
      <c r="P235" s="4" t="s">
        <v>1645</v>
      </c>
      <c r="Q235" s="4" t="s">
        <v>1932</v>
      </c>
      <c r="R235" s="4" t="b">
        <v>0</v>
      </c>
      <c r="S235" s="4" t="s">
        <v>1486</v>
      </c>
      <c r="T235" s="2">
        <v>46000.4923611111</v>
      </c>
      <c r="U235" s="2">
        <v>46000.0</v>
      </c>
      <c r="V235" s="4">
        <v>49.0</v>
      </c>
      <c r="W235" s="4" t="s">
        <v>550</v>
      </c>
      <c r="X235" s="4">
        <v>2025.0</v>
      </c>
      <c r="Y235" s="4" t="s">
        <v>1487</v>
      </c>
      <c r="Z235" s="4" t="s">
        <v>557</v>
      </c>
      <c r="AA235" s="4" t="s">
        <v>558</v>
      </c>
      <c r="AB235" s="4" t="b">
        <v>0</v>
      </c>
      <c r="AC235" s="4" t="s">
        <v>536</v>
      </c>
      <c r="AD235" s="4" t="s">
        <v>537</v>
      </c>
    </row>
    <row r="236" ht="14.25" customHeight="1">
      <c r="A236" s="4">
        <v>8017682.0</v>
      </c>
      <c r="B236" s="2">
        <v>45996.5856365741</v>
      </c>
      <c r="C236" s="4">
        <v>7245206.0</v>
      </c>
      <c r="D236" s="4" t="s">
        <v>859</v>
      </c>
      <c r="E236" s="2">
        <v>46000.5118055556</v>
      </c>
      <c r="F236" s="4">
        <v>1.0</v>
      </c>
      <c r="G236" s="4">
        <v>0.0</v>
      </c>
      <c r="H236" s="4"/>
      <c r="I236" s="4"/>
      <c r="J236" s="4" t="s">
        <v>539</v>
      </c>
      <c r="K236" s="4" t="s">
        <v>539</v>
      </c>
      <c r="L236" s="4" t="s">
        <v>1499</v>
      </c>
      <c r="M236" s="4" t="s">
        <v>1482</v>
      </c>
      <c r="N236" s="4"/>
      <c r="O236" s="4" t="s">
        <v>1483</v>
      </c>
      <c r="P236" s="4" t="s">
        <v>1484</v>
      </c>
      <c r="Q236" s="4" t="s">
        <v>1933</v>
      </c>
      <c r="R236" s="4" t="b">
        <v>0</v>
      </c>
      <c r="S236" s="4" t="s">
        <v>1486</v>
      </c>
      <c r="T236" s="2">
        <v>46000.5131944444</v>
      </c>
      <c r="U236" s="2">
        <v>45996.0</v>
      </c>
      <c r="V236" s="4">
        <v>48.0</v>
      </c>
      <c r="W236" s="4" t="s">
        <v>550</v>
      </c>
      <c r="X236" s="4">
        <v>2025.0</v>
      </c>
      <c r="Y236" s="4" t="s">
        <v>1502</v>
      </c>
      <c r="Z236" s="4"/>
      <c r="AA236" s="4" t="s">
        <v>860</v>
      </c>
      <c r="AB236" s="4" t="b">
        <v>0</v>
      </c>
      <c r="AC236" s="4" t="s">
        <v>536</v>
      </c>
      <c r="AD236" s="4" t="s">
        <v>537</v>
      </c>
    </row>
    <row r="237" ht="14.25" customHeight="1">
      <c r="A237" s="4">
        <v>8063255.0</v>
      </c>
      <c r="B237" s="2">
        <v>46000.5062268519</v>
      </c>
      <c r="C237" s="4">
        <v>7290569.0</v>
      </c>
      <c r="D237" s="4" t="s">
        <v>861</v>
      </c>
      <c r="E237" s="2">
        <v>46000.5145833333</v>
      </c>
      <c r="F237" s="4">
        <v>1.0</v>
      </c>
      <c r="G237" s="4">
        <v>0.0</v>
      </c>
      <c r="H237" s="4"/>
      <c r="I237" s="4"/>
      <c r="J237" s="4" t="s">
        <v>1480</v>
      </c>
      <c r="K237" s="4" t="s">
        <v>1480</v>
      </c>
      <c r="L237" s="4" t="s">
        <v>1511</v>
      </c>
      <c r="M237" s="4" t="s">
        <v>1482</v>
      </c>
      <c r="N237" s="4" t="s">
        <v>653</v>
      </c>
      <c r="O237" s="4" t="s">
        <v>1483</v>
      </c>
      <c r="P237" s="4" t="s">
        <v>1845</v>
      </c>
      <c r="Q237" s="4" t="s">
        <v>1934</v>
      </c>
      <c r="R237" s="4" t="b">
        <v>0</v>
      </c>
      <c r="S237" s="4" t="s">
        <v>1486</v>
      </c>
      <c r="T237" s="2">
        <v>46000.5159722222</v>
      </c>
      <c r="U237" s="2">
        <v>46000.0</v>
      </c>
      <c r="V237" s="4">
        <v>49.0</v>
      </c>
      <c r="W237" s="4" t="s">
        <v>550</v>
      </c>
      <c r="X237" s="4">
        <v>2025.0</v>
      </c>
      <c r="Y237" s="4" t="s">
        <v>1680</v>
      </c>
      <c r="Z237" s="4" t="s">
        <v>557</v>
      </c>
      <c r="AA237" s="4" t="s">
        <v>558</v>
      </c>
      <c r="AB237" s="4" t="b">
        <v>0</v>
      </c>
      <c r="AC237" s="4" t="s">
        <v>536</v>
      </c>
      <c r="AD237" s="4" t="s">
        <v>537</v>
      </c>
    </row>
    <row r="238" ht="14.25" customHeight="1">
      <c r="A238" s="4">
        <v>8063620.0</v>
      </c>
      <c r="B238" s="2">
        <v>46000.5216898148</v>
      </c>
      <c r="C238" s="4">
        <v>7290931.0</v>
      </c>
      <c r="D238" s="4" t="s">
        <v>862</v>
      </c>
      <c r="E238" s="2">
        <v>46000.5229166667</v>
      </c>
      <c r="F238" s="4">
        <v>1.0</v>
      </c>
      <c r="G238" s="4">
        <v>0.0</v>
      </c>
      <c r="H238" s="4"/>
      <c r="I238" s="4"/>
      <c r="J238" s="4" t="s">
        <v>1480</v>
      </c>
      <c r="K238" s="4" t="s">
        <v>1480</v>
      </c>
      <c r="L238" s="4" t="s">
        <v>1481</v>
      </c>
      <c r="M238" s="4" t="s">
        <v>1482</v>
      </c>
      <c r="N238" s="4" t="s">
        <v>540</v>
      </c>
      <c r="O238" s="4" t="s">
        <v>1483</v>
      </c>
      <c r="P238" s="4" t="s">
        <v>1488</v>
      </c>
      <c r="Q238" s="4" t="s">
        <v>1935</v>
      </c>
      <c r="R238" s="4" t="b">
        <v>0</v>
      </c>
      <c r="S238" s="4" t="s">
        <v>1486</v>
      </c>
      <c r="T238" s="2">
        <v>46000.5243055556</v>
      </c>
      <c r="U238" s="2">
        <v>46000.0</v>
      </c>
      <c r="V238" s="4">
        <v>49.0</v>
      </c>
      <c r="W238" s="4" t="s">
        <v>550</v>
      </c>
      <c r="X238" s="4">
        <v>2025.0</v>
      </c>
      <c r="Y238" s="4" t="s">
        <v>1487</v>
      </c>
      <c r="Z238" s="4" t="s">
        <v>557</v>
      </c>
      <c r="AA238" s="4" t="s">
        <v>558</v>
      </c>
      <c r="AB238" s="4" t="b">
        <v>0</v>
      </c>
      <c r="AC238" s="4" t="s">
        <v>567</v>
      </c>
      <c r="AD238" s="4" t="s">
        <v>537</v>
      </c>
    </row>
    <row r="239" ht="14.25" customHeight="1">
      <c r="A239" s="4">
        <v>8064268.0</v>
      </c>
      <c r="B239" s="2">
        <v>46000.5503009259</v>
      </c>
      <c r="C239" s="4">
        <v>7291572.0</v>
      </c>
      <c r="D239" s="4" t="s">
        <v>863</v>
      </c>
      <c r="E239" s="2">
        <v>46000.5506944444</v>
      </c>
      <c r="F239" s="4">
        <v>1.0</v>
      </c>
      <c r="G239" s="4">
        <v>0.0</v>
      </c>
      <c r="H239" s="4"/>
      <c r="I239" s="4"/>
      <c r="J239" s="4" t="s">
        <v>1480</v>
      </c>
      <c r="K239" s="4" t="s">
        <v>1480</v>
      </c>
      <c r="L239" s="4" t="s">
        <v>1481</v>
      </c>
      <c r="M239" s="4" t="s">
        <v>1482</v>
      </c>
      <c r="N239" s="4" t="s">
        <v>540</v>
      </c>
      <c r="O239" s="4" t="s">
        <v>1483</v>
      </c>
      <c r="P239" s="4" t="s">
        <v>1936</v>
      </c>
      <c r="Q239" s="4" t="s">
        <v>1937</v>
      </c>
      <c r="R239" s="4" t="b">
        <v>0</v>
      </c>
      <c r="S239" s="4" t="s">
        <v>1486</v>
      </c>
      <c r="T239" s="2">
        <v>46000.5520833333</v>
      </c>
      <c r="U239" s="2">
        <v>46000.0</v>
      </c>
      <c r="V239" s="4">
        <v>49.0</v>
      </c>
      <c r="W239" s="4" t="s">
        <v>550</v>
      </c>
      <c r="X239" s="4">
        <v>2025.0</v>
      </c>
      <c r="Y239" s="4" t="s">
        <v>1487</v>
      </c>
      <c r="Z239" s="4"/>
      <c r="AA239" s="4" t="s">
        <v>558</v>
      </c>
      <c r="AB239" s="4" t="b">
        <v>0</v>
      </c>
      <c r="AC239" s="4" t="s">
        <v>554</v>
      </c>
      <c r="AD239" s="4" t="s">
        <v>537</v>
      </c>
    </row>
    <row r="240" ht="14.25" customHeight="1">
      <c r="A240" s="4">
        <v>8065436.0</v>
      </c>
      <c r="B240" s="2">
        <v>46000.6042476852</v>
      </c>
      <c r="C240" s="4">
        <v>7292733.0</v>
      </c>
      <c r="D240" s="4" t="s">
        <v>864</v>
      </c>
      <c r="E240" s="2">
        <v>46000.6055555556</v>
      </c>
      <c r="F240" s="4">
        <v>1.0</v>
      </c>
      <c r="G240" s="4">
        <v>0.0</v>
      </c>
      <c r="H240" s="4"/>
      <c r="I240" s="4"/>
      <c r="J240" s="4" t="s">
        <v>539</v>
      </c>
      <c r="K240" s="4" t="s">
        <v>539</v>
      </c>
      <c r="L240" s="4" t="s">
        <v>1499</v>
      </c>
      <c r="M240" s="4" t="s">
        <v>1482</v>
      </c>
      <c r="N240" s="4"/>
      <c r="O240" s="4" t="s">
        <v>1938</v>
      </c>
      <c r="P240" s="4" t="s">
        <v>1488</v>
      </c>
      <c r="Q240" s="4" t="s">
        <v>1939</v>
      </c>
      <c r="R240" s="4" t="b">
        <v>0</v>
      </c>
      <c r="S240" s="4" t="s">
        <v>1486</v>
      </c>
      <c r="T240" s="2">
        <v>46000.6069444444</v>
      </c>
      <c r="U240" s="2">
        <v>46000.0</v>
      </c>
      <c r="V240" s="4">
        <v>49.0</v>
      </c>
      <c r="W240" s="4" t="s">
        <v>550</v>
      </c>
      <c r="X240" s="4">
        <v>2025.0</v>
      </c>
      <c r="Y240" s="4" t="s">
        <v>1502</v>
      </c>
      <c r="Z240" s="4"/>
      <c r="AA240" s="4" t="s">
        <v>558</v>
      </c>
      <c r="AB240" s="4" t="b">
        <v>0</v>
      </c>
      <c r="AC240" s="4" t="s">
        <v>567</v>
      </c>
      <c r="AD240" s="4" t="s">
        <v>537</v>
      </c>
    </row>
    <row r="241" ht="14.25" customHeight="1">
      <c r="A241" s="4">
        <v>8065528.0</v>
      </c>
      <c r="B241" s="2">
        <v>46000.6091782407</v>
      </c>
      <c r="C241" s="4">
        <v>7292825.0</v>
      </c>
      <c r="D241" s="4" t="s">
        <v>865</v>
      </c>
      <c r="E241" s="2">
        <v>46000.6097222222</v>
      </c>
      <c r="F241" s="4">
        <v>1.0</v>
      </c>
      <c r="G241" s="4">
        <v>0.0</v>
      </c>
      <c r="H241" s="4"/>
      <c r="I241" s="4"/>
      <c r="J241" s="4" t="s">
        <v>1526</v>
      </c>
      <c r="K241" s="4" t="s">
        <v>1527</v>
      </c>
      <c r="L241" s="4" t="s">
        <v>1528</v>
      </c>
      <c r="M241" s="4" t="s">
        <v>1482</v>
      </c>
      <c r="N241" s="4" t="s">
        <v>1529</v>
      </c>
      <c r="O241" s="4" t="s">
        <v>1530</v>
      </c>
      <c r="P241" s="4" t="s">
        <v>1794</v>
      </c>
      <c r="Q241" s="4" t="s">
        <v>1940</v>
      </c>
      <c r="R241" s="4" t="b">
        <v>0</v>
      </c>
      <c r="S241" s="4" t="s">
        <v>1486</v>
      </c>
      <c r="T241" s="2">
        <v>46000.6111111111</v>
      </c>
      <c r="U241" s="2">
        <v>46000.0</v>
      </c>
      <c r="V241" s="4">
        <v>49.0</v>
      </c>
      <c r="W241" s="4" t="s">
        <v>550</v>
      </c>
      <c r="X241" s="4">
        <v>2025.0</v>
      </c>
      <c r="Y241" s="4" t="s">
        <v>1532</v>
      </c>
      <c r="Z241" s="4" t="s">
        <v>604</v>
      </c>
      <c r="AA241" s="4" t="s">
        <v>605</v>
      </c>
      <c r="AB241" s="4" t="b">
        <v>0</v>
      </c>
      <c r="AC241" s="4" t="s">
        <v>536</v>
      </c>
      <c r="AD241" s="4" t="s">
        <v>537</v>
      </c>
    </row>
    <row r="242" ht="14.25" customHeight="1">
      <c r="A242" s="4">
        <v>8066232.0</v>
      </c>
      <c r="B242" s="2">
        <v>46000.6420601852</v>
      </c>
      <c r="C242" s="4">
        <v>7293523.0</v>
      </c>
      <c r="D242" s="4" t="s">
        <v>866</v>
      </c>
      <c r="E242" s="2">
        <v>46000.6423611111</v>
      </c>
      <c r="F242" s="4">
        <v>1.0</v>
      </c>
      <c r="G242" s="4">
        <v>0.0</v>
      </c>
      <c r="H242" s="4"/>
      <c r="I242" s="4"/>
      <c r="J242" s="4" t="s">
        <v>1480</v>
      </c>
      <c r="K242" s="4" t="s">
        <v>1480</v>
      </c>
      <c r="L242" s="4" t="s">
        <v>1481</v>
      </c>
      <c r="M242" s="4" t="s">
        <v>1482</v>
      </c>
      <c r="N242" s="4" t="s">
        <v>540</v>
      </c>
      <c r="O242" s="4" t="s">
        <v>1483</v>
      </c>
      <c r="P242" s="4" t="s">
        <v>1635</v>
      </c>
      <c r="Q242" s="4" t="s">
        <v>1941</v>
      </c>
      <c r="R242" s="4" t="b">
        <v>0</v>
      </c>
      <c r="S242" s="4" t="s">
        <v>1486</v>
      </c>
      <c r="T242" s="2">
        <v>46010.2680555556</v>
      </c>
      <c r="U242" s="2">
        <v>46000.0</v>
      </c>
      <c r="V242" s="4">
        <v>49.0</v>
      </c>
      <c r="W242" s="4" t="s">
        <v>550</v>
      </c>
      <c r="X242" s="4">
        <v>2025.0</v>
      </c>
      <c r="Y242" s="4" t="s">
        <v>1487</v>
      </c>
      <c r="Z242" s="4"/>
      <c r="AA242" s="4" t="s">
        <v>835</v>
      </c>
      <c r="AB242" s="4" t="b">
        <v>1</v>
      </c>
      <c r="AC242" s="4" t="s">
        <v>536</v>
      </c>
      <c r="AD242" s="4" t="s">
        <v>537</v>
      </c>
    </row>
    <row r="243" ht="14.25" customHeight="1">
      <c r="A243" s="4">
        <v>8066612.0</v>
      </c>
      <c r="B243" s="2">
        <v>46000.6586689815</v>
      </c>
      <c r="C243" s="4">
        <v>7293900.0</v>
      </c>
      <c r="D243" s="4" t="s">
        <v>867</v>
      </c>
      <c r="E243" s="2">
        <v>46000.6590277778</v>
      </c>
      <c r="F243" s="4">
        <v>1.0</v>
      </c>
      <c r="G243" s="4">
        <v>0.0</v>
      </c>
      <c r="H243" s="4" t="s">
        <v>1519</v>
      </c>
      <c r="I243" s="4" t="s">
        <v>1553</v>
      </c>
      <c r="J243" s="4" t="s">
        <v>1519</v>
      </c>
      <c r="K243" s="4" t="s">
        <v>1513</v>
      </c>
      <c r="L243" s="4" t="s">
        <v>1553</v>
      </c>
      <c r="M243" s="4" t="s">
        <v>1554</v>
      </c>
      <c r="N243" s="4" t="s">
        <v>540</v>
      </c>
      <c r="O243" s="4" t="s">
        <v>1942</v>
      </c>
      <c r="P243" s="4" t="s">
        <v>1674</v>
      </c>
      <c r="Q243" s="4" t="s">
        <v>1943</v>
      </c>
      <c r="R243" s="4" t="b">
        <v>0</v>
      </c>
      <c r="S243" s="4" t="s">
        <v>1486</v>
      </c>
      <c r="T243" s="2">
        <v>46000.6604166667</v>
      </c>
      <c r="U243" s="2">
        <v>46000.0</v>
      </c>
      <c r="V243" s="4">
        <v>49.0</v>
      </c>
      <c r="W243" s="4" t="s">
        <v>550</v>
      </c>
      <c r="X243" s="4">
        <v>2025.0</v>
      </c>
      <c r="Y243" s="4" t="s">
        <v>1518</v>
      </c>
      <c r="Z243" s="4"/>
      <c r="AA243" s="4" t="s">
        <v>558</v>
      </c>
      <c r="AB243" s="4" t="b">
        <v>0</v>
      </c>
      <c r="AC243" s="4" t="s">
        <v>536</v>
      </c>
      <c r="AD243" s="4" t="s">
        <v>537</v>
      </c>
    </row>
    <row r="244" ht="14.25" customHeight="1">
      <c r="A244" s="4">
        <v>7673829.0</v>
      </c>
      <c r="B244" s="2">
        <v>45918.7446064815</v>
      </c>
      <c r="C244" s="4">
        <v>6912095.0</v>
      </c>
      <c r="D244" s="4" t="s">
        <v>868</v>
      </c>
      <c r="E244" s="2">
        <v>46000.6756944444</v>
      </c>
      <c r="F244" s="4">
        <v>1.0</v>
      </c>
      <c r="G244" s="4">
        <v>0.0</v>
      </c>
      <c r="H244" s="4"/>
      <c r="I244" s="4"/>
      <c r="J244" s="4" t="s">
        <v>1480</v>
      </c>
      <c r="K244" s="4" t="s">
        <v>1480</v>
      </c>
      <c r="L244" s="4" t="s">
        <v>1481</v>
      </c>
      <c r="M244" s="4" t="s">
        <v>1482</v>
      </c>
      <c r="N244" s="4" t="s">
        <v>540</v>
      </c>
      <c r="O244" s="4" t="s">
        <v>1483</v>
      </c>
      <c r="P244" s="4" t="s">
        <v>1944</v>
      </c>
      <c r="Q244" s="4" t="s">
        <v>1945</v>
      </c>
      <c r="R244" s="4" t="b">
        <v>0</v>
      </c>
      <c r="S244" s="4" t="s">
        <v>1486</v>
      </c>
      <c r="T244" s="2">
        <v>46000.6770833333</v>
      </c>
      <c r="U244" s="2">
        <v>45918.0</v>
      </c>
      <c r="V244" s="4">
        <v>37.0</v>
      </c>
      <c r="W244" s="4" t="s">
        <v>1946</v>
      </c>
      <c r="X244" s="4">
        <v>2025.0</v>
      </c>
      <c r="Y244" s="4" t="s">
        <v>1487</v>
      </c>
      <c r="Z244" s="4"/>
      <c r="AA244" s="4" t="s">
        <v>558</v>
      </c>
      <c r="AB244" s="4" t="b">
        <v>0</v>
      </c>
      <c r="AC244" s="4" t="s">
        <v>536</v>
      </c>
      <c r="AD244" s="4" t="s">
        <v>537</v>
      </c>
    </row>
    <row r="245" ht="14.25" customHeight="1">
      <c r="A245" s="4">
        <v>8067441.0</v>
      </c>
      <c r="B245" s="2">
        <v>46000.6927662037</v>
      </c>
      <c r="C245" s="4">
        <v>7294729.0</v>
      </c>
      <c r="D245" s="4" t="s">
        <v>869</v>
      </c>
      <c r="E245" s="2">
        <v>46000.6944444444</v>
      </c>
      <c r="F245" s="4">
        <v>1.0</v>
      </c>
      <c r="G245" s="4">
        <v>0.0</v>
      </c>
      <c r="H245" s="4" t="s">
        <v>1519</v>
      </c>
      <c r="I245" s="4" t="s">
        <v>1581</v>
      </c>
      <c r="J245" s="4" t="s">
        <v>1519</v>
      </c>
      <c r="K245" s="4" t="s">
        <v>1513</v>
      </c>
      <c r="L245" s="4" t="s">
        <v>1581</v>
      </c>
      <c r="M245" s="4" t="s">
        <v>1521</v>
      </c>
      <c r="N245" s="4" t="s">
        <v>540</v>
      </c>
      <c r="O245" s="4" t="s">
        <v>1947</v>
      </c>
      <c r="P245" s="4" t="s">
        <v>1484</v>
      </c>
      <c r="Q245" s="4" t="s">
        <v>1948</v>
      </c>
      <c r="R245" s="4" t="b">
        <v>0</v>
      </c>
      <c r="S245" s="4" t="s">
        <v>1486</v>
      </c>
      <c r="T245" s="2">
        <v>46000.6958333333</v>
      </c>
      <c r="U245" s="2">
        <v>46000.0</v>
      </c>
      <c r="V245" s="4">
        <v>49.0</v>
      </c>
      <c r="W245" s="4" t="s">
        <v>550</v>
      </c>
      <c r="X245" s="4">
        <v>2025.0</v>
      </c>
      <c r="Y245" s="4" t="s">
        <v>1518</v>
      </c>
      <c r="Z245" s="4"/>
      <c r="AA245" s="4" t="s">
        <v>558</v>
      </c>
      <c r="AB245" s="4" t="b">
        <v>1</v>
      </c>
      <c r="AC245" s="4" t="s">
        <v>536</v>
      </c>
      <c r="AD245" s="4" t="s">
        <v>537</v>
      </c>
    </row>
    <row r="246" ht="14.25" customHeight="1">
      <c r="A246" s="4">
        <v>8067626.0</v>
      </c>
      <c r="B246" s="2">
        <v>46000.7005902778</v>
      </c>
      <c r="C246" s="4">
        <v>7294914.0</v>
      </c>
      <c r="D246" s="4" t="s">
        <v>870</v>
      </c>
      <c r="E246" s="2">
        <v>46000.7013888889</v>
      </c>
      <c r="F246" s="4">
        <v>1.0</v>
      </c>
      <c r="G246" s="4">
        <v>0.0</v>
      </c>
      <c r="H246" s="4"/>
      <c r="I246" s="4"/>
      <c r="J246" s="4" t="s">
        <v>1480</v>
      </c>
      <c r="K246" s="4" t="s">
        <v>1480</v>
      </c>
      <c r="L246" s="4" t="s">
        <v>1481</v>
      </c>
      <c r="M246" s="4" t="s">
        <v>1482</v>
      </c>
      <c r="N246" s="4" t="s">
        <v>540</v>
      </c>
      <c r="O246" s="4" t="s">
        <v>1949</v>
      </c>
      <c r="P246" s="4" t="s">
        <v>1488</v>
      </c>
      <c r="Q246" s="4" t="s">
        <v>1950</v>
      </c>
      <c r="R246" s="4" t="b">
        <v>0</v>
      </c>
      <c r="S246" s="4" t="s">
        <v>1486</v>
      </c>
      <c r="T246" s="2">
        <v>46000.7027777778</v>
      </c>
      <c r="U246" s="2">
        <v>46000.0</v>
      </c>
      <c r="V246" s="4">
        <v>49.0</v>
      </c>
      <c r="W246" s="4" t="s">
        <v>550</v>
      </c>
      <c r="X246" s="4">
        <v>2025.0</v>
      </c>
      <c r="Y246" s="4" t="s">
        <v>1487</v>
      </c>
      <c r="Z246" s="4" t="s">
        <v>557</v>
      </c>
      <c r="AA246" s="4" t="s">
        <v>558</v>
      </c>
      <c r="AB246" s="4" t="b">
        <v>0</v>
      </c>
      <c r="AC246" s="4" t="s">
        <v>536</v>
      </c>
      <c r="AD246" s="4" t="s">
        <v>537</v>
      </c>
    </row>
    <row r="247" ht="14.25" customHeight="1">
      <c r="A247" s="4">
        <v>8069673.0</v>
      </c>
      <c r="B247" s="2">
        <v>46000.8002083333</v>
      </c>
      <c r="C247" s="4">
        <v>7296950.0</v>
      </c>
      <c r="D247" s="4" t="s">
        <v>872</v>
      </c>
      <c r="E247" s="2">
        <v>46000.8006944444</v>
      </c>
      <c r="F247" s="4">
        <v>1.0</v>
      </c>
      <c r="G247" s="4">
        <v>0.0</v>
      </c>
      <c r="H247" s="4"/>
      <c r="I247" s="4"/>
      <c r="J247" s="4" t="s">
        <v>1480</v>
      </c>
      <c r="K247" s="4" t="s">
        <v>1480</v>
      </c>
      <c r="L247" s="4" t="s">
        <v>1481</v>
      </c>
      <c r="M247" s="4" t="s">
        <v>1482</v>
      </c>
      <c r="N247" s="4" t="s">
        <v>540</v>
      </c>
      <c r="O247" s="4" t="s">
        <v>1951</v>
      </c>
      <c r="P247" s="4" t="s">
        <v>1544</v>
      </c>
      <c r="Q247" s="4" t="s">
        <v>1952</v>
      </c>
      <c r="R247" s="4" t="b">
        <v>0</v>
      </c>
      <c r="S247" s="4" t="s">
        <v>1486</v>
      </c>
      <c r="T247" s="2">
        <v>46000.8020833333</v>
      </c>
      <c r="U247" s="2">
        <v>46000.0</v>
      </c>
      <c r="V247" s="4">
        <v>49.0</v>
      </c>
      <c r="W247" s="4" t="s">
        <v>550</v>
      </c>
      <c r="X247" s="4">
        <v>2025.0</v>
      </c>
      <c r="Y247" s="4" t="s">
        <v>1487</v>
      </c>
      <c r="Z247" s="4"/>
      <c r="AA247" s="4" t="s">
        <v>546</v>
      </c>
      <c r="AB247" s="4" t="b">
        <v>0</v>
      </c>
      <c r="AC247" s="4" t="s">
        <v>599</v>
      </c>
      <c r="AD247" s="4" t="s">
        <v>537</v>
      </c>
    </row>
    <row r="248" ht="14.25" customHeight="1">
      <c r="A248" s="4">
        <v>8069860.0</v>
      </c>
      <c r="B248" s="2">
        <v>46000.8083680556</v>
      </c>
      <c r="C248" s="4">
        <v>7297136.0</v>
      </c>
      <c r="D248" s="4" t="s">
        <v>873</v>
      </c>
      <c r="E248" s="2">
        <v>46000.8118055556</v>
      </c>
      <c r="F248" s="4">
        <v>0.5</v>
      </c>
      <c r="G248" s="4">
        <v>0.0</v>
      </c>
      <c r="H248" s="4" t="s">
        <v>1519</v>
      </c>
      <c r="I248" s="4" t="s">
        <v>1858</v>
      </c>
      <c r="J248" s="4" t="s">
        <v>1519</v>
      </c>
      <c r="K248" s="4" t="s">
        <v>1513</v>
      </c>
      <c r="L248" s="4" t="s">
        <v>1858</v>
      </c>
      <c r="M248" s="4" t="s">
        <v>1482</v>
      </c>
      <c r="N248" s="4" t="s">
        <v>540</v>
      </c>
      <c r="O248" s="4" t="s">
        <v>1953</v>
      </c>
      <c r="P248" s="4" t="s">
        <v>1635</v>
      </c>
      <c r="Q248" s="4" t="s">
        <v>1954</v>
      </c>
      <c r="R248" s="4" t="b">
        <v>0</v>
      </c>
      <c r="S248" s="4" t="s">
        <v>1486</v>
      </c>
      <c r="T248" s="2">
        <v>46000.8131944444</v>
      </c>
      <c r="U248" s="2">
        <v>46000.0</v>
      </c>
      <c r="V248" s="4">
        <v>49.0</v>
      </c>
      <c r="W248" s="4" t="s">
        <v>550</v>
      </c>
      <c r="X248" s="4">
        <v>2025.0</v>
      </c>
      <c r="Y248" s="4" t="s">
        <v>1518</v>
      </c>
      <c r="Z248" s="4"/>
      <c r="AA248" s="4" t="s">
        <v>558</v>
      </c>
      <c r="AB248" s="4" t="b">
        <v>0</v>
      </c>
      <c r="AC248" s="4" t="s">
        <v>567</v>
      </c>
      <c r="AD248" s="4" t="s">
        <v>537</v>
      </c>
    </row>
    <row r="249" ht="14.25" customHeight="1">
      <c r="A249" s="4">
        <v>8069869.0</v>
      </c>
      <c r="B249" s="2">
        <v>46000.8086574074</v>
      </c>
      <c r="C249" s="4">
        <v>7297136.0</v>
      </c>
      <c r="D249" s="4" t="s">
        <v>873</v>
      </c>
      <c r="E249" s="2">
        <v>46000.8118055556</v>
      </c>
      <c r="F249" s="4">
        <v>0.5</v>
      </c>
      <c r="G249" s="4">
        <v>0.0</v>
      </c>
      <c r="H249" s="4" t="s">
        <v>1519</v>
      </c>
      <c r="I249" s="4" t="s">
        <v>1858</v>
      </c>
      <c r="J249" s="4" t="s">
        <v>1519</v>
      </c>
      <c r="K249" s="4" t="s">
        <v>1513</v>
      </c>
      <c r="L249" s="4" t="s">
        <v>1858</v>
      </c>
      <c r="M249" s="4" t="s">
        <v>1482</v>
      </c>
      <c r="N249" s="4" t="s">
        <v>540</v>
      </c>
      <c r="O249" s="4" t="s">
        <v>1953</v>
      </c>
      <c r="P249" s="4" t="s">
        <v>1635</v>
      </c>
      <c r="Q249" s="4" t="s">
        <v>1954</v>
      </c>
      <c r="R249" s="4" t="b">
        <v>0</v>
      </c>
      <c r="S249" s="4" t="s">
        <v>1486</v>
      </c>
      <c r="T249" s="2">
        <v>46000.8131944444</v>
      </c>
      <c r="U249" s="2">
        <v>46000.0</v>
      </c>
      <c r="V249" s="4">
        <v>49.0</v>
      </c>
      <c r="W249" s="4" t="s">
        <v>550</v>
      </c>
      <c r="X249" s="4">
        <v>2025.0</v>
      </c>
      <c r="Y249" s="4" t="s">
        <v>1518</v>
      </c>
      <c r="Z249" s="4"/>
      <c r="AA249" s="4" t="s">
        <v>558</v>
      </c>
      <c r="AB249" s="4" t="b">
        <v>0</v>
      </c>
      <c r="AC249" s="4" t="s">
        <v>567</v>
      </c>
      <c r="AD249" s="4" t="s">
        <v>537</v>
      </c>
    </row>
    <row r="250" ht="14.25" customHeight="1">
      <c r="A250" s="4">
        <v>8069496.0</v>
      </c>
      <c r="B250" s="2">
        <v>46000.7916666667</v>
      </c>
      <c r="C250" s="4">
        <v>7296773.0</v>
      </c>
      <c r="D250" s="4" t="s">
        <v>874</v>
      </c>
      <c r="E250" s="2">
        <v>46000.8256944444</v>
      </c>
      <c r="F250" s="4">
        <v>1.0</v>
      </c>
      <c r="G250" s="4">
        <v>0.0</v>
      </c>
      <c r="H250" s="4"/>
      <c r="I250" s="4"/>
      <c r="J250" s="4" t="s">
        <v>539</v>
      </c>
      <c r="K250" s="4" t="s">
        <v>539</v>
      </c>
      <c r="L250" s="4" t="s">
        <v>1499</v>
      </c>
      <c r="M250" s="4" t="s">
        <v>1482</v>
      </c>
      <c r="N250" s="4"/>
      <c r="O250" s="4" t="s">
        <v>1483</v>
      </c>
      <c r="P250" s="4" t="s">
        <v>1645</v>
      </c>
      <c r="Q250" s="4" t="s">
        <v>1955</v>
      </c>
      <c r="R250" s="4" t="b">
        <v>0</v>
      </c>
      <c r="S250" s="4" t="s">
        <v>1486</v>
      </c>
      <c r="T250" s="2">
        <v>46020.8201388889</v>
      </c>
      <c r="U250" s="2">
        <v>46000.0</v>
      </c>
      <c r="V250" s="4">
        <v>49.0</v>
      </c>
      <c r="W250" s="4" t="s">
        <v>550</v>
      </c>
      <c r="X250" s="4">
        <v>2025.0</v>
      </c>
      <c r="Y250" s="4" t="s">
        <v>1502</v>
      </c>
      <c r="Z250" s="4" t="s">
        <v>557</v>
      </c>
      <c r="AA250" s="4" t="s">
        <v>558</v>
      </c>
      <c r="AB250" s="4" t="b">
        <v>0</v>
      </c>
      <c r="AC250" s="4" t="s">
        <v>536</v>
      </c>
      <c r="AD250" s="4" t="s">
        <v>537</v>
      </c>
    </row>
    <row r="251" ht="14.25" customHeight="1">
      <c r="A251" s="4">
        <v>8071027.0</v>
      </c>
      <c r="B251" s="2">
        <v>46000.8647916667</v>
      </c>
      <c r="C251" s="4">
        <v>7298299.0</v>
      </c>
      <c r="D251" s="4" t="s">
        <v>875</v>
      </c>
      <c r="E251" s="2">
        <v>46000.8652777778</v>
      </c>
      <c r="F251" s="4">
        <v>1.0</v>
      </c>
      <c r="G251" s="4">
        <v>0.0</v>
      </c>
      <c r="H251" s="4"/>
      <c r="I251" s="4"/>
      <c r="J251" s="4" t="s">
        <v>1480</v>
      </c>
      <c r="K251" s="4" t="s">
        <v>1480</v>
      </c>
      <c r="L251" s="4" t="s">
        <v>1481</v>
      </c>
      <c r="M251" s="4" t="s">
        <v>1482</v>
      </c>
      <c r="N251" s="4" t="s">
        <v>540</v>
      </c>
      <c r="O251" s="4" t="s">
        <v>1951</v>
      </c>
      <c r="P251" s="4" t="s">
        <v>1635</v>
      </c>
      <c r="Q251" s="4" t="s">
        <v>1956</v>
      </c>
      <c r="R251" s="4" t="b">
        <v>0</v>
      </c>
      <c r="S251" s="4" t="s">
        <v>1486</v>
      </c>
      <c r="T251" s="2">
        <v>46000.8666666667</v>
      </c>
      <c r="U251" s="2">
        <v>46000.0</v>
      </c>
      <c r="V251" s="4">
        <v>49.0</v>
      </c>
      <c r="W251" s="4" t="s">
        <v>550</v>
      </c>
      <c r="X251" s="4">
        <v>2025.0</v>
      </c>
      <c r="Y251" s="4" t="s">
        <v>1487</v>
      </c>
      <c r="Z251" s="4" t="s">
        <v>557</v>
      </c>
      <c r="AA251" s="4" t="s">
        <v>558</v>
      </c>
      <c r="AB251" s="4" t="b">
        <v>0</v>
      </c>
      <c r="AC251" s="4" t="s">
        <v>536</v>
      </c>
      <c r="AD251" s="4" t="s">
        <v>537</v>
      </c>
    </row>
    <row r="252" ht="14.25" customHeight="1">
      <c r="A252" s="4">
        <v>8072784.0</v>
      </c>
      <c r="B252" s="2">
        <v>46000.9542708333</v>
      </c>
      <c r="C252" s="4">
        <v>7300043.0</v>
      </c>
      <c r="D252" s="4" t="s">
        <v>876</v>
      </c>
      <c r="E252" s="2">
        <v>46000.9555555556</v>
      </c>
      <c r="F252" s="4">
        <v>1.0</v>
      </c>
      <c r="G252" s="4">
        <v>0.0</v>
      </c>
      <c r="H252" s="4"/>
      <c r="I252" s="4"/>
      <c r="J252" s="4" t="s">
        <v>1480</v>
      </c>
      <c r="K252" s="4" t="s">
        <v>1480</v>
      </c>
      <c r="L252" s="4" t="s">
        <v>1511</v>
      </c>
      <c r="M252" s="4" t="s">
        <v>1482</v>
      </c>
      <c r="N252" s="4" t="s">
        <v>653</v>
      </c>
      <c r="O252" s="4" t="s">
        <v>1483</v>
      </c>
      <c r="P252" s="4" t="s">
        <v>1845</v>
      </c>
      <c r="Q252" s="4" t="s">
        <v>1957</v>
      </c>
      <c r="R252" s="4" t="b">
        <v>0</v>
      </c>
      <c r="S252" s="4" t="s">
        <v>1486</v>
      </c>
      <c r="T252" s="2">
        <v>46000.9569444444</v>
      </c>
      <c r="U252" s="2">
        <v>46000.0</v>
      </c>
      <c r="V252" s="4">
        <v>49.0</v>
      </c>
      <c r="W252" s="4" t="s">
        <v>550</v>
      </c>
      <c r="X252" s="4">
        <v>2025.0</v>
      </c>
      <c r="Y252" s="4" t="s">
        <v>1680</v>
      </c>
      <c r="Z252" s="4"/>
      <c r="AA252" s="4" t="s">
        <v>808</v>
      </c>
      <c r="AB252" s="4" t="b">
        <v>0</v>
      </c>
      <c r="AC252" s="4" t="s">
        <v>536</v>
      </c>
      <c r="AD252" s="4" t="s">
        <v>537</v>
      </c>
    </row>
    <row r="253" ht="14.25" customHeight="1">
      <c r="A253" s="4">
        <v>8060784.0</v>
      </c>
      <c r="B253" s="2">
        <v>46000.3863541667</v>
      </c>
      <c r="C253" s="4">
        <v>7288135.0</v>
      </c>
      <c r="D253" s="4" t="s">
        <v>877</v>
      </c>
      <c r="E253" s="2">
        <v>46000.9583333333</v>
      </c>
      <c r="F253" s="4">
        <v>1.0</v>
      </c>
      <c r="G253" s="4">
        <v>0.0</v>
      </c>
      <c r="H253" s="4"/>
      <c r="I253" s="4"/>
      <c r="J253" s="4" t="s">
        <v>1480</v>
      </c>
      <c r="K253" s="4" t="s">
        <v>1480</v>
      </c>
      <c r="L253" s="4" t="s">
        <v>1901</v>
      </c>
      <c r="M253" s="4" t="s">
        <v>1482</v>
      </c>
      <c r="N253" s="4" t="s">
        <v>831</v>
      </c>
      <c r="O253" s="4" t="s">
        <v>1483</v>
      </c>
      <c r="P253" s="4" t="s">
        <v>1958</v>
      </c>
      <c r="Q253" s="4" t="s">
        <v>1959</v>
      </c>
      <c r="R253" s="4" t="b">
        <v>0</v>
      </c>
      <c r="S253" s="4" t="s">
        <v>1486</v>
      </c>
      <c r="T253" s="2">
        <v>46000.9597222222</v>
      </c>
      <c r="U253" s="2">
        <v>46000.0</v>
      </c>
      <c r="V253" s="4">
        <v>49.0</v>
      </c>
      <c r="W253" s="4" t="s">
        <v>550</v>
      </c>
      <c r="X253" s="4">
        <v>2025.0</v>
      </c>
      <c r="Y253" s="4" t="s">
        <v>1904</v>
      </c>
      <c r="Z253" s="4" t="s">
        <v>557</v>
      </c>
      <c r="AA253" s="4" t="s">
        <v>558</v>
      </c>
      <c r="AB253" s="4" t="b">
        <v>0</v>
      </c>
      <c r="AC253" s="4" t="s">
        <v>536</v>
      </c>
      <c r="AD253" s="4" t="s">
        <v>537</v>
      </c>
    </row>
    <row r="254" ht="14.25" customHeight="1">
      <c r="A254" s="4">
        <v>8033806.0</v>
      </c>
      <c r="B254" s="2">
        <v>45998.4334375</v>
      </c>
      <c r="C254" s="4">
        <v>7261273.0</v>
      </c>
      <c r="D254" s="4" t="s">
        <v>878</v>
      </c>
      <c r="E254" s="2">
        <v>46001.0416666667</v>
      </c>
      <c r="F254" s="4">
        <v>1.0</v>
      </c>
      <c r="G254" s="4">
        <v>0.0</v>
      </c>
      <c r="H254" s="4"/>
      <c r="I254" s="4"/>
      <c r="J254" s="4" t="s">
        <v>1480</v>
      </c>
      <c r="K254" s="4" t="s">
        <v>1480</v>
      </c>
      <c r="L254" s="4" t="s">
        <v>1481</v>
      </c>
      <c r="M254" s="4" t="s">
        <v>1482</v>
      </c>
      <c r="N254" s="4" t="s">
        <v>540</v>
      </c>
      <c r="O254" s="4" t="s">
        <v>1557</v>
      </c>
      <c r="P254" s="4" t="s">
        <v>1845</v>
      </c>
      <c r="Q254" s="4" t="s">
        <v>1960</v>
      </c>
      <c r="R254" s="4" t="b">
        <v>0</v>
      </c>
      <c r="S254" s="4" t="s">
        <v>1486</v>
      </c>
      <c r="T254" s="2">
        <v>46001.0430555556</v>
      </c>
      <c r="U254" s="2">
        <v>45998.0</v>
      </c>
      <c r="V254" s="4">
        <v>48.0</v>
      </c>
      <c r="W254" s="4" t="s">
        <v>550</v>
      </c>
      <c r="X254" s="4">
        <v>2025.0</v>
      </c>
      <c r="Y254" s="4" t="s">
        <v>1487</v>
      </c>
      <c r="Z254" s="4" t="s">
        <v>557</v>
      </c>
      <c r="AA254" s="4" t="s">
        <v>558</v>
      </c>
      <c r="AB254" s="4" t="b">
        <v>0</v>
      </c>
      <c r="AC254" s="4" t="s">
        <v>536</v>
      </c>
      <c r="AD254" s="4" t="s">
        <v>537</v>
      </c>
    </row>
    <row r="255" ht="14.25" customHeight="1">
      <c r="A255" s="4">
        <v>8078101.0</v>
      </c>
      <c r="B255" s="2">
        <v>46001.2560763889</v>
      </c>
      <c r="C255" s="4">
        <v>7305341.0</v>
      </c>
      <c r="D255" s="4" t="s">
        <v>880</v>
      </c>
      <c r="E255" s="2">
        <v>46001.2583333333</v>
      </c>
      <c r="F255" s="4">
        <v>1.0</v>
      </c>
      <c r="G255" s="4">
        <v>0.0</v>
      </c>
      <c r="H255" s="4" t="s">
        <v>1519</v>
      </c>
      <c r="I255" s="4" t="s">
        <v>1781</v>
      </c>
      <c r="J255" s="4" t="s">
        <v>1519</v>
      </c>
      <c r="K255" s="4" t="s">
        <v>1513</v>
      </c>
      <c r="L255" s="4" t="s">
        <v>1781</v>
      </c>
      <c r="M255" s="4" t="s">
        <v>1692</v>
      </c>
      <c r="N255" s="4" t="s">
        <v>540</v>
      </c>
      <c r="O255" s="4" t="s">
        <v>1961</v>
      </c>
      <c r="P255" s="4" t="s">
        <v>1962</v>
      </c>
      <c r="Q255" s="4" t="s">
        <v>1963</v>
      </c>
      <c r="R255" s="4" t="b">
        <v>0</v>
      </c>
      <c r="S255" s="4" t="s">
        <v>1486</v>
      </c>
      <c r="T255" s="2">
        <v>46001.2597222222</v>
      </c>
      <c r="U255" s="2">
        <v>46001.0</v>
      </c>
      <c r="V255" s="4">
        <v>49.0</v>
      </c>
      <c r="W255" s="4" t="s">
        <v>550</v>
      </c>
      <c r="X255" s="4">
        <v>2025.0</v>
      </c>
      <c r="Y255" s="4" t="s">
        <v>1518</v>
      </c>
      <c r="Z255" s="4"/>
      <c r="AA255" s="4" t="s">
        <v>558</v>
      </c>
      <c r="AB255" s="4" t="b">
        <v>0</v>
      </c>
      <c r="AC255" s="4" t="s">
        <v>599</v>
      </c>
      <c r="AD255" s="4" t="s">
        <v>537</v>
      </c>
    </row>
    <row r="256" ht="14.25" customHeight="1">
      <c r="A256" s="4">
        <v>8078011.0</v>
      </c>
      <c r="B256" s="2">
        <v>46001.2514351852</v>
      </c>
      <c r="C256" s="4">
        <v>7305251.0</v>
      </c>
      <c r="D256" s="4" t="s">
        <v>881</v>
      </c>
      <c r="E256" s="2">
        <v>46001.2930555556</v>
      </c>
      <c r="F256" s="4">
        <v>1.0</v>
      </c>
      <c r="G256" s="4">
        <v>0.0</v>
      </c>
      <c r="H256" s="4" t="s">
        <v>1519</v>
      </c>
      <c r="I256" s="4" t="s">
        <v>1777</v>
      </c>
      <c r="J256" s="4" t="s">
        <v>1519</v>
      </c>
      <c r="K256" s="4" t="s">
        <v>1513</v>
      </c>
      <c r="L256" s="4" t="s">
        <v>1777</v>
      </c>
      <c r="M256" s="4" t="s">
        <v>1778</v>
      </c>
      <c r="N256" s="4" t="s">
        <v>540</v>
      </c>
      <c r="O256" s="4" t="s">
        <v>1964</v>
      </c>
      <c r="P256" s="4" t="s">
        <v>1488</v>
      </c>
      <c r="Q256" s="4" t="s">
        <v>1965</v>
      </c>
      <c r="R256" s="4" t="b">
        <v>0</v>
      </c>
      <c r="S256" s="4" t="s">
        <v>1486</v>
      </c>
      <c r="T256" s="2">
        <v>46001.2944444444</v>
      </c>
      <c r="U256" s="2">
        <v>46001.0</v>
      </c>
      <c r="V256" s="4">
        <v>49.0</v>
      </c>
      <c r="W256" s="4" t="s">
        <v>550</v>
      </c>
      <c r="X256" s="4">
        <v>2025.0</v>
      </c>
      <c r="Y256" s="4" t="s">
        <v>1518</v>
      </c>
      <c r="Z256" s="4"/>
      <c r="AA256" s="4" t="s">
        <v>558</v>
      </c>
      <c r="AB256" s="4" t="b">
        <v>0</v>
      </c>
      <c r="AC256" s="4" t="s">
        <v>599</v>
      </c>
      <c r="AD256" s="4" t="s">
        <v>537</v>
      </c>
    </row>
    <row r="257" ht="14.25" customHeight="1">
      <c r="A257" s="4">
        <v>8078789.0</v>
      </c>
      <c r="B257" s="2">
        <v>46001.2984143519</v>
      </c>
      <c r="C257" s="4">
        <v>7306028.0</v>
      </c>
      <c r="D257" s="4" t="s">
        <v>882</v>
      </c>
      <c r="E257" s="2">
        <v>46001.2993055556</v>
      </c>
      <c r="F257" s="4">
        <v>1.0</v>
      </c>
      <c r="G257" s="4">
        <v>0.0</v>
      </c>
      <c r="H257" s="4"/>
      <c r="I257" s="4"/>
      <c r="J257" s="4" t="s">
        <v>1480</v>
      </c>
      <c r="K257" s="4" t="s">
        <v>1480</v>
      </c>
      <c r="L257" s="4" t="s">
        <v>1481</v>
      </c>
      <c r="M257" s="4" t="s">
        <v>1482</v>
      </c>
      <c r="N257" s="4" t="s">
        <v>540</v>
      </c>
      <c r="O257" s="4" t="s">
        <v>1966</v>
      </c>
      <c r="P257" s="4" t="s">
        <v>1635</v>
      </c>
      <c r="Q257" s="4" t="s">
        <v>1967</v>
      </c>
      <c r="R257" s="4" t="b">
        <v>0</v>
      </c>
      <c r="S257" s="4" t="s">
        <v>1486</v>
      </c>
      <c r="T257" s="2">
        <v>46001.3006944444</v>
      </c>
      <c r="U257" s="2">
        <v>46001.0</v>
      </c>
      <c r="V257" s="4">
        <v>49.0</v>
      </c>
      <c r="W257" s="4" t="s">
        <v>550</v>
      </c>
      <c r="X257" s="4">
        <v>2025.0</v>
      </c>
      <c r="Y257" s="4" t="s">
        <v>1487</v>
      </c>
      <c r="Z257" s="4"/>
      <c r="AA257" s="4" t="s">
        <v>624</v>
      </c>
      <c r="AB257" s="4" t="b">
        <v>0</v>
      </c>
      <c r="AC257" s="4" t="s">
        <v>554</v>
      </c>
      <c r="AD257" s="4" t="s">
        <v>537</v>
      </c>
    </row>
    <row r="258" ht="14.25" customHeight="1">
      <c r="A258" s="4">
        <v>8079288.0</v>
      </c>
      <c r="B258" s="2">
        <v>46001.3268634259</v>
      </c>
      <c r="C258" s="4">
        <v>7306523.0</v>
      </c>
      <c r="D258" s="4" t="s">
        <v>883</v>
      </c>
      <c r="E258" s="2">
        <v>46001.3277777778</v>
      </c>
      <c r="F258" s="4">
        <v>1.0</v>
      </c>
      <c r="G258" s="4">
        <v>0.0</v>
      </c>
      <c r="H258" s="4" t="s">
        <v>1511</v>
      </c>
      <c r="I258" s="4" t="s">
        <v>1759</v>
      </c>
      <c r="J258" s="4" t="s">
        <v>1511</v>
      </c>
      <c r="K258" s="4" t="s">
        <v>1513</v>
      </c>
      <c r="L258" s="4" t="s">
        <v>1759</v>
      </c>
      <c r="M258" s="4" t="s">
        <v>1760</v>
      </c>
      <c r="N258" s="4" t="s">
        <v>927</v>
      </c>
      <c r="O258" s="4" t="s">
        <v>1968</v>
      </c>
      <c r="P258" s="4" t="s">
        <v>1635</v>
      </c>
      <c r="Q258" s="4" t="s">
        <v>1969</v>
      </c>
      <c r="R258" s="4" t="b">
        <v>0</v>
      </c>
      <c r="S258" s="4" t="s">
        <v>1486</v>
      </c>
      <c r="T258" s="2">
        <v>46001.3291666667</v>
      </c>
      <c r="U258" s="2">
        <v>46001.0</v>
      </c>
      <c r="V258" s="4">
        <v>49.0</v>
      </c>
      <c r="W258" s="4" t="s">
        <v>550</v>
      </c>
      <c r="X258" s="4">
        <v>2025.0</v>
      </c>
      <c r="Y258" s="4" t="s">
        <v>1518</v>
      </c>
      <c r="Z258" s="4"/>
      <c r="AA258" s="4" t="s">
        <v>558</v>
      </c>
      <c r="AB258" s="4" t="b">
        <v>0</v>
      </c>
      <c r="AC258" s="4" t="s">
        <v>554</v>
      </c>
      <c r="AD258" s="4" t="s">
        <v>537</v>
      </c>
    </row>
    <row r="259" ht="14.25" customHeight="1">
      <c r="A259" s="4">
        <v>8079544.0</v>
      </c>
      <c r="B259" s="2">
        <v>46001.3419560185</v>
      </c>
      <c r="C259" s="4">
        <v>7306779.0</v>
      </c>
      <c r="D259" s="4" t="s">
        <v>884</v>
      </c>
      <c r="E259" s="2">
        <v>46001.3423611111</v>
      </c>
      <c r="F259" s="4">
        <v>1.0</v>
      </c>
      <c r="G259" s="4">
        <v>0.0</v>
      </c>
      <c r="H259" s="4" t="s">
        <v>1519</v>
      </c>
      <c r="I259" s="4" t="s">
        <v>1909</v>
      </c>
      <c r="J259" s="4" t="s">
        <v>1519</v>
      </c>
      <c r="K259" s="4" t="s">
        <v>1513</v>
      </c>
      <c r="L259" s="4" t="s">
        <v>1909</v>
      </c>
      <c r="M259" s="4" t="s">
        <v>1482</v>
      </c>
      <c r="N259" s="4" t="s">
        <v>1594</v>
      </c>
      <c r="O259" s="4" t="s">
        <v>1970</v>
      </c>
      <c r="P259" s="4" t="s">
        <v>1605</v>
      </c>
      <c r="Q259" s="4" t="s">
        <v>1971</v>
      </c>
      <c r="R259" s="4" t="b">
        <v>0</v>
      </c>
      <c r="S259" s="4" t="s">
        <v>1486</v>
      </c>
      <c r="T259" s="2">
        <v>46001.34375</v>
      </c>
      <c r="U259" s="2">
        <v>46001.0</v>
      </c>
      <c r="V259" s="4">
        <v>49.0</v>
      </c>
      <c r="W259" s="4" t="s">
        <v>550</v>
      </c>
      <c r="X259" s="4">
        <v>2025.0</v>
      </c>
      <c r="Y259" s="4" t="s">
        <v>1518</v>
      </c>
      <c r="Z259" s="4"/>
      <c r="AA259" s="4" t="s">
        <v>558</v>
      </c>
      <c r="AB259" s="4" t="b">
        <v>0</v>
      </c>
      <c r="AC259" s="4" t="s">
        <v>599</v>
      </c>
      <c r="AD259" s="4" t="s">
        <v>537</v>
      </c>
    </row>
    <row r="260" ht="14.25" customHeight="1">
      <c r="A260" s="4">
        <v>8005434.0</v>
      </c>
      <c r="B260" s="2">
        <v>45994.6949421296</v>
      </c>
      <c r="C260" s="4">
        <v>7233085.0</v>
      </c>
      <c r="D260" s="4" t="s">
        <v>885</v>
      </c>
      <c r="E260" s="2">
        <v>46001.3444444444</v>
      </c>
      <c r="F260" s="4">
        <v>1.0</v>
      </c>
      <c r="G260" s="4">
        <v>0.0</v>
      </c>
      <c r="H260" s="4"/>
      <c r="I260" s="4"/>
      <c r="J260" s="4" t="s">
        <v>1480</v>
      </c>
      <c r="K260" s="4" t="s">
        <v>1480</v>
      </c>
      <c r="L260" s="4" t="s">
        <v>1481</v>
      </c>
      <c r="M260" s="4" t="s">
        <v>1482</v>
      </c>
      <c r="N260" s="4" t="s">
        <v>540</v>
      </c>
      <c r="O260" s="4" t="s">
        <v>1483</v>
      </c>
      <c r="P260" s="4" t="s">
        <v>1488</v>
      </c>
      <c r="Q260" s="4" t="s">
        <v>1972</v>
      </c>
      <c r="R260" s="4" t="b">
        <v>0</v>
      </c>
      <c r="S260" s="4" t="s">
        <v>1486</v>
      </c>
      <c r="T260" s="2">
        <v>46001.3458333333</v>
      </c>
      <c r="U260" s="2">
        <v>45994.0</v>
      </c>
      <c r="V260" s="4">
        <v>48.0</v>
      </c>
      <c r="W260" s="4" t="s">
        <v>550</v>
      </c>
      <c r="X260" s="4">
        <v>2025.0</v>
      </c>
      <c r="Y260" s="4" t="s">
        <v>1487</v>
      </c>
      <c r="Z260" s="4" t="s">
        <v>557</v>
      </c>
      <c r="AA260" s="4" t="s">
        <v>558</v>
      </c>
      <c r="AB260" s="4" t="b">
        <v>0</v>
      </c>
      <c r="AC260" s="4" t="s">
        <v>536</v>
      </c>
      <c r="AD260" s="4" t="s">
        <v>537</v>
      </c>
    </row>
    <row r="261" ht="14.25" customHeight="1">
      <c r="A261" s="4">
        <v>8079667.0</v>
      </c>
      <c r="B261" s="2">
        <v>46001.3486921296</v>
      </c>
      <c r="C261" s="4">
        <v>7306902.0</v>
      </c>
      <c r="D261" s="4" t="s">
        <v>886</v>
      </c>
      <c r="E261" s="2">
        <v>46001.3486111111</v>
      </c>
      <c r="F261" s="4">
        <v>1.0</v>
      </c>
      <c r="G261" s="4">
        <v>0.0</v>
      </c>
      <c r="H261" s="4"/>
      <c r="I261" s="4"/>
      <c r="J261" s="4" t="s">
        <v>1526</v>
      </c>
      <c r="K261" s="4" t="s">
        <v>1527</v>
      </c>
      <c r="L261" s="4" t="s">
        <v>1528</v>
      </c>
      <c r="M261" s="4" t="s">
        <v>1482</v>
      </c>
      <c r="N261" s="4" t="s">
        <v>1529</v>
      </c>
      <c r="O261" s="4" t="s">
        <v>1973</v>
      </c>
      <c r="P261" s="4" t="s">
        <v>1756</v>
      </c>
      <c r="Q261" s="4" t="s">
        <v>1974</v>
      </c>
      <c r="R261" s="4" t="b">
        <v>0</v>
      </c>
      <c r="S261" s="4" t="s">
        <v>1486</v>
      </c>
      <c r="T261" s="2">
        <v>46001.35</v>
      </c>
      <c r="U261" s="2">
        <v>46001.0</v>
      </c>
      <c r="V261" s="4">
        <v>49.0</v>
      </c>
      <c r="W261" s="4" t="s">
        <v>550</v>
      </c>
      <c r="X261" s="4">
        <v>2025.0</v>
      </c>
      <c r="Y261" s="4" t="s">
        <v>1532</v>
      </c>
      <c r="Z261" s="4" t="s">
        <v>557</v>
      </c>
      <c r="AA261" s="4"/>
      <c r="AB261" s="4" t="b">
        <v>0</v>
      </c>
      <c r="AC261" s="4" t="s">
        <v>536</v>
      </c>
      <c r="AD261" s="4" t="s">
        <v>537</v>
      </c>
    </row>
    <row r="262" ht="14.25" customHeight="1">
      <c r="A262" s="4">
        <v>7377536.0</v>
      </c>
      <c r="B262" s="2">
        <v>45826.6770717593</v>
      </c>
      <c r="C262" s="4">
        <v>6624131.0</v>
      </c>
      <c r="D262" s="4" t="s">
        <v>888</v>
      </c>
      <c r="E262" s="2">
        <v>46001.3673611111</v>
      </c>
      <c r="F262" s="4">
        <v>1.0</v>
      </c>
      <c r="G262" s="4">
        <v>0.0</v>
      </c>
      <c r="H262" s="4"/>
      <c r="I262" s="4"/>
      <c r="J262" s="4" t="s">
        <v>539</v>
      </c>
      <c r="K262" s="4" t="s">
        <v>539</v>
      </c>
      <c r="L262" s="4" t="s">
        <v>1499</v>
      </c>
      <c r="M262" s="4" t="s">
        <v>1482</v>
      </c>
      <c r="N262" s="4"/>
      <c r="O262" s="4" t="s">
        <v>1975</v>
      </c>
      <c r="P262" s="4" t="s">
        <v>1891</v>
      </c>
      <c r="Q262" s="4" t="s">
        <v>1647</v>
      </c>
      <c r="R262" s="4" t="b">
        <v>0</v>
      </c>
      <c r="S262" s="4" t="s">
        <v>1486</v>
      </c>
      <c r="T262" s="2">
        <v>45967.3736111111</v>
      </c>
      <c r="U262" s="2">
        <v>45826.0</v>
      </c>
      <c r="V262" s="4">
        <v>24.0</v>
      </c>
      <c r="W262" s="4" t="s">
        <v>1525</v>
      </c>
      <c r="X262" s="4">
        <v>2025.0</v>
      </c>
      <c r="Y262" s="4" t="s">
        <v>1502</v>
      </c>
      <c r="Z262" s="4"/>
      <c r="AA262" s="4" t="s">
        <v>546</v>
      </c>
      <c r="AB262" s="4" t="b">
        <v>1</v>
      </c>
      <c r="AC262" s="4" t="s">
        <v>536</v>
      </c>
      <c r="AD262" s="4" t="s">
        <v>537</v>
      </c>
    </row>
    <row r="263" ht="14.25" customHeight="1">
      <c r="A263" s="4">
        <v>8080052.0</v>
      </c>
      <c r="B263" s="2">
        <v>46001.3688541667</v>
      </c>
      <c r="C263" s="4">
        <v>7307287.0</v>
      </c>
      <c r="D263" s="4" t="s">
        <v>889</v>
      </c>
      <c r="E263" s="2">
        <v>46001.3701388889</v>
      </c>
      <c r="F263" s="4">
        <v>1.0</v>
      </c>
      <c r="G263" s="4">
        <v>0.0</v>
      </c>
      <c r="H263" s="4" t="s">
        <v>1519</v>
      </c>
      <c r="I263" s="4" t="s">
        <v>1581</v>
      </c>
      <c r="J263" s="4" t="s">
        <v>1519</v>
      </c>
      <c r="K263" s="4" t="s">
        <v>1513</v>
      </c>
      <c r="L263" s="4" t="s">
        <v>1581</v>
      </c>
      <c r="M263" s="4" t="s">
        <v>1521</v>
      </c>
      <c r="N263" s="4" t="s">
        <v>540</v>
      </c>
      <c r="O263" s="4" t="s">
        <v>1976</v>
      </c>
      <c r="P263" s="4" t="s">
        <v>1923</v>
      </c>
      <c r="Q263" s="4" t="s">
        <v>1977</v>
      </c>
      <c r="R263" s="4" t="b">
        <v>0</v>
      </c>
      <c r="S263" s="4" t="s">
        <v>1486</v>
      </c>
      <c r="T263" s="2">
        <v>46001.3715277778</v>
      </c>
      <c r="U263" s="2">
        <v>46001.0</v>
      </c>
      <c r="V263" s="4">
        <v>49.0</v>
      </c>
      <c r="W263" s="4" t="s">
        <v>550</v>
      </c>
      <c r="X263" s="4">
        <v>2025.0</v>
      </c>
      <c r="Y263" s="4" t="s">
        <v>1518</v>
      </c>
      <c r="Z263" s="4" t="s">
        <v>557</v>
      </c>
      <c r="AA263" s="4" t="s">
        <v>558</v>
      </c>
      <c r="AB263" s="4" t="b">
        <v>0</v>
      </c>
      <c r="AC263" s="4" t="s">
        <v>536</v>
      </c>
      <c r="AD263" s="4" t="s">
        <v>537</v>
      </c>
    </row>
    <row r="264" ht="14.25" customHeight="1">
      <c r="A264" s="4">
        <v>8080234.0</v>
      </c>
      <c r="B264" s="2">
        <v>46001.3780324074</v>
      </c>
      <c r="C264" s="4">
        <v>7307469.0</v>
      </c>
      <c r="D264" s="4" t="s">
        <v>890</v>
      </c>
      <c r="E264" s="2">
        <v>46001.3784722222</v>
      </c>
      <c r="F264" s="4">
        <v>1.0</v>
      </c>
      <c r="G264" s="4">
        <v>0.0</v>
      </c>
      <c r="H264" s="4"/>
      <c r="I264" s="4"/>
      <c r="J264" s="4" t="s">
        <v>1526</v>
      </c>
      <c r="K264" s="4" t="s">
        <v>1527</v>
      </c>
      <c r="L264" s="4" t="s">
        <v>1528</v>
      </c>
      <c r="M264" s="4" t="s">
        <v>1482</v>
      </c>
      <c r="N264" s="4" t="s">
        <v>1529</v>
      </c>
      <c r="O264" s="4" t="s">
        <v>1530</v>
      </c>
      <c r="P264" s="4" t="s">
        <v>1923</v>
      </c>
      <c r="Q264" s="4" t="s">
        <v>1978</v>
      </c>
      <c r="R264" s="4" t="b">
        <v>0</v>
      </c>
      <c r="S264" s="4" t="s">
        <v>1486</v>
      </c>
      <c r="T264" s="2">
        <v>46001.3798611111</v>
      </c>
      <c r="U264" s="2">
        <v>46001.0</v>
      </c>
      <c r="V264" s="4">
        <v>49.0</v>
      </c>
      <c r="W264" s="4" t="s">
        <v>550</v>
      </c>
      <c r="X264" s="4">
        <v>2025.0</v>
      </c>
      <c r="Y264" s="4" t="s">
        <v>1532</v>
      </c>
      <c r="Z264" s="4" t="s">
        <v>853</v>
      </c>
      <c r="AA264" s="4" t="s">
        <v>835</v>
      </c>
      <c r="AB264" s="4" t="b">
        <v>0</v>
      </c>
      <c r="AC264" s="4" t="s">
        <v>536</v>
      </c>
      <c r="AD264" s="4" t="s">
        <v>537</v>
      </c>
    </row>
    <row r="265" ht="14.25" customHeight="1">
      <c r="A265" s="4">
        <v>8081019.0</v>
      </c>
      <c r="B265" s="2">
        <v>46001.4217592593</v>
      </c>
      <c r="C265" s="4">
        <v>7308251.0</v>
      </c>
      <c r="D265" s="4" t="s">
        <v>892</v>
      </c>
      <c r="E265" s="2">
        <v>46001.4222222222</v>
      </c>
      <c r="F265" s="4">
        <v>1.0</v>
      </c>
      <c r="G265" s="4">
        <v>0.0</v>
      </c>
      <c r="H265" s="4"/>
      <c r="I265" s="4"/>
      <c r="J265" s="4" t="s">
        <v>1480</v>
      </c>
      <c r="K265" s="4" t="s">
        <v>1480</v>
      </c>
      <c r="L265" s="4" t="s">
        <v>1481</v>
      </c>
      <c r="M265" s="4" t="s">
        <v>1482</v>
      </c>
      <c r="N265" s="4" t="s">
        <v>540</v>
      </c>
      <c r="O265" s="4" t="s">
        <v>1483</v>
      </c>
      <c r="P265" s="4" t="s">
        <v>1979</v>
      </c>
      <c r="Q265" s="4" t="s">
        <v>1980</v>
      </c>
      <c r="R265" s="4" t="b">
        <v>0</v>
      </c>
      <c r="S265" s="4" t="s">
        <v>1486</v>
      </c>
      <c r="T265" s="2">
        <v>46001.4236111111</v>
      </c>
      <c r="U265" s="2">
        <v>46001.0</v>
      </c>
      <c r="V265" s="4">
        <v>49.0</v>
      </c>
      <c r="W265" s="4" t="s">
        <v>550</v>
      </c>
      <c r="X265" s="4">
        <v>2025.0</v>
      </c>
      <c r="Y265" s="4" t="s">
        <v>1487</v>
      </c>
      <c r="Z265" s="4"/>
      <c r="AA265" s="4" t="s">
        <v>786</v>
      </c>
      <c r="AB265" s="4" t="b">
        <v>0</v>
      </c>
      <c r="AC265" s="4" t="s">
        <v>536</v>
      </c>
      <c r="AD265" s="4" t="s">
        <v>537</v>
      </c>
    </row>
    <row r="266" ht="14.25" customHeight="1">
      <c r="A266" s="4">
        <v>8082181.0</v>
      </c>
      <c r="B266" s="2">
        <v>46001.4845486111</v>
      </c>
      <c r="C266" s="4">
        <v>7309404.0</v>
      </c>
      <c r="D266" s="4" t="s">
        <v>893</v>
      </c>
      <c r="E266" s="2">
        <v>46001.4847222222</v>
      </c>
      <c r="F266" s="4">
        <v>1.0</v>
      </c>
      <c r="G266" s="4">
        <v>0.0</v>
      </c>
      <c r="H266" s="4"/>
      <c r="I266" s="4"/>
      <c r="J266" s="4" t="s">
        <v>1480</v>
      </c>
      <c r="K266" s="4" t="s">
        <v>1480</v>
      </c>
      <c r="L266" s="4" t="s">
        <v>1511</v>
      </c>
      <c r="M266" s="4" t="s">
        <v>1482</v>
      </c>
      <c r="N266" s="4" t="s">
        <v>653</v>
      </c>
      <c r="O266" s="4" t="s">
        <v>1483</v>
      </c>
      <c r="P266" s="4" t="s">
        <v>1845</v>
      </c>
      <c r="Q266" s="4" t="s">
        <v>1981</v>
      </c>
      <c r="R266" s="4" t="b">
        <v>0</v>
      </c>
      <c r="S266" s="4" t="s">
        <v>1486</v>
      </c>
      <c r="T266" s="2">
        <v>46001.4861111111</v>
      </c>
      <c r="U266" s="2">
        <v>46001.0</v>
      </c>
      <c r="V266" s="4">
        <v>49.0</v>
      </c>
      <c r="W266" s="4" t="s">
        <v>550</v>
      </c>
      <c r="X266" s="4">
        <v>2025.0</v>
      </c>
      <c r="Y266" s="4" t="s">
        <v>1680</v>
      </c>
      <c r="Z266" s="4" t="s">
        <v>557</v>
      </c>
      <c r="AA266" s="4" t="s">
        <v>558</v>
      </c>
      <c r="AB266" s="4" t="b">
        <v>0</v>
      </c>
      <c r="AC266" s="4" t="s">
        <v>536</v>
      </c>
      <c r="AD266" s="4" t="s">
        <v>537</v>
      </c>
    </row>
    <row r="267" ht="14.25" customHeight="1">
      <c r="A267" s="4">
        <v>8082368.0</v>
      </c>
      <c r="B267" s="2">
        <v>46001.4922222222</v>
      </c>
      <c r="C267" s="4">
        <v>7309590.0</v>
      </c>
      <c r="D267" s="4" t="s">
        <v>895</v>
      </c>
      <c r="E267" s="2">
        <v>46001.4923611111</v>
      </c>
      <c r="F267" s="4">
        <v>1.0</v>
      </c>
      <c r="G267" s="4">
        <v>0.0</v>
      </c>
      <c r="H267" s="4"/>
      <c r="I267" s="4"/>
      <c r="J267" s="4" t="s">
        <v>1526</v>
      </c>
      <c r="K267" s="4" t="s">
        <v>1527</v>
      </c>
      <c r="L267" s="4" t="s">
        <v>1528</v>
      </c>
      <c r="M267" s="4" t="s">
        <v>1482</v>
      </c>
      <c r="N267" s="4" t="s">
        <v>1529</v>
      </c>
      <c r="O267" s="4" t="s">
        <v>1530</v>
      </c>
      <c r="P267" s="4" t="s">
        <v>1488</v>
      </c>
      <c r="Q267" s="4" t="s">
        <v>1982</v>
      </c>
      <c r="R267" s="4" t="b">
        <v>0</v>
      </c>
      <c r="S267" s="4" t="s">
        <v>1486</v>
      </c>
      <c r="T267" s="2">
        <v>46001.49375</v>
      </c>
      <c r="U267" s="2">
        <v>46001.0</v>
      </c>
      <c r="V267" s="4">
        <v>49.0</v>
      </c>
      <c r="W267" s="4" t="s">
        <v>550</v>
      </c>
      <c r="X267" s="4">
        <v>2025.0</v>
      </c>
      <c r="Y267" s="4" t="s">
        <v>1532</v>
      </c>
      <c r="Z267" s="4" t="s">
        <v>557</v>
      </c>
      <c r="AA267" s="4" t="s">
        <v>624</v>
      </c>
      <c r="AB267" s="4" t="b">
        <v>0</v>
      </c>
      <c r="AC267" s="4" t="s">
        <v>536</v>
      </c>
      <c r="AD267" s="4" t="s">
        <v>537</v>
      </c>
    </row>
    <row r="268" ht="14.25" customHeight="1">
      <c r="A268" s="4">
        <v>8082448.0</v>
      </c>
      <c r="B268" s="2">
        <v>46001.4963657407</v>
      </c>
      <c r="C268" s="4">
        <v>7309669.0</v>
      </c>
      <c r="D268" s="4" t="s">
        <v>896</v>
      </c>
      <c r="E268" s="2">
        <v>46001.4965277778</v>
      </c>
      <c r="F268" s="4">
        <v>1.0</v>
      </c>
      <c r="G268" s="4">
        <v>0.0</v>
      </c>
      <c r="H268" s="4"/>
      <c r="I268" s="4"/>
      <c r="J268" s="4" t="s">
        <v>1480</v>
      </c>
      <c r="K268" s="4" t="s">
        <v>1480</v>
      </c>
      <c r="L268" s="4" t="s">
        <v>1481</v>
      </c>
      <c r="M268" s="4" t="s">
        <v>1482</v>
      </c>
      <c r="N268" s="4" t="s">
        <v>540</v>
      </c>
      <c r="O268" s="4" t="s">
        <v>1483</v>
      </c>
      <c r="P268" s="4" t="s">
        <v>1488</v>
      </c>
      <c r="Q268" s="4" t="s">
        <v>1983</v>
      </c>
      <c r="R268" s="4" t="b">
        <v>0</v>
      </c>
      <c r="S268" s="4" t="s">
        <v>1486</v>
      </c>
      <c r="T268" s="2">
        <v>46001.4979166667</v>
      </c>
      <c r="U268" s="2">
        <v>46001.0</v>
      </c>
      <c r="V268" s="4">
        <v>49.0</v>
      </c>
      <c r="W268" s="4" t="s">
        <v>550</v>
      </c>
      <c r="X268" s="4">
        <v>2025.0</v>
      </c>
      <c r="Y268" s="4" t="s">
        <v>1487</v>
      </c>
      <c r="Z268" s="4" t="s">
        <v>604</v>
      </c>
      <c r="AA268" s="4" t="s">
        <v>605</v>
      </c>
      <c r="AB268" s="4" t="b">
        <v>0</v>
      </c>
      <c r="AC268" s="4" t="s">
        <v>536</v>
      </c>
      <c r="AD268" s="4" t="s">
        <v>537</v>
      </c>
    </row>
    <row r="269" ht="14.25" customHeight="1">
      <c r="A269" s="4">
        <v>8082791.0</v>
      </c>
      <c r="B269" s="2">
        <v>46001.513287037</v>
      </c>
      <c r="C269" s="4">
        <v>7310009.0</v>
      </c>
      <c r="D269" s="4" t="s">
        <v>897</v>
      </c>
      <c r="E269" s="2">
        <v>46001.5138888889</v>
      </c>
      <c r="F269" s="4">
        <v>0.0</v>
      </c>
      <c r="G269" s="4">
        <v>0.0</v>
      </c>
      <c r="H269" s="4"/>
      <c r="I269" s="4"/>
      <c r="J269" s="4"/>
      <c r="K269" s="4"/>
      <c r="L269" s="4"/>
      <c r="M269" s="4" t="s">
        <v>1482</v>
      </c>
      <c r="N269" s="4" t="s">
        <v>1483</v>
      </c>
      <c r="O269" s="4" t="s">
        <v>1984</v>
      </c>
      <c r="P269" s="4" t="s">
        <v>1794</v>
      </c>
      <c r="Q269" s="4" t="s">
        <v>1985</v>
      </c>
      <c r="R269" s="4" t="b">
        <v>1</v>
      </c>
      <c r="S269" s="4" t="s">
        <v>1486</v>
      </c>
      <c r="T269" s="2">
        <v>46001.5152777778</v>
      </c>
      <c r="U269" s="2">
        <v>46001.0</v>
      </c>
      <c r="V269" s="4">
        <v>49.0</v>
      </c>
      <c r="W269" s="4" t="s">
        <v>550</v>
      </c>
      <c r="X269" s="4">
        <v>2025.0</v>
      </c>
      <c r="Y269" s="4" t="s">
        <v>1540</v>
      </c>
      <c r="Z269" s="4" t="s">
        <v>557</v>
      </c>
      <c r="AA269" s="4" t="s">
        <v>558</v>
      </c>
      <c r="AB269" s="4" t="b">
        <v>0</v>
      </c>
      <c r="AC269" s="4" t="s">
        <v>536</v>
      </c>
      <c r="AD269" s="4" t="s">
        <v>537</v>
      </c>
    </row>
    <row r="270" ht="14.25" customHeight="1">
      <c r="A270" s="4">
        <v>8082811.0</v>
      </c>
      <c r="B270" s="2">
        <v>46001.5143402778</v>
      </c>
      <c r="C270" s="4">
        <v>7310029.0</v>
      </c>
      <c r="D270" s="4" t="s">
        <v>898</v>
      </c>
      <c r="E270" s="2">
        <v>46001.5145833333</v>
      </c>
      <c r="F270" s="4">
        <v>1.0</v>
      </c>
      <c r="G270" s="4">
        <v>0.0</v>
      </c>
      <c r="H270" s="4"/>
      <c r="I270" s="4"/>
      <c r="J270" s="4" t="s">
        <v>1480</v>
      </c>
      <c r="K270" s="4" t="s">
        <v>1480</v>
      </c>
      <c r="L270" s="4" t="s">
        <v>1481</v>
      </c>
      <c r="M270" s="4" t="s">
        <v>1482</v>
      </c>
      <c r="N270" s="4" t="s">
        <v>540</v>
      </c>
      <c r="O270" s="4" t="s">
        <v>1483</v>
      </c>
      <c r="P270" s="4" t="s">
        <v>1488</v>
      </c>
      <c r="Q270" s="4" t="s">
        <v>1986</v>
      </c>
      <c r="R270" s="4" t="b">
        <v>0</v>
      </c>
      <c r="S270" s="4" t="s">
        <v>1486</v>
      </c>
      <c r="T270" s="2">
        <v>46001.5159722222</v>
      </c>
      <c r="U270" s="2">
        <v>46001.0</v>
      </c>
      <c r="V270" s="4">
        <v>49.0</v>
      </c>
      <c r="W270" s="4" t="s">
        <v>550</v>
      </c>
      <c r="X270" s="4">
        <v>2025.0</v>
      </c>
      <c r="Y270" s="4" t="s">
        <v>1487</v>
      </c>
      <c r="Z270" s="4" t="s">
        <v>899</v>
      </c>
      <c r="AA270" s="4" t="s">
        <v>901</v>
      </c>
      <c r="AB270" s="4" t="b">
        <v>0</v>
      </c>
      <c r="AC270" s="4" t="s">
        <v>536</v>
      </c>
      <c r="AD270" s="4" t="s">
        <v>537</v>
      </c>
    </row>
    <row r="271" ht="14.25" customHeight="1">
      <c r="A271" s="4">
        <v>8081861.0</v>
      </c>
      <c r="B271" s="2">
        <v>46001.4702546296</v>
      </c>
      <c r="C271" s="4">
        <v>7309087.0</v>
      </c>
      <c r="D271" s="4" t="s">
        <v>902</v>
      </c>
      <c r="E271" s="2">
        <v>46001.5479166667</v>
      </c>
      <c r="F271" s="4">
        <v>1.0</v>
      </c>
      <c r="G271" s="4">
        <v>0.0</v>
      </c>
      <c r="H271" s="4"/>
      <c r="I271" s="4"/>
      <c r="J271" s="4" t="s">
        <v>1480</v>
      </c>
      <c r="K271" s="4" t="s">
        <v>1480</v>
      </c>
      <c r="L271" s="4" t="s">
        <v>1481</v>
      </c>
      <c r="M271" s="4" t="s">
        <v>1482</v>
      </c>
      <c r="N271" s="4" t="s">
        <v>540</v>
      </c>
      <c r="O271" s="4" t="s">
        <v>1483</v>
      </c>
      <c r="P271" s="4" t="s">
        <v>1645</v>
      </c>
      <c r="Q271" s="4" t="s">
        <v>1987</v>
      </c>
      <c r="R271" s="4" t="b">
        <v>0</v>
      </c>
      <c r="S271" s="4" t="s">
        <v>1486</v>
      </c>
      <c r="T271" s="2">
        <v>46001.5493055556</v>
      </c>
      <c r="U271" s="2">
        <v>46001.0</v>
      </c>
      <c r="V271" s="4">
        <v>49.0</v>
      </c>
      <c r="W271" s="4" t="s">
        <v>550</v>
      </c>
      <c r="X271" s="4">
        <v>2025.0</v>
      </c>
      <c r="Y271" s="4" t="s">
        <v>1487</v>
      </c>
      <c r="Z271" s="4"/>
      <c r="AA271" s="4" t="s">
        <v>558</v>
      </c>
      <c r="AB271" s="4" t="b">
        <v>0</v>
      </c>
      <c r="AC271" s="4" t="s">
        <v>536</v>
      </c>
      <c r="AD271" s="4" t="s">
        <v>537</v>
      </c>
    </row>
    <row r="272" ht="14.25" customHeight="1">
      <c r="A272" s="4">
        <v>7534453.0</v>
      </c>
      <c r="B272" s="2">
        <v>45875.3735300926</v>
      </c>
      <c r="C272" s="4">
        <v>6777186.0</v>
      </c>
      <c r="D272" s="4" t="s">
        <v>903</v>
      </c>
      <c r="E272" s="2">
        <v>46001.5576388889</v>
      </c>
      <c r="F272" s="4">
        <v>0.4</v>
      </c>
      <c r="G272" s="4">
        <v>0.0</v>
      </c>
      <c r="H272" s="4"/>
      <c r="I272" s="4"/>
      <c r="J272" s="4" t="s">
        <v>1480</v>
      </c>
      <c r="K272" s="4" t="s">
        <v>1480</v>
      </c>
      <c r="L272" s="4" t="s">
        <v>1481</v>
      </c>
      <c r="M272" s="4" t="s">
        <v>1482</v>
      </c>
      <c r="N272" s="4" t="s">
        <v>540</v>
      </c>
      <c r="O272" s="4" t="s">
        <v>1483</v>
      </c>
      <c r="P272" s="4" t="s">
        <v>1894</v>
      </c>
      <c r="Q272" s="4" t="s">
        <v>1988</v>
      </c>
      <c r="R272" s="4" t="b">
        <v>0</v>
      </c>
      <c r="S272" s="4" t="s">
        <v>1486</v>
      </c>
      <c r="T272" s="2">
        <v>46001.5590277778</v>
      </c>
      <c r="U272" s="2">
        <v>45875.0</v>
      </c>
      <c r="V272" s="4">
        <v>31.0</v>
      </c>
      <c r="W272" s="4" t="s">
        <v>1769</v>
      </c>
      <c r="X272" s="4">
        <v>2025.0</v>
      </c>
      <c r="Y272" s="4" t="s">
        <v>1487</v>
      </c>
      <c r="Z272" s="4"/>
      <c r="AA272" s="4" t="s">
        <v>558</v>
      </c>
      <c r="AB272" s="4" t="b">
        <v>0</v>
      </c>
      <c r="AC272" s="4" t="s">
        <v>536</v>
      </c>
      <c r="AD272" s="4" t="s">
        <v>537</v>
      </c>
    </row>
    <row r="273" ht="14.25" customHeight="1">
      <c r="A273" s="4">
        <v>7939981.0</v>
      </c>
      <c r="B273" s="2">
        <v>45980.5937847222</v>
      </c>
      <c r="C273" s="4">
        <v>6777186.0</v>
      </c>
      <c r="D273" s="4" t="s">
        <v>903</v>
      </c>
      <c r="E273" s="2">
        <v>46001.5576388889</v>
      </c>
      <c r="F273" s="4">
        <v>0.0222</v>
      </c>
      <c r="G273" s="4">
        <v>0.0</v>
      </c>
      <c r="H273" s="4" t="s">
        <v>1989</v>
      </c>
      <c r="I273" s="4" t="s">
        <v>1566</v>
      </c>
      <c r="J273" s="4" t="s">
        <v>1989</v>
      </c>
      <c r="K273" s="4" t="s">
        <v>1567</v>
      </c>
      <c r="L273" s="4" t="s">
        <v>1566</v>
      </c>
      <c r="M273" s="4" t="s">
        <v>1990</v>
      </c>
      <c r="N273" s="4"/>
      <c r="O273" s="4" t="s">
        <v>1991</v>
      </c>
      <c r="P273" s="4" t="s">
        <v>1488</v>
      </c>
      <c r="Q273" s="4" t="s">
        <v>1992</v>
      </c>
      <c r="R273" s="4" t="b">
        <v>0</v>
      </c>
      <c r="S273" s="4" t="s">
        <v>1486</v>
      </c>
      <c r="T273" s="2">
        <v>46001.5590277778</v>
      </c>
      <c r="U273" s="2">
        <v>45980.0</v>
      </c>
      <c r="V273" s="4">
        <v>46.0</v>
      </c>
      <c r="W273" s="4" t="s">
        <v>545</v>
      </c>
      <c r="X273" s="4">
        <v>2025.0</v>
      </c>
      <c r="Y273" s="4" t="s">
        <v>1518</v>
      </c>
      <c r="Z273" s="4"/>
      <c r="AA273" s="4" t="s">
        <v>558</v>
      </c>
      <c r="AB273" s="4" t="b">
        <v>0</v>
      </c>
      <c r="AC273" s="4" t="s">
        <v>536</v>
      </c>
      <c r="AD273" s="4" t="s">
        <v>537</v>
      </c>
    </row>
    <row r="274" ht="14.25" customHeight="1">
      <c r="A274" s="4">
        <v>7939983.0</v>
      </c>
      <c r="B274" s="2">
        <v>45980.5942013889</v>
      </c>
      <c r="C274" s="4">
        <v>6777186.0</v>
      </c>
      <c r="D274" s="4" t="s">
        <v>903</v>
      </c>
      <c r="E274" s="2">
        <v>46001.5576388889</v>
      </c>
      <c r="F274" s="4">
        <v>0.0222</v>
      </c>
      <c r="G274" s="4">
        <v>0.0</v>
      </c>
      <c r="H274" s="4" t="s">
        <v>1989</v>
      </c>
      <c r="I274" s="4" t="s">
        <v>1566</v>
      </c>
      <c r="J274" s="4" t="s">
        <v>1989</v>
      </c>
      <c r="K274" s="4" t="s">
        <v>1567</v>
      </c>
      <c r="L274" s="4" t="s">
        <v>1566</v>
      </c>
      <c r="M274" s="4" t="s">
        <v>1990</v>
      </c>
      <c r="N274" s="4"/>
      <c r="O274" s="4" t="s">
        <v>1993</v>
      </c>
      <c r="P274" s="4" t="s">
        <v>1488</v>
      </c>
      <c r="Q274" s="4" t="s">
        <v>1992</v>
      </c>
      <c r="R274" s="4" t="b">
        <v>0</v>
      </c>
      <c r="S274" s="4" t="s">
        <v>1486</v>
      </c>
      <c r="T274" s="2">
        <v>46001.5590277778</v>
      </c>
      <c r="U274" s="2">
        <v>45980.0</v>
      </c>
      <c r="V274" s="4">
        <v>46.0</v>
      </c>
      <c r="W274" s="4" t="s">
        <v>545</v>
      </c>
      <c r="X274" s="4">
        <v>2025.0</v>
      </c>
      <c r="Y274" s="4" t="s">
        <v>1518</v>
      </c>
      <c r="Z274" s="4"/>
      <c r="AA274" s="4" t="s">
        <v>558</v>
      </c>
      <c r="AB274" s="4" t="b">
        <v>0</v>
      </c>
      <c r="AC274" s="4" t="s">
        <v>536</v>
      </c>
      <c r="AD274" s="4" t="s">
        <v>537</v>
      </c>
    </row>
    <row r="275" ht="14.25" customHeight="1">
      <c r="A275" s="4">
        <v>7945410.0</v>
      </c>
      <c r="B275" s="2">
        <v>45981.6287962963</v>
      </c>
      <c r="C275" s="4">
        <v>6777186.0</v>
      </c>
      <c r="D275" s="4" t="s">
        <v>903</v>
      </c>
      <c r="E275" s="2">
        <v>46001.5576388889</v>
      </c>
      <c r="F275" s="4">
        <v>0.0222</v>
      </c>
      <c r="G275" s="4">
        <v>0.0</v>
      </c>
      <c r="H275" s="4" t="s">
        <v>1565</v>
      </c>
      <c r="I275" s="4" t="s">
        <v>1570</v>
      </c>
      <c r="J275" s="4" t="s">
        <v>1565</v>
      </c>
      <c r="K275" s="4" t="s">
        <v>1567</v>
      </c>
      <c r="L275" s="4" t="s">
        <v>1570</v>
      </c>
      <c r="M275" s="4" t="s">
        <v>1571</v>
      </c>
      <c r="N275" s="4"/>
      <c r="O275" s="4" t="s">
        <v>1994</v>
      </c>
      <c r="P275" s="4" t="s">
        <v>1488</v>
      </c>
      <c r="Q275" s="4" t="s">
        <v>1992</v>
      </c>
      <c r="R275" s="4" t="b">
        <v>0</v>
      </c>
      <c r="S275" s="4" t="s">
        <v>1486</v>
      </c>
      <c r="T275" s="2">
        <v>46001.5590277778</v>
      </c>
      <c r="U275" s="2">
        <v>45981.0</v>
      </c>
      <c r="V275" s="4">
        <v>46.0</v>
      </c>
      <c r="W275" s="4" t="s">
        <v>545</v>
      </c>
      <c r="X275" s="4">
        <v>2025.0</v>
      </c>
      <c r="Y275" s="4" t="s">
        <v>1518</v>
      </c>
      <c r="Z275" s="4"/>
      <c r="AA275" s="4" t="s">
        <v>558</v>
      </c>
      <c r="AB275" s="4" t="b">
        <v>0</v>
      </c>
      <c r="AC275" s="4" t="s">
        <v>536</v>
      </c>
      <c r="AD275" s="4" t="s">
        <v>537</v>
      </c>
    </row>
    <row r="276" ht="14.25" customHeight="1">
      <c r="A276" s="4">
        <v>7945561.0</v>
      </c>
      <c r="B276" s="2">
        <v>45981.6531944444</v>
      </c>
      <c r="C276" s="4">
        <v>6777186.0</v>
      </c>
      <c r="D276" s="4" t="s">
        <v>903</v>
      </c>
      <c r="E276" s="2">
        <v>46001.5576388889</v>
      </c>
      <c r="F276" s="4">
        <v>0.0222</v>
      </c>
      <c r="G276" s="4">
        <v>0.0</v>
      </c>
      <c r="H276" s="4" t="s">
        <v>1565</v>
      </c>
      <c r="I276" s="4" t="s">
        <v>1570</v>
      </c>
      <c r="J276" s="4" t="s">
        <v>1565</v>
      </c>
      <c r="K276" s="4" t="s">
        <v>1567</v>
      </c>
      <c r="L276" s="4" t="s">
        <v>1570</v>
      </c>
      <c r="M276" s="4" t="s">
        <v>1571</v>
      </c>
      <c r="N276" s="4"/>
      <c r="O276" s="4" t="s">
        <v>1995</v>
      </c>
      <c r="P276" s="4" t="s">
        <v>1488</v>
      </c>
      <c r="Q276" s="4" t="s">
        <v>1992</v>
      </c>
      <c r="R276" s="4" t="b">
        <v>0</v>
      </c>
      <c r="S276" s="4" t="s">
        <v>1486</v>
      </c>
      <c r="T276" s="2">
        <v>46001.5590277778</v>
      </c>
      <c r="U276" s="2">
        <v>45981.0</v>
      </c>
      <c r="V276" s="4">
        <v>46.0</v>
      </c>
      <c r="W276" s="4" t="s">
        <v>545</v>
      </c>
      <c r="X276" s="4">
        <v>2025.0</v>
      </c>
      <c r="Y276" s="4" t="s">
        <v>1518</v>
      </c>
      <c r="Z276" s="4"/>
      <c r="AA276" s="4" t="s">
        <v>558</v>
      </c>
      <c r="AB276" s="4" t="b">
        <v>0</v>
      </c>
      <c r="AC276" s="4" t="s">
        <v>536</v>
      </c>
      <c r="AD276" s="4" t="s">
        <v>537</v>
      </c>
    </row>
    <row r="277" ht="14.25" customHeight="1">
      <c r="A277" s="4">
        <v>8083545.0</v>
      </c>
      <c r="B277" s="2">
        <v>46001.5491435185</v>
      </c>
      <c r="C277" s="4">
        <v>6777186.0</v>
      </c>
      <c r="D277" s="4" t="s">
        <v>903</v>
      </c>
      <c r="E277" s="2">
        <v>46001.5576388889</v>
      </c>
      <c r="F277" s="4">
        <v>0.0222</v>
      </c>
      <c r="G277" s="4">
        <v>0.0</v>
      </c>
      <c r="H277" s="4" t="s">
        <v>1989</v>
      </c>
      <c r="I277" s="4" t="s">
        <v>1566</v>
      </c>
      <c r="J277" s="4" t="s">
        <v>1989</v>
      </c>
      <c r="K277" s="4" t="s">
        <v>1567</v>
      </c>
      <c r="L277" s="4" t="s">
        <v>1566</v>
      </c>
      <c r="M277" s="4" t="s">
        <v>1990</v>
      </c>
      <c r="N277" s="4"/>
      <c r="O277" s="4" t="s">
        <v>1996</v>
      </c>
      <c r="P277" s="4" t="s">
        <v>1488</v>
      </c>
      <c r="Q277" s="4" t="s">
        <v>1992</v>
      </c>
      <c r="R277" s="4" t="b">
        <v>0</v>
      </c>
      <c r="S277" s="4" t="s">
        <v>1486</v>
      </c>
      <c r="T277" s="2">
        <v>46001.5590277778</v>
      </c>
      <c r="U277" s="2">
        <v>46001.0</v>
      </c>
      <c r="V277" s="4">
        <v>49.0</v>
      </c>
      <c r="W277" s="4" t="s">
        <v>550</v>
      </c>
      <c r="X277" s="4">
        <v>2025.0</v>
      </c>
      <c r="Y277" s="4" t="s">
        <v>1518</v>
      </c>
      <c r="Z277" s="4"/>
      <c r="AA277" s="4" t="s">
        <v>558</v>
      </c>
      <c r="AB277" s="4" t="b">
        <v>0</v>
      </c>
      <c r="AC277" s="4" t="s">
        <v>536</v>
      </c>
      <c r="AD277" s="4" t="s">
        <v>537</v>
      </c>
    </row>
    <row r="278" ht="14.25" customHeight="1">
      <c r="A278" s="4">
        <v>8083556.0</v>
      </c>
      <c r="B278" s="2">
        <v>46001.5495023148</v>
      </c>
      <c r="C278" s="4">
        <v>6777186.0</v>
      </c>
      <c r="D278" s="4" t="s">
        <v>903</v>
      </c>
      <c r="E278" s="2">
        <v>46001.5576388889</v>
      </c>
      <c r="F278" s="4">
        <v>0.0222</v>
      </c>
      <c r="G278" s="4">
        <v>0.0</v>
      </c>
      <c r="H278" s="4" t="s">
        <v>1989</v>
      </c>
      <c r="I278" s="4" t="s">
        <v>1566</v>
      </c>
      <c r="J278" s="4" t="s">
        <v>1989</v>
      </c>
      <c r="K278" s="4" t="s">
        <v>1567</v>
      </c>
      <c r="L278" s="4" t="s">
        <v>1566</v>
      </c>
      <c r="M278" s="4" t="s">
        <v>1990</v>
      </c>
      <c r="N278" s="4"/>
      <c r="O278" s="4" t="s">
        <v>1997</v>
      </c>
      <c r="P278" s="4" t="s">
        <v>1488</v>
      </c>
      <c r="Q278" s="4" t="s">
        <v>1992</v>
      </c>
      <c r="R278" s="4" t="b">
        <v>0</v>
      </c>
      <c r="S278" s="4" t="s">
        <v>1486</v>
      </c>
      <c r="T278" s="2">
        <v>46001.5590277778</v>
      </c>
      <c r="U278" s="2">
        <v>46001.0</v>
      </c>
      <c r="V278" s="4">
        <v>49.0</v>
      </c>
      <c r="W278" s="4" t="s">
        <v>550</v>
      </c>
      <c r="X278" s="4">
        <v>2025.0</v>
      </c>
      <c r="Y278" s="4" t="s">
        <v>1518</v>
      </c>
      <c r="Z278" s="4"/>
      <c r="AA278" s="4" t="s">
        <v>558</v>
      </c>
      <c r="AB278" s="4" t="b">
        <v>0</v>
      </c>
      <c r="AC278" s="4" t="s">
        <v>536</v>
      </c>
      <c r="AD278" s="4" t="s">
        <v>537</v>
      </c>
    </row>
    <row r="279" ht="14.25" customHeight="1">
      <c r="A279" s="4">
        <v>8083563.0</v>
      </c>
      <c r="B279" s="2">
        <v>46001.5498148148</v>
      </c>
      <c r="C279" s="4">
        <v>6777186.0</v>
      </c>
      <c r="D279" s="4" t="s">
        <v>903</v>
      </c>
      <c r="E279" s="2">
        <v>46001.5576388889</v>
      </c>
      <c r="F279" s="4">
        <v>0.0222</v>
      </c>
      <c r="G279" s="4">
        <v>0.0</v>
      </c>
      <c r="H279" s="4" t="s">
        <v>1565</v>
      </c>
      <c r="I279" s="4" t="s">
        <v>1570</v>
      </c>
      <c r="J279" s="4" t="s">
        <v>1565</v>
      </c>
      <c r="K279" s="4" t="s">
        <v>1567</v>
      </c>
      <c r="L279" s="4" t="s">
        <v>1570</v>
      </c>
      <c r="M279" s="4" t="s">
        <v>1571</v>
      </c>
      <c r="N279" s="4"/>
      <c r="O279" s="4" t="s">
        <v>1998</v>
      </c>
      <c r="P279" s="4" t="s">
        <v>1488</v>
      </c>
      <c r="Q279" s="4" t="s">
        <v>1992</v>
      </c>
      <c r="R279" s="4" t="b">
        <v>0</v>
      </c>
      <c r="S279" s="4" t="s">
        <v>1486</v>
      </c>
      <c r="T279" s="2">
        <v>46001.5590277778</v>
      </c>
      <c r="U279" s="2">
        <v>46001.0</v>
      </c>
      <c r="V279" s="4">
        <v>49.0</v>
      </c>
      <c r="W279" s="4" t="s">
        <v>550</v>
      </c>
      <c r="X279" s="4">
        <v>2025.0</v>
      </c>
      <c r="Y279" s="4" t="s">
        <v>1518</v>
      </c>
      <c r="Z279" s="4"/>
      <c r="AA279" s="4" t="s">
        <v>558</v>
      </c>
      <c r="AB279" s="4" t="b">
        <v>0</v>
      </c>
      <c r="AC279" s="4" t="s">
        <v>536</v>
      </c>
      <c r="AD279" s="4" t="s">
        <v>537</v>
      </c>
    </row>
    <row r="280" ht="14.25" customHeight="1">
      <c r="A280" s="4">
        <v>8083564.0</v>
      </c>
      <c r="B280" s="2">
        <v>46001.549837963</v>
      </c>
      <c r="C280" s="4">
        <v>6777186.0</v>
      </c>
      <c r="D280" s="4" t="s">
        <v>903</v>
      </c>
      <c r="E280" s="2">
        <v>46001.5576388889</v>
      </c>
      <c r="F280" s="4">
        <v>0.0222</v>
      </c>
      <c r="G280" s="4">
        <v>0.0</v>
      </c>
      <c r="H280" s="4" t="s">
        <v>1565</v>
      </c>
      <c r="I280" s="4" t="s">
        <v>1570</v>
      </c>
      <c r="J280" s="4" t="s">
        <v>1565</v>
      </c>
      <c r="K280" s="4" t="s">
        <v>1567</v>
      </c>
      <c r="L280" s="4" t="s">
        <v>1570</v>
      </c>
      <c r="M280" s="4" t="s">
        <v>1571</v>
      </c>
      <c r="N280" s="4" t="s">
        <v>1999</v>
      </c>
      <c r="O280" s="4" t="s">
        <v>2000</v>
      </c>
      <c r="P280" s="4" t="s">
        <v>1488</v>
      </c>
      <c r="Q280" s="4" t="s">
        <v>2001</v>
      </c>
      <c r="R280" s="4" t="b">
        <v>0</v>
      </c>
      <c r="S280" s="4" t="s">
        <v>1486</v>
      </c>
      <c r="T280" s="2">
        <v>46001.5590277778</v>
      </c>
      <c r="U280" s="2">
        <v>46001.0</v>
      </c>
      <c r="V280" s="4">
        <v>49.0</v>
      </c>
      <c r="W280" s="4" t="s">
        <v>550</v>
      </c>
      <c r="X280" s="4">
        <v>2025.0</v>
      </c>
      <c r="Y280" s="4" t="s">
        <v>1518</v>
      </c>
      <c r="Z280" s="4"/>
      <c r="AA280" s="4" t="s">
        <v>558</v>
      </c>
      <c r="AB280" s="4" t="b">
        <v>0</v>
      </c>
      <c r="AC280" s="4" t="s">
        <v>536</v>
      </c>
      <c r="AD280" s="4" t="s">
        <v>537</v>
      </c>
    </row>
    <row r="281" ht="14.25" customHeight="1">
      <c r="A281" s="4">
        <v>8083596.0</v>
      </c>
      <c r="B281" s="2">
        <v>46001.551099537</v>
      </c>
      <c r="C281" s="4">
        <v>6777186.0</v>
      </c>
      <c r="D281" s="4" t="s">
        <v>903</v>
      </c>
      <c r="E281" s="2">
        <v>46001.5576388889</v>
      </c>
      <c r="F281" s="4">
        <v>0.0222</v>
      </c>
      <c r="G281" s="4">
        <v>0.0</v>
      </c>
      <c r="H281" s="4" t="s">
        <v>1565</v>
      </c>
      <c r="I281" s="4" t="s">
        <v>1570</v>
      </c>
      <c r="J281" s="4" t="s">
        <v>1565</v>
      </c>
      <c r="K281" s="4" t="s">
        <v>1567</v>
      </c>
      <c r="L281" s="4" t="s">
        <v>1570</v>
      </c>
      <c r="M281" s="4" t="s">
        <v>1571</v>
      </c>
      <c r="N281" s="4" t="s">
        <v>1999</v>
      </c>
      <c r="O281" s="4" t="s">
        <v>2000</v>
      </c>
      <c r="P281" s="4" t="s">
        <v>1488</v>
      </c>
      <c r="Q281" s="4" t="s">
        <v>2001</v>
      </c>
      <c r="R281" s="4" t="b">
        <v>0</v>
      </c>
      <c r="S281" s="4" t="s">
        <v>1486</v>
      </c>
      <c r="T281" s="2">
        <v>46001.5590277778</v>
      </c>
      <c r="U281" s="2">
        <v>46001.0</v>
      </c>
      <c r="V281" s="4">
        <v>49.0</v>
      </c>
      <c r="W281" s="4" t="s">
        <v>550</v>
      </c>
      <c r="X281" s="4">
        <v>2025.0</v>
      </c>
      <c r="Y281" s="4" t="s">
        <v>1518</v>
      </c>
      <c r="Z281" s="4"/>
      <c r="AA281" s="4" t="s">
        <v>558</v>
      </c>
      <c r="AB281" s="4" t="b">
        <v>0</v>
      </c>
      <c r="AC281" s="4" t="s">
        <v>536</v>
      </c>
      <c r="AD281" s="4" t="s">
        <v>537</v>
      </c>
    </row>
    <row r="282" ht="14.25" customHeight="1">
      <c r="A282" s="4">
        <v>8083652.0</v>
      </c>
      <c r="B282" s="2">
        <v>46001.5534837963</v>
      </c>
      <c r="C282" s="4">
        <v>6777186.0</v>
      </c>
      <c r="D282" s="4" t="s">
        <v>903</v>
      </c>
      <c r="E282" s="2">
        <v>46001.5576388889</v>
      </c>
      <c r="F282" s="4">
        <v>0.4</v>
      </c>
      <c r="G282" s="4">
        <v>0.0</v>
      </c>
      <c r="H282" s="4" t="s">
        <v>1565</v>
      </c>
      <c r="I282" s="4" t="s">
        <v>1570</v>
      </c>
      <c r="J282" s="4" t="s">
        <v>1565</v>
      </c>
      <c r="K282" s="4" t="s">
        <v>1567</v>
      </c>
      <c r="L282" s="4" t="s">
        <v>1570</v>
      </c>
      <c r="M282" s="4" t="s">
        <v>1571</v>
      </c>
      <c r="N282" s="4" t="s">
        <v>1999</v>
      </c>
      <c r="O282" s="4" t="s">
        <v>2000</v>
      </c>
      <c r="P282" s="4" t="s">
        <v>1488</v>
      </c>
      <c r="Q282" s="4" t="s">
        <v>2001</v>
      </c>
      <c r="R282" s="4" t="b">
        <v>0</v>
      </c>
      <c r="S282" s="4" t="s">
        <v>1486</v>
      </c>
      <c r="T282" s="2">
        <v>46001.5590277778</v>
      </c>
      <c r="U282" s="2">
        <v>46001.0</v>
      </c>
      <c r="V282" s="4">
        <v>49.0</v>
      </c>
      <c r="W282" s="4" t="s">
        <v>550</v>
      </c>
      <c r="X282" s="4">
        <v>2025.0</v>
      </c>
      <c r="Y282" s="4" t="s">
        <v>1518</v>
      </c>
      <c r="Z282" s="4"/>
      <c r="AA282" s="4" t="s">
        <v>558</v>
      </c>
      <c r="AB282" s="4" t="b">
        <v>0</v>
      </c>
      <c r="AC282" s="4" t="s">
        <v>536</v>
      </c>
      <c r="AD282" s="4" t="s">
        <v>537</v>
      </c>
    </row>
    <row r="283" ht="14.25" customHeight="1">
      <c r="A283" s="4">
        <v>8084069.0</v>
      </c>
      <c r="B283" s="2">
        <v>46001.5747337963</v>
      </c>
      <c r="C283" s="4">
        <v>7311275.0</v>
      </c>
      <c r="D283" s="4" t="s">
        <v>904</v>
      </c>
      <c r="E283" s="2">
        <v>46001.575</v>
      </c>
      <c r="F283" s="4">
        <v>1.0</v>
      </c>
      <c r="G283" s="4">
        <v>0.0</v>
      </c>
      <c r="H283" s="4"/>
      <c r="I283" s="4"/>
      <c r="J283" s="4" t="s">
        <v>539</v>
      </c>
      <c r="K283" s="4" t="s">
        <v>539</v>
      </c>
      <c r="L283" s="4" t="s">
        <v>1499</v>
      </c>
      <c r="M283" s="4" t="s">
        <v>1482</v>
      </c>
      <c r="N283" s="4"/>
      <c r="O283" s="4" t="s">
        <v>2002</v>
      </c>
      <c r="P283" s="4" t="s">
        <v>2003</v>
      </c>
      <c r="Q283" s="4" t="s">
        <v>2004</v>
      </c>
      <c r="R283" s="4" t="b">
        <v>0</v>
      </c>
      <c r="S283" s="4" t="s">
        <v>1486</v>
      </c>
      <c r="T283" s="2">
        <v>46001.5763888889</v>
      </c>
      <c r="U283" s="2">
        <v>46001.0</v>
      </c>
      <c r="V283" s="4">
        <v>49.0</v>
      </c>
      <c r="W283" s="4" t="s">
        <v>550</v>
      </c>
      <c r="X283" s="4">
        <v>2025.0</v>
      </c>
      <c r="Y283" s="4" t="s">
        <v>1502</v>
      </c>
      <c r="Z283" s="4" t="s">
        <v>557</v>
      </c>
      <c r="AA283" s="4" t="s">
        <v>558</v>
      </c>
      <c r="AB283" s="4" t="b">
        <v>0</v>
      </c>
      <c r="AC283" s="4" t="s">
        <v>536</v>
      </c>
      <c r="AD283" s="4" t="s">
        <v>537</v>
      </c>
    </row>
    <row r="284" ht="14.25" customHeight="1">
      <c r="A284" s="4">
        <v>8027282.0</v>
      </c>
      <c r="B284" s="2">
        <v>45997.7379513889</v>
      </c>
      <c r="C284" s="4">
        <v>7254761.0</v>
      </c>
      <c r="D284" s="4" t="s">
        <v>907</v>
      </c>
      <c r="E284" s="2">
        <v>46001.6104166667</v>
      </c>
      <c r="F284" s="4">
        <v>0.5</v>
      </c>
      <c r="G284" s="4">
        <v>0.0</v>
      </c>
      <c r="H284" s="4"/>
      <c r="I284" s="4"/>
      <c r="J284" s="4" t="s">
        <v>1480</v>
      </c>
      <c r="K284" s="4" t="s">
        <v>1480</v>
      </c>
      <c r="L284" s="4" t="s">
        <v>1511</v>
      </c>
      <c r="M284" s="4" t="s">
        <v>1482</v>
      </c>
      <c r="N284" s="4" t="s">
        <v>653</v>
      </c>
      <c r="O284" s="4" t="s">
        <v>1557</v>
      </c>
      <c r="P284" s="4" t="s">
        <v>1845</v>
      </c>
      <c r="Q284" s="4" t="s">
        <v>1846</v>
      </c>
      <c r="R284" s="4" t="b">
        <v>0</v>
      </c>
      <c r="S284" s="4" t="s">
        <v>1486</v>
      </c>
      <c r="T284" s="2">
        <v>46001.6118055556</v>
      </c>
      <c r="U284" s="2">
        <v>45997.0</v>
      </c>
      <c r="V284" s="4">
        <v>48.0</v>
      </c>
      <c r="W284" s="4" t="s">
        <v>550</v>
      </c>
      <c r="X284" s="4">
        <v>2025.0</v>
      </c>
      <c r="Y284" s="4" t="s">
        <v>1680</v>
      </c>
      <c r="Z284" s="4" t="s">
        <v>557</v>
      </c>
      <c r="AA284" s="4" t="s">
        <v>558</v>
      </c>
      <c r="AB284" s="4" t="b">
        <v>0</v>
      </c>
      <c r="AC284" s="4" t="s">
        <v>536</v>
      </c>
      <c r="AD284" s="4" t="s">
        <v>537</v>
      </c>
    </row>
    <row r="285" ht="14.25" customHeight="1">
      <c r="A285" s="4">
        <v>8034195.0</v>
      </c>
      <c r="B285" s="2">
        <v>45998.4709027778</v>
      </c>
      <c r="C285" s="4">
        <v>7254761.0</v>
      </c>
      <c r="D285" s="4" t="s">
        <v>907</v>
      </c>
      <c r="E285" s="2">
        <v>46001.6104166667</v>
      </c>
      <c r="F285" s="4">
        <v>0.5</v>
      </c>
      <c r="G285" s="4">
        <v>0.0</v>
      </c>
      <c r="H285" s="4" t="s">
        <v>1511</v>
      </c>
      <c r="I285" s="4" t="s">
        <v>1847</v>
      </c>
      <c r="J285" s="4" t="s">
        <v>1511</v>
      </c>
      <c r="K285" s="4" t="s">
        <v>1513</v>
      </c>
      <c r="L285" s="4" t="s">
        <v>1847</v>
      </c>
      <c r="M285" s="4" t="s">
        <v>1534</v>
      </c>
      <c r="N285" s="4" t="s">
        <v>653</v>
      </c>
      <c r="O285" s="4" t="s">
        <v>1848</v>
      </c>
      <c r="P285" s="4" t="s">
        <v>1845</v>
      </c>
      <c r="Q285" s="4" t="s">
        <v>1846</v>
      </c>
      <c r="R285" s="4" t="b">
        <v>0</v>
      </c>
      <c r="S285" s="4" t="s">
        <v>1486</v>
      </c>
      <c r="T285" s="2">
        <v>46001.6118055556</v>
      </c>
      <c r="U285" s="2">
        <v>45998.0</v>
      </c>
      <c r="V285" s="4">
        <v>48.0</v>
      </c>
      <c r="W285" s="4" t="s">
        <v>550</v>
      </c>
      <c r="X285" s="4">
        <v>2025.0</v>
      </c>
      <c r="Y285" s="4" t="s">
        <v>1518</v>
      </c>
      <c r="Z285" s="4" t="s">
        <v>557</v>
      </c>
      <c r="AA285" s="4" t="s">
        <v>558</v>
      </c>
      <c r="AB285" s="4" t="b">
        <v>0</v>
      </c>
      <c r="AC285" s="4" t="s">
        <v>536</v>
      </c>
      <c r="AD285" s="4" t="s">
        <v>537</v>
      </c>
    </row>
    <row r="286" ht="14.25" customHeight="1">
      <c r="A286" s="4">
        <v>8084881.0</v>
      </c>
      <c r="B286" s="2">
        <v>46001.6117824074</v>
      </c>
      <c r="C286" s="4">
        <v>7312083.0</v>
      </c>
      <c r="D286" s="4" t="s">
        <v>909</v>
      </c>
      <c r="E286" s="2">
        <v>46001.6118055556</v>
      </c>
      <c r="F286" s="4">
        <v>1.0</v>
      </c>
      <c r="G286" s="4">
        <v>0.0</v>
      </c>
      <c r="H286" s="4"/>
      <c r="I286" s="4"/>
      <c r="J286" s="4" t="s">
        <v>1526</v>
      </c>
      <c r="K286" s="4" t="s">
        <v>1527</v>
      </c>
      <c r="L286" s="4" t="s">
        <v>1528</v>
      </c>
      <c r="M286" s="4" t="s">
        <v>1482</v>
      </c>
      <c r="N286" s="4" t="s">
        <v>1529</v>
      </c>
      <c r="O286" s="4" t="s">
        <v>1530</v>
      </c>
      <c r="P286" s="4" t="s">
        <v>1845</v>
      </c>
      <c r="Q286" s="4" t="s">
        <v>2005</v>
      </c>
      <c r="R286" s="4" t="b">
        <v>0</v>
      </c>
      <c r="S286" s="4" t="s">
        <v>1486</v>
      </c>
      <c r="T286" s="2">
        <v>46001.6131944444</v>
      </c>
      <c r="U286" s="2">
        <v>46001.0</v>
      </c>
      <c r="V286" s="4">
        <v>49.0</v>
      </c>
      <c r="W286" s="4" t="s">
        <v>550</v>
      </c>
      <c r="X286" s="4">
        <v>2025.0</v>
      </c>
      <c r="Y286" s="4" t="s">
        <v>1532</v>
      </c>
      <c r="Z286" s="4" t="s">
        <v>557</v>
      </c>
      <c r="AA286" s="4" t="s">
        <v>558</v>
      </c>
      <c r="AB286" s="4" t="b">
        <v>0</v>
      </c>
      <c r="AC286" s="4" t="s">
        <v>536</v>
      </c>
      <c r="AD286" s="4" t="s">
        <v>537</v>
      </c>
    </row>
    <row r="287" ht="14.25" customHeight="1">
      <c r="A287" s="4">
        <v>8084668.0</v>
      </c>
      <c r="B287" s="2">
        <v>46001.6024537037</v>
      </c>
      <c r="C287" s="4">
        <v>7311871.0</v>
      </c>
      <c r="D287" s="4" t="s">
        <v>911</v>
      </c>
      <c r="E287" s="2">
        <v>46001.6131944444</v>
      </c>
      <c r="F287" s="4">
        <v>1.0</v>
      </c>
      <c r="G287" s="4">
        <v>0.0</v>
      </c>
      <c r="H287" s="4"/>
      <c r="I287" s="4"/>
      <c r="J287" s="4" t="s">
        <v>539</v>
      </c>
      <c r="K287" s="4" t="s">
        <v>539</v>
      </c>
      <c r="L287" s="4" t="s">
        <v>1499</v>
      </c>
      <c r="M287" s="4" t="s">
        <v>1482</v>
      </c>
      <c r="N287" s="4"/>
      <c r="O287" s="4" t="s">
        <v>1557</v>
      </c>
      <c r="P287" s="4" t="s">
        <v>2003</v>
      </c>
      <c r="Q287" s="4" t="s">
        <v>2006</v>
      </c>
      <c r="R287" s="4" t="b">
        <v>0</v>
      </c>
      <c r="S287" s="4" t="s">
        <v>1486</v>
      </c>
      <c r="T287" s="2">
        <v>46001.6145833333</v>
      </c>
      <c r="U287" s="2">
        <v>46001.0</v>
      </c>
      <c r="V287" s="4">
        <v>49.0</v>
      </c>
      <c r="W287" s="4" t="s">
        <v>550</v>
      </c>
      <c r="X287" s="4">
        <v>2025.0</v>
      </c>
      <c r="Y287" s="4" t="s">
        <v>1502</v>
      </c>
      <c r="Z287" s="4" t="s">
        <v>557</v>
      </c>
      <c r="AA287" s="4" t="s">
        <v>558</v>
      </c>
      <c r="AB287" s="4" t="b">
        <v>0</v>
      </c>
      <c r="AC287" s="4" t="s">
        <v>536</v>
      </c>
      <c r="AD287" s="4" t="s">
        <v>537</v>
      </c>
    </row>
    <row r="288" ht="14.25" customHeight="1">
      <c r="A288" s="4">
        <v>8085484.0</v>
      </c>
      <c r="B288" s="2">
        <v>46001.6394907407</v>
      </c>
      <c r="C288" s="4">
        <v>7312685.0</v>
      </c>
      <c r="D288" s="4" t="s">
        <v>912</v>
      </c>
      <c r="E288" s="2">
        <v>46001.6395833333</v>
      </c>
      <c r="F288" s="4">
        <v>1.0</v>
      </c>
      <c r="G288" s="4">
        <v>0.0</v>
      </c>
      <c r="H288" s="4"/>
      <c r="I288" s="4"/>
      <c r="J288" s="4" t="s">
        <v>1480</v>
      </c>
      <c r="K288" s="4" t="s">
        <v>1480</v>
      </c>
      <c r="L288" s="4" t="s">
        <v>1481</v>
      </c>
      <c r="M288" s="4" t="s">
        <v>1482</v>
      </c>
      <c r="N288" s="4" t="s">
        <v>540</v>
      </c>
      <c r="O288" s="4" t="s">
        <v>1483</v>
      </c>
      <c r="P288" s="4" t="s">
        <v>1635</v>
      </c>
      <c r="Q288" s="4" t="s">
        <v>2007</v>
      </c>
      <c r="R288" s="4" t="b">
        <v>0</v>
      </c>
      <c r="S288" s="4" t="s">
        <v>1486</v>
      </c>
      <c r="T288" s="2">
        <v>46001.6409722222</v>
      </c>
      <c r="U288" s="2">
        <v>46001.0</v>
      </c>
      <c r="V288" s="4">
        <v>49.0</v>
      </c>
      <c r="W288" s="4" t="s">
        <v>550</v>
      </c>
      <c r="X288" s="4">
        <v>2025.0</v>
      </c>
      <c r="Y288" s="4" t="s">
        <v>1487</v>
      </c>
      <c r="Z288" s="4"/>
      <c r="AA288" s="4" t="s">
        <v>558</v>
      </c>
      <c r="AB288" s="4" t="b">
        <v>0</v>
      </c>
      <c r="AC288" s="4" t="s">
        <v>623</v>
      </c>
      <c r="AD288" s="4" t="s">
        <v>537</v>
      </c>
    </row>
    <row r="289" ht="14.25" customHeight="1">
      <c r="A289" s="4">
        <v>8085880.0</v>
      </c>
      <c r="B289" s="2">
        <v>46001.6573148148</v>
      </c>
      <c r="C289" s="4">
        <v>7313079.0</v>
      </c>
      <c r="D289" s="4" t="s">
        <v>913</v>
      </c>
      <c r="E289" s="2">
        <v>46001.6576388889</v>
      </c>
      <c r="F289" s="4">
        <v>1.0</v>
      </c>
      <c r="G289" s="4">
        <v>0.0</v>
      </c>
      <c r="H289" s="4"/>
      <c r="I289" s="4"/>
      <c r="J289" s="4" t="s">
        <v>1480</v>
      </c>
      <c r="K289" s="4" t="s">
        <v>1480</v>
      </c>
      <c r="L289" s="4" t="s">
        <v>1481</v>
      </c>
      <c r="M289" s="4" t="s">
        <v>1482</v>
      </c>
      <c r="N289" s="4" t="s">
        <v>540</v>
      </c>
      <c r="O289" s="4" t="s">
        <v>1483</v>
      </c>
      <c r="P289" s="4" t="s">
        <v>1635</v>
      </c>
      <c r="Q289" s="4" t="s">
        <v>2008</v>
      </c>
      <c r="R289" s="4" t="b">
        <v>0</v>
      </c>
      <c r="S289" s="4" t="s">
        <v>1486</v>
      </c>
      <c r="T289" s="2">
        <v>46001.6590277778</v>
      </c>
      <c r="U289" s="2">
        <v>46001.0</v>
      </c>
      <c r="V289" s="4">
        <v>49.0</v>
      </c>
      <c r="W289" s="4" t="s">
        <v>550</v>
      </c>
      <c r="X289" s="4">
        <v>2025.0</v>
      </c>
      <c r="Y289" s="4" t="s">
        <v>1487</v>
      </c>
      <c r="Z289" s="4"/>
      <c r="AA289" s="4" t="s">
        <v>546</v>
      </c>
      <c r="AB289" s="4" t="b">
        <v>0</v>
      </c>
      <c r="AC289" s="4" t="s">
        <v>567</v>
      </c>
      <c r="AD289" s="4" t="s">
        <v>537</v>
      </c>
    </row>
    <row r="290" ht="14.25" customHeight="1">
      <c r="A290" s="4">
        <v>8085865.0</v>
      </c>
      <c r="B290" s="2">
        <v>46001.6566203704</v>
      </c>
      <c r="C290" s="4">
        <v>7313064.0</v>
      </c>
      <c r="D290" s="4" t="s">
        <v>914</v>
      </c>
      <c r="E290" s="2">
        <v>46001.6611111111</v>
      </c>
      <c r="F290" s="4">
        <v>1.0</v>
      </c>
      <c r="G290" s="4">
        <v>0.0</v>
      </c>
      <c r="H290" s="4" t="s">
        <v>1519</v>
      </c>
      <c r="I290" s="4" t="s">
        <v>1533</v>
      </c>
      <c r="J290" s="4" t="s">
        <v>1519</v>
      </c>
      <c r="K290" s="4" t="s">
        <v>1513</v>
      </c>
      <c r="L290" s="4" t="s">
        <v>1533</v>
      </c>
      <c r="M290" s="4" t="s">
        <v>2009</v>
      </c>
      <c r="N290" s="4" t="s">
        <v>540</v>
      </c>
      <c r="O290" s="4" t="s">
        <v>2010</v>
      </c>
      <c r="P290" s="4" t="s">
        <v>1794</v>
      </c>
      <c r="Q290" s="4" t="s">
        <v>2011</v>
      </c>
      <c r="R290" s="4" t="b">
        <v>0</v>
      </c>
      <c r="S290" s="4" t="s">
        <v>1486</v>
      </c>
      <c r="T290" s="2">
        <v>46001.6625</v>
      </c>
      <c r="U290" s="2">
        <v>46001.0</v>
      </c>
      <c r="V290" s="4">
        <v>49.0</v>
      </c>
      <c r="W290" s="4" t="s">
        <v>550</v>
      </c>
      <c r="X290" s="4">
        <v>2025.0</v>
      </c>
      <c r="Y290" s="4" t="s">
        <v>1518</v>
      </c>
      <c r="Z290" s="4" t="s">
        <v>557</v>
      </c>
      <c r="AA290" s="4" t="s">
        <v>558</v>
      </c>
      <c r="AB290" s="4" t="b">
        <v>0</v>
      </c>
      <c r="AC290" s="4" t="s">
        <v>536</v>
      </c>
      <c r="AD290" s="4" t="s">
        <v>537</v>
      </c>
    </row>
    <row r="291" ht="14.25" customHeight="1">
      <c r="A291" s="4">
        <v>8065550.0</v>
      </c>
      <c r="B291" s="2">
        <v>46000.6102546296</v>
      </c>
      <c r="C291" s="4">
        <v>7292847.0</v>
      </c>
      <c r="D291" s="4" t="s">
        <v>916</v>
      </c>
      <c r="E291" s="2">
        <v>46001.6951388889</v>
      </c>
      <c r="F291" s="4">
        <v>1.0</v>
      </c>
      <c r="G291" s="4">
        <v>0.0</v>
      </c>
      <c r="H291" s="4"/>
      <c r="I291" s="4"/>
      <c r="J291" s="4" t="s">
        <v>1480</v>
      </c>
      <c r="K291" s="4" t="s">
        <v>1480</v>
      </c>
      <c r="L291" s="4" t="s">
        <v>1481</v>
      </c>
      <c r="M291" s="4" t="s">
        <v>1482</v>
      </c>
      <c r="N291" s="4" t="s">
        <v>540</v>
      </c>
      <c r="O291" s="4" t="s">
        <v>1483</v>
      </c>
      <c r="P291" s="4" t="s">
        <v>1488</v>
      </c>
      <c r="Q291" s="4" t="s">
        <v>2012</v>
      </c>
      <c r="R291" s="4" t="b">
        <v>0</v>
      </c>
      <c r="S291" s="4" t="s">
        <v>1486</v>
      </c>
      <c r="T291" s="2">
        <v>46009.5888888889</v>
      </c>
      <c r="U291" s="2">
        <v>46000.0</v>
      </c>
      <c r="V291" s="4">
        <v>49.0</v>
      </c>
      <c r="W291" s="4" t="s">
        <v>550</v>
      </c>
      <c r="X291" s="4">
        <v>2025.0</v>
      </c>
      <c r="Y291" s="4" t="s">
        <v>1487</v>
      </c>
      <c r="Z291" s="4" t="s">
        <v>557</v>
      </c>
      <c r="AA291" s="4" t="s">
        <v>558</v>
      </c>
      <c r="AB291" s="4" t="b">
        <v>1</v>
      </c>
      <c r="AC291" s="4" t="s">
        <v>623</v>
      </c>
      <c r="AD291" s="4" t="s">
        <v>537</v>
      </c>
    </row>
    <row r="292" ht="14.25" customHeight="1">
      <c r="A292" s="4">
        <v>8086859.0</v>
      </c>
      <c r="B292" s="2">
        <v>46001.70625</v>
      </c>
      <c r="C292" s="4">
        <v>7314056.0</v>
      </c>
      <c r="D292" s="4" t="s">
        <v>917</v>
      </c>
      <c r="E292" s="2">
        <v>46001.70625</v>
      </c>
      <c r="F292" s="4">
        <v>1.0</v>
      </c>
      <c r="G292" s="4">
        <v>0.0</v>
      </c>
      <c r="H292" s="4"/>
      <c r="I292" s="4"/>
      <c r="J292" s="4" t="s">
        <v>1480</v>
      </c>
      <c r="K292" s="4" t="s">
        <v>1480</v>
      </c>
      <c r="L292" s="4" t="s">
        <v>1481</v>
      </c>
      <c r="M292" s="4" t="s">
        <v>1482</v>
      </c>
      <c r="N292" s="4" t="s">
        <v>540</v>
      </c>
      <c r="O292" s="4" t="s">
        <v>1483</v>
      </c>
      <c r="P292" s="4" t="s">
        <v>1635</v>
      </c>
      <c r="Q292" s="4" t="s">
        <v>2013</v>
      </c>
      <c r="R292" s="4" t="b">
        <v>0</v>
      </c>
      <c r="S292" s="4" t="s">
        <v>1486</v>
      </c>
      <c r="T292" s="2">
        <v>46001.7076388889</v>
      </c>
      <c r="U292" s="2">
        <v>46001.0</v>
      </c>
      <c r="V292" s="4">
        <v>49.0</v>
      </c>
      <c r="W292" s="4" t="s">
        <v>550</v>
      </c>
      <c r="X292" s="4">
        <v>2025.0</v>
      </c>
      <c r="Y292" s="4" t="s">
        <v>1487</v>
      </c>
      <c r="Z292" s="4" t="s">
        <v>557</v>
      </c>
      <c r="AA292" s="4" t="s">
        <v>558</v>
      </c>
      <c r="AB292" s="4" t="b">
        <v>0</v>
      </c>
      <c r="AC292" s="4" t="s">
        <v>536</v>
      </c>
      <c r="AD292" s="4" t="s">
        <v>537</v>
      </c>
    </row>
    <row r="293" ht="14.25" customHeight="1">
      <c r="A293" s="4">
        <v>8084234.0</v>
      </c>
      <c r="B293" s="2">
        <v>46001.5824884259</v>
      </c>
      <c r="C293" s="4">
        <v>7311439.0</v>
      </c>
      <c r="D293" s="4" t="s">
        <v>918</v>
      </c>
      <c r="E293" s="2">
        <v>46001.7118055556</v>
      </c>
      <c r="F293" s="4">
        <v>1.0</v>
      </c>
      <c r="G293" s="4">
        <v>0.0</v>
      </c>
      <c r="H293" s="4"/>
      <c r="I293" s="4"/>
      <c r="J293" s="4" t="s">
        <v>539</v>
      </c>
      <c r="K293" s="4" t="s">
        <v>539</v>
      </c>
      <c r="L293" s="4" t="s">
        <v>1499</v>
      </c>
      <c r="M293" s="4" t="s">
        <v>1482</v>
      </c>
      <c r="N293" s="4"/>
      <c r="O293" s="4" t="s">
        <v>1951</v>
      </c>
      <c r="P293" s="4" t="s">
        <v>1544</v>
      </c>
      <c r="Q293" s="4" t="s">
        <v>2014</v>
      </c>
      <c r="R293" s="4" t="b">
        <v>0</v>
      </c>
      <c r="S293" s="4" t="s">
        <v>1486</v>
      </c>
      <c r="T293" s="2">
        <v>46001.7131944444</v>
      </c>
      <c r="U293" s="2">
        <v>46001.0</v>
      </c>
      <c r="V293" s="4">
        <v>49.0</v>
      </c>
      <c r="W293" s="4" t="s">
        <v>550</v>
      </c>
      <c r="X293" s="4">
        <v>2025.0</v>
      </c>
      <c r="Y293" s="4" t="s">
        <v>1502</v>
      </c>
      <c r="Z293" s="4" t="s">
        <v>557</v>
      </c>
      <c r="AA293" s="4" t="s">
        <v>558</v>
      </c>
      <c r="AB293" s="4" t="b">
        <v>0</v>
      </c>
      <c r="AC293" s="4" t="s">
        <v>536</v>
      </c>
      <c r="AD293" s="4" t="s">
        <v>537</v>
      </c>
    </row>
    <row r="294" ht="14.25" customHeight="1">
      <c r="A294" s="4">
        <v>8087023.0</v>
      </c>
      <c r="B294" s="2">
        <v>46001.7139930556</v>
      </c>
      <c r="C294" s="4">
        <v>7314218.0</v>
      </c>
      <c r="D294" s="4" t="s">
        <v>920</v>
      </c>
      <c r="E294" s="2">
        <v>46001.7138888889</v>
      </c>
      <c r="F294" s="4">
        <v>0.0</v>
      </c>
      <c r="G294" s="4">
        <v>0.0</v>
      </c>
      <c r="H294" s="4"/>
      <c r="I294" s="4"/>
      <c r="J294" s="4"/>
      <c r="K294" s="4"/>
      <c r="L294" s="4"/>
      <c r="M294" s="4" t="s">
        <v>1482</v>
      </c>
      <c r="N294" s="4" t="s">
        <v>1483</v>
      </c>
      <c r="O294" s="4" t="s">
        <v>2015</v>
      </c>
      <c r="P294" s="4" t="s">
        <v>1488</v>
      </c>
      <c r="Q294" s="4" t="s">
        <v>2016</v>
      </c>
      <c r="R294" s="4" t="b">
        <v>1</v>
      </c>
      <c r="S294" s="4" t="s">
        <v>1486</v>
      </c>
      <c r="T294" s="2">
        <v>46001.7152777778</v>
      </c>
      <c r="U294" s="2">
        <v>46001.0</v>
      </c>
      <c r="V294" s="4">
        <v>49.0</v>
      </c>
      <c r="W294" s="4" t="s">
        <v>550</v>
      </c>
      <c r="X294" s="4">
        <v>2025.0</v>
      </c>
      <c r="Y294" s="4" t="s">
        <v>1540</v>
      </c>
      <c r="Z294" s="4" t="s">
        <v>557</v>
      </c>
      <c r="AA294" s="4" t="s">
        <v>558</v>
      </c>
      <c r="AB294" s="4" t="b">
        <v>0</v>
      </c>
      <c r="AC294" s="4" t="s">
        <v>536</v>
      </c>
      <c r="AD294" s="4" t="s">
        <v>537</v>
      </c>
    </row>
    <row r="295" ht="14.25" customHeight="1">
      <c r="A295" s="4">
        <v>8087182.0</v>
      </c>
      <c r="B295" s="2">
        <v>46001.7215393518</v>
      </c>
      <c r="C295" s="4">
        <v>7314376.0</v>
      </c>
      <c r="D295" s="4" t="s">
        <v>921</v>
      </c>
      <c r="E295" s="2">
        <v>46001.7236111111</v>
      </c>
      <c r="F295" s="4">
        <v>0.0</v>
      </c>
      <c r="G295" s="4">
        <v>0.0</v>
      </c>
      <c r="H295" s="4"/>
      <c r="I295" s="4"/>
      <c r="J295" s="4"/>
      <c r="K295" s="4"/>
      <c r="L295" s="4"/>
      <c r="M295" s="4" t="s">
        <v>1482</v>
      </c>
      <c r="N295" s="4" t="s">
        <v>1483</v>
      </c>
      <c r="O295" s="4" t="s">
        <v>2017</v>
      </c>
      <c r="P295" s="4" t="s">
        <v>1506</v>
      </c>
      <c r="Q295" s="4" t="s">
        <v>2018</v>
      </c>
      <c r="R295" s="4" t="b">
        <v>1</v>
      </c>
      <c r="S295" s="4" t="s">
        <v>1486</v>
      </c>
      <c r="T295" s="2">
        <v>46001.725</v>
      </c>
      <c r="U295" s="2">
        <v>46001.0</v>
      </c>
      <c r="V295" s="4">
        <v>49.0</v>
      </c>
      <c r="W295" s="4" t="s">
        <v>550</v>
      </c>
      <c r="X295" s="4">
        <v>2025.0</v>
      </c>
      <c r="Y295" s="4" t="s">
        <v>1540</v>
      </c>
      <c r="Z295" s="4"/>
      <c r="AA295" s="4" t="s">
        <v>922</v>
      </c>
      <c r="AB295" s="4" t="b">
        <v>0</v>
      </c>
      <c r="AC295" s="4" t="s">
        <v>567</v>
      </c>
      <c r="AD295" s="4" t="s">
        <v>537</v>
      </c>
    </row>
    <row r="296" ht="14.25" customHeight="1">
      <c r="A296" s="4">
        <v>8086683.0</v>
      </c>
      <c r="B296" s="2">
        <v>46001.699525463</v>
      </c>
      <c r="C296" s="4">
        <v>7313880.0</v>
      </c>
      <c r="D296" s="4" t="s">
        <v>923</v>
      </c>
      <c r="E296" s="2">
        <v>46001.7284722222</v>
      </c>
      <c r="F296" s="4">
        <v>1.0</v>
      </c>
      <c r="G296" s="4">
        <v>0.0</v>
      </c>
      <c r="H296" s="4"/>
      <c r="I296" s="4"/>
      <c r="J296" s="4" t="s">
        <v>539</v>
      </c>
      <c r="K296" s="4" t="s">
        <v>539</v>
      </c>
      <c r="L296" s="4" t="s">
        <v>1499</v>
      </c>
      <c r="M296" s="4" t="s">
        <v>1482</v>
      </c>
      <c r="N296" s="4"/>
      <c r="O296" s="4" t="s">
        <v>1483</v>
      </c>
      <c r="P296" s="4" t="s">
        <v>1845</v>
      </c>
      <c r="Q296" s="4" t="s">
        <v>2019</v>
      </c>
      <c r="R296" s="4" t="b">
        <v>0</v>
      </c>
      <c r="S296" s="4" t="s">
        <v>1486</v>
      </c>
      <c r="T296" s="2">
        <v>46001.7298611111</v>
      </c>
      <c r="U296" s="2">
        <v>46001.0</v>
      </c>
      <c r="V296" s="4">
        <v>49.0</v>
      </c>
      <c r="W296" s="4" t="s">
        <v>550</v>
      </c>
      <c r="X296" s="4">
        <v>2025.0</v>
      </c>
      <c r="Y296" s="4" t="s">
        <v>1502</v>
      </c>
      <c r="Z296" s="4" t="s">
        <v>604</v>
      </c>
      <c r="AA296" s="4" t="s">
        <v>605</v>
      </c>
      <c r="AB296" s="4" t="b">
        <v>0</v>
      </c>
      <c r="AC296" s="4" t="s">
        <v>536</v>
      </c>
      <c r="AD296" s="4" t="s">
        <v>537</v>
      </c>
    </row>
    <row r="297" ht="14.25" customHeight="1">
      <c r="A297" s="4">
        <v>8087842.0</v>
      </c>
      <c r="B297" s="2">
        <v>46001.754849537</v>
      </c>
      <c r="C297" s="4">
        <v>7315035.0</v>
      </c>
      <c r="D297" s="4" t="s">
        <v>924</v>
      </c>
      <c r="E297" s="2">
        <v>46001.75625</v>
      </c>
      <c r="F297" s="4">
        <v>1.0</v>
      </c>
      <c r="G297" s="4">
        <v>0.0</v>
      </c>
      <c r="H297" s="4"/>
      <c r="I297" s="4"/>
      <c r="J297" s="4" t="s">
        <v>1480</v>
      </c>
      <c r="K297" s="4" t="s">
        <v>1480</v>
      </c>
      <c r="L297" s="4" t="s">
        <v>1481</v>
      </c>
      <c r="M297" s="4" t="s">
        <v>1482</v>
      </c>
      <c r="N297" s="4" t="s">
        <v>540</v>
      </c>
      <c r="O297" s="4" t="s">
        <v>2020</v>
      </c>
      <c r="P297" s="4" t="s">
        <v>1506</v>
      </c>
      <c r="Q297" s="4" t="s">
        <v>2021</v>
      </c>
      <c r="R297" s="4" t="b">
        <v>0</v>
      </c>
      <c r="S297" s="4" t="s">
        <v>1486</v>
      </c>
      <c r="T297" s="2">
        <v>46001.7576388889</v>
      </c>
      <c r="U297" s="2">
        <v>46001.0</v>
      </c>
      <c r="V297" s="4">
        <v>49.0</v>
      </c>
      <c r="W297" s="4" t="s">
        <v>550</v>
      </c>
      <c r="X297" s="4">
        <v>2025.0</v>
      </c>
      <c r="Y297" s="4" t="s">
        <v>1487</v>
      </c>
      <c r="Z297" s="4" t="s">
        <v>557</v>
      </c>
      <c r="AA297" s="4" t="s">
        <v>558</v>
      </c>
      <c r="AB297" s="4" t="b">
        <v>0</v>
      </c>
      <c r="AC297" s="4" t="s">
        <v>536</v>
      </c>
      <c r="AD297" s="4" t="s">
        <v>537</v>
      </c>
    </row>
    <row r="298" ht="14.25" customHeight="1">
      <c r="A298" s="4">
        <v>8087115.0</v>
      </c>
      <c r="B298" s="2">
        <v>46001.7185069444</v>
      </c>
      <c r="C298" s="4">
        <v>7314310.0</v>
      </c>
      <c r="D298" s="4" t="s">
        <v>926</v>
      </c>
      <c r="E298" s="2">
        <v>46001.7631944444</v>
      </c>
      <c r="F298" s="4">
        <v>1.0</v>
      </c>
      <c r="G298" s="4">
        <v>0.0</v>
      </c>
      <c r="H298" s="4"/>
      <c r="I298" s="4"/>
      <c r="J298" s="4" t="s">
        <v>1480</v>
      </c>
      <c r="K298" s="4" t="s">
        <v>1480</v>
      </c>
      <c r="L298" s="4" t="s">
        <v>2022</v>
      </c>
      <c r="M298" s="4" t="s">
        <v>1482</v>
      </c>
      <c r="N298" s="4" t="s">
        <v>927</v>
      </c>
      <c r="O298" s="4" t="s">
        <v>1483</v>
      </c>
      <c r="P298" s="4" t="s">
        <v>1635</v>
      </c>
      <c r="Q298" s="4" t="s">
        <v>2023</v>
      </c>
      <c r="R298" s="4" t="b">
        <v>0</v>
      </c>
      <c r="S298" s="4" t="s">
        <v>1486</v>
      </c>
      <c r="T298" s="2">
        <v>46001.7645833333</v>
      </c>
      <c r="U298" s="2">
        <v>46001.0</v>
      </c>
      <c r="V298" s="4">
        <v>49.0</v>
      </c>
      <c r="W298" s="4" t="s">
        <v>550</v>
      </c>
      <c r="X298" s="4">
        <v>2025.0</v>
      </c>
      <c r="Y298" s="4" t="s">
        <v>2024</v>
      </c>
      <c r="Z298" s="4" t="s">
        <v>557</v>
      </c>
      <c r="AA298" s="4" t="s">
        <v>558</v>
      </c>
      <c r="AB298" s="4" t="b">
        <v>0</v>
      </c>
      <c r="AC298" s="4" t="s">
        <v>536</v>
      </c>
      <c r="AD298" s="4" t="s">
        <v>537</v>
      </c>
    </row>
    <row r="299" ht="14.25" customHeight="1">
      <c r="A299" s="4">
        <v>8051897.0</v>
      </c>
      <c r="B299" s="2">
        <v>45999.7933796296</v>
      </c>
      <c r="C299" s="4">
        <v>7279273.0</v>
      </c>
      <c r="D299" s="4" t="s">
        <v>928</v>
      </c>
      <c r="E299" s="2">
        <v>46001.8208333333</v>
      </c>
      <c r="F299" s="4">
        <v>1.0</v>
      </c>
      <c r="G299" s="4">
        <v>0.0</v>
      </c>
      <c r="H299" s="4"/>
      <c r="I299" s="4"/>
      <c r="J299" s="4" t="s">
        <v>1480</v>
      </c>
      <c r="K299" s="4" t="s">
        <v>1480</v>
      </c>
      <c r="L299" s="4" t="s">
        <v>1481</v>
      </c>
      <c r="M299" s="4" t="s">
        <v>1482</v>
      </c>
      <c r="N299" s="4" t="s">
        <v>540</v>
      </c>
      <c r="O299" s="4" t="s">
        <v>1557</v>
      </c>
      <c r="P299" s="4" t="s">
        <v>1808</v>
      </c>
      <c r="Q299" s="4" t="s">
        <v>2025</v>
      </c>
      <c r="R299" s="4" t="b">
        <v>0</v>
      </c>
      <c r="S299" s="4" t="s">
        <v>1486</v>
      </c>
      <c r="T299" s="2">
        <v>46001.8222222222</v>
      </c>
      <c r="U299" s="2">
        <v>45999.0</v>
      </c>
      <c r="V299" s="4">
        <v>49.0</v>
      </c>
      <c r="W299" s="4" t="s">
        <v>550</v>
      </c>
      <c r="X299" s="4">
        <v>2025.0</v>
      </c>
      <c r="Y299" s="4" t="s">
        <v>1487</v>
      </c>
      <c r="Z299" s="4"/>
      <c r="AA299" s="4" t="s">
        <v>558</v>
      </c>
      <c r="AB299" s="4" t="b">
        <v>0</v>
      </c>
      <c r="AC299" s="4" t="s">
        <v>554</v>
      </c>
      <c r="AD299" s="4" t="s">
        <v>537</v>
      </c>
    </row>
    <row r="300" ht="14.25" customHeight="1">
      <c r="A300" s="4">
        <v>8090070.0</v>
      </c>
      <c r="B300" s="2">
        <v>46001.8629398148</v>
      </c>
      <c r="C300" s="4">
        <v>7317257.0</v>
      </c>
      <c r="D300" s="4" t="s">
        <v>929</v>
      </c>
      <c r="E300" s="2">
        <v>46001.8631944444</v>
      </c>
      <c r="F300" s="4">
        <v>1.0</v>
      </c>
      <c r="G300" s="4">
        <v>0.0</v>
      </c>
      <c r="H300" s="4" t="s">
        <v>1480</v>
      </c>
      <c r="I300" s="4" t="s">
        <v>1550</v>
      </c>
      <c r="J300" s="4" t="s">
        <v>1480</v>
      </c>
      <c r="K300" s="4" t="s">
        <v>1480</v>
      </c>
      <c r="L300" s="4" t="s">
        <v>1550</v>
      </c>
      <c r="M300" s="4" t="s">
        <v>1551</v>
      </c>
      <c r="N300" s="4" t="s">
        <v>540</v>
      </c>
      <c r="O300" s="4" t="s">
        <v>1552</v>
      </c>
      <c r="P300" s="4" t="s">
        <v>1635</v>
      </c>
      <c r="Q300" s="4" t="s">
        <v>2026</v>
      </c>
      <c r="R300" s="4" t="b">
        <v>0</v>
      </c>
      <c r="S300" s="4" t="s">
        <v>1486</v>
      </c>
      <c r="T300" s="2">
        <v>46001.8645833333</v>
      </c>
      <c r="U300" s="2">
        <v>46001.0</v>
      </c>
      <c r="V300" s="4">
        <v>49.0</v>
      </c>
      <c r="W300" s="4" t="s">
        <v>550</v>
      </c>
      <c r="X300" s="4">
        <v>2025.0</v>
      </c>
      <c r="Y300" s="4" t="s">
        <v>1518</v>
      </c>
      <c r="Z300" s="4" t="s">
        <v>930</v>
      </c>
      <c r="AA300" s="4" t="s">
        <v>931</v>
      </c>
      <c r="AB300" s="4" t="b">
        <v>0</v>
      </c>
      <c r="AC300" s="4" t="s">
        <v>623</v>
      </c>
      <c r="AD300" s="4" t="s">
        <v>537</v>
      </c>
    </row>
    <row r="301" ht="14.25" customHeight="1">
      <c r="A301" s="4">
        <v>8090419.0</v>
      </c>
      <c r="B301" s="2">
        <v>46001.8778356481</v>
      </c>
      <c r="C301" s="4">
        <v>7317606.0</v>
      </c>
      <c r="D301" s="4" t="s">
        <v>932</v>
      </c>
      <c r="E301" s="2">
        <v>46001.8777777778</v>
      </c>
      <c r="F301" s="4">
        <v>1.0</v>
      </c>
      <c r="G301" s="4">
        <v>0.0</v>
      </c>
      <c r="H301" s="4"/>
      <c r="I301" s="4"/>
      <c r="J301" s="4" t="s">
        <v>1480</v>
      </c>
      <c r="K301" s="4" t="s">
        <v>1480</v>
      </c>
      <c r="L301" s="4" t="s">
        <v>1481</v>
      </c>
      <c r="M301" s="4" t="s">
        <v>1482</v>
      </c>
      <c r="N301" s="4" t="s">
        <v>540</v>
      </c>
      <c r="O301" s="4" t="s">
        <v>2027</v>
      </c>
      <c r="P301" s="4" t="s">
        <v>1544</v>
      </c>
      <c r="Q301" s="4" t="s">
        <v>2028</v>
      </c>
      <c r="R301" s="4" t="b">
        <v>0</v>
      </c>
      <c r="S301" s="4" t="s">
        <v>1486</v>
      </c>
      <c r="T301" s="2">
        <v>46001.8791666667</v>
      </c>
      <c r="U301" s="2">
        <v>46001.0</v>
      </c>
      <c r="V301" s="4">
        <v>49.0</v>
      </c>
      <c r="W301" s="4" t="s">
        <v>550</v>
      </c>
      <c r="X301" s="4">
        <v>2025.0</v>
      </c>
      <c r="Y301" s="4" t="s">
        <v>1487</v>
      </c>
      <c r="Z301" s="4"/>
      <c r="AA301" s="4" t="s">
        <v>558</v>
      </c>
      <c r="AB301" s="4" t="b">
        <v>0</v>
      </c>
      <c r="AC301" s="4" t="s">
        <v>536</v>
      </c>
      <c r="AD301" s="4" t="s">
        <v>537</v>
      </c>
    </row>
    <row r="302" ht="14.25" customHeight="1">
      <c r="A302" s="4">
        <v>8090239.0</v>
      </c>
      <c r="B302" s="2">
        <v>46001.8699537037</v>
      </c>
      <c r="C302" s="4">
        <v>7317426.0</v>
      </c>
      <c r="D302" s="4" t="s">
        <v>935</v>
      </c>
      <c r="E302" s="2">
        <v>46001.9048611111</v>
      </c>
      <c r="F302" s="4">
        <v>1.0</v>
      </c>
      <c r="G302" s="4">
        <v>0.0</v>
      </c>
      <c r="H302" s="4"/>
      <c r="I302" s="4"/>
      <c r="J302" s="4" t="s">
        <v>1480</v>
      </c>
      <c r="K302" s="4" t="s">
        <v>1480</v>
      </c>
      <c r="L302" s="4" t="s">
        <v>1481</v>
      </c>
      <c r="M302" s="4" t="s">
        <v>1482</v>
      </c>
      <c r="N302" s="4" t="s">
        <v>540</v>
      </c>
      <c r="O302" s="4" t="s">
        <v>1483</v>
      </c>
      <c r="P302" s="4" t="s">
        <v>2003</v>
      </c>
      <c r="Q302" s="4" t="s">
        <v>2026</v>
      </c>
      <c r="R302" s="4" t="b">
        <v>0</v>
      </c>
      <c r="S302" s="4" t="s">
        <v>1486</v>
      </c>
      <c r="T302" s="2">
        <v>46001.90625</v>
      </c>
      <c r="U302" s="2">
        <v>46001.0</v>
      </c>
      <c r="V302" s="4">
        <v>49.0</v>
      </c>
      <c r="W302" s="4" t="s">
        <v>550</v>
      </c>
      <c r="X302" s="4">
        <v>2025.0</v>
      </c>
      <c r="Y302" s="4" t="s">
        <v>1487</v>
      </c>
      <c r="Z302" s="4" t="s">
        <v>930</v>
      </c>
      <c r="AA302" s="4" t="s">
        <v>931</v>
      </c>
      <c r="AB302" s="4" t="b">
        <v>0</v>
      </c>
      <c r="AC302" s="4" t="s">
        <v>623</v>
      </c>
      <c r="AD302" s="4" t="s">
        <v>537</v>
      </c>
    </row>
    <row r="303" ht="14.25" customHeight="1">
      <c r="A303" s="4">
        <v>8091812.0</v>
      </c>
      <c r="B303" s="2">
        <v>46001.9542939815</v>
      </c>
      <c r="C303" s="4">
        <v>7318996.0</v>
      </c>
      <c r="D303" s="4" t="s">
        <v>936</v>
      </c>
      <c r="E303" s="2">
        <v>46001.9555555556</v>
      </c>
      <c r="F303" s="4">
        <v>1.0</v>
      </c>
      <c r="G303" s="4">
        <v>0.0</v>
      </c>
      <c r="H303" s="4"/>
      <c r="I303" s="4"/>
      <c r="J303" s="4" t="s">
        <v>539</v>
      </c>
      <c r="K303" s="4" t="s">
        <v>539</v>
      </c>
      <c r="L303" s="4" t="s">
        <v>1499</v>
      </c>
      <c r="M303" s="4" t="s">
        <v>1482</v>
      </c>
      <c r="N303" s="4"/>
      <c r="O303" s="4" t="s">
        <v>1598</v>
      </c>
      <c r="P303" s="4" t="s">
        <v>1635</v>
      </c>
      <c r="Q303" s="4" t="s">
        <v>2029</v>
      </c>
      <c r="R303" s="4" t="b">
        <v>0</v>
      </c>
      <c r="S303" s="4" t="s">
        <v>1486</v>
      </c>
      <c r="T303" s="2">
        <v>46001.9569444444</v>
      </c>
      <c r="U303" s="2">
        <v>46001.0</v>
      </c>
      <c r="V303" s="4">
        <v>49.0</v>
      </c>
      <c r="W303" s="4" t="s">
        <v>550</v>
      </c>
      <c r="X303" s="4">
        <v>2025.0</v>
      </c>
      <c r="Y303" s="4" t="s">
        <v>1502</v>
      </c>
      <c r="Z303" s="4" t="s">
        <v>541</v>
      </c>
      <c r="AA303" s="4" t="s">
        <v>546</v>
      </c>
      <c r="AB303" s="4" t="b">
        <v>0</v>
      </c>
      <c r="AC303" s="4" t="s">
        <v>536</v>
      </c>
      <c r="AD303" s="4" t="s">
        <v>537</v>
      </c>
    </row>
    <row r="304" ht="14.25" customHeight="1">
      <c r="A304" s="4">
        <v>8094342.0</v>
      </c>
      <c r="B304" s="2">
        <v>46002.1008217593</v>
      </c>
      <c r="C304" s="4">
        <v>7321521.0</v>
      </c>
      <c r="D304" s="4" t="s">
        <v>937</v>
      </c>
      <c r="E304" s="2">
        <v>46002.1013888889</v>
      </c>
      <c r="F304" s="4">
        <v>1.0</v>
      </c>
      <c r="G304" s="4">
        <v>0.0</v>
      </c>
      <c r="H304" s="4" t="s">
        <v>1519</v>
      </c>
      <c r="I304" s="4" t="s">
        <v>1717</v>
      </c>
      <c r="J304" s="4" t="s">
        <v>1519</v>
      </c>
      <c r="K304" s="4" t="s">
        <v>1513</v>
      </c>
      <c r="L304" s="4" t="s">
        <v>1717</v>
      </c>
      <c r="M304" s="4" t="s">
        <v>1482</v>
      </c>
      <c r="N304" s="4" t="s">
        <v>540</v>
      </c>
      <c r="O304" s="4" t="s">
        <v>2030</v>
      </c>
      <c r="P304" s="4" t="s">
        <v>1744</v>
      </c>
      <c r="Q304" s="4" t="s">
        <v>2031</v>
      </c>
      <c r="R304" s="4" t="b">
        <v>0</v>
      </c>
      <c r="S304" s="4" t="s">
        <v>1486</v>
      </c>
      <c r="T304" s="2">
        <v>46002.1027777778</v>
      </c>
      <c r="U304" s="2">
        <v>46002.0</v>
      </c>
      <c r="V304" s="4">
        <v>49.0</v>
      </c>
      <c r="W304" s="4" t="s">
        <v>550</v>
      </c>
      <c r="X304" s="4">
        <v>2025.0</v>
      </c>
      <c r="Y304" s="4" t="s">
        <v>1518</v>
      </c>
      <c r="Z304" s="4"/>
      <c r="AA304" s="4" t="s">
        <v>558</v>
      </c>
      <c r="AB304" s="4" t="b">
        <v>0</v>
      </c>
      <c r="AC304" s="4" t="s">
        <v>623</v>
      </c>
      <c r="AD304" s="4" t="s">
        <v>537</v>
      </c>
    </row>
    <row r="305" ht="14.25" customHeight="1">
      <c r="A305" s="4">
        <v>7908328.0</v>
      </c>
      <c r="B305" s="2">
        <v>45974.0629861111</v>
      </c>
      <c r="C305" s="4">
        <v>7137487.0</v>
      </c>
      <c r="D305" s="4" t="s">
        <v>938</v>
      </c>
      <c r="E305" s="2">
        <v>46002.2375</v>
      </c>
      <c r="F305" s="4">
        <v>0.0</v>
      </c>
      <c r="G305" s="4">
        <v>0.0</v>
      </c>
      <c r="H305" s="4"/>
      <c r="I305" s="4"/>
      <c r="J305" s="4"/>
      <c r="K305" s="4"/>
      <c r="L305" s="4"/>
      <c r="M305" s="4" t="s">
        <v>1482</v>
      </c>
      <c r="N305" s="4" t="s">
        <v>2032</v>
      </c>
      <c r="O305" s="4" t="s">
        <v>2033</v>
      </c>
      <c r="P305" s="4" t="s">
        <v>1488</v>
      </c>
      <c r="Q305" s="4" t="s">
        <v>2034</v>
      </c>
      <c r="R305" s="4" t="b">
        <v>1</v>
      </c>
      <c r="S305" s="4" t="s">
        <v>1486</v>
      </c>
      <c r="T305" s="2">
        <v>46002.2388888889</v>
      </c>
      <c r="U305" s="2">
        <v>45974.0</v>
      </c>
      <c r="V305" s="4">
        <v>45.0</v>
      </c>
      <c r="W305" s="4" t="s">
        <v>545</v>
      </c>
      <c r="X305" s="4">
        <v>2025.0</v>
      </c>
      <c r="Y305" s="4" t="s">
        <v>1540</v>
      </c>
      <c r="Z305" s="4" t="s">
        <v>692</v>
      </c>
      <c r="AA305" s="4" t="s">
        <v>624</v>
      </c>
      <c r="AB305" s="4" t="b">
        <v>0</v>
      </c>
      <c r="AC305" s="4" t="s">
        <v>623</v>
      </c>
      <c r="AD305" s="4" t="s">
        <v>537</v>
      </c>
    </row>
    <row r="306" ht="14.25" customHeight="1">
      <c r="A306" s="4">
        <v>8097998.0</v>
      </c>
      <c r="B306" s="2">
        <v>46002.3984143519</v>
      </c>
      <c r="C306" s="4">
        <v>7325165.0</v>
      </c>
      <c r="D306" s="4" t="s">
        <v>940</v>
      </c>
      <c r="E306" s="2">
        <v>46002.4</v>
      </c>
      <c r="F306" s="4">
        <v>1.0</v>
      </c>
      <c r="G306" s="4">
        <v>0.0</v>
      </c>
      <c r="H306" s="4"/>
      <c r="I306" s="4"/>
      <c r="J306" s="4" t="s">
        <v>1480</v>
      </c>
      <c r="K306" s="4" t="s">
        <v>1480</v>
      </c>
      <c r="L306" s="4" t="s">
        <v>1481</v>
      </c>
      <c r="M306" s="4" t="s">
        <v>1482</v>
      </c>
      <c r="N306" s="4" t="s">
        <v>540</v>
      </c>
      <c r="O306" s="4" t="s">
        <v>1483</v>
      </c>
      <c r="P306" s="4" t="s">
        <v>2035</v>
      </c>
      <c r="Q306" s="4" t="s">
        <v>2036</v>
      </c>
      <c r="R306" s="4" t="b">
        <v>0</v>
      </c>
      <c r="S306" s="4" t="s">
        <v>1486</v>
      </c>
      <c r="T306" s="2">
        <v>46002.4013888889</v>
      </c>
      <c r="U306" s="2">
        <v>46002.0</v>
      </c>
      <c r="V306" s="4">
        <v>49.0</v>
      </c>
      <c r="W306" s="4" t="s">
        <v>550</v>
      </c>
      <c r="X306" s="4">
        <v>2025.0</v>
      </c>
      <c r="Y306" s="4" t="s">
        <v>1487</v>
      </c>
      <c r="Z306" s="4" t="s">
        <v>941</v>
      </c>
      <c r="AA306" s="4" t="s">
        <v>943</v>
      </c>
      <c r="AB306" s="4" t="b">
        <v>0</v>
      </c>
      <c r="AC306" s="4" t="s">
        <v>536</v>
      </c>
      <c r="AD306" s="4" t="s">
        <v>537</v>
      </c>
    </row>
    <row r="307" ht="14.25" customHeight="1">
      <c r="A307" s="4">
        <v>8098068.0</v>
      </c>
      <c r="B307" s="2">
        <v>46002.4034143519</v>
      </c>
      <c r="C307" s="4">
        <v>7325235.0</v>
      </c>
      <c r="D307" s="4" t="s">
        <v>944</v>
      </c>
      <c r="E307" s="2">
        <v>46002.4069444444</v>
      </c>
      <c r="F307" s="4">
        <v>1.0</v>
      </c>
      <c r="G307" s="4">
        <v>0.0</v>
      </c>
      <c r="H307" s="4"/>
      <c r="I307" s="4"/>
      <c r="J307" s="4" t="s">
        <v>539</v>
      </c>
      <c r="K307" s="4" t="s">
        <v>539</v>
      </c>
      <c r="L307" s="4" t="s">
        <v>1499</v>
      </c>
      <c r="M307" s="4" t="s">
        <v>1482</v>
      </c>
      <c r="N307" s="4"/>
      <c r="O307" s="4" t="s">
        <v>1500</v>
      </c>
      <c r="P307" s="4" t="s">
        <v>1635</v>
      </c>
      <c r="Q307" s="4" t="s">
        <v>2037</v>
      </c>
      <c r="R307" s="4" t="b">
        <v>0</v>
      </c>
      <c r="S307" s="4" t="s">
        <v>1486</v>
      </c>
      <c r="T307" s="2">
        <v>46009.3111111111</v>
      </c>
      <c r="U307" s="2">
        <v>46002.0</v>
      </c>
      <c r="V307" s="4">
        <v>49.0</v>
      </c>
      <c r="W307" s="4" t="s">
        <v>550</v>
      </c>
      <c r="X307" s="4">
        <v>2025.0</v>
      </c>
      <c r="Y307" s="4" t="s">
        <v>1502</v>
      </c>
      <c r="Z307" s="4"/>
      <c r="AA307" s="4" t="s">
        <v>558</v>
      </c>
      <c r="AB307" s="4" t="b">
        <v>1</v>
      </c>
      <c r="AC307" s="4" t="s">
        <v>536</v>
      </c>
      <c r="AD307" s="4" t="s">
        <v>537</v>
      </c>
    </row>
    <row r="308" ht="14.25" customHeight="1">
      <c r="A308" s="4">
        <v>8098242.0</v>
      </c>
      <c r="B308" s="2">
        <v>46002.4178356481</v>
      </c>
      <c r="C308" s="4">
        <v>7325409.0</v>
      </c>
      <c r="D308" s="4" t="s">
        <v>945</v>
      </c>
      <c r="E308" s="2">
        <v>46002.4194444444</v>
      </c>
      <c r="F308" s="4">
        <v>1.0</v>
      </c>
      <c r="G308" s="4">
        <v>0.0</v>
      </c>
      <c r="H308" s="4"/>
      <c r="I308" s="4"/>
      <c r="J308" s="4" t="s">
        <v>539</v>
      </c>
      <c r="K308" s="4" t="s">
        <v>539</v>
      </c>
      <c r="L308" s="4" t="s">
        <v>1499</v>
      </c>
      <c r="M308" s="4" t="s">
        <v>1482</v>
      </c>
      <c r="N308" s="4"/>
      <c r="O308" s="4" t="s">
        <v>1483</v>
      </c>
      <c r="P308" s="4" t="s">
        <v>1645</v>
      </c>
      <c r="Q308" s="4" t="s">
        <v>2038</v>
      </c>
      <c r="R308" s="4" t="b">
        <v>0</v>
      </c>
      <c r="S308" s="4" t="s">
        <v>1486</v>
      </c>
      <c r="T308" s="2">
        <v>46002.4208333333</v>
      </c>
      <c r="U308" s="2">
        <v>46002.0</v>
      </c>
      <c r="V308" s="4">
        <v>49.0</v>
      </c>
      <c r="W308" s="4" t="s">
        <v>550</v>
      </c>
      <c r="X308" s="4">
        <v>2025.0</v>
      </c>
      <c r="Y308" s="4" t="s">
        <v>1502</v>
      </c>
      <c r="Z308" s="4"/>
      <c r="AA308" s="4" t="s">
        <v>546</v>
      </c>
      <c r="AB308" s="4" t="b">
        <v>1</v>
      </c>
      <c r="AC308" s="4" t="s">
        <v>599</v>
      </c>
      <c r="AD308" s="4" t="s">
        <v>537</v>
      </c>
    </row>
    <row r="309" ht="14.25" customHeight="1">
      <c r="A309" s="4">
        <v>7840129.0</v>
      </c>
      <c r="B309" s="2">
        <v>45959.3834259259</v>
      </c>
      <c r="C309" s="4">
        <v>7072555.0</v>
      </c>
      <c r="D309" s="4" t="s">
        <v>946</v>
      </c>
      <c r="E309" s="2">
        <v>46002.4458333333</v>
      </c>
      <c r="F309" s="4">
        <v>0.5</v>
      </c>
      <c r="G309" s="4">
        <v>0.0</v>
      </c>
      <c r="H309" s="4"/>
      <c r="I309" s="4"/>
      <c r="J309" s="4" t="s">
        <v>1480</v>
      </c>
      <c r="K309" s="4" t="s">
        <v>1480</v>
      </c>
      <c r="L309" s="4" t="s">
        <v>1511</v>
      </c>
      <c r="M309" s="4" t="s">
        <v>1482</v>
      </c>
      <c r="N309" s="4" t="s">
        <v>653</v>
      </c>
      <c r="O309" s="4" t="s">
        <v>1483</v>
      </c>
      <c r="P309" s="4" t="s">
        <v>1727</v>
      </c>
      <c r="Q309" s="4" t="s">
        <v>2039</v>
      </c>
      <c r="R309" s="4" t="b">
        <v>0</v>
      </c>
      <c r="S309" s="4" t="s">
        <v>1486</v>
      </c>
      <c r="T309" s="2">
        <v>46002.4472222222</v>
      </c>
      <c r="U309" s="2">
        <v>45959.0</v>
      </c>
      <c r="V309" s="4">
        <v>43.0</v>
      </c>
      <c r="W309" s="4" t="s">
        <v>1560</v>
      </c>
      <c r="X309" s="4">
        <v>2025.0</v>
      </c>
      <c r="Y309" s="4" t="s">
        <v>1680</v>
      </c>
      <c r="Z309" s="4"/>
      <c r="AA309" s="4" t="s">
        <v>558</v>
      </c>
      <c r="AB309" s="4" t="b">
        <v>0</v>
      </c>
      <c r="AC309" s="4" t="s">
        <v>567</v>
      </c>
      <c r="AD309" s="4" t="s">
        <v>537</v>
      </c>
    </row>
    <row r="310" ht="14.25" customHeight="1">
      <c r="A310" s="4">
        <v>7867882.0</v>
      </c>
      <c r="B310" s="2">
        <v>45966.4806828704</v>
      </c>
      <c r="C310" s="4">
        <v>7072555.0</v>
      </c>
      <c r="D310" s="4" t="s">
        <v>946</v>
      </c>
      <c r="E310" s="2">
        <v>46002.4458333333</v>
      </c>
      <c r="F310" s="4">
        <v>0.5</v>
      </c>
      <c r="G310" s="4">
        <v>0.0</v>
      </c>
      <c r="H310" s="4" t="s">
        <v>1511</v>
      </c>
      <c r="I310" s="4" t="s">
        <v>2040</v>
      </c>
      <c r="J310" s="4" t="s">
        <v>1511</v>
      </c>
      <c r="K310" s="4" t="s">
        <v>1513</v>
      </c>
      <c r="L310" s="4" t="s">
        <v>2040</v>
      </c>
      <c r="M310" s="4" t="s">
        <v>2041</v>
      </c>
      <c r="N310" s="4" t="s">
        <v>653</v>
      </c>
      <c r="O310" s="4" t="s">
        <v>2042</v>
      </c>
      <c r="P310" s="4" t="s">
        <v>1496</v>
      </c>
      <c r="Q310" s="4" t="s">
        <v>2039</v>
      </c>
      <c r="R310" s="4" t="b">
        <v>0</v>
      </c>
      <c r="S310" s="4" t="s">
        <v>1486</v>
      </c>
      <c r="T310" s="2">
        <v>46002.4472222222</v>
      </c>
      <c r="U310" s="2">
        <v>45966.0</v>
      </c>
      <c r="V310" s="4">
        <v>44.0</v>
      </c>
      <c r="W310" s="4" t="s">
        <v>545</v>
      </c>
      <c r="X310" s="4">
        <v>2025.0</v>
      </c>
      <c r="Y310" s="4" t="s">
        <v>1518</v>
      </c>
      <c r="Z310" s="4"/>
      <c r="AA310" s="4" t="s">
        <v>558</v>
      </c>
      <c r="AB310" s="4" t="b">
        <v>0</v>
      </c>
      <c r="AC310" s="4" t="s">
        <v>567</v>
      </c>
      <c r="AD310" s="4" t="s">
        <v>537</v>
      </c>
    </row>
    <row r="311" ht="14.25" customHeight="1">
      <c r="A311" s="4">
        <v>7938864.0</v>
      </c>
      <c r="B311" s="2">
        <v>45980.4643981481</v>
      </c>
      <c r="C311" s="4">
        <v>7167566.0</v>
      </c>
      <c r="D311" s="4" t="s">
        <v>947</v>
      </c>
      <c r="E311" s="2">
        <v>46002.4472222222</v>
      </c>
      <c r="F311" s="4">
        <v>1.0</v>
      </c>
      <c r="G311" s="4">
        <v>0.0</v>
      </c>
      <c r="H311" s="4"/>
      <c r="I311" s="4"/>
      <c r="J311" s="4" t="s">
        <v>1480</v>
      </c>
      <c r="K311" s="4" t="s">
        <v>1480</v>
      </c>
      <c r="L311" s="4" t="s">
        <v>1481</v>
      </c>
      <c r="M311" s="4" t="s">
        <v>1482</v>
      </c>
      <c r="N311" s="4" t="s">
        <v>540</v>
      </c>
      <c r="O311" s="4" t="s">
        <v>2043</v>
      </c>
      <c r="P311" s="4" t="s">
        <v>1488</v>
      </c>
      <c r="Q311" s="4" t="s">
        <v>2044</v>
      </c>
      <c r="R311" s="4" t="b">
        <v>0</v>
      </c>
      <c r="S311" s="4" t="s">
        <v>1486</v>
      </c>
      <c r="T311" s="2">
        <v>46002.4486111111</v>
      </c>
      <c r="U311" s="2">
        <v>45980.0</v>
      </c>
      <c r="V311" s="4">
        <v>46.0</v>
      </c>
      <c r="W311" s="4" t="s">
        <v>545</v>
      </c>
      <c r="X311" s="4">
        <v>2025.0</v>
      </c>
      <c r="Y311" s="4" t="s">
        <v>1487</v>
      </c>
      <c r="Z311" s="4" t="s">
        <v>557</v>
      </c>
      <c r="AA311" s="4" t="s">
        <v>558</v>
      </c>
      <c r="AB311" s="4" t="b">
        <v>0</v>
      </c>
      <c r="AC311" s="4" t="s">
        <v>623</v>
      </c>
      <c r="AD311" s="4" t="s">
        <v>537</v>
      </c>
    </row>
    <row r="312" ht="14.25" customHeight="1">
      <c r="A312" s="4">
        <v>8098658.0</v>
      </c>
      <c r="B312" s="2">
        <v>46002.4506712963</v>
      </c>
      <c r="C312" s="4">
        <v>7325823.0</v>
      </c>
      <c r="D312" s="4" t="s">
        <v>948</v>
      </c>
      <c r="E312" s="2">
        <v>46002.4527777778</v>
      </c>
      <c r="F312" s="4">
        <v>1.0</v>
      </c>
      <c r="G312" s="4">
        <v>0.0</v>
      </c>
      <c r="H312" s="4"/>
      <c r="I312" s="4"/>
      <c r="J312" s="4" t="s">
        <v>1480</v>
      </c>
      <c r="K312" s="4" t="s">
        <v>1480</v>
      </c>
      <c r="L312" s="4" t="s">
        <v>1511</v>
      </c>
      <c r="M312" s="4" t="s">
        <v>1482</v>
      </c>
      <c r="N312" s="4" t="s">
        <v>653</v>
      </c>
      <c r="O312" s="4" t="s">
        <v>1483</v>
      </c>
      <c r="P312" s="4" t="s">
        <v>1845</v>
      </c>
      <c r="Q312" s="4" t="s">
        <v>2045</v>
      </c>
      <c r="R312" s="4" t="b">
        <v>0</v>
      </c>
      <c r="S312" s="4" t="s">
        <v>1486</v>
      </c>
      <c r="T312" s="2">
        <v>46002.4541666667</v>
      </c>
      <c r="U312" s="2">
        <v>46002.0</v>
      </c>
      <c r="V312" s="4">
        <v>49.0</v>
      </c>
      <c r="W312" s="4" t="s">
        <v>550</v>
      </c>
      <c r="X312" s="4">
        <v>2025.0</v>
      </c>
      <c r="Y312" s="4" t="s">
        <v>1680</v>
      </c>
      <c r="Z312" s="4" t="s">
        <v>557</v>
      </c>
      <c r="AA312" s="4" t="s">
        <v>558</v>
      </c>
      <c r="AB312" s="4" t="b">
        <v>0</v>
      </c>
      <c r="AC312" s="4" t="s">
        <v>536</v>
      </c>
      <c r="AD312" s="4" t="s">
        <v>537</v>
      </c>
    </row>
    <row r="313" ht="14.25" customHeight="1">
      <c r="A313" s="4">
        <v>7490533.0</v>
      </c>
      <c r="B313" s="2">
        <v>45860.4289699074</v>
      </c>
      <c r="C313" s="4">
        <v>6734922.0</v>
      </c>
      <c r="D313" s="4" t="s">
        <v>950</v>
      </c>
      <c r="E313" s="2">
        <v>46002.4694444444</v>
      </c>
      <c r="F313" s="4">
        <v>1.0</v>
      </c>
      <c r="G313" s="4">
        <v>0.0</v>
      </c>
      <c r="H313" s="4"/>
      <c r="I313" s="4"/>
      <c r="J313" s="4" t="s">
        <v>539</v>
      </c>
      <c r="K313" s="4" t="s">
        <v>539</v>
      </c>
      <c r="L313" s="4" t="s">
        <v>1499</v>
      </c>
      <c r="M313" s="4" t="s">
        <v>1482</v>
      </c>
      <c r="N313" s="4"/>
      <c r="O313" s="4" t="s">
        <v>2046</v>
      </c>
      <c r="P313" s="4" t="s">
        <v>1894</v>
      </c>
      <c r="Q313" s="4" t="s">
        <v>1647</v>
      </c>
      <c r="R313" s="4" t="b">
        <v>0</v>
      </c>
      <c r="S313" s="4" t="s">
        <v>1486</v>
      </c>
      <c r="T313" s="2">
        <v>46002.4708333333</v>
      </c>
      <c r="U313" s="2">
        <v>45860.0</v>
      </c>
      <c r="V313" s="4">
        <v>29.0</v>
      </c>
      <c r="W313" s="4" t="s">
        <v>1668</v>
      </c>
      <c r="X313" s="4">
        <v>2025.0</v>
      </c>
      <c r="Y313" s="4" t="s">
        <v>1502</v>
      </c>
      <c r="Z313" s="4"/>
      <c r="AA313" s="4" t="s">
        <v>546</v>
      </c>
      <c r="AB313" s="4" t="b">
        <v>1</v>
      </c>
      <c r="AC313" s="4" t="s">
        <v>536</v>
      </c>
      <c r="AD313" s="4" t="s">
        <v>537</v>
      </c>
    </row>
    <row r="314" ht="14.25" customHeight="1">
      <c r="A314" s="4">
        <v>8098972.0</v>
      </c>
      <c r="B314" s="2">
        <v>46002.4761226852</v>
      </c>
      <c r="C314" s="4">
        <v>7326137.0</v>
      </c>
      <c r="D314" s="4" t="s">
        <v>951</v>
      </c>
      <c r="E314" s="2">
        <v>46002.4805555556</v>
      </c>
      <c r="F314" s="4">
        <v>1.0</v>
      </c>
      <c r="G314" s="4">
        <v>0.0</v>
      </c>
      <c r="H314" s="4"/>
      <c r="I314" s="4"/>
      <c r="J314" s="4" t="s">
        <v>539</v>
      </c>
      <c r="K314" s="4" t="s">
        <v>539</v>
      </c>
      <c r="L314" s="4" t="s">
        <v>1499</v>
      </c>
      <c r="M314" s="4" t="s">
        <v>1482</v>
      </c>
      <c r="N314" s="4"/>
      <c r="O314" s="4" t="s">
        <v>2047</v>
      </c>
      <c r="P314" s="4" t="s">
        <v>1488</v>
      </c>
      <c r="Q314" s="4" t="s">
        <v>2048</v>
      </c>
      <c r="R314" s="4" t="b">
        <v>0</v>
      </c>
      <c r="S314" s="4" t="s">
        <v>1486</v>
      </c>
      <c r="T314" s="2">
        <v>46002.4819444444</v>
      </c>
      <c r="U314" s="2">
        <v>46002.0</v>
      </c>
      <c r="V314" s="4">
        <v>49.0</v>
      </c>
      <c r="W314" s="4" t="s">
        <v>550</v>
      </c>
      <c r="X314" s="4">
        <v>2025.0</v>
      </c>
      <c r="Y314" s="4" t="s">
        <v>1502</v>
      </c>
      <c r="Z314" s="4"/>
      <c r="AA314" s="4" t="s">
        <v>655</v>
      </c>
      <c r="AB314" s="4" t="b">
        <v>0</v>
      </c>
      <c r="AC314" s="4" t="s">
        <v>536</v>
      </c>
      <c r="AD314" s="4" t="s">
        <v>537</v>
      </c>
    </row>
    <row r="315" ht="14.25" customHeight="1">
      <c r="A315" s="4">
        <v>8099112.0</v>
      </c>
      <c r="B315" s="2">
        <v>46002.4871643518</v>
      </c>
      <c r="C315" s="4">
        <v>7326276.0</v>
      </c>
      <c r="D315" s="4" t="s">
        <v>952</v>
      </c>
      <c r="E315" s="2">
        <v>46002.4875</v>
      </c>
      <c r="F315" s="4">
        <v>1.0</v>
      </c>
      <c r="G315" s="4">
        <v>0.0</v>
      </c>
      <c r="H315" s="4"/>
      <c r="I315" s="4"/>
      <c r="J315" s="4" t="s">
        <v>1526</v>
      </c>
      <c r="K315" s="4" t="s">
        <v>1527</v>
      </c>
      <c r="L315" s="4" t="s">
        <v>1528</v>
      </c>
      <c r="M315" s="4" t="s">
        <v>1482</v>
      </c>
      <c r="N315" s="4" t="s">
        <v>1529</v>
      </c>
      <c r="O315" s="4" t="s">
        <v>1530</v>
      </c>
      <c r="P315" s="4" t="s">
        <v>1635</v>
      </c>
      <c r="Q315" s="4" t="s">
        <v>2049</v>
      </c>
      <c r="R315" s="4" t="b">
        <v>0</v>
      </c>
      <c r="S315" s="4" t="s">
        <v>1486</v>
      </c>
      <c r="T315" s="2">
        <v>46002.4888888889</v>
      </c>
      <c r="U315" s="2">
        <v>46002.0</v>
      </c>
      <c r="V315" s="4">
        <v>49.0</v>
      </c>
      <c r="W315" s="4" t="s">
        <v>550</v>
      </c>
      <c r="X315" s="4">
        <v>2025.0</v>
      </c>
      <c r="Y315" s="4" t="s">
        <v>1532</v>
      </c>
      <c r="Z315" s="4" t="s">
        <v>557</v>
      </c>
      <c r="AA315" s="4" t="s">
        <v>624</v>
      </c>
      <c r="AB315" s="4" t="b">
        <v>0</v>
      </c>
      <c r="AC315" s="4" t="s">
        <v>536</v>
      </c>
      <c r="AD315" s="4" t="s">
        <v>537</v>
      </c>
    </row>
    <row r="316" ht="14.25" customHeight="1">
      <c r="A316" s="4">
        <v>8099136.0</v>
      </c>
      <c r="B316" s="2">
        <v>46002.4893981482</v>
      </c>
      <c r="C316" s="4">
        <v>7326300.0</v>
      </c>
      <c r="D316" s="4" t="s">
        <v>953</v>
      </c>
      <c r="E316" s="2">
        <v>46002.4909722222</v>
      </c>
      <c r="F316" s="4">
        <v>0.0</v>
      </c>
      <c r="G316" s="4">
        <v>0.0</v>
      </c>
      <c r="H316" s="4"/>
      <c r="I316" s="4"/>
      <c r="J316" s="4"/>
      <c r="K316" s="4"/>
      <c r="L316" s="4"/>
      <c r="M316" s="4" t="s">
        <v>1482</v>
      </c>
      <c r="N316" s="4" t="s">
        <v>1483</v>
      </c>
      <c r="O316" s="4" t="s">
        <v>2050</v>
      </c>
      <c r="P316" s="4" t="s">
        <v>1488</v>
      </c>
      <c r="Q316" s="4" t="s">
        <v>2051</v>
      </c>
      <c r="R316" s="4" t="b">
        <v>1</v>
      </c>
      <c r="S316" s="4" t="s">
        <v>1486</v>
      </c>
      <c r="T316" s="2">
        <v>46002.4923611111</v>
      </c>
      <c r="U316" s="2">
        <v>46002.0</v>
      </c>
      <c r="V316" s="4">
        <v>49.0</v>
      </c>
      <c r="W316" s="4" t="s">
        <v>550</v>
      </c>
      <c r="X316" s="4">
        <v>2025.0</v>
      </c>
      <c r="Y316" s="4" t="s">
        <v>1540</v>
      </c>
      <c r="Z316" s="4"/>
      <c r="AA316" s="4" t="s">
        <v>558</v>
      </c>
      <c r="AB316" s="4" t="b">
        <v>1</v>
      </c>
      <c r="AC316" s="4" t="s">
        <v>567</v>
      </c>
      <c r="AD316" s="4" t="s">
        <v>537</v>
      </c>
    </row>
    <row r="317" ht="14.25" customHeight="1">
      <c r="A317" s="4">
        <v>8099243.0</v>
      </c>
      <c r="B317" s="2">
        <v>46002.4975810185</v>
      </c>
      <c r="C317" s="4">
        <v>7326407.0</v>
      </c>
      <c r="D317" s="4" t="s">
        <v>954</v>
      </c>
      <c r="E317" s="2">
        <v>46002.4979166667</v>
      </c>
      <c r="F317" s="4">
        <v>1.0</v>
      </c>
      <c r="G317" s="4">
        <v>0.0</v>
      </c>
      <c r="H317" s="4" t="s">
        <v>1519</v>
      </c>
      <c r="I317" s="4" t="s">
        <v>1781</v>
      </c>
      <c r="J317" s="4" t="s">
        <v>1519</v>
      </c>
      <c r="K317" s="4" t="s">
        <v>1513</v>
      </c>
      <c r="L317" s="4" t="s">
        <v>1781</v>
      </c>
      <c r="M317" s="4" t="s">
        <v>1692</v>
      </c>
      <c r="N317" s="4" t="s">
        <v>540</v>
      </c>
      <c r="O317" s="4" t="s">
        <v>2052</v>
      </c>
      <c r="P317" s="4" t="s">
        <v>1794</v>
      </c>
      <c r="Q317" s="4" t="s">
        <v>2053</v>
      </c>
      <c r="R317" s="4" t="b">
        <v>0</v>
      </c>
      <c r="S317" s="4" t="s">
        <v>1486</v>
      </c>
      <c r="T317" s="2">
        <v>46002.4993055556</v>
      </c>
      <c r="U317" s="2">
        <v>46002.0</v>
      </c>
      <c r="V317" s="4">
        <v>49.0</v>
      </c>
      <c r="W317" s="4" t="s">
        <v>550</v>
      </c>
      <c r="X317" s="4">
        <v>2025.0</v>
      </c>
      <c r="Y317" s="4" t="s">
        <v>1518</v>
      </c>
      <c r="Z317" s="4"/>
      <c r="AA317" s="4" t="s">
        <v>558</v>
      </c>
      <c r="AB317" s="4" t="b">
        <v>0</v>
      </c>
      <c r="AC317" s="4" t="s">
        <v>599</v>
      </c>
      <c r="AD317" s="4" t="s">
        <v>537</v>
      </c>
    </row>
    <row r="318" ht="14.25" customHeight="1">
      <c r="A318" s="4">
        <v>8099487.0</v>
      </c>
      <c r="B318" s="2">
        <v>46002.5178472222</v>
      </c>
      <c r="C318" s="4">
        <v>7326650.0</v>
      </c>
      <c r="D318" s="4" t="s">
        <v>955</v>
      </c>
      <c r="E318" s="2">
        <v>46002.5243055556</v>
      </c>
      <c r="F318" s="4">
        <v>1.0</v>
      </c>
      <c r="G318" s="4">
        <v>0.0</v>
      </c>
      <c r="H318" s="4"/>
      <c r="I318" s="4"/>
      <c r="J318" s="4" t="s">
        <v>1526</v>
      </c>
      <c r="K318" s="4" t="s">
        <v>1527</v>
      </c>
      <c r="L318" s="4" t="s">
        <v>1528</v>
      </c>
      <c r="M318" s="4" t="s">
        <v>1482</v>
      </c>
      <c r="N318" s="4" t="s">
        <v>1529</v>
      </c>
      <c r="O318" s="4" t="s">
        <v>1530</v>
      </c>
      <c r="P318" s="4" t="s">
        <v>1794</v>
      </c>
      <c r="Q318" s="4" t="s">
        <v>2054</v>
      </c>
      <c r="R318" s="4" t="b">
        <v>0</v>
      </c>
      <c r="S318" s="4" t="s">
        <v>1486</v>
      </c>
      <c r="T318" s="2">
        <v>46002.5256944444</v>
      </c>
      <c r="U318" s="2">
        <v>46002.0</v>
      </c>
      <c r="V318" s="4">
        <v>49.0</v>
      </c>
      <c r="W318" s="4" t="s">
        <v>550</v>
      </c>
      <c r="X318" s="4">
        <v>2025.0</v>
      </c>
      <c r="Y318" s="4" t="s">
        <v>1532</v>
      </c>
      <c r="Z318" s="4" t="s">
        <v>557</v>
      </c>
      <c r="AA318" s="4" t="s">
        <v>558</v>
      </c>
      <c r="AB318" s="4" t="b">
        <v>0</v>
      </c>
      <c r="AC318" s="4" t="s">
        <v>536</v>
      </c>
      <c r="AD318" s="4" t="s">
        <v>537</v>
      </c>
    </row>
    <row r="319" ht="14.25" customHeight="1">
      <c r="A319" s="4">
        <v>8097766.0</v>
      </c>
      <c r="B319" s="2">
        <v>46002.3792592593</v>
      </c>
      <c r="C319" s="4">
        <v>7324933.0</v>
      </c>
      <c r="D319" s="4" t="s">
        <v>957</v>
      </c>
      <c r="E319" s="2">
        <v>46002.5423611111</v>
      </c>
      <c r="F319" s="4">
        <v>1.0</v>
      </c>
      <c r="G319" s="4">
        <v>0.0</v>
      </c>
      <c r="H319" s="4"/>
      <c r="I319" s="4"/>
      <c r="J319" s="4" t="s">
        <v>539</v>
      </c>
      <c r="K319" s="4" t="s">
        <v>539</v>
      </c>
      <c r="L319" s="4" t="s">
        <v>1499</v>
      </c>
      <c r="M319" s="4" t="s">
        <v>1482</v>
      </c>
      <c r="N319" s="4"/>
      <c r="O319" s="4" t="s">
        <v>2055</v>
      </c>
      <c r="P319" s="4" t="s">
        <v>2003</v>
      </c>
      <c r="Q319" s="4" t="s">
        <v>2056</v>
      </c>
      <c r="R319" s="4" t="b">
        <v>0</v>
      </c>
      <c r="S319" s="4" t="s">
        <v>1486</v>
      </c>
      <c r="T319" s="2">
        <v>46002.54375</v>
      </c>
      <c r="U319" s="2">
        <v>46002.0</v>
      </c>
      <c r="V319" s="4">
        <v>49.0</v>
      </c>
      <c r="W319" s="4" t="s">
        <v>550</v>
      </c>
      <c r="X319" s="4">
        <v>2025.0</v>
      </c>
      <c r="Y319" s="4" t="s">
        <v>1502</v>
      </c>
      <c r="Z319" s="4" t="s">
        <v>557</v>
      </c>
      <c r="AA319" s="4" t="s">
        <v>558</v>
      </c>
      <c r="AB319" s="4" t="b">
        <v>0</v>
      </c>
      <c r="AC319" s="4" t="s">
        <v>536</v>
      </c>
      <c r="AD319" s="4" t="s">
        <v>537</v>
      </c>
    </row>
    <row r="320" ht="14.25" customHeight="1">
      <c r="A320" s="4">
        <v>8099929.0</v>
      </c>
      <c r="B320" s="2">
        <v>46002.5526967593</v>
      </c>
      <c r="C320" s="4">
        <v>7327090.0</v>
      </c>
      <c r="D320" s="4" t="s">
        <v>959</v>
      </c>
      <c r="E320" s="2">
        <v>46002.5541666667</v>
      </c>
      <c r="F320" s="4">
        <v>1.0</v>
      </c>
      <c r="G320" s="4">
        <v>0.0</v>
      </c>
      <c r="H320" s="4"/>
      <c r="I320" s="4"/>
      <c r="J320" s="4" t="s">
        <v>1480</v>
      </c>
      <c r="K320" s="4" t="s">
        <v>1480</v>
      </c>
      <c r="L320" s="4" t="s">
        <v>1481</v>
      </c>
      <c r="M320" s="4" t="s">
        <v>1482</v>
      </c>
      <c r="N320" s="4" t="s">
        <v>540</v>
      </c>
      <c r="O320" s="4" t="s">
        <v>2057</v>
      </c>
      <c r="P320" s="4" t="s">
        <v>1923</v>
      </c>
      <c r="Q320" s="4" t="s">
        <v>2058</v>
      </c>
      <c r="R320" s="4" t="b">
        <v>0</v>
      </c>
      <c r="S320" s="4" t="s">
        <v>1486</v>
      </c>
      <c r="T320" s="2">
        <v>46002.5555555556</v>
      </c>
      <c r="U320" s="2">
        <v>46002.0</v>
      </c>
      <c r="V320" s="4">
        <v>49.0</v>
      </c>
      <c r="W320" s="4" t="s">
        <v>550</v>
      </c>
      <c r="X320" s="4">
        <v>2025.0</v>
      </c>
      <c r="Y320" s="4" t="s">
        <v>1487</v>
      </c>
      <c r="Z320" s="4"/>
      <c r="AA320" s="4" t="s">
        <v>558</v>
      </c>
      <c r="AB320" s="4" t="b">
        <v>0</v>
      </c>
      <c r="AC320" s="4" t="s">
        <v>554</v>
      </c>
      <c r="AD320" s="4" t="s">
        <v>537</v>
      </c>
    </row>
    <row r="321" ht="14.25" customHeight="1">
      <c r="A321" s="4">
        <v>7742622.0</v>
      </c>
      <c r="B321" s="2">
        <v>45937.7094675926</v>
      </c>
      <c r="C321" s="4">
        <v>6979405.0</v>
      </c>
      <c r="D321" s="4" t="s">
        <v>960</v>
      </c>
      <c r="E321" s="2">
        <v>46002.5638888889</v>
      </c>
      <c r="F321" s="4">
        <v>1.0</v>
      </c>
      <c r="G321" s="4">
        <v>0.0</v>
      </c>
      <c r="H321" s="4"/>
      <c r="I321" s="4"/>
      <c r="J321" s="4" t="s">
        <v>539</v>
      </c>
      <c r="K321" s="4" t="s">
        <v>539</v>
      </c>
      <c r="L321" s="4" t="s">
        <v>1499</v>
      </c>
      <c r="M321" s="4" t="s">
        <v>1482</v>
      </c>
      <c r="N321" s="4"/>
      <c r="O321" s="4" t="s">
        <v>1483</v>
      </c>
      <c r="P321" s="4" t="s">
        <v>1558</v>
      </c>
      <c r="Q321" s="4" t="s">
        <v>2059</v>
      </c>
      <c r="R321" s="4" t="b">
        <v>0</v>
      </c>
      <c r="S321" s="4" t="s">
        <v>1486</v>
      </c>
      <c r="T321" s="2">
        <v>46002.5652777778</v>
      </c>
      <c r="U321" s="2">
        <v>45937.0</v>
      </c>
      <c r="V321" s="4">
        <v>40.0</v>
      </c>
      <c r="W321" s="4" t="s">
        <v>1560</v>
      </c>
      <c r="X321" s="4">
        <v>2025.0</v>
      </c>
      <c r="Y321" s="4" t="s">
        <v>1502</v>
      </c>
      <c r="Z321" s="4"/>
      <c r="AA321" s="4" t="s">
        <v>546</v>
      </c>
      <c r="AB321" s="4" t="b">
        <v>1</v>
      </c>
      <c r="AC321" s="4" t="s">
        <v>554</v>
      </c>
      <c r="AD321" s="4" t="s">
        <v>537</v>
      </c>
    </row>
    <row r="322" ht="14.25" customHeight="1">
      <c r="A322" s="4">
        <v>8100655.0</v>
      </c>
      <c r="B322" s="2">
        <v>46002.6047222222</v>
      </c>
      <c r="C322" s="4">
        <v>7327812.0</v>
      </c>
      <c r="D322" s="4" t="s">
        <v>961</v>
      </c>
      <c r="E322" s="2">
        <v>46002.6076388889</v>
      </c>
      <c r="F322" s="4">
        <v>1.0</v>
      </c>
      <c r="G322" s="4">
        <v>0.0</v>
      </c>
      <c r="H322" s="4"/>
      <c r="I322" s="4"/>
      <c r="J322" s="4" t="s">
        <v>1480</v>
      </c>
      <c r="K322" s="4" t="s">
        <v>1480</v>
      </c>
      <c r="L322" s="4" t="s">
        <v>1481</v>
      </c>
      <c r="M322" s="4" t="s">
        <v>1482</v>
      </c>
      <c r="N322" s="4" t="s">
        <v>540</v>
      </c>
      <c r="O322" s="4" t="s">
        <v>1483</v>
      </c>
      <c r="P322" s="4" t="s">
        <v>1506</v>
      </c>
      <c r="Q322" s="4" t="s">
        <v>2060</v>
      </c>
      <c r="R322" s="4" t="b">
        <v>0</v>
      </c>
      <c r="S322" s="4" t="s">
        <v>1486</v>
      </c>
      <c r="T322" s="2">
        <v>46002.6090277778</v>
      </c>
      <c r="U322" s="2">
        <v>46002.0</v>
      </c>
      <c r="V322" s="4">
        <v>49.0</v>
      </c>
      <c r="W322" s="4" t="s">
        <v>550</v>
      </c>
      <c r="X322" s="4">
        <v>2025.0</v>
      </c>
      <c r="Y322" s="4" t="s">
        <v>1487</v>
      </c>
      <c r="Z322" s="4" t="s">
        <v>557</v>
      </c>
      <c r="AA322" s="4" t="s">
        <v>558</v>
      </c>
      <c r="AB322" s="4" t="b">
        <v>0</v>
      </c>
      <c r="AC322" s="4" t="s">
        <v>536</v>
      </c>
      <c r="AD322" s="4" t="s">
        <v>537</v>
      </c>
    </row>
    <row r="323" ht="14.25" customHeight="1">
      <c r="A323" s="4">
        <v>8101204.0</v>
      </c>
      <c r="B323" s="2">
        <v>46002.6500115741</v>
      </c>
      <c r="C323" s="4">
        <v>7328360.0</v>
      </c>
      <c r="D323" s="4" t="s">
        <v>962</v>
      </c>
      <c r="E323" s="2">
        <v>46002.6513888889</v>
      </c>
      <c r="F323" s="4">
        <v>0.5</v>
      </c>
      <c r="G323" s="4">
        <v>0.0</v>
      </c>
      <c r="H323" s="4" t="s">
        <v>2061</v>
      </c>
      <c r="I323" s="4" t="s">
        <v>2062</v>
      </c>
      <c r="J323" s="4" t="s">
        <v>2061</v>
      </c>
      <c r="K323" s="4" t="s">
        <v>1480</v>
      </c>
      <c r="L323" s="4" t="s">
        <v>2062</v>
      </c>
      <c r="M323" s="4" t="s">
        <v>2063</v>
      </c>
      <c r="N323" s="4" t="s">
        <v>963</v>
      </c>
      <c r="O323" s="4" t="s">
        <v>2064</v>
      </c>
      <c r="P323" s="4" t="s">
        <v>1845</v>
      </c>
      <c r="Q323" s="4" t="s">
        <v>2065</v>
      </c>
      <c r="R323" s="4" t="b">
        <v>0</v>
      </c>
      <c r="S323" s="4" t="s">
        <v>1486</v>
      </c>
      <c r="T323" s="2">
        <v>46002.6527777778</v>
      </c>
      <c r="U323" s="2">
        <v>46002.0</v>
      </c>
      <c r="V323" s="4">
        <v>49.0</v>
      </c>
      <c r="W323" s="4" t="s">
        <v>550</v>
      </c>
      <c r="X323" s="4">
        <v>2025.0</v>
      </c>
      <c r="Y323" s="4" t="s">
        <v>1518</v>
      </c>
      <c r="Z323" s="4"/>
      <c r="AA323" s="4" t="s">
        <v>558</v>
      </c>
      <c r="AB323" s="4" t="b">
        <v>0</v>
      </c>
      <c r="AC323" s="4" t="s">
        <v>536</v>
      </c>
      <c r="AD323" s="4" t="s">
        <v>537</v>
      </c>
    </row>
    <row r="324" ht="14.25" customHeight="1">
      <c r="A324" s="4">
        <v>8101213.0</v>
      </c>
      <c r="B324" s="2">
        <v>46002.6512731481</v>
      </c>
      <c r="C324" s="4">
        <v>7328360.0</v>
      </c>
      <c r="D324" s="4" t="s">
        <v>962</v>
      </c>
      <c r="E324" s="2">
        <v>46002.6513888889</v>
      </c>
      <c r="F324" s="4">
        <v>0.5</v>
      </c>
      <c r="G324" s="4">
        <v>0.0</v>
      </c>
      <c r="H324" s="4" t="s">
        <v>2061</v>
      </c>
      <c r="I324" s="4" t="s">
        <v>2062</v>
      </c>
      <c r="J324" s="4" t="s">
        <v>2061</v>
      </c>
      <c r="K324" s="4" t="s">
        <v>1480</v>
      </c>
      <c r="L324" s="4" t="s">
        <v>2062</v>
      </c>
      <c r="M324" s="4" t="s">
        <v>2063</v>
      </c>
      <c r="N324" s="4" t="s">
        <v>963</v>
      </c>
      <c r="O324" s="4" t="s">
        <v>2064</v>
      </c>
      <c r="P324" s="4" t="s">
        <v>1845</v>
      </c>
      <c r="Q324" s="4" t="s">
        <v>2065</v>
      </c>
      <c r="R324" s="4" t="b">
        <v>0</v>
      </c>
      <c r="S324" s="4" t="s">
        <v>1486</v>
      </c>
      <c r="T324" s="2">
        <v>46002.6527777778</v>
      </c>
      <c r="U324" s="2">
        <v>46002.0</v>
      </c>
      <c r="V324" s="4">
        <v>49.0</v>
      </c>
      <c r="W324" s="4" t="s">
        <v>550</v>
      </c>
      <c r="X324" s="4">
        <v>2025.0</v>
      </c>
      <c r="Y324" s="4" t="s">
        <v>1518</v>
      </c>
      <c r="Z324" s="4"/>
      <c r="AA324" s="4" t="s">
        <v>558</v>
      </c>
      <c r="AB324" s="4" t="b">
        <v>0</v>
      </c>
      <c r="AC324" s="4" t="s">
        <v>536</v>
      </c>
      <c r="AD324" s="4" t="s">
        <v>537</v>
      </c>
    </row>
    <row r="325" ht="14.25" customHeight="1">
      <c r="A325" s="4">
        <v>8101532.0</v>
      </c>
      <c r="B325" s="2">
        <v>46002.6784837963</v>
      </c>
      <c r="C325" s="4">
        <v>7328686.0</v>
      </c>
      <c r="D325" s="4" t="s">
        <v>964</v>
      </c>
      <c r="E325" s="2">
        <v>46002.6791666667</v>
      </c>
      <c r="F325" s="4">
        <v>1.0</v>
      </c>
      <c r="G325" s="4">
        <v>0.0</v>
      </c>
      <c r="H325" s="4"/>
      <c r="I325" s="4"/>
      <c r="J325" s="4" t="s">
        <v>539</v>
      </c>
      <c r="K325" s="4" t="s">
        <v>539</v>
      </c>
      <c r="L325" s="4" t="s">
        <v>1499</v>
      </c>
      <c r="M325" s="4" t="s">
        <v>1482</v>
      </c>
      <c r="N325" s="4"/>
      <c r="O325" s="4" t="s">
        <v>1483</v>
      </c>
      <c r="P325" s="4" t="s">
        <v>1605</v>
      </c>
      <c r="Q325" s="4" t="s">
        <v>2066</v>
      </c>
      <c r="R325" s="4" t="b">
        <v>0</v>
      </c>
      <c r="S325" s="4" t="s">
        <v>1486</v>
      </c>
      <c r="T325" s="2">
        <v>46002.6805555556</v>
      </c>
      <c r="U325" s="2">
        <v>46002.0</v>
      </c>
      <c r="V325" s="4">
        <v>49.0</v>
      </c>
      <c r="W325" s="4" t="s">
        <v>550</v>
      </c>
      <c r="X325" s="4">
        <v>2025.0</v>
      </c>
      <c r="Y325" s="4" t="s">
        <v>1502</v>
      </c>
      <c r="Z325" s="4" t="s">
        <v>557</v>
      </c>
      <c r="AA325" s="4" t="s">
        <v>558</v>
      </c>
      <c r="AB325" s="4" t="b">
        <v>0</v>
      </c>
      <c r="AC325" s="4" t="s">
        <v>536</v>
      </c>
      <c r="AD325" s="4" t="s">
        <v>537</v>
      </c>
    </row>
    <row r="326" ht="14.25" customHeight="1">
      <c r="A326" s="4">
        <v>8099014.0</v>
      </c>
      <c r="B326" s="2">
        <v>46002.4796990741</v>
      </c>
      <c r="C326" s="4">
        <v>7326178.0</v>
      </c>
      <c r="D326" s="4" t="s">
        <v>965</v>
      </c>
      <c r="E326" s="2">
        <v>46002.7652777778</v>
      </c>
      <c r="F326" s="4">
        <v>1.0</v>
      </c>
      <c r="G326" s="4">
        <v>0.0</v>
      </c>
      <c r="H326" s="4"/>
      <c r="I326" s="4"/>
      <c r="J326" s="4" t="s">
        <v>539</v>
      </c>
      <c r="K326" s="4" t="s">
        <v>539</v>
      </c>
      <c r="L326" s="4" t="s">
        <v>1499</v>
      </c>
      <c r="M326" s="4" t="s">
        <v>1482</v>
      </c>
      <c r="N326" s="4"/>
      <c r="O326" s="4" t="s">
        <v>2067</v>
      </c>
      <c r="P326" s="4" t="s">
        <v>1544</v>
      </c>
      <c r="Q326" s="4" t="s">
        <v>2068</v>
      </c>
      <c r="R326" s="4" t="b">
        <v>0</v>
      </c>
      <c r="S326" s="4" t="s">
        <v>1486</v>
      </c>
      <c r="T326" s="2">
        <v>46002.7666666667</v>
      </c>
      <c r="U326" s="2">
        <v>46002.0</v>
      </c>
      <c r="V326" s="4">
        <v>49.0</v>
      </c>
      <c r="W326" s="4" t="s">
        <v>550</v>
      </c>
      <c r="X326" s="4">
        <v>2025.0</v>
      </c>
      <c r="Y326" s="4" t="s">
        <v>1502</v>
      </c>
      <c r="Z326" s="4"/>
      <c r="AA326" s="4" t="s">
        <v>558</v>
      </c>
      <c r="AB326" s="4" t="b">
        <v>0</v>
      </c>
      <c r="AC326" s="4" t="s">
        <v>554</v>
      </c>
      <c r="AD326" s="4" t="s">
        <v>537</v>
      </c>
    </row>
    <row r="327" ht="14.25" customHeight="1">
      <c r="A327" s="4">
        <v>8102665.0</v>
      </c>
      <c r="B327" s="2">
        <v>46002.7939351852</v>
      </c>
      <c r="C327" s="4">
        <v>7329807.0</v>
      </c>
      <c r="D327" s="4" t="s">
        <v>966</v>
      </c>
      <c r="E327" s="2">
        <v>46002.7944444444</v>
      </c>
      <c r="F327" s="4">
        <v>1.0</v>
      </c>
      <c r="G327" s="4">
        <v>0.0</v>
      </c>
      <c r="H327" s="4" t="s">
        <v>1519</v>
      </c>
      <c r="I327" s="4" t="s">
        <v>1661</v>
      </c>
      <c r="J327" s="4" t="s">
        <v>1519</v>
      </c>
      <c r="K327" s="4" t="s">
        <v>1513</v>
      </c>
      <c r="L327" s="4" t="s">
        <v>1661</v>
      </c>
      <c r="M327" s="4" t="s">
        <v>1514</v>
      </c>
      <c r="N327" s="4" t="s">
        <v>540</v>
      </c>
      <c r="O327" s="4" t="s">
        <v>2069</v>
      </c>
      <c r="P327" s="4" t="s">
        <v>1506</v>
      </c>
      <c r="Q327" s="4" t="s">
        <v>2070</v>
      </c>
      <c r="R327" s="4" t="b">
        <v>0</v>
      </c>
      <c r="S327" s="4" t="s">
        <v>1486</v>
      </c>
      <c r="T327" s="2">
        <v>46002.7958333333</v>
      </c>
      <c r="U327" s="2">
        <v>46002.0</v>
      </c>
      <c r="V327" s="4">
        <v>49.0</v>
      </c>
      <c r="W327" s="4" t="s">
        <v>550</v>
      </c>
      <c r="X327" s="4">
        <v>2025.0</v>
      </c>
      <c r="Y327" s="4" t="s">
        <v>1518</v>
      </c>
      <c r="Z327" s="4" t="s">
        <v>557</v>
      </c>
      <c r="AA327" s="4" t="s">
        <v>558</v>
      </c>
      <c r="AB327" s="4" t="b">
        <v>0</v>
      </c>
      <c r="AC327" s="4" t="s">
        <v>536</v>
      </c>
      <c r="AD327" s="4" t="s">
        <v>537</v>
      </c>
    </row>
    <row r="328" ht="14.25" customHeight="1">
      <c r="A328" s="4">
        <v>8102944.0</v>
      </c>
      <c r="B328" s="2">
        <v>46002.8328935185</v>
      </c>
      <c r="C328" s="4">
        <v>7330086.0</v>
      </c>
      <c r="D328" s="4" t="s">
        <v>968</v>
      </c>
      <c r="E328" s="2">
        <v>46002.8340277778</v>
      </c>
      <c r="F328" s="4">
        <v>1.0</v>
      </c>
      <c r="G328" s="4">
        <v>0.0</v>
      </c>
      <c r="H328" s="4"/>
      <c r="I328" s="4"/>
      <c r="J328" s="4" t="s">
        <v>1480</v>
      </c>
      <c r="K328" s="4" t="s">
        <v>1480</v>
      </c>
      <c r="L328" s="4" t="s">
        <v>1481</v>
      </c>
      <c r="M328" s="4" t="s">
        <v>1482</v>
      </c>
      <c r="N328" s="4" t="s">
        <v>540</v>
      </c>
      <c r="O328" s="4" t="s">
        <v>2057</v>
      </c>
      <c r="P328" s="4" t="s">
        <v>1605</v>
      </c>
      <c r="Q328" s="4" t="s">
        <v>2071</v>
      </c>
      <c r="R328" s="4" t="b">
        <v>0</v>
      </c>
      <c r="S328" s="4" t="s">
        <v>1486</v>
      </c>
      <c r="T328" s="2">
        <v>46002.8354166667</v>
      </c>
      <c r="U328" s="2">
        <v>46002.0</v>
      </c>
      <c r="V328" s="4">
        <v>49.0</v>
      </c>
      <c r="W328" s="4" t="s">
        <v>550</v>
      </c>
      <c r="X328" s="4">
        <v>2025.0</v>
      </c>
      <c r="Y328" s="4" t="s">
        <v>1487</v>
      </c>
      <c r="Z328" s="4"/>
      <c r="AA328" s="4" t="s">
        <v>558</v>
      </c>
      <c r="AB328" s="4" t="b">
        <v>0</v>
      </c>
      <c r="AC328" s="4" t="s">
        <v>554</v>
      </c>
      <c r="AD328" s="4" t="s">
        <v>537</v>
      </c>
    </row>
    <row r="329" ht="14.25" customHeight="1">
      <c r="A329" s="4">
        <v>7863707.0</v>
      </c>
      <c r="B329" s="2">
        <v>45965.6274074074</v>
      </c>
      <c r="C329" s="4">
        <v>7094062.0</v>
      </c>
      <c r="D329" s="4" t="s">
        <v>969</v>
      </c>
      <c r="E329" s="2">
        <v>46002.8909722222</v>
      </c>
      <c r="F329" s="4">
        <v>1.0</v>
      </c>
      <c r="G329" s="4">
        <v>0.0</v>
      </c>
      <c r="H329" s="4"/>
      <c r="I329" s="4"/>
      <c r="J329" s="4" t="s">
        <v>1480</v>
      </c>
      <c r="K329" s="4" t="s">
        <v>1480</v>
      </c>
      <c r="L329" s="4" t="s">
        <v>1481</v>
      </c>
      <c r="M329" s="4" t="s">
        <v>1482</v>
      </c>
      <c r="N329" s="4" t="s">
        <v>540</v>
      </c>
      <c r="O329" s="4" t="s">
        <v>1483</v>
      </c>
      <c r="P329" s="4" t="s">
        <v>1488</v>
      </c>
      <c r="Q329" s="4" t="s">
        <v>2072</v>
      </c>
      <c r="R329" s="4" t="b">
        <v>0</v>
      </c>
      <c r="S329" s="4" t="s">
        <v>1486</v>
      </c>
      <c r="T329" s="2">
        <v>46002.8923611111</v>
      </c>
      <c r="U329" s="2">
        <v>45965.0</v>
      </c>
      <c r="V329" s="4">
        <v>44.0</v>
      </c>
      <c r="W329" s="4" t="s">
        <v>545</v>
      </c>
      <c r="X329" s="4">
        <v>2025.0</v>
      </c>
      <c r="Y329" s="4" t="s">
        <v>1487</v>
      </c>
      <c r="Z329" s="4" t="s">
        <v>557</v>
      </c>
      <c r="AA329" s="4" t="s">
        <v>558</v>
      </c>
      <c r="AB329" s="4" t="b">
        <v>1</v>
      </c>
      <c r="AC329" s="4" t="s">
        <v>567</v>
      </c>
      <c r="AD329" s="4" t="s">
        <v>537</v>
      </c>
    </row>
    <row r="330" ht="14.25" customHeight="1">
      <c r="A330" s="4">
        <v>7832818.0</v>
      </c>
      <c r="B330" s="2">
        <v>45957.8739699074</v>
      </c>
      <c r="C330" s="4">
        <v>7065897.0</v>
      </c>
      <c r="D330" s="4" t="s">
        <v>970</v>
      </c>
      <c r="E330" s="2">
        <v>46002.9784722222</v>
      </c>
      <c r="F330" s="4">
        <v>1.0</v>
      </c>
      <c r="G330" s="4">
        <v>0.0</v>
      </c>
      <c r="H330" s="4"/>
      <c r="I330" s="4"/>
      <c r="J330" s="4" t="s">
        <v>539</v>
      </c>
      <c r="K330" s="4" t="s">
        <v>539</v>
      </c>
      <c r="L330" s="4" t="s">
        <v>1499</v>
      </c>
      <c r="M330" s="4" t="s">
        <v>1482</v>
      </c>
      <c r="N330" s="4"/>
      <c r="O330" s="4" t="s">
        <v>1483</v>
      </c>
      <c r="P330" s="4" t="s">
        <v>2073</v>
      </c>
      <c r="Q330" s="4" t="s">
        <v>2074</v>
      </c>
      <c r="R330" s="4" t="b">
        <v>0</v>
      </c>
      <c r="S330" s="4" t="s">
        <v>1486</v>
      </c>
      <c r="T330" s="2">
        <v>46002.9798611111</v>
      </c>
      <c r="U330" s="2">
        <v>45957.0</v>
      </c>
      <c r="V330" s="4">
        <v>43.0</v>
      </c>
      <c r="W330" s="4" t="s">
        <v>1560</v>
      </c>
      <c r="X330" s="4">
        <v>2025.0</v>
      </c>
      <c r="Y330" s="4" t="s">
        <v>1502</v>
      </c>
      <c r="Z330" s="4"/>
      <c r="AA330" s="4" t="s">
        <v>673</v>
      </c>
      <c r="AB330" s="4" t="b">
        <v>1</v>
      </c>
      <c r="AC330" s="4" t="s">
        <v>536</v>
      </c>
      <c r="AD330" s="4" t="s">
        <v>537</v>
      </c>
    </row>
    <row r="331" ht="14.25" customHeight="1">
      <c r="A331" s="4">
        <v>8103979.0</v>
      </c>
      <c r="B331" s="2">
        <v>46002.9849421296</v>
      </c>
      <c r="C331" s="4">
        <v>7331108.0</v>
      </c>
      <c r="D331" s="4" t="s">
        <v>971</v>
      </c>
      <c r="E331" s="2">
        <v>46002.9847222222</v>
      </c>
      <c r="F331" s="4">
        <v>0.0</v>
      </c>
      <c r="G331" s="4">
        <v>0.0</v>
      </c>
      <c r="H331" s="4"/>
      <c r="I331" s="4"/>
      <c r="J331" s="4"/>
      <c r="K331" s="4"/>
      <c r="L331" s="4"/>
      <c r="M331" s="4" t="s">
        <v>1482</v>
      </c>
      <c r="N331" s="4" t="s">
        <v>1483</v>
      </c>
      <c r="O331" s="4" t="s">
        <v>2075</v>
      </c>
      <c r="P331" s="4" t="s">
        <v>1488</v>
      </c>
      <c r="Q331" s="4" t="s">
        <v>2076</v>
      </c>
      <c r="R331" s="4" t="b">
        <v>1</v>
      </c>
      <c r="S331" s="4" t="s">
        <v>1486</v>
      </c>
      <c r="T331" s="2">
        <v>46002.9861111111</v>
      </c>
      <c r="U331" s="2">
        <v>46002.0</v>
      </c>
      <c r="V331" s="4">
        <v>49.0</v>
      </c>
      <c r="W331" s="4" t="s">
        <v>550</v>
      </c>
      <c r="X331" s="4">
        <v>2025.0</v>
      </c>
      <c r="Y331" s="4" t="s">
        <v>1540</v>
      </c>
      <c r="Z331" s="4" t="s">
        <v>557</v>
      </c>
      <c r="AA331" s="4" t="s">
        <v>558</v>
      </c>
      <c r="AB331" s="4" t="b">
        <v>0</v>
      </c>
      <c r="AC331" s="4" t="s">
        <v>536</v>
      </c>
      <c r="AD331" s="4" t="s">
        <v>537</v>
      </c>
    </row>
    <row r="332" ht="14.25" customHeight="1">
      <c r="A332" s="4">
        <v>8104061.0</v>
      </c>
      <c r="B332" s="2">
        <v>46002.9997916667</v>
      </c>
      <c r="C332" s="4">
        <v>7331190.0</v>
      </c>
      <c r="D332" s="4" t="s">
        <v>972</v>
      </c>
      <c r="E332" s="2">
        <v>46003.0</v>
      </c>
      <c r="F332" s="4">
        <v>1.0</v>
      </c>
      <c r="G332" s="4">
        <v>0.0</v>
      </c>
      <c r="H332" s="4"/>
      <c r="I332" s="4"/>
      <c r="J332" s="4" t="s">
        <v>539</v>
      </c>
      <c r="K332" s="4" t="s">
        <v>539</v>
      </c>
      <c r="L332" s="4" t="s">
        <v>1499</v>
      </c>
      <c r="M332" s="4" t="s">
        <v>1482</v>
      </c>
      <c r="N332" s="4"/>
      <c r="O332" s="4" t="s">
        <v>1483</v>
      </c>
      <c r="P332" s="4" t="s">
        <v>1488</v>
      </c>
      <c r="Q332" s="4" t="s">
        <v>2077</v>
      </c>
      <c r="R332" s="4" t="b">
        <v>0</v>
      </c>
      <c r="S332" s="4" t="s">
        <v>1486</v>
      </c>
      <c r="T332" s="2">
        <v>46003.4569444444</v>
      </c>
      <c r="U332" s="2">
        <v>46002.0</v>
      </c>
      <c r="V332" s="4">
        <v>49.0</v>
      </c>
      <c r="W332" s="4" t="s">
        <v>550</v>
      </c>
      <c r="X332" s="4">
        <v>2025.0</v>
      </c>
      <c r="Y332" s="4" t="s">
        <v>1502</v>
      </c>
      <c r="Z332" s="4" t="s">
        <v>973</v>
      </c>
      <c r="AA332" s="4" t="s">
        <v>974</v>
      </c>
      <c r="AB332" s="4" t="b">
        <v>1</v>
      </c>
      <c r="AC332" s="4" t="s">
        <v>536</v>
      </c>
      <c r="AD332" s="4" t="s">
        <v>537</v>
      </c>
    </row>
    <row r="333" ht="14.25" customHeight="1">
      <c r="A333" s="4">
        <v>8104272.0</v>
      </c>
      <c r="B333" s="2">
        <v>46003.0355555556</v>
      </c>
      <c r="C333" s="4">
        <v>7331401.0</v>
      </c>
      <c r="D333" s="4" t="s">
        <v>975</v>
      </c>
      <c r="E333" s="2">
        <v>46003.0361111111</v>
      </c>
      <c r="F333" s="4">
        <v>1.0</v>
      </c>
      <c r="G333" s="4">
        <v>0.0</v>
      </c>
      <c r="H333" s="4"/>
      <c r="I333" s="4"/>
      <c r="J333" s="4" t="s">
        <v>1480</v>
      </c>
      <c r="K333" s="4" t="s">
        <v>1480</v>
      </c>
      <c r="L333" s="4" t="s">
        <v>1481</v>
      </c>
      <c r="M333" s="4" t="s">
        <v>1482</v>
      </c>
      <c r="N333" s="4" t="s">
        <v>540</v>
      </c>
      <c r="O333" s="4" t="s">
        <v>1842</v>
      </c>
      <c r="P333" s="4" t="s">
        <v>1674</v>
      </c>
      <c r="Q333" s="4" t="s">
        <v>2078</v>
      </c>
      <c r="R333" s="4" t="b">
        <v>0</v>
      </c>
      <c r="S333" s="4" t="s">
        <v>1486</v>
      </c>
      <c r="T333" s="2">
        <v>46003.0375</v>
      </c>
      <c r="U333" s="2">
        <v>46003.0</v>
      </c>
      <c r="V333" s="4">
        <v>49.0</v>
      </c>
      <c r="W333" s="4" t="s">
        <v>550</v>
      </c>
      <c r="X333" s="4">
        <v>2025.0</v>
      </c>
      <c r="Y333" s="4" t="s">
        <v>1487</v>
      </c>
      <c r="Z333" s="4"/>
      <c r="AA333" s="4" t="s">
        <v>786</v>
      </c>
      <c r="AB333" s="4" t="b">
        <v>0</v>
      </c>
      <c r="AC333" s="4" t="s">
        <v>567</v>
      </c>
      <c r="AD333" s="4" t="s">
        <v>537</v>
      </c>
    </row>
    <row r="334" ht="14.25" customHeight="1">
      <c r="A334" s="4">
        <v>8104602.0</v>
      </c>
      <c r="B334" s="2">
        <v>46003.0976157407</v>
      </c>
      <c r="C334" s="4">
        <v>7331728.0</v>
      </c>
      <c r="D334" s="4" t="s">
        <v>976</v>
      </c>
      <c r="E334" s="2">
        <v>46003.0993055556</v>
      </c>
      <c r="F334" s="4">
        <v>1.0</v>
      </c>
      <c r="G334" s="4">
        <v>0.0</v>
      </c>
      <c r="H334" s="4"/>
      <c r="I334" s="4"/>
      <c r="J334" s="4" t="s">
        <v>1480</v>
      </c>
      <c r="K334" s="4" t="s">
        <v>1480</v>
      </c>
      <c r="L334" s="4" t="s">
        <v>1481</v>
      </c>
      <c r="M334" s="4" t="s">
        <v>1482</v>
      </c>
      <c r="N334" s="4" t="s">
        <v>540</v>
      </c>
      <c r="O334" s="4" t="s">
        <v>1483</v>
      </c>
      <c r="P334" s="4" t="s">
        <v>2079</v>
      </c>
      <c r="Q334" s="4" t="s">
        <v>2080</v>
      </c>
      <c r="R334" s="4" t="b">
        <v>0</v>
      </c>
      <c r="S334" s="4" t="s">
        <v>1486</v>
      </c>
      <c r="T334" s="2">
        <v>46003.1006944444</v>
      </c>
      <c r="U334" s="2">
        <v>46003.0</v>
      </c>
      <c r="V334" s="4">
        <v>49.0</v>
      </c>
      <c r="W334" s="4" t="s">
        <v>550</v>
      </c>
      <c r="X334" s="4">
        <v>2025.0</v>
      </c>
      <c r="Y334" s="4" t="s">
        <v>1487</v>
      </c>
      <c r="Z334" s="4" t="s">
        <v>977</v>
      </c>
      <c r="AA334" s="4" t="s">
        <v>655</v>
      </c>
      <c r="AB334" s="4" t="b">
        <v>0</v>
      </c>
      <c r="AC334" s="4" t="s">
        <v>536</v>
      </c>
      <c r="AD334" s="4" t="s">
        <v>537</v>
      </c>
    </row>
    <row r="335" ht="14.25" customHeight="1">
      <c r="A335" s="4">
        <v>8104786.0</v>
      </c>
      <c r="B335" s="2">
        <v>46003.1294444444</v>
      </c>
      <c r="C335" s="4">
        <v>7331912.0</v>
      </c>
      <c r="D335" s="4" t="s">
        <v>978</v>
      </c>
      <c r="E335" s="2">
        <v>46003.1305555556</v>
      </c>
      <c r="F335" s="4">
        <v>1.0</v>
      </c>
      <c r="G335" s="4">
        <v>0.0</v>
      </c>
      <c r="H335" s="4"/>
      <c r="I335" s="4"/>
      <c r="J335" s="4" t="s">
        <v>1480</v>
      </c>
      <c r="K335" s="4" t="s">
        <v>1480</v>
      </c>
      <c r="L335" s="4" t="s">
        <v>1481</v>
      </c>
      <c r="M335" s="4" t="s">
        <v>1482</v>
      </c>
      <c r="N335" s="4" t="s">
        <v>540</v>
      </c>
      <c r="O335" s="4" t="s">
        <v>1483</v>
      </c>
      <c r="P335" s="4" t="s">
        <v>2081</v>
      </c>
      <c r="Q335" s="4" t="s">
        <v>2082</v>
      </c>
      <c r="R335" s="4" t="b">
        <v>0</v>
      </c>
      <c r="S335" s="4" t="s">
        <v>1486</v>
      </c>
      <c r="T335" s="2">
        <v>46003.1319444444</v>
      </c>
      <c r="U335" s="2">
        <v>46003.0</v>
      </c>
      <c r="V335" s="4">
        <v>49.0</v>
      </c>
      <c r="W335" s="4" t="s">
        <v>550</v>
      </c>
      <c r="X335" s="4">
        <v>2025.0</v>
      </c>
      <c r="Y335" s="4" t="s">
        <v>1487</v>
      </c>
      <c r="Z335" s="4"/>
      <c r="AA335" s="4" t="s">
        <v>558</v>
      </c>
      <c r="AB335" s="4" t="b">
        <v>1</v>
      </c>
      <c r="AC335" s="4" t="s">
        <v>536</v>
      </c>
      <c r="AD335" s="4" t="s">
        <v>537</v>
      </c>
    </row>
    <row r="336" ht="14.25" customHeight="1">
      <c r="A336" s="4">
        <v>8104805.0</v>
      </c>
      <c r="B336" s="2">
        <v>46003.1326851852</v>
      </c>
      <c r="C336" s="4">
        <v>7331931.0</v>
      </c>
      <c r="D336" s="4" t="s">
        <v>979</v>
      </c>
      <c r="E336" s="2">
        <v>46003.1326388889</v>
      </c>
      <c r="F336" s="4">
        <v>1.0</v>
      </c>
      <c r="G336" s="4">
        <v>0.0</v>
      </c>
      <c r="H336" s="4"/>
      <c r="I336" s="4"/>
      <c r="J336" s="4" t="s">
        <v>1526</v>
      </c>
      <c r="K336" s="4" t="s">
        <v>1527</v>
      </c>
      <c r="L336" s="4" t="s">
        <v>1528</v>
      </c>
      <c r="M336" s="4" t="s">
        <v>1482</v>
      </c>
      <c r="N336" s="4" t="s">
        <v>1529</v>
      </c>
      <c r="O336" s="4" t="s">
        <v>1530</v>
      </c>
      <c r="P336" s="4" t="s">
        <v>1655</v>
      </c>
      <c r="Q336" s="4" t="s">
        <v>2082</v>
      </c>
      <c r="R336" s="4" t="b">
        <v>0</v>
      </c>
      <c r="S336" s="4" t="s">
        <v>1486</v>
      </c>
      <c r="T336" s="2">
        <v>46003.1340277778</v>
      </c>
      <c r="U336" s="2">
        <v>46003.0</v>
      </c>
      <c r="V336" s="4">
        <v>49.0</v>
      </c>
      <c r="W336" s="4" t="s">
        <v>550</v>
      </c>
      <c r="X336" s="4">
        <v>2025.0</v>
      </c>
      <c r="Y336" s="4" t="s">
        <v>1532</v>
      </c>
      <c r="Z336" s="4" t="s">
        <v>557</v>
      </c>
      <c r="AA336" s="4" t="s">
        <v>558</v>
      </c>
      <c r="AB336" s="4" t="b">
        <v>0</v>
      </c>
      <c r="AC336" s="4" t="s">
        <v>536</v>
      </c>
      <c r="AD336" s="4" t="s">
        <v>537</v>
      </c>
    </row>
    <row r="337" ht="14.25" customHeight="1">
      <c r="A337" s="4">
        <v>8105096.0</v>
      </c>
      <c r="B337" s="2">
        <v>46003.1905787037</v>
      </c>
      <c r="C337" s="4">
        <v>7332219.0</v>
      </c>
      <c r="D337" s="4" t="s">
        <v>980</v>
      </c>
      <c r="E337" s="2">
        <v>46003.1923611111</v>
      </c>
      <c r="F337" s="4">
        <v>1.0</v>
      </c>
      <c r="G337" s="4">
        <v>0.0</v>
      </c>
      <c r="H337" s="4" t="s">
        <v>1519</v>
      </c>
      <c r="I337" s="4" t="s">
        <v>1858</v>
      </c>
      <c r="J337" s="4" t="s">
        <v>1519</v>
      </c>
      <c r="K337" s="4" t="s">
        <v>1513</v>
      </c>
      <c r="L337" s="4" t="s">
        <v>1858</v>
      </c>
      <c r="M337" s="4" t="s">
        <v>1482</v>
      </c>
      <c r="N337" s="4" t="s">
        <v>540</v>
      </c>
      <c r="O337" s="4" t="s">
        <v>2083</v>
      </c>
      <c r="P337" s="4" t="s">
        <v>1506</v>
      </c>
      <c r="Q337" s="4" t="s">
        <v>2084</v>
      </c>
      <c r="R337" s="4" t="b">
        <v>0</v>
      </c>
      <c r="S337" s="4" t="s">
        <v>1486</v>
      </c>
      <c r="T337" s="2">
        <v>46003.19375</v>
      </c>
      <c r="U337" s="2">
        <v>46003.0</v>
      </c>
      <c r="V337" s="4">
        <v>49.0</v>
      </c>
      <c r="W337" s="4" t="s">
        <v>550</v>
      </c>
      <c r="X337" s="4">
        <v>2025.0</v>
      </c>
      <c r="Y337" s="4" t="s">
        <v>1518</v>
      </c>
      <c r="Z337" s="4" t="s">
        <v>557</v>
      </c>
      <c r="AA337" s="4" t="s">
        <v>558</v>
      </c>
      <c r="AB337" s="4" t="b">
        <v>0</v>
      </c>
      <c r="AC337" s="4" t="s">
        <v>623</v>
      </c>
      <c r="AD337" s="4" t="s">
        <v>537</v>
      </c>
    </row>
    <row r="338" ht="14.25" customHeight="1">
      <c r="A338" s="4">
        <v>8080205.0</v>
      </c>
      <c r="B338" s="2">
        <v>46001.3763657407</v>
      </c>
      <c r="C338" s="4">
        <v>7307440.0</v>
      </c>
      <c r="D338" s="4" t="s">
        <v>982</v>
      </c>
      <c r="E338" s="2">
        <v>46003.3784722222</v>
      </c>
      <c r="F338" s="4">
        <v>1.0</v>
      </c>
      <c r="G338" s="4">
        <v>0.0</v>
      </c>
      <c r="H338" s="4" t="s">
        <v>1511</v>
      </c>
      <c r="I338" s="4" t="s">
        <v>2085</v>
      </c>
      <c r="J338" s="4" t="s">
        <v>1511</v>
      </c>
      <c r="K338" s="4" t="s">
        <v>1513</v>
      </c>
      <c r="L338" s="4" t="s">
        <v>2085</v>
      </c>
      <c r="M338" s="4" t="s">
        <v>2086</v>
      </c>
      <c r="N338" s="4" t="s">
        <v>653</v>
      </c>
      <c r="O338" s="4" t="s">
        <v>2087</v>
      </c>
      <c r="P338" s="4" t="s">
        <v>1845</v>
      </c>
      <c r="Q338" s="4" t="s">
        <v>2088</v>
      </c>
      <c r="R338" s="4" t="b">
        <v>0</v>
      </c>
      <c r="S338" s="4" t="s">
        <v>1486</v>
      </c>
      <c r="T338" s="2">
        <v>46003.3798611111</v>
      </c>
      <c r="U338" s="2">
        <v>46001.0</v>
      </c>
      <c r="V338" s="4">
        <v>49.0</v>
      </c>
      <c r="W338" s="4" t="s">
        <v>550</v>
      </c>
      <c r="X338" s="4">
        <v>2025.0</v>
      </c>
      <c r="Y338" s="4" t="s">
        <v>1518</v>
      </c>
      <c r="Z338" s="4" t="s">
        <v>557</v>
      </c>
      <c r="AA338" s="4" t="s">
        <v>558</v>
      </c>
      <c r="AB338" s="4" t="b">
        <v>0</v>
      </c>
      <c r="AC338" s="4" t="s">
        <v>536</v>
      </c>
      <c r="AD338" s="4" t="s">
        <v>537</v>
      </c>
    </row>
    <row r="339" ht="14.25" customHeight="1">
      <c r="A339" s="4">
        <v>8106537.0</v>
      </c>
      <c r="B339" s="2">
        <v>46003.4307291667</v>
      </c>
      <c r="C339" s="4">
        <v>7333647.0</v>
      </c>
      <c r="D339" s="4" t="s">
        <v>983</v>
      </c>
      <c r="E339" s="2">
        <v>46003.43125</v>
      </c>
      <c r="F339" s="4">
        <v>1.0</v>
      </c>
      <c r="G339" s="4">
        <v>0.0</v>
      </c>
      <c r="H339" s="4"/>
      <c r="I339" s="4"/>
      <c r="J339" s="4" t="s">
        <v>1526</v>
      </c>
      <c r="K339" s="4" t="s">
        <v>1527</v>
      </c>
      <c r="L339" s="4" t="s">
        <v>1528</v>
      </c>
      <c r="M339" s="4" t="s">
        <v>1482</v>
      </c>
      <c r="N339" s="4" t="s">
        <v>1529</v>
      </c>
      <c r="O339" s="4" t="s">
        <v>1530</v>
      </c>
      <c r="P339" s="4" t="s">
        <v>1635</v>
      </c>
      <c r="Q339" s="4" t="s">
        <v>2089</v>
      </c>
      <c r="R339" s="4" t="b">
        <v>0</v>
      </c>
      <c r="S339" s="4" t="s">
        <v>1486</v>
      </c>
      <c r="T339" s="2">
        <v>46006.3659722222</v>
      </c>
      <c r="U339" s="2">
        <v>46003.0</v>
      </c>
      <c r="V339" s="4">
        <v>49.0</v>
      </c>
      <c r="W339" s="4" t="s">
        <v>550</v>
      </c>
      <c r="X339" s="4">
        <v>2025.0</v>
      </c>
      <c r="Y339" s="4" t="s">
        <v>1532</v>
      </c>
      <c r="Z339" s="4" t="s">
        <v>984</v>
      </c>
      <c r="AA339" s="4" t="s">
        <v>985</v>
      </c>
      <c r="AB339" s="4" t="b">
        <v>0</v>
      </c>
      <c r="AC339" s="4" t="s">
        <v>536</v>
      </c>
      <c r="AD339" s="4" t="s">
        <v>537</v>
      </c>
    </row>
    <row r="340" ht="14.25" customHeight="1">
      <c r="A340" s="4">
        <v>8106523.0</v>
      </c>
      <c r="B340" s="2">
        <v>46003.4293171296</v>
      </c>
      <c r="C340" s="4">
        <v>7333633.0</v>
      </c>
      <c r="D340" s="4" t="s">
        <v>986</v>
      </c>
      <c r="E340" s="2">
        <v>46003.4395833333</v>
      </c>
      <c r="F340" s="4">
        <v>1.0</v>
      </c>
      <c r="G340" s="4">
        <v>0.0</v>
      </c>
      <c r="H340" s="4" t="s">
        <v>1511</v>
      </c>
      <c r="I340" s="4" t="s">
        <v>1512</v>
      </c>
      <c r="J340" s="4" t="s">
        <v>1511</v>
      </c>
      <c r="K340" s="4" t="s">
        <v>1513</v>
      </c>
      <c r="L340" s="4" t="s">
        <v>1512</v>
      </c>
      <c r="M340" s="4" t="s">
        <v>2090</v>
      </c>
      <c r="N340" s="4" t="s">
        <v>653</v>
      </c>
      <c r="O340" s="4" t="s">
        <v>2091</v>
      </c>
      <c r="P340" s="4" t="s">
        <v>1845</v>
      </c>
      <c r="Q340" s="4" t="s">
        <v>2092</v>
      </c>
      <c r="R340" s="4" t="b">
        <v>0</v>
      </c>
      <c r="S340" s="4" t="s">
        <v>1486</v>
      </c>
      <c r="T340" s="2">
        <v>46003.4409722222</v>
      </c>
      <c r="U340" s="2">
        <v>46003.0</v>
      </c>
      <c r="V340" s="4">
        <v>49.0</v>
      </c>
      <c r="W340" s="4" t="s">
        <v>550</v>
      </c>
      <c r="X340" s="4">
        <v>2025.0</v>
      </c>
      <c r="Y340" s="4" t="s">
        <v>1518</v>
      </c>
      <c r="Z340" s="4" t="s">
        <v>557</v>
      </c>
      <c r="AA340" s="4" t="s">
        <v>558</v>
      </c>
      <c r="AB340" s="4" t="b">
        <v>0</v>
      </c>
      <c r="AC340" s="4" t="s">
        <v>536</v>
      </c>
      <c r="AD340" s="4" t="s">
        <v>537</v>
      </c>
    </row>
    <row r="341" ht="14.25" customHeight="1">
      <c r="A341" s="4">
        <v>8104061.0</v>
      </c>
      <c r="B341" s="2">
        <v>46002.9997916667</v>
      </c>
      <c r="C341" s="4">
        <v>7331190.0</v>
      </c>
      <c r="D341" s="4" t="s">
        <v>987</v>
      </c>
      <c r="E341" s="2">
        <v>46003.4555555556</v>
      </c>
      <c r="F341" s="4">
        <v>1.0</v>
      </c>
      <c r="G341" s="4">
        <v>0.0</v>
      </c>
      <c r="H341" s="4"/>
      <c r="I341" s="4"/>
      <c r="J341" s="4" t="s">
        <v>539</v>
      </c>
      <c r="K341" s="4" t="s">
        <v>539</v>
      </c>
      <c r="L341" s="4" t="s">
        <v>1499</v>
      </c>
      <c r="M341" s="4" t="s">
        <v>1482</v>
      </c>
      <c r="N341" s="4"/>
      <c r="O341" s="4" t="s">
        <v>1483</v>
      </c>
      <c r="P341" s="4" t="s">
        <v>1488</v>
      </c>
      <c r="Q341" s="4" t="s">
        <v>2077</v>
      </c>
      <c r="R341" s="4" t="b">
        <v>0</v>
      </c>
      <c r="S341" s="4" t="s">
        <v>1486</v>
      </c>
      <c r="T341" s="2">
        <v>46003.4569444444</v>
      </c>
      <c r="U341" s="2">
        <v>46002.0</v>
      </c>
      <c r="V341" s="4">
        <v>49.0</v>
      </c>
      <c r="W341" s="4" t="s">
        <v>550</v>
      </c>
      <c r="X341" s="4">
        <v>2025.0</v>
      </c>
      <c r="Y341" s="4" t="s">
        <v>1502</v>
      </c>
      <c r="Z341" s="4" t="s">
        <v>973</v>
      </c>
      <c r="AA341" s="4" t="s">
        <v>974</v>
      </c>
      <c r="AB341" s="4" t="b">
        <v>1</v>
      </c>
      <c r="AC341" s="4" t="s">
        <v>536</v>
      </c>
      <c r="AD341" s="4" t="s">
        <v>537</v>
      </c>
    </row>
    <row r="342" ht="14.25" customHeight="1">
      <c r="A342" s="4">
        <v>8106732.0</v>
      </c>
      <c r="B342" s="2">
        <v>46003.4553703704</v>
      </c>
      <c r="C342" s="4">
        <v>7333841.0</v>
      </c>
      <c r="D342" s="4" t="s">
        <v>988</v>
      </c>
      <c r="E342" s="2">
        <v>46003.45625</v>
      </c>
      <c r="F342" s="4">
        <v>1.0</v>
      </c>
      <c r="G342" s="4">
        <v>0.0</v>
      </c>
      <c r="H342" s="4"/>
      <c r="I342" s="4"/>
      <c r="J342" s="4" t="s">
        <v>1526</v>
      </c>
      <c r="K342" s="4" t="s">
        <v>1527</v>
      </c>
      <c r="L342" s="4" t="s">
        <v>1528</v>
      </c>
      <c r="M342" s="4" t="s">
        <v>1482</v>
      </c>
      <c r="N342" s="4" t="s">
        <v>1529</v>
      </c>
      <c r="O342" s="4" t="s">
        <v>1530</v>
      </c>
      <c r="P342" s="4" t="s">
        <v>1635</v>
      </c>
      <c r="Q342" s="4" t="s">
        <v>2093</v>
      </c>
      <c r="R342" s="4" t="b">
        <v>0</v>
      </c>
      <c r="S342" s="4" t="s">
        <v>1486</v>
      </c>
      <c r="T342" s="2">
        <v>46003.4576388889</v>
      </c>
      <c r="U342" s="2">
        <v>46003.0</v>
      </c>
      <c r="V342" s="4">
        <v>49.0</v>
      </c>
      <c r="W342" s="4" t="s">
        <v>550</v>
      </c>
      <c r="X342" s="4">
        <v>2025.0</v>
      </c>
      <c r="Y342" s="4" t="s">
        <v>1532</v>
      </c>
      <c r="Z342" s="4" t="s">
        <v>557</v>
      </c>
      <c r="AA342" s="4" t="s">
        <v>558</v>
      </c>
      <c r="AB342" s="4" t="b">
        <v>0</v>
      </c>
      <c r="AC342" s="4" t="s">
        <v>536</v>
      </c>
      <c r="AD342" s="4" t="s">
        <v>537</v>
      </c>
    </row>
    <row r="343" ht="14.25" customHeight="1">
      <c r="A343" s="4">
        <v>8106795.0</v>
      </c>
      <c r="B343" s="2">
        <v>46003.4633217593</v>
      </c>
      <c r="C343" s="4">
        <v>7333901.0</v>
      </c>
      <c r="D343" s="4" t="s">
        <v>990</v>
      </c>
      <c r="E343" s="2">
        <v>46003.4680555556</v>
      </c>
      <c r="F343" s="4">
        <v>1.0</v>
      </c>
      <c r="G343" s="4">
        <v>0.0</v>
      </c>
      <c r="H343" s="4"/>
      <c r="I343" s="4"/>
      <c r="J343" s="4" t="s">
        <v>539</v>
      </c>
      <c r="K343" s="4" t="s">
        <v>539</v>
      </c>
      <c r="L343" s="4" t="s">
        <v>1499</v>
      </c>
      <c r="M343" s="4" t="s">
        <v>1482</v>
      </c>
      <c r="N343" s="4"/>
      <c r="O343" s="4" t="s">
        <v>1483</v>
      </c>
      <c r="P343" s="4" t="s">
        <v>1488</v>
      </c>
      <c r="Q343" s="4" t="s">
        <v>2094</v>
      </c>
      <c r="R343" s="4" t="b">
        <v>0</v>
      </c>
      <c r="S343" s="4" t="s">
        <v>1486</v>
      </c>
      <c r="T343" s="2">
        <v>46015.7555555556</v>
      </c>
      <c r="U343" s="2">
        <v>46003.0</v>
      </c>
      <c r="V343" s="4">
        <v>49.0</v>
      </c>
      <c r="W343" s="4" t="s">
        <v>550</v>
      </c>
      <c r="X343" s="4">
        <v>2025.0</v>
      </c>
      <c r="Y343" s="4" t="s">
        <v>1502</v>
      </c>
      <c r="Z343" s="4" t="s">
        <v>973</v>
      </c>
      <c r="AA343" s="4" t="s">
        <v>673</v>
      </c>
      <c r="AB343" s="4" t="b">
        <v>1</v>
      </c>
      <c r="AC343" s="4" t="s">
        <v>536</v>
      </c>
      <c r="AD343" s="4" t="s">
        <v>537</v>
      </c>
    </row>
    <row r="344" ht="14.25" customHeight="1">
      <c r="A344" s="4">
        <v>8106851.0</v>
      </c>
      <c r="B344" s="2">
        <v>46003.4709490741</v>
      </c>
      <c r="C344" s="4">
        <v>7333957.0</v>
      </c>
      <c r="D344" s="4" t="s">
        <v>991</v>
      </c>
      <c r="E344" s="2">
        <v>46003.4715277778</v>
      </c>
      <c r="F344" s="4">
        <v>1.0</v>
      </c>
      <c r="G344" s="4">
        <v>0.0</v>
      </c>
      <c r="H344" s="4" t="s">
        <v>1511</v>
      </c>
      <c r="I344" s="4" t="s">
        <v>1512</v>
      </c>
      <c r="J344" s="4" t="s">
        <v>1511</v>
      </c>
      <c r="K344" s="4" t="s">
        <v>1513</v>
      </c>
      <c r="L344" s="4" t="s">
        <v>1512</v>
      </c>
      <c r="M344" s="4" t="s">
        <v>2095</v>
      </c>
      <c r="N344" s="4" t="s">
        <v>653</v>
      </c>
      <c r="O344" s="4" t="s">
        <v>2096</v>
      </c>
      <c r="P344" s="4" t="s">
        <v>1845</v>
      </c>
      <c r="Q344" s="4" t="s">
        <v>2097</v>
      </c>
      <c r="R344" s="4" t="b">
        <v>0</v>
      </c>
      <c r="S344" s="4" t="s">
        <v>1486</v>
      </c>
      <c r="T344" s="2">
        <v>46003.4729166667</v>
      </c>
      <c r="U344" s="2">
        <v>46003.0</v>
      </c>
      <c r="V344" s="4">
        <v>49.0</v>
      </c>
      <c r="W344" s="4" t="s">
        <v>550</v>
      </c>
      <c r="X344" s="4">
        <v>2025.0</v>
      </c>
      <c r="Y344" s="4" t="s">
        <v>1518</v>
      </c>
      <c r="Z344" s="4"/>
      <c r="AA344" s="4" t="s">
        <v>558</v>
      </c>
      <c r="AB344" s="4" t="b">
        <v>0</v>
      </c>
      <c r="AC344" s="4" t="s">
        <v>567</v>
      </c>
      <c r="AD344" s="4" t="s">
        <v>537</v>
      </c>
    </row>
    <row r="345" ht="14.25" customHeight="1">
      <c r="A345" s="4">
        <v>8106795.0</v>
      </c>
      <c r="B345" s="2">
        <v>46003.4633217593</v>
      </c>
      <c r="C345" s="4">
        <v>7333901.0</v>
      </c>
      <c r="D345" s="4" t="s">
        <v>992</v>
      </c>
      <c r="E345" s="2">
        <v>46003.475</v>
      </c>
      <c r="F345" s="4">
        <v>1.0</v>
      </c>
      <c r="G345" s="4">
        <v>0.0</v>
      </c>
      <c r="H345" s="4"/>
      <c r="I345" s="4"/>
      <c r="J345" s="4" t="s">
        <v>539</v>
      </c>
      <c r="K345" s="4" t="s">
        <v>539</v>
      </c>
      <c r="L345" s="4" t="s">
        <v>1499</v>
      </c>
      <c r="M345" s="4" t="s">
        <v>1482</v>
      </c>
      <c r="N345" s="4"/>
      <c r="O345" s="4" t="s">
        <v>1483</v>
      </c>
      <c r="P345" s="4" t="s">
        <v>1488</v>
      </c>
      <c r="Q345" s="4" t="s">
        <v>2094</v>
      </c>
      <c r="R345" s="4" t="b">
        <v>0</v>
      </c>
      <c r="S345" s="4" t="s">
        <v>1486</v>
      </c>
      <c r="T345" s="2">
        <v>46015.7555555556</v>
      </c>
      <c r="U345" s="2">
        <v>46003.0</v>
      </c>
      <c r="V345" s="4">
        <v>49.0</v>
      </c>
      <c r="W345" s="4" t="s">
        <v>550</v>
      </c>
      <c r="X345" s="4">
        <v>2025.0</v>
      </c>
      <c r="Y345" s="4" t="s">
        <v>1502</v>
      </c>
      <c r="Z345" s="4" t="s">
        <v>973</v>
      </c>
      <c r="AA345" s="4" t="s">
        <v>629</v>
      </c>
      <c r="AB345" s="4" t="b">
        <v>1</v>
      </c>
      <c r="AC345" s="4" t="s">
        <v>536</v>
      </c>
      <c r="AD345" s="4" t="s">
        <v>537</v>
      </c>
    </row>
    <row r="346" ht="14.25" customHeight="1">
      <c r="A346" s="4">
        <v>8106978.0</v>
      </c>
      <c r="B346" s="2">
        <v>46003.4867476852</v>
      </c>
      <c r="C346" s="4">
        <v>7334081.0</v>
      </c>
      <c r="D346" s="4" t="s">
        <v>993</v>
      </c>
      <c r="E346" s="2">
        <v>46003.4868055556</v>
      </c>
      <c r="F346" s="4">
        <v>1.0</v>
      </c>
      <c r="G346" s="4">
        <v>0.0</v>
      </c>
      <c r="H346" s="4"/>
      <c r="I346" s="4"/>
      <c r="J346" s="4" t="s">
        <v>1526</v>
      </c>
      <c r="K346" s="4" t="s">
        <v>1527</v>
      </c>
      <c r="L346" s="4" t="s">
        <v>1528</v>
      </c>
      <c r="M346" s="4" t="s">
        <v>1482</v>
      </c>
      <c r="N346" s="4" t="s">
        <v>1529</v>
      </c>
      <c r="O346" s="4" t="s">
        <v>1530</v>
      </c>
      <c r="P346" s="4" t="s">
        <v>2003</v>
      </c>
      <c r="Q346" s="4" t="s">
        <v>2098</v>
      </c>
      <c r="R346" s="4" t="b">
        <v>0</v>
      </c>
      <c r="S346" s="4" t="s">
        <v>1486</v>
      </c>
      <c r="T346" s="2">
        <v>46003.4881944444</v>
      </c>
      <c r="U346" s="2">
        <v>46003.0</v>
      </c>
      <c r="V346" s="4">
        <v>49.0</v>
      </c>
      <c r="W346" s="4" t="s">
        <v>550</v>
      </c>
      <c r="X346" s="4">
        <v>2025.0</v>
      </c>
      <c r="Y346" s="4" t="s">
        <v>1532</v>
      </c>
      <c r="Z346" s="4" t="s">
        <v>557</v>
      </c>
      <c r="AA346" s="4" t="s">
        <v>558</v>
      </c>
      <c r="AB346" s="4" t="b">
        <v>0</v>
      </c>
      <c r="AC346" s="4" t="s">
        <v>536</v>
      </c>
      <c r="AD346" s="4" t="s">
        <v>537</v>
      </c>
    </row>
    <row r="347" ht="14.25" customHeight="1">
      <c r="A347" s="4">
        <v>8107091.0</v>
      </c>
      <c r="B347" s="2">
        <v>46003.5004976852</v>
      </c>
      <c r="C347" s="4">
        <v>7334193.0</v>
      </c>
      <c r="D347" s="4" t="s">
        <v>994</v>
      </c>
      <c r="E347" s="2">
        <v>46003.5006944444</v>
      </c>
      <c r="F347" s="4">
        <v>1.0</v>
      </c>
      <c r="G347" s="4">
        <v>0.0</v>
      </c>
      <c r="H347" s="4"/>
      <c r="I347" s="4"/>
      <c r="J347" s="4" t="s">
        <v>539</v>
      </c>
      <c r="K347" s="4" t="s">
        <v>539</v>
      </c>
      <c r="L347" s="4" t="s">
        <v>1499</v>
      </c>
      <c r="M347" s="4" t="s">
        <v>1482</v>
      </c>
      <c r="N347" s="4"/>
      <c r="O347" s="4" t="s">
        <v>1483</v>
      </c>
      <c r="P347" s="4" t="s">
        <v>1635</v>
      </c>
      <c r="Q347" s="4" t="s">
        <v>2099</v>
      </c>
      <c r="R347" s="4" t="b">
        <v>0</v>
      </c>
      <c r="S347" s="4" t="s">
        <v>1486</v>
      </c>
      <c r="T347" s="2">
        <v>46003.5020833333</v>
      </c>
      <c r="U347" s="2">
        <v>46003.0</v>
      </c>
      <c r="V347" s="4">
        <v>49.0</v>
      </c>
      <c r="W347" s="4" t="s">
        <v>550</v>
      </c>
      <c r="X347" s="4">
        <v>2025.0</v>
      </c>
      <c r="Y347" s="4" t="s">
        <v>1502</v>
      </c>
      <c r="Z347" s="4" t="s">
        <v>557</v>
      </c>
      <c r="AA347" s="4" t="s">
        <v>558</v>
      </c>
      <c r="AB347" s="4" t="b">
        <v>0</v>
      </c>
      <c r="AC347" s="4" t="s">
        <v>567</v>
      </c>
      <c r="AD347" s="4" t="s">
        <v>537</v>
      </c>
    </row>
    <row r="348" ht="14.25" customHeight="1">
      <c r="A348" s="4">
        <v>8107569.0</v>
      </c>
      <c r="B348" s="2">
        <v>46003.557037037</v>
      </c>
      <c r="C348" s="4">
        <v>7334665.0</v>
      </c>
      <c r="D348" s="4" t="s">
        <v>996</v>
      </c>
      <c r="E348" s="2">
        <v>46003.5583333333</v>
      </c>
      <c r="F348" s="4">
        <v>1.0</v>
      </c>
      <c r="G348" s="4">
        <v>0.0</v>
      </c>
      <c r="H348" s="4"/>
      <c r="I348" s="4"/>
      <c r="J348" s="4" t="s">
        <v>539</v>
      </c>
      <c r="K348" s="4" t="s">
        <v>539</v>
      </c>
      <c r="L348" s="4" t="s">
        <v>1499</v>
      </c>
      <c r="M348" s="4" t="s">
        <v>1482</v>
      </c>
      <c r="N348" s="4"/>
      <c r="O348" s="4" t="s">
        <v>1483</v>
      </c>
      <c r="P348" s="4" t="s">
        <v>1845</v>
      </c>
      <c r="Q348" s="4" t="s">
        <v>2100</v>
      </c>
      <c r="R348" s="4" t="b">
        <v>0</v>
      </c>
      <c r="S348" s="4" t="s">
        <v>1486</v>
      </c>
      <c r="T348" s="2">
        <v>46003.5597222222</v>
      </c>
      <c r="U348" s="2">
        <v>46003.0</v>
      </c>
      <c r="V348" s="4">
        <v>49.0</v>
      </c>
      <c r="W348" s="4" t="s">
        <v>550</v>
      </c>
      <c r="X348" s="4">
        <v>2025.0</v>
      </c>
      <c r="Y348" s="4" t="s">
        <v>1502</v>
      </c>
      <c r="Z348" s="4" t="s">
        <v>557</v>
      </c>
      <c r="AA348" s="4" t="s">
        <v>558</v>
      </c>
      <c r="AB348" s="4" t="b">
        <v>0</v>
      </c>
      <c r="AC348" s="4" t="s">
        <v>536</v>
      </c>
      <c r="AD348" s="4" t="s">
        <v>537</v>
      </c>
    </row>
    <row r="349" ht="14.25" customHeight="1">
      <c r="A349" s="4">
        <v>7864175.0</v>
      </c>
      <c r="B349" s="2">
        <v>45965.7088078704</v>
      </c>
      <c r="C349" s="4">
        <v>7094502.0</v>
      </c>
      <c r="D349" s="4" t="s">
        <v>997</v>
      </c>
      <c r="E349" s="2">
        <v>46003.5638888889</v>
      </c>
      <c r="F349" s="4">
        <v>0.0</v>
      </c>
      <c r="G349" s="4">
        <v>0.0</v>
      </c>
      <c r="H349" s="4"/>
      <c r="I349" s="4"/>
      <c r="J349" s="4"/>
      <c r="K349" s="4"/>
      <c r="L349" s="4"/>
      <c r="M349" s="4" t="s">
        <v>1482</v>
      </c>
      <c r="N349" s="4" t="s">
        <v>1483</v>
      </c>
      <c r="O349" s="4" t="s">
        <v>2101</v>
      </c>
      <c r="P349" s="4" t="s">
        <v>1558</v>
      </c>
      <c r="Q349" s="4" t="s">
        <v>2102</v>
      </c>
      <c r="R349" s="4" t="b">
        <v>1</v>
      </c>
      <c r="S349" s="4" t="s">
        <v>1486</v>
      </c>
      <c r="T349" s="2">
        <v>46003.5652777778</v>
      </c>
      <c r="U349" s="2">
        <v>45965.0</v>
      </c>
      <c r="V349" s="4">
        <v>44.0</v>
      </c>
      <c r="W349" s="4" t="s">
        <v>545</v>
      </c>
      <c r="X349" s="4">
        <v>2025.0</v>
      </c>
      <c r="Y349" s="4" t="s">
        <v>1540</v>
      </c>
      <c r="Z349" s="4" t="s">
        <v>557</v>
      </c>
      <c r="AA349" s="4" t="s">
        <v>558</v>
      </c>
      <c r="AB349" s="4" t="b">
        <v>0</v>
      </c>
      <c r="AC349" s="4" t="s">
        <v>536</v>
      </c>
      <c r="AD349" s="4" t="s">
        <v>537</v>
      </c>
    </row>
    <row r="350" ht="14.25" customHeight="1">
      <c r="A350" s="4">
        <v>8107533.0</v>
      </c>
      <c r="B350" s="2">
        <v>46003.5534375</v>
      </c>
      <c r="C350" s="4">
        <v>7334629.0</v>
      </c>
      <c r="D350" s="4" t="s">
        <v>999</v>
      </c>
      <c r="E350" s="2">
        <v>46003.5680555556</v>
      </c>
      <c r="F350" s="4">
        <v>1.0</v>
      </c>
      <c r="G350" s="4">
        <v>0.0</v>
      </c>
      <c r="H350" s="4" t="s">
        <v>1519</v>
      </c>
      <c r="I350" s="4" t="s">
        <v>1781</v>
      </c>
      <c r="J350" s="4" t="s">
        <v>1519</v>
      </c>
      <c r="K350" s="4" t="s">
        <v>1513</v>
      </c>
      <c r="L350" s="4" t="s">
        <v>1781</v>
      </c>
      <c r="M350" s="4" t="s">
        <v>1692</v>
      </c>
      <c r="N350" s="4" t="s">
        <v>540</v>
      </c>
      <c r="O350" s="4" t="s">
        <v>2103</v>
      </c>
      <c r="P350" s="4" t="s">
        <v>2104</v>
      </c>
      <c r="Q350" s="4" t="s">
        <v>2105</v>
      </c>
      <c r="R350" s="4" t="b">
        <v>0</v>
      </c>
      <c r="S350" s="4" t="s">
        <v>1486</v>
      </c>
      <c r="T350" s="2">
        <v>46003.5694444444</v>
      </c>
      <c r="U350" s="2">
        <v>46003.0</v>
      </c>
      <c r="V350" s="4">
        <v>49.0</v>
      </c>
      <c r="W350" s="4" t="s">
        <v>550</v>
      </c>
      <c r="X350" s="4">
        <v>2025.0</v>
      </c>
      <c r="Y350" s="4" t="s">
        <v>1518</v>
      </c>
      <c r="Z350" s="4" t="s">
        <v>557</v>
      </c>
      <c r="AA350" s="4" t="s">
        <v>558</v>
      </c>
      <c r="AB350" s="4" t="b">
        <v>0</v>
      </c>
      <c r="AC350" s="4" t="s">
        <v>536</v>
      </c>
      <c r="AD350" s="4" t="s">
        <v>537</v>
      </c>
    </row>
    <row r="351" ht="14.25" customHeight="1">
      <c r="A351" s="4">
        <v>8107855.0</v>
      </c>
      <c r="B351" s="2">
        <v>46003.5891087963</v>
      </c>
      <c r="C351" s="4">
        <v>7334946.0</v>
      </c>
      <c r="D351" s="4" t="s">
        <v>1000</v>
      </c>
      <c r="E351" s="2">
        <v>46003.5888888889</v>
      </c>
      <c r="F351" s="4">
        <v>1.0</v>
      </c>
      <c r="G351" s="4">
        <v>0.0</v>
      </c>
      <c r="H351" s="4"/>
      <c r="I351" s="4"/>
      <c r="J351" s="4" t="s">
        <v>1526</v>
      </c>
      <c r="K351" s="4" t="s">
        <v>1527</v>
      </c>
      <c r="L351" s="4" t="s">
        <v>1528</v>
      </c>
      <c r="M351" s="4" t="s">
        <v>1482</v>
      </c>
      <c r="N351" s="4" t="s">
        <v>1529</v>
      </c>
      <c r="O351" s="4" t="s">
        <v>1530</v>
      </c>
      <c r="P351" s="4" t="s">
        <v>2106</v>
      </c>
      <c r="Q351" s="4" t="s">
        <v>2107</v>
      </c>
      <c r="R351" s="4" t="b">
        <v>0</v>
      </c>
      <c r="S351" s="4" t="s">
        <v>1486</v>
      </c>
      <c r="T351" s="2">
        <v>46003.5902777778</v>
      </c>
      <c r="U351" s="2">
        <v>46003.0</v>
      </c>
      <c r="V351" s="4">
        <v>49.0</v>
      </c>
      <c r="W351" s="4" t="s">
        <v>550</v>
      </c>
      <c r="X351" s="4">
        <v>2025.0</v>
      </c>
      <c r="Y351" s="4" t="s">
        <v>1532</v>
      </c>
      <c r="Z351" s="4" t="s">
        <v>557</v>
      </c>
      <c r="AA351" s="4" t="s">
        <v>558</v>
      </c>
      <c r="AB351" s="4" t="b">
        <v>0</v>
      </c>
      <c r="AC351" s="4" t="s">
        <v>536</v>
      </c>
      <c r="AD351" s="4" t="s">
        <v>537</v>
      </c>
    </row>
    <row r="352" ht="14.25" customHeight="1">
      <c r="A352" s="4">
        <v>8107924.0</v>
      </c>
      <c r="B352" s="2">
        <v>46003.5953472222</v>
      </c>
      <c r="C352" s="4">
        <v>7335014.0</v>
      </c>
      <c r="D352" s="4" t="s">
        <v>1001</v>
      </c>
      <c r="E352" s="2">
        <v>46003.5972222222</v>
      </c>
      <c r="F352" s="4">
        <v>0.0</v>
      </c>
      <c r="G352" s="4">
        <v>0.0</v>
      </c>
      <c r="H352" s="4"/>
      <c r="I352" s="4"/>
      <c r="J352" s="4"/>
      <c r="K352" s="4"/>
      <c r="L352" s="4"/>
      <c r="M352" s="4" t="s">
        <v>1482</v>
      </c>
      <c r="N352" s="4" t="s">
        <v>1483</v>
      </c>
      <c r="O352" s="4" t="s">
        <v>1557</v>
      </c>
      <c r="P352" s="4" t="s">
        <v>1506</v>
      </c>
      <c r="Q352" s="4" t="s">
        <v>2108</v>
      </c>
      <c r="R352" s="4" t="b">
        <v>1</v>
      </c>
      <c r="S352" s="4" t="s">
        <v>1486</v>
      </c>
      <c r="T352" s="2">
        <v>46003.5986111111</v>
      </c>
      <c r="U352" s="2">
        <v>46003.0</v>
      </c>
      <c r="V352" s="4">
        <v>49.0</v>
      </c>
      <c r="W352" s="4" t="s">
        <v>550</v>
      </c>
      <c r="X352" s="4">
        <v>2025.0</v>
      </c>
      <c r="Y352" s="4" t="s">
        <v>1540</v>
      </c>
      <c r="Z352" s="4" t="s">
        <v>557</v>
      </c>
      <c r="AA352" s="4" t="s">
        <v>1003</v>
      </c>
      <c r="AB352" s="4" t="b">
        <v>0</v>
      </c>
      <c r="AC352" s="4" t="s">
        <v>536</v>
      </c>
      <c r="AD352" s="4" t="s">
        <v>537</v>
      </c>
    </row>
    <row r="353" ht="14.25" customHeight="1">
      <c r="A353" s="4">
        <v>8107990.0</v>
      </c>
      <c r="B353" s="2">
        <v>46003.6018634259</v>
      </c>
      <c r="C353" s="4">
        <v>7335079.0</v>
      </c>
      <c r="D353" s="4" t="s">
        <v>1004</v>
      </c>
      <c r="E353" s="2">
        <v>46003.6020833333</v>
      </c>
      <c r="F353" s="4">
        <v>0.0</v>
      </c>
      <c r="G353" s="4">
        <v>0.0</v>
      </c>
      <c r="H353" s="4"/>
      <c r="I353" s="4"/>
      <c r="J353" s="4"/>
      <c r="K353" s="4"/>
      <c r="L353" s="4"/>
      <c r="M353" s="4" t="s">
        <v>2109</v>
      </c>
      <c r="N353" s="4" t="s">
        <v>2110</v>
      </c>
      <c r="O353" s="4" t="s">
        <v>2111</v>
      </c>
      <c r="P353" s="4" t="s">
        <v>1635</v>
      </c>
      <c r="Q353" s="4" t="s">
        <v>2112</v>
      </c>
      <c r="R353" s="4" t="b">
        <v>1</v>
      </c>
      <c r="S353" s="4" t="s">
        <v>1486</v>
      </c>
      <c r="T353" s="2">
        <v>46003.6034722222</v>
      </c>
      <c r="U353" s="2">
        <v>46003.0</v>
      </c>
      <c r="V353" s="4">
        <v>49.0</v>
      </c>
      <c r="W353" s="4" t="s">
        <v>550</v>
      </c>
      <c r="X353" s="4">
        <v>2025.0</v>
      </c>
      <c r="Y353" s="4" t="s">
        <v>1540</v>
      </c>
      <c r="Z353" s="4" t="s">
        <v>557</v>
      </c>
      <c r="AA353" s="4" t="s">
        <v>558</v>
      </c>
      <c r="AB353" s="4" t="b">
        <v>0</v>
      </c>
      <c r="AC353" s="4" t="s">
        <v>536</v>
      </c>
      <c r="AD353" s="4" t="s">
        <v>537</v>
      </c>
    </row>
    <row r="354" ht="14.25" customHeight="1">
      <c r="A354" s="4">
        <v>8108393.0</v>
      </c>
      <c r="B354" s="2">
        <v>46003.6478935185</v>
      </c>
      <c r="C354" s="4">
        <v>7335476.0</v>
      </c>
      <c r="D354" s="4" t="s">
        <v>1005</v>
      </c>
      <c r="E354" s="2">
        <v>46003.6493055556</v>
      </c>
      <c r="F354" s="4">
        <v>0.0</v>
      </c>
      <c r="G354" s="4">
        <v>0.0</v>
      </c>
      <c r="H354" s="4"/>
      <c r="I354" s="4"/>
      <c r="J354" s="4"/>
      <c r="K354" s="4"/>
      <c r="L354" s="4"/>
      <c r="M354" s="4" t="s">
        <v>1482</v>
      </c>
      <c r="N354" s="4" t="s">
        <v>2113</v>
      </c>
      <c r="O354" s="4" t="s">
        <v>1483</v>
      </c>
      <c r="P354" s="4" t="s">
        <v>1794</v>
      </c>
      <c r="Q354" s="4" t="s">
        <v>2114</v>
      </c>
      <c r="R354" s="4" t="b">
        <v>1</v>
      </c>
      <c r="S354" s="4" t="s">
        <v>1486</v>
      </c>
      <c r="T354" s="2">
        <v>46003.6506944444</v>
      </c>
      <c r="U354" s="2">
        <v>46003.0</v>
      </c>
      <c r="V354" s="4">
        <v>49.0</v>
      </c>
      <c r="W354" s="4" t="s">
        <v>550</v>
      </c>
      <c r="X354" s="4">
        <v>2025.0</v>
      </c>
      <c r="Y354" s="4" t="s">
        <v>1540</v>
      </c>
      <c r="Z354" s="4" t="s">
        <v>557</v>
      </c>
      <c r="AA354" s="4" t="s">
        <v>558</v>
      </c>
      <c r="AB354" s="4" t="b">
        <v>0</v>
      </c>
      <c r="AC354" s="4" t="s">
        <v>536</v>
      </c>
      <c r="AD354" s="4" t="s">
        <v>537</v>
      </c>
    </row>
    <row r="355" ht="14.25" customHeight="1">
      <c r="A355" s="4">
        <v>7556299.0</v>
      </c>
      <c r="B355" s="2">
        <v>45882.4607638889</v>
      </c>
      <c r="C355" s="4">
        <v>6798468.0</v>
      </c>
      <c r="D355" s="4" t="s">
        <v>1007</v>
      </c>
      <c r="E355" s="2">
        <v>46003.6583333333</v>
      </c>
      <c r="F355" s="4">
        <v>0.4</v>
      </c>
      <c r="G355" s="4">
        <v>0.0</v>
      </c>
      <c r="H355" s="4" t="s">
        <v>1480</v>
      </c>
      <c r="I355" s="4" t="s">
        <v>1550</v>
      </c>
      <c r="J355" s="4" t="s">
        <v>1480</v>
      </c>
      <c r="K355" s="4" t="s">
        <v>1480</v>
      </c>
      <c r="L355" s="4" t="s">
        <v>1550</v>
      </c>
      <c r="M355" s="4" t="s">
        <v>1551</v>
      </c>
      <c r="N355" s="4" t="s">
        <v>540</v>
      </c>
      <c r="O355" s="4" t="s">
        <v>1552</v>
      </c>
      <c r="P355" s="4" t="s">
        <v>2115</v>
      </c>
      <c r="Q355" s="4" t="s">
        <v>2116</v>
      </c>
      <c r="R355" s="4" t="b">
        <v>0</v>
      </c>
      <c r="S355" s="4" t="s">
        <v>1486</v>
      </c>
      <c r="T355" s="2">
        <v>46003.6597222222</v>
      </c>
      <c r="U355" s="2">
        <v>45882.0</v>
      </c>
      <c r="V355" s="4">
        <v>32.0</v>
      </c>
      <c r="W355" s="4" t="s">
        <v>1769</v>
      </c>
      <c r="X355" s="4">
        <v>2025.0</v>
      </c>
      <c r="Y355" s="4" t="s">
        <v>1518</v>
      </c>
      <c r="Z355" s="4" t="s">
        <v>557</v>
      </c>
      <c r="AA355" s="4" t="s">
        <v>558</v>
      </c>
      <c r="AB355" s="4" t="b">
        <v>0</v>
      </c>
      <c r="AC355" s="4" t="s">
        <v>536</v>
      </c>
      <c r="AD355" s="4" t="s">
        <v>537</v>
      </c>
    </row>
    <row r="356" ht="14.25" customHeight="1">
      <c r="A356" s="4">
        <v>7556344.0</v>
      </c>
      <c r="B356" s="2">
        <v>45882.4668634259</v>
      </c>
      <c r="C356" s="4">
        <v>6798468.0</v>
      </c>
      <c r="D356" s="4" t="s">
        <v>1007</v>
      </c>
      <c r="E356" s="2">
        <v>46003.6583333333</v>
      </c>
      <c r="F356" s="4">
        <v>0.0667</v>
      </c>
      <c r="G356" s="4">
        <v>0.0</v>
      </c>
      <c r="H356" s="4" t="s">
        <v>1519</v>
      </c>
      <c r="I356" s="4" t="s">
        <v>1717</v>
      </c>
      <c r="J356" s="4" t="s">
        <v>1519</v>
      </c>
      <c r="K356" s="4" t="s">
        <v>1513</v>
      </c>
      <c r="L356" s="4" t="s">
        <v>1717</v>
      </c>
      <c r="M356" s="4" t="s">
        <v>1482</v>
      </c>
      <c r="N356" s="4" t="s">
        <v>540</v>
      </c>
      <c r="O356" s="4" t="s">
        <v>2117</v>
      </c>
      <c r="P356" s="4" t="s">
        <v>2115</v>
      </c>
      <c r="Q356" s="4" t="s">
        <v>2116</v>
      </c>
      <c r="R356" s="4" t="b">
        <v>0</v>
      </c>
      <c r="S356" s="4" t="s">
        <v>1486</v>
      </c>
      <c r="T356" s="2">
        <v>46003.6597222222</v>
      </c>
      <c r="U356" s="2">
        <v>45882.0</v>
      </c>
      <c r="V356" s="4">
        <v>32.0</v>
      </c>
      <c r="W356" s="4" t="s">
        <v>1769</v>
      </c>
      <c r="X356" s="4">
        <v>2025.0</v>
      </c>
      <c r="Y356" s="4" t="s">
        <v>1518</v>
      </c>
      <c r="Z356" s="4" t="s">
        <v>557</v>
      </c>
      <c r="AA356" s="4" t="s">
        <v>558</v>
      </c>
      <c r="AB356" s="4" t="b">
        <v>0</v>
      </c>
      <c r="AC356" s="4" t="s">
        <v>536</v>
      </c>
      <c r="AD356" s="4" t="s">
        <v>537</v>
      </c>
    </row>
    <row r="357" ht="14.25" customHeight="1">
      <c r="A357" s="4">
        <v>7564324.0</v>
      </c>
      <c r="B357" s="2">
        <v>45884.4265856482</v>
      </c>
      <c r="C357" s="4">
        <v>6798468.0</v>
      </c>
      <c r="D357" s="4" t="s">
        <v>1007</v>
      </c>
      <c r="E357" s="2">
        <v>46003.6583333333</v>
      </c>
      <c r="F357" s="4">
        <v>0.0667</v>
      </c>
      <c r="G357" s="4">
        <v>0.0</v>
      </c>
      <c r="H357" s="4" t="s">
        <v>1519</v>
      </c>
      <c r="I357" s="4" t="s">
        <v>1717</v>
      </c>
      <c r="J357" s="4" t="s">
        <v>1519</v>
      </c>
      <c r="K357" s="4" t="s">
        <v>1513</v>
      </c>
      <c r="L357" s="4" t="s">
        <v>1717</v>
      </c>
      <c r="M357" s="4" t="s">
        <v>1482</v>
      </c>
      <c r="N357" s="4" t="s">
        <v>540</v>
      </c>
      <c r="O357" s="4" t="s">
        <v>2117</v>
      </c>
      <c r="P357" s="4" t="s">
        <v>2115</v>
      </c>
      <c r="Q357" s="4" t="s">
        <v>2116</v>
      </c>
      <c r="R357" s="4" t="b">
        <v>0</v>
      </c>
      <c r="S357" s="4" t="s">
        <v>1486</v>
      </c>
      <c r="T357" s="2">
        <v>46003.6597222222</v>
      </c>
      <c r="U357" s="2">
        <v>45884.0</v>
      </c>
      <c r="V357" s="4">
        <v>32.0</v>
      </c>
      <c r="W357" s="4" t="s">
        <v>1769</v>
      </c>
      <c r="X357" s="4">
        <v>2025.0</v>
      </c>
      <c r="Y357" s="4" t="s">
        <v>1518</v>
      </c>
      <c r="Z357" s="4" t="s">
        <v>557</v>
      </c>
      <c r="AA357" s="4" t="s">
        <v>558</v>
      </c>
      <c r="AB357" s="4" t="b">
        <v>0</v>
      </c>
      <c r="AC357" s="4" t="s">
        <v>536</v>
      </c>
      <c r="AD357" s="4" t="s">
        <v>537</v>
      </c>
    </row>
    <row r="358" ht="14.25" customHeight="1">
      <c r="A358" s="4">
        <v>7565640.0</v>
      </c>
      <c r="B358" s="2">
        <v>45884.6592361111</v>
      </c>
      <c r="C358" s="4">
        <v>6798468.0</v>
      </c>
      <c r="D358" s="4" t="s">
        <v>1007</v>
      </c>
      <c r="E358" s="2">
        <v>46003.6583333333</v>
      </c>
      <c r="F358" s="4">
        <v>0.0667</v>
      </c>
      <c r="G358" s="4">
        <v>0.0</v>
      </c>
      <c r="H358" s="4" t="s">
        <v>1519</v>
      </c>
      <c r="I358" s="4" t="s">
        <v>1717</v>
      </c>
      <c r="J358" s="4" t="s">
        <v>1519</v>
      </c>
      <c r="K358" s="4" t="s">
        <v>1513</v>
      </c>
      <c r="L358" s="4" t="s">
        <v>1717</v>
      </c>
      <c r="M358" s="4" t="s">
        <v>1482</v>
      </c>
      <c r="N358" s="4" t="s">
        <v>540</v>
      </c>
      <c r="O358" s="4" t="s">
        <v>2117</v>
      </c>
      <c r="P358" s="4" t="s">
        <v>2115</v>
      </c>
      <c r="Q358" s="4" t="s">
        <v>2116</v>
      </c>
      <c r="R358" s="4" t="b">
        <v>0</v>
      </c>
      <c r="S358" s="4" t="s">
        <v>1486</v>
      </c>
      <c r="T358" s="2">
        <v>46003.6597222222</v>
      </c>
      <c r="U358" s="2">
        <v>45884.0</v>
      </c>
      <c r="V358" s="4">
        <v>32.0</v>
      </c>
      <c r="W358" s="4" t="s">
        <v>1769</v>
      </c>
      <c r="X358" s="4">
        <v>2025.0</v>
      </c>
      <c r="Y358" s="4" t="s">
        <v>1518</v>
      </c>
      <c r="Z358" s="4" t="s">
        <v>557</v>
      </c>
      <c r="AA358" s="4" t="s">
        <v>558</v>
      </c>
      <c r="AB358" s="4" t="b">
        <v>0</v>
      </c>
      <c r="AC358" s="4" t="s">
        <v>536</v>
      </c>
      <c r="AD358" s="4" t="s">
        <v>537</v>
      </c>
    </row>
    <row r="359" ht="14.25" customHeight="1">
      <c r="A359" s="4">
        <v>7595669.0</v>
      </c>
      <c r="B359" s="2">
        <v>45894.7287268518</v>
      </c>
      <c r="C359" s="4">
        <v>6798468.0</v>
      </c>
      <c r="D359" s="4" t="s">
        <v>1007</v>
      </c>
      <c r="E359" s="2">
        <v>46003.6583333333</v>
      </c>
      <c r="F359" s="4">
        <v>0.4</v>
      </c>
      <c r="G359" s="4">
        <v>0.0</v>
      </c>
      <c r="H359" s="4" t="s">
        <v>1519</v>
      </c>
      <c r="I359" s="4" t="s">
        <v>1717</v>
      </c>
      <c r="J359" s="4" t="s">
        <v>1519</v>
      </c>
      <c r="K359" s="4" t="s">
        <v>1513</v>
      </c>
      <c r="L359" s="4" t="s">
        <v>1717</v>
      </c>
      <c r="M359" s="4" t="s">
        <v>1482</v>
      </c>
      <c r="N359" s="4" t="s">
        <v>540</v>
      </c>
      <c r="O359" s="4" t="s">
        <v>2117</v>
      </c>
      <c r="P359" s="4" t="s">
        <v>2115</v>
      </c>
      <c r="Q359" s="4" t="s">
        <v>2118</v>
      </c>
      <c r="R359" s="4" t="b">
        <v>0</v>
      </c>
      <c r="S359" s="4" t="s">
        <v>1486</v>
      </c>
      <c r="T359" s="2">
        <v>46003.6597222222</v>
      </c>
      <c r="U359" s="2">
        <v>45894.0</v>
      </c>
      <c r="V359" s="4">
        <v>34.0</v>
      </c>
      <c r="W359" s="4" t="s">
        <v>1769</v>
      </c>
      <c r="X359" s="4">
        <v>2025.0</v>
      </c>
      <c r="Y359" s="4" t="s">
        <v>1518</v>
      </c>
      <c r="Z359" s="4" t="s">
        <v>557</v>
      </c>
      <c r="AA359" s="4" t="s">
        <v>558</v>
      </c>
      <c r="AB359" s="4" t="b">
        <v>0</v>
      </c>
      <c r="AC359" s="4" t="s">
        <v>536</v>
      </c>
      <c r="AD359" s="4" t="s">
        <v>537</v>
      </c>
    </row>
    <row r="360" ht="14.25" customHeight="1">
      <c r="A360" s="4">
        <v>8108696.0</v>
      </c>
      <c r="B360" s="2">
        <v>46003.6821990741</v>
      </c>
      <c r="C360" s="4">
        <v>7335776.0</v>
      </c>
      <c r="D360" s="4" t="s">
        <v>1009</v>
      </c>
      <c r="E360" s="2">
        <v>46003.6916666667</v>
      </c>
      <c r="F360" s="4">
        <v>1.0</v>
      </c>
      <c r="G360" s="4">
        <v>0.0</v>
      </c>
      <c r="H360" s="4"/>
      <c r="I360" s="4"/>
      <c r="J360" s="4" t="s">
        <v>1480</v>
      </c>
      <c r="K360" s="4" t="s">
        <v>1480</v>
      </c>
      <c r="L360" s="4" t="s">
        <v>1481</v>
      </c>
      <c r="M360" s="4" t="s">
        <v>1482</v>
      </c>
      <c r="N360" s="4" t="s">
        <v>540</v>
      </c>
      <c r="O360" s="4" t="s">
        <v>1746</v>
      </c>
      <c r="P360" s="4" t="s">
        <v>1845</v>
      </c>
      <c r="Q360" s="4" t="s">
        <v>2119</v>
      </c>
      <c r="R360" s="4" t="b">
        <v>0</v>
      </c>
      <c r="S360" s="4" t="s">
        <v>1486</v>
      </c>
      <c r="T360" s="2">
        <v>46003.6930555556</v>
      </c>
      <c r="U360" s="2">
        <v>46003.0</v>
      </c>
      <c r="V360" s="4">
        <v>49.0</v>
      </c>
      <c r="W360" s="4" t="s">
        <v>550</v>
      </c>
      <c r="X360" s="4">
        <v>2025.0</v>
      </c>
      <c r="Y360" s="4" t="s">
        <v>1487</v>
      </c>
      <c r="Z360" s="4"/>
      <c r="AA360" s="4" t="s">
        <v>558</v>
      </c>
      <c r="AB360" s="4" t="b">
        <v>0</v>
      </c>
      <c r="AC360" s="4" t="s">
        <v>536</v>
      </c>
      <c r="AD360" s="4" t="s">
        <v>537</v>
      </c>
    </row>
    <row r="361" ht="14.25" customHeight="1">
      <c r="A361" s="4">
        <v>8089735.0</v>
      </c>
      <c r="B361" s="2">
        <v>46001.8458333333</v>
      </c>
      <c r="C361" s="4">
        <v>7316922.0</v>
      </c>
      <c r="D361" s="4" t="s">
        <v>1010</v>
      </c>
      <c r="E361" s="2">
        <v>46003.7097222222</v>
      </c>
      <c r="F361" s="4">
        <v>1.0</v>
      </c>
      <c r="G361" s="4">
        <v>0.0</v>
      </c>
      <c r="H361" s="4"/>
      <c r="I361" s="4"/>
      <c r="J361" s="4" t="s">
        <v>1480</v>
      </c>
      <c r="K361" s="4" t="s">
        <v>1480</v>
      </c>
      <c r="L361" s="4" t="s">
        <v>1901</v>
      </c>
      <c r="M361" s="4" t="s">
        <v>1482</v>
      </c>
      <c r="N361" s="4" t="s">
        <v>831</v>
      </c>
      <c r="O361" s="4" t="s">
        <v>1483</v>
      </c>
      <c r="P361" s="4" t="s">
        <v>2120</v>
      </c>
      <c r="Q361" s="4" t="s">
        <v>2121</v>
      </c>
      <c r="R361" s="4" t="b">
        <v>0</v>
      </c>
      <c r="S361" s="4" t="s">
        <v>1486</v>
      </c>
      <c r="T361" s="2">
        <v>46003.7111111111</v>
      </c>
      <c r="U361" s="2">
        <v>46001.0</v>
      </c>
      <c r="V361" s="4">
        <v>49.0</v>
      </c>
      <c r="W361" s="4" t="s">
        <v>550</v>
      </c>
      <c r="X361" s="4">
        <v>2025.0</v>
      </c>
      <c r="Y361" s="4" t="s">
        <v>1904</v>
      </c>
      <c r="Z361" s="4" t="s">
        <v>557</v>
      </c>
      <c r="AA361" s="4" t="s">
        <v>558</v>
      </c>
      <c r="AB361" s="4" t="b">
        <v>0</v>
      </c>
      <c r="AC361" s="4" t="s">
        <v>536</v>
      </c>
      <c r="AD361" s="4" t="s">
        <v>537</v>
      </c>
    </row>
    <row r="362" ht="14.25" customHeight="1">
      <c r="A362" s="4">
        <v>8108902.0</v>
      </c>
      <c r="B362" s="2">
        <v>46003.7112384259</v>
      </c>
      <c r="C362" s="4">
        <v>7335977.0</v>
      </c>
      <c r="D362" s="4" t="s">
        <v>1012</v>
      </c>
      <c r="E362" s="2">
        <v>46003.7118055556</v>
      </c>
      <c r="F362" s="4">
        <v>1.0</v>
      </c>
      <c r="G362" s="4">
        <v>0.0</v>
      </c>
      <c r="H362" s="4"/>
      <c r="I362" s="4"/>
      <c r="J362" s="4" t="s">
        <v>539</v>
      </c>
      <c r="K362" s="4" t="s">
        <v>539</v>
      </c>
      <c r="L362" s="4" t="s">
        <v>1499</v>
      </c>
      <c r="M362" s="4" t="s">
        <v>1482</v>
      </c>
      <c r="N362" s="4"/>
      <c r="O362" s="4" t="s">
        <v>1483</v>
      </c>
      <c r="P362" s="4" t="s">
        <v>1635</v>
      </c>
      <c r="Q362" s="4" t="s">
        <v>2122</v>
      </c>
      <c r="R362" s="4" t="b">
        <v>0</v>
      </c>
      <c r="S362" s="4" t="s">
        <v>1486</v>
      </c>
      <c r="T362" s="2">
        <v>46003.7131944444</v>
      </c>
      <c r="U362" s="2">
        <v>46003.0</v>
      </c>
      <c r="V362" s="4">
        <v>49.0</v>
      </c>
      <c r="W362" s="4" t="s">
        <v>550</v>
      </c>
      <c r="X362" s="4">
        <v>2025.0</v>
      </c>
      <c r="Y362" s="4" t="s">
        <v>1502</v>
      </c>
      <c r="Z362" s="4" t="s">
        <v>541</v>
      </c>
      <c r="AA362" s="4" t="s">
        <v>546</v>
      </c>
      <c r="AB362" s="4" t="b">
        <v>0</v>
      </c>
      <c r="AC362" s="4" t="s">
        <v>536</v>
      </c>
      <c r="AD362" s="4" t="s">
        <v>537</v>
      </c>
    </row>
    <row r="363" ht="14.25" customHeight="1">
      <c r="A363" s="4">
        <v>8109231.0</v>
      </c>
      <c r="B363" s="2">
        <v>46003.7571990741</v>
      </c>
      <c r="C363" s="4">
        <v>7336304.0</v>
      </c>
      <c r="D363" s="4" t="s">
        <v>1014</v>
      </c>
      <c r="E363" s="2">
        <v>46003.7569444444</v>
      </c>
      <c r="F363" s="4">
        <v>1.0</v>
      </c>
      <c r="G363" s="4">
        <v>0.0</v>
      </c>
      <c r="H363" s="4"/>
      <c r="I363" s="4"/>
      <c r="J363" s="4" t="s">
        <v>1480</v>
      </c>
      <c r="K363" s="4" t="s">
        <v>1480</v>
      </c>
      <c r="L363" s="4" t="s">
        <v>1481</v>
      </c>
      <c r="M363" s="4" t="s">
        <v>1482</v>
      </c>
      <c r="N363" s="4" t="s">
        <v>540</v>
      </c>
      <c r="O363" s="4" t="s">
        <v>2123</v>
      </c>
      <c r="P363" s="4" t="s">
        <v>1635</v>
      </c>
      <c r="Q363" s="4" t="s">
        <v>2124</v>
      </c>
      <c r="R363" s="4" t="b">
        <v>0</v>
      </c>
      <c r="S363" s="4" t="s">
        <v>1486</v>
      </c>
      <c r="T363" s="2">
        <v>46003.7583333333</v>
      </c>
      <c r="U363" s="2">
        <v>46003.0</v>
      </c>
      <c r="V363" s="4">
        <v>49.0</v>
      </c>
      <c r="W363" s="4" t="s">
        <v>550</v>
      </c>
      <c r="X363" s="4">
        <v>2025.0</v>
      </c>
      <c r="Y363" s="4" t="s">
        <v>1487</v>
      </c>
      <c r="Z363" s="4"/>
      <c r="AA363" s="4" t="s">
        <v>558</v>
      </c>
      <c r="AB363" s="4" t="b">
        <v>0</v>
      </c>
      <c r="AC363" s="4" t="s">
        <v>623</v>
      </c>
      <c r="AD363" s="4" t="s">
        <v>537</v>
      </c>
    </row>
    <row r="364" ht="14.25" customHeight="1">
      <c r="A364" s="4">
        <v>8109759.0</v>
      </c>
      <c r="B364" s="2">
        <v>46003.839537037</v>
      </c>
      <c r="C364" s="4">
        <v>7336827.0</v>
      </c>
      <c r="D364" s="4" t="s">
        <v>1015</v>
      </c>
      <c r="E364" s="2">
        <v>46003.8409722222</v>
      </c>
      <c r="F364" s="4">
        <v>1.0</v>
      </c>
      <c r="G364" s="4">
        <v>0.0</v>
      </c>
      <c r="H364" s="4"/>
      <c r="I364" s="4"/>
      <c r="J364" s="4" t="s">
        <v>1480</v>
      </c>
      <c r="K364" s="4" t="s">
        <v>1480</v>
      </c>
      <c r="L364" s="4" t="s">
        <v>1481</v>
      </c>
      <c r="M364" s="4" t="s">
        <v>1482</v>
      </c>
      <c r="N364" s="4" t="s">
        <v>540</v>
      </c>
      <c r="O364" s="4" t="s">
        <v>1483</v>
      </c>
      <c r="P364" s="4" t="s">
        <v>2003</v>
      </c>
      <c r="Q364" s="4" t="s">
        <v>2125</v>
      </c>
      <c r="R364" s="4" t="b">
        <v>0</v>
      </c>
      <c r="S364" s="4" t="s">
        <v>1486</v>
      </c>
      <c r="T364" s="2">
        <v>46003.8423611111</v>
      </c>
      <c r="U364" s="2">
        <v>46003.0</v>
      </c>
      <c r="V364" s="4">
        <v>49.0</v>
      </c>
      <c r="W364" s="4" t="s">
        <v>550</v>
      </c>
      <c r="X364" s="4">
        <v>2025.0</v>
      </c>
      <c r="Y364" s="4" t="s">
        <v>1487</v>
      </c>
      <c r="Z364" s="4"/>
      <c r="AA364" s="4" t="s">
        <v>558</v>
      </c>
      <c r="AB364" s="4" t="b">
        <v>0</v>
      </c>
      <c r="AC364" s="4" t="s">
        <v>567</v>
      </c>
      <c r="AD364" s="4" t="s">
        <v>537</v>
      </c>
    </row>
    <row r="365" ht="14.25" customHeight="1">
      <c r="A365" s="4">
        <v>8109844.0</v>
      </c>
      <c r="B365" s="2">
        <v>46003.85125</v>
      </c>
      <c r="C365" s="4">
        <v>7336910.0</v>
      </c>
      <c r="D365" s="4" t="s">
        <v>1016</v>
      </c>
      <c r="E365" s="2">
        <v>46003.8541666667</v>
      </c>
      <c r="F365" s="4">
        <v>1.0</v>
      </c>
      <c r="G365" s="4">
        <v>0.0</v>
      </c>
      <c r="H365" s="4" t="s">
        <v>1519</v>
      </c>
      <c r="I365" s="4" t="s">
        <v>1913</v>
      </c>
      <c r="J365" s="4" t="s">
        <v>1519</v>
      </c>
      <c r="K365" s="4" t="s">
        <v>1513</v>
      </c>
      <c r="L365" s="4" t="s">
        <v>1913</v>
      </c>
      <c r="M365" s="4" t="s">
        <v>1482</v>
      </c>
      <c r="N365" s="4" t="s">
        <v>1594</v>
      </c>
      <c r="O365" s="4" t="s">
        <v>2126</v>
      </c>
      <c r="P365" s="4" t="s">
        <v>2127</v>
      </c>
      <c r="Q365" s="4" t="s">
        <v>2128</v>
      </c>
      <c r="R365" s="4" t="b">
        <v>0</v>
      </c>
      <c r="S365" s="4" t="s">
        <v>1486</v>
      </c>
      <c r="T365" s="2">
        <v>46003.8555555556</v>
      </c>
      <c r="U365" s="2">
        <v>46003.0</v>
      </c>
      <c r="V365" s="4">
        <v>49.0</v>
      </c>
      <c r="W365" s="4" t="s">
        <v>550</v>
      </c>
      <c r="X365" s="4">
        <v>2025.0</v>
      </c>
      <c r="Y365" s="4" t="s">
        <v>1518</v>
      </c>
      <c r="Z365" s="4"/>
      <c r="AA365" s="4" t="s">
        <v>558</v>
      </c>
      <c r="AB365" s="4" t="b">
        <v>0</v>
      </c>
      <c r="AC365" s="4" t="s">
        <v>599</v>
      </c>
      <c r="AD365" s="4" t="s">
        <v>537</v>
      </c>
    </row>
    <row r="366" ht="14.25" customHeight="1">
      <c r="A366" s="4">
        <v>8110253.0</v>
      </c>
      <c r="B366" s="2">
        <v>46003.9059490741</v>
      </c>
      <c r="C366" s="4">
        <v>7337316.0</v>
      </c>
      <c r="D366" s="4" t="s">
        <v>1017</v>
      </c>
      <c r="E366" s="2">
        <v>46003.9069444444</v>
      </c>
      <c r="F366" s="4">
        <v>1.0</v>
      </c>
      <c r="G366" s="4">
        <v>0.0</v>
      </c>
      <c r="H366" s="4" t="s">
        <v>1519</v>
      </c>
      <c r="I366" s="4" t="s">
        <v>2129</v>
      </c>
      <c r="J366" s="4" t="s">
        <v>1519</v>
      </c>
      <c r="K366" s="4" t="s">
        <v>1513</v>
      </c>
      <c r="L366" s="4" t="s">
        <v>2129</v>
      </c>
      <c r="M366" s="4" t="s">
        <v>1482</v>
      </c>
      <c r="N366" s="4" t="s">
        <v>1594</v>
      </c>
      <c r="O366" s="4" t="s">
        <v>2130</v>
      </c>
      <c r="P366" s="4" t="s">
        <v>2131</v>
      </c>
      <c r="Q366" s="4" t="s">
        <v>2132</v>
      </c>
      <c r="R366" s="4" t="b">
        <v>0</v>
      </c>
      <c r="S366" s="4" t="s">
        <v>1486</v>
      </c>
      <c r="T366" s="2">
        <v>46003.9083333333</v>
      </c>
      <c r="U366" s="2">
        <v>46003.0</v>
      </c>
      <c r="V366" s="4">
        <v>49.0</v>
      </c>
      <c r="W366" s="4" t="s">
        <v>550</v>
      </c>
      <c r="X366" s="4">
        <v>2025.0</v>
      </c>
      <c r="Y366" s="4" t="s">
        <v>1518</v>
      </c>
      <c r="Z366" s="4"/>
      <c r="AA366" s="4" t="s">
        <v>558</v>
      </c>
      <c r="AB366" s="4" t="b">
        <v>0</v>
      </c>
      <c r="AC366" s="4" t="s">
        <v>599</v>
      </c>
      <c r="AD366" s="4" t="s">
        <v>537</v>
      </c>
    </row>
    <row r="367" ht="14.25" customHeight="1">
      <c r="A367" s="4">
        <v>8110312.0</v>
      </c>
      <c r="B367" s="2">
        <v>46003.9134027778</v>
      </c>
      <c r="C367" s="4">
        <v>7337375.0</v>
      </c>
      <c r="D367" s="4" t="s">
        <v>1018</v>
      </c>
      <c r="E367" s="2">
        <v>46003.9152777778</v>
      </c>
      <c r="F367" s="4">
        <v>0.0</v>
      </c>
      <c r="G367" s="4">
        <v>0.0</v>
      </c>
      <c r="H367" s="4"/>
      <c r="I367" s="4"/>
      <c r="J367" s="4"/>
      <c r="K367" s="4"/>
      <c r="L367" s="4"/>
      <c r="M367" s="4" t="s">
        <v>1482</v>
      </c>
      <c r="N367" s="4" t="s">
        <v>2133</v>
      </c>
      <c r="O367" s="4" t="s">
        <v>1500</v>
      </c>
      <c r="P367" s="4" t="s">
        <v>1674</v>
      </c>
      <c r="Q367" s="4" t="s">
        <v>2134</v>
      </c>
      <c r="R367" s="4" t="b">
        <v>1</v>
      </c>
      <c r="S367" s="4" t="s">
        <v>1486</v>
      </c>
      <c r="T367" s="2">
        <v>46003.9166666667</v>
      </c>
      <c r="U367" s="2">
        <v>46003.0</v>
      </c>
      <c r="V367" s="4">
        <v>49.0</v>
      </c>
      <c r="W367" s="4" t="s">
        <v>550</v>
      </c>
      <c r="X367" s="4">
        <v>2025.0</v>
      </c>
      <c r="Y367" s="4" t="s">
        <v>1540</v>
      </c>
      <c r="Z367" s="4"/>
      <c r="AA367" s="4" t="s">
        <v>1019</v>
      </c>
      <c r="AB367" s="4" t="b">
        <v>0</v>
      </c>
      <c r="AC367" s="4" t="s">
        <v>567</v>
      </c>
      <c r="AD367" s="4" t="s">
        <v>537</v>
      </c>
    </row>
    <row r="368" ht="14.25" customHeight="1">
      <c r="A368" s="4">
        <v>8110296.0</v>
      </c>
      <c r="B368" s="2">
        <v>46003.9111805556</v>
      </c>
      <c r="C368" s="4">
        <v>7337359.0</v>
      </c>
      <c r="D368" s="4" t="s">
        <v>1020</v>
      </c>
      <c r="E368" s="2">
        <v>46003.9166666667</v>
      </c>
      <c r="F368" s="4">
        <v>1.0</v>
      </c>
      <c r="G368" s="4">
        <v>0.0</v>
      </c>
      <c r="H368" s="4" t="s">
        <v>1519</v>
      </c>
      <c r="I368" s="4" t="s">
        <v>1913</v>
      </c>
      <c r="J368" s="4" t="s">
        <v>1519</v>
      </c>
      <c r="K368" s="4" t="s">
        <v>1513</v>
      </c>
      <c r="L368" s="4" t="s">
        <v>1913</v>
      </c>
      <c r="M368" s="4" t="s">
        <v>1482</v>
      </c>
      <c r="N368" s="4" t="s">
        <v>1594</v>
      </c>
      <c r="O368" s="4" t="s">
        <v>2135</v>
      </c>
      <c r="P368" s="4" t="s">
        <v>2136</v>
      </c>
      <c r="Q368" s="4" t="s">
        <v>2137</v>
      </c>
      <c r="R368" s="4" t="b">
        <v>0</v>
      </c>
      <c r="S368" s="4" t="s">
        <v>1486</v>
      </c>
      <c r="T368" s="2">
        <v>46003.9180555556</v>
      </c>
      <c r="U368" s="2">
        <v>46003.0</v>
      </c>
      <c r="V368" s="4">
        <v>49.0</v>
      </c>
      <c r="W368" s="4" t="s">
        <v>550</v>
      </c>
      <c r="X368" s="4">
        <v>2025.0</v>
      </c>
      <c r="Y368" s="4" t="s">
        <v>1518</v>
      </c>
      <c r="Z368" s="4"/>
      <c r="AA368" s="4" t="s">
        <v>558</v>
      </c>
      <c r="AB368" s="4" t="b">
        <v>0</v>
      </c>
      <c r="AC368" s="4" t="s">
        <v>599</v>
      </c>
      <c r="AD368" s="4" t="s">
        <v>537</v>
      </c>
    </row>
    <row r="369" ht="14.25" customHeight="1">
      <c r="A369" s="4">
        <v>8110285.0</v>
      </c>
      <c r="B369" s="2">
        <v>46003.9094097222</v>
      </c>
      <c r="C369" s="4">
        <v>7337348.0</v>
      </c>
      <c r="D369" s="4" t="s">
        <v>1021</v>
      </c>
      <c r="E369" s="2">
        <v>46003.9166666667</v>
      </c>
      <c r="F369" s="4">
        <v>1.0</v>
      </c>
      <c r="G369" s="4">
        <v>0.0</v>
      </c>
      <c r="H369" s="4"/>
      <c r="I369" s="4"/>
      <c r="J369" s="4" t="s">
        <v>1480</v>
      </c>
      <c r="K369" s="4" t="s">
        <v>1480</v>
      </c>
      <c r="L369" s="4" t="s">
        <v>1481</v>
      </c>
      <c r="M369" s="4" t="s">
        <v>1482</v>
      </c>
      <c r="N369" s="4" t="s">
        <v>540</v>
      </c>
      <c r="O369" s="4" t="s">
        <v>1951</v>
      </c>
      <c r="P369" s="4" t="s">
        <v>1635</v>
      </c>
      <c r="Q369" s="4" t="s">
        <v>2138</v>
      </c>
      <c r="R369" s="4" t="b">
        <v>0</v>
      </c>
      <c r="S369" s="4" t="s">
        <v>1486</v>
      </c>
      <c r="T369" s="2">
        <v>46003.9208333333</v>
      </c>
      <c r="U369" s="2">
        <v>46003.0</v>
      </c>
      <c r="V369" s="4">
        <v>49.0</v>
      </c>
      <c r="W369" s="4" t="s">
        <v>550</v>
      </c>
      <c r="X369" s="4">
        <v>2025.0</v>
      </c>
      <c r="Y369" s="4" t="s">
        <v>1487</v>
      </c>
      <c r="Z369" s="4"/>
      <c r="AA369" s="4" t="s">
        <v>558</v>
      </c>
      <c r="AB369" s="4" t="b">
        <v>1</v>
      </c>
      <c r="AC369" s="4" t="s">
        <v>536</v>
      </c>
      <c r="AD369" s="4" t="s">
        <v>537</v>
      </c>
    </row>
    <row r="370" ht="14.25" customHeight="1">
      <c r="A370" s="4">
        <v>8110285.0</v>
      </c>
      <c r="B370" s="2">
        <v>46003.9094097222</v>
      </c>
      <c r="C370" s="4">
        <v>7337348.0</v>
      </c>
      <c r="D370" s="4" t="s">
        <v>1022</v>
      </c>
      <c r="E370" s="2">
        <v>46003.9194444444</v>
      </c>
      <c r="F370" s="4">
        <v>1.0</v>
      </c>
      <c r="G370" s="4">
        <v>0.0</v>
      </c>
      <c r="H370" s="4"/>
      <c r="I370" s="4"/>
      <c r="J370" s="4" t="s">
        <v>1480</v>
      </c>
      <c r="K370" s="4" t="s">
        <v>1480</v>
      </c>
      <c r="L370" s="4" t="s">
        <v>1481</v>
      </c>
      <c r="M370" s="4" t="s">
        <v>1482</v>
      </c>
      <c r="N370" s="4" t="s">
        <v>540</v>
      </c>
      <c r="O370" s="4" t="s">
        <v>1951</v>
      </c>
      <c r="P370" s="4" t="s">
        <v>1635</v>
      </c>
      <c r="Q370" s="4" t="s">
        <v>2138</v>
      </c>
      <c r="R370" s="4" t="b">
        <v>0</v>
      </c>
      <c r="S370" s="4" t="s">
        <v>1486</v>
      </c>
      <c r="T370" s="2">
        <v>46003.9208333333</v>
      </c>
      <c r="U370" s="2">
        <v>46003.0</v>
      </c>
      <c r="V370" s="4">
        <v>49.0</v>
      </c>
      <c r="W370" s="4" t="s">
        <v>550</v>
      </c>
      <c r="X370" s="4">
        <v>2025.0</v>
      </c>
      <c r="Y370" s="4" t="s">
        <v>1487</v>
      </c>
      <c r="Z370" s="4"/>
      <c r="AA370" s="4" t="s">
        <v>558</v>
      </c>
      <c r="AB370" s="4" t="b">
        <v>0</v>
      </c>
      <c r="AC370" s="4" t="s">
        <v>536</v>
      </c>
      <c r="AD370" s="4" t="s">
        <v>537</v>
      </c>
    </row>
    <row r="371" ht="14.25" customHeight="1">
      <c r="A371" s="4">
        <v>8110481.0</v>
      </c>
      <c r="B371" s="2">
        <v>46003.940150463</v>
      </c>
      <c r="C371" s="4">
        <v>7337541.0</v>
      </c>
      <c r="D371" s="4" t="s">
        <v>1023</v>
      </c>
      <c r="E371" s="2">
        <v>46003.9416666667</v>
      </c>
      <c r="F371" s="4">
        <v>0.0</v>
      </c>
      <c r="G371" s="4">
        <v>0.0</v>
      </c>
      <c r="H371" s="4"/>
      <c r="I371" s="4"/>
      <c r="J371" s="4"/>
      <c r="K371" s="4"/>
      <c r="L371" s="4"/>
      <c r="M371" s="4" t="s">
        <v>1482</v>
      </c>
      <c r="N371" s="4" t="s">
        <v>1483</v>
      </c>
      <c r="O371" s="4" t="s">
        <v>2139</v>
      </c>
      <c r="P371" s="4" t="s">
        <v>1627</v>
      </c>
      <c r="Q371" s="4" t="s">
        <v>2140</v>
      </c>
      <c r="R371" s="4" t="b">
        <v>1</v>
      </c>
      <c r="S371" s="4" t="s">
        <v>1486</v>
      </c>
      <c r="T371" s="2">
        <v>46003.9430555556</v>
      </c>
      <c r="U371" s="2">
        <v>46003.0</v>
      </c>
      <c r="V371" s="4">
        <v>49.0</v>
      </c>
      <c r="W371" s="4" t="s">
        <v>550</v>
      </c>
      <c r="X371" s="4">
        <v>2025.0</v>
      </c>
      <c r="Y371" s="4" t="s">
        <v>1540</v>
      </c>
      <c r="Z371" s="4" t="s">
        <v>795</v>
      </c>
      <c r="AA371" s="4" t="s">
        <v>649</v>
      </c>
      <c r="AB371" s="4" t="b">
        <v>0</v>
      </c>
      <c r="AC371" s="4" t="s">
        <v>536</v>
      </c>
      <c r="AD371" s="4" t="s">
        <v>537</v>
      </c>
    </row>
    <row r="372" ht="14.25" customHeight="1">
      <c r="A372" s="4">
        <v>8110653.0</v>
      </c>
      <c r="B372" s="2">
        <v>46003.9725462963</v>
      </c>
      <c r="C372" s="4">
        <v>7337712.0</v>
      </c>
      <c r="D372" s="4" t="s">
        <v>1025</v>
      </c>
      <c r="E372" s="2">
        <v>46003.9743055556</v>
      </c>
      <c r="F372" s="4">
        <v>1.0</v>
      </c>
      <c r="G372" s="4">
        <v>0.0</v>
      </c>
      <c r="H372" s="4" t="s">
        <v>1519</v>
      </c>
      <c r="I372" s="4" t="s">
        <v>1913</v>
      </c>
      <c r="J372" s="4" t="s">
        <v>1519</v>
      </c>
      <c r="K372" s="4" t="s">
        <v>1513</v>
      </c>
      <c r="L372" s="4" t="s">
        <v>1913</v>
      </c>
      <c r="M372" s="4" t="s">
        <v>1482</v>
      </c>
      <c r="N372" s="4" t="s">
        <v>1594</v>
      </c>
      <c r="O372" s="4" t="s">
        <v>2141</v>
      </c>
      <c r="P372" s="4" t="s">
        <v>2142</v>
      </c>
      <c r="Q372" s="4" t="s">
        <v>2143</v>
      </c>
      <c r="R372" s="4" t="b">
        <v>0</v>
      </c>
      <c r="S372" s="4" t="s">
        <v>1486</v>
      </c>
      <c r="T372" s="2">
        <v>46003.9756944444</v>
      </c>
      <c r="U372" s="2">
        <v>46003.0</v>
      </c>
      <c r="V372" s="4">
        <v>49.0</v>
      </c>
      <c r="W372" s="4" t="s">
        <v>550</v>
      </c>
      <c r="X372" s="4">
        <v>2025.0</v>
      </c>
      <c r="Y372" s="4" t="s">
        <v>1518</v>
      </c>
      <c r="Z372" s="4"/>
      <c r="AA372" s="4" t="s">
        <v>558</v>
      </c>
      <c r="AB372" s="4" t="b">
        <v>0</v>
      </c>
      <c r="AC372" s="4" t="s">
        <v>599</v>
      </c>
      <c r="AD372" s="4" t="s">
        <v>537</v>
      </c>
    </row>
    <row r="373" ht="14.25" customHeight="1">
      <c r="A373" s="4">
        <v>8110731.0</v>
      </c>
      <c r="B373" s="2">
        <v>46003.9888888889</v>
      </c>
      <c r="C373" s="4">
        <v>7337789.0</v>
      </c>
      <c r="D373" s="4" t="s">
        <v>1026</v>
      </c>
      <c r="E373" s="2">
        <v>46003.9895833333</v>
      </c>
      <c r="F373" s="4">
        <v>1.0</v>
      </c>
      <c r="G373" s="4">
        <v>0.0</v>
      </c>
      <c r="H373" s="4" t="s">
        <v>1519</v>
      </c>
      <c r="I373" s="4" t="s">
        <v>1858</v>
      </c>
      <c r="J373" s="4" t="s">
        <v>1519</v>
      </c>
      <c r="K373" s="4" t="s">
        <v>1513</v>
      </c>
      <c r="L373" s="4" t="s">
        <v>1858</v>
      </c>
      <c r="M373" s="4" t="s">
        <v>1482</v>
      </c>
      <c r="N373" s="4" t="s">
        <v>540</v>
      </c>
      <c r="O373" s="4" t="s">
        <v>2144</v>
      </c>
      <c r="P373" s="4" t="s">
        <v>2145</v>
      </c>
      <c r="Q373" s="4" t="s">
        <v>2146</v>
      </c>
      <c r="R373" s="4" t="b">
        <v>0</v>
      </c>
      <c r="S373" s="4" t="s">
        <v>1486</v>
      </c>
      <c r="T373" s="2">
        <v>46003.9909722222</v>
      </c>
      <c r="U373" s="2">
        <v>46003.0</v>
      </c>
      <c r="V373" s="4">
        <v>49.0</v>
      </c>
      <c r="W373" s="4" t="s">
        <v>550</v>
      </c>
      <c r="X373" s="4">
        <v>2025.0</v>
      </c>
      <c r="Y373" s="4" t="s">
        <v>1518</v>
      </c>
      <c r="Z373" s="4"/>
      <c r="AA373" s="4" t="s">
        <v>558</v>
      </c>
      <c r="AB373" s="4" t="b">
        <v>0</v>
      </c>
      <c r="AC373" s="4" t="s">
        <v>554</v>
      </c>
      <c r="AD373" s="4" t="s">
        <v>537</v>
      </c>
    </row>
    <row r="374" ht="14.25" customHeight="1">
      <c r="A374" s="4">
        <v>7964881.0</v>
      </c>
      <c r="B374" s="2">
        <v>45986.0685532407</v>
      </c>
      <c r="C374" s="4">
        <v>7193167.0</v>
      </c>
      <c r="D374" s="4" t="s">
        <v>1027</v>
      </c>
      <c r="E374" s="2">
        <v>46004.0597222222</v>
      </c>
      <c r="F374" s="4">
        <v>1.0</v>
      </c>
      <c r="G374" s="4">
        <v>0.0</v>
      </c>
      <c r="H374" s="4"/>
      <c r="I374" s="4"/>
      <c r="J374" s="4" t="s">
        <v>1480</v>
      </c>
      <c r="K374" s="4" t="s">
        <v>1480</v>
      </c>
      <c r="L374" s="4" t="s">
        <v>1511</v>
      </c>
      <c r="M374" s="4" t="s">
        <v>1482</v>
      </c>
      <c r="N374" s="4" t="s">
        <v>653</v>
      </c>
      <c r="O374" s="4" t="s">
        <v>1483</v>
      </c>
      <c r="P374" s="4" t="s">
        <v>1496</v>
      </c>
      <c r="Q374" s="4" t="s">
        <v>2147</v>
      </c>
      <c r="R374" s="4" t="b">
        <v>0</v>
      </c>
      <c r="S374" s="4" t="s">
        <v>1486</v>
      </c>
      <c r="T374" s="2">
        <v>46004.0611111111</v>
      </c>
      <c r="U374" s="2">
        <v>45986.0</v>
      </c>
      <c r="V374" s="4">
        <v>47.0</v>
      </c>
      <c r="W374" s="4" t="s">
        <v>545</v>
      </c>
      <c r="X374" s="4">
        <v>2025.0</v>
      </c>
      <c r="Y374" s="4" t="s">
        <v>1680</v>
      </c>
      <c r="Z374" s="4" t="s">
        <v>541</v>
      </c>
      <c r="AA374" s="4" t="s">
        <v>546</v>
      </c>
      <c r="AB374" s="4" t="b">
        <v>0</v>
      </c>
      <c r="AC374" s="4" t="s">
        <v>536</v>
      </c>
      <c r="AD374" s="4" t="s">
        <v>537</v>
      </c>
    </row>
    <row r="375" ht="14.25" customHeight="1">
      <c r="A375" s="4">
        <v>8111257.0</v>
      </c>
      <c r="B375" s="2">
        <v>46004.0887847222</v>
      </c>
      <c r="C375" s="4">
        <v>7338308.0</v>
      </c>
      <c r="D375" s="4" t="s">
        <v>1029</v>
      </c>
      <c r="E375" s="2">
        <v>46004.09375</v>
      </c>
      <c r="F375" s="4">
        <v>1.0</v>
      </c>
      <c r="G375" s="4">
        <v>0.0</v>
      </c>
      <c r="H375" s="4" t="s">
        <v>1519</v>
      </c>
      <c r="I375" s="4" t="s">
        <v>2129</v>
      </c>
      <c r="J375" s="4" t="s">
        <v>1519</v>
      </c>
      <c r="K375" s="4" t="s">
        <v>1513</v>
      </c>
      <c r="L375" s="4" t="s">
        <v>2129</v>
      </c>
      <c r="M375" s="4" t="s">
        <v>1482</v>
      </c>
      <c r="N375" s="4" t="s">
        <v>1594</v>
      </c>
      <c r="O375" s="4" t="s">
        <v>2148</v>
      </c>
      <c r="P375" s="4" t="s">
        <v>2149</v>
      </c>
      <c r="Q375" s="4" t="s">
        <v>2150</v>
      </c>
      <c r="R375" s="4" t="b">
        <v>0</v>
      </c>
      <c r="S375" s="4" t="s">
        <v>1486</v>
      </c>
      <c r="T375" s="2">
        <v>46004.0951388889</v>
      </c>
      <c r="U375" s="2">
        <v>46004.0</v>
      </c>
      <c r="V375" s="4">
        <v>49.0</v>
      </c>
      <c r="W375" s="4" t="s">
        <v>550</v>
      </c>
      <c r="X375" s="4">
        <v>2025.0</v>
      </c>
      <c r="Y375" s="4" t="s">
        <v>1518</v>
      </c>
      <c r="Z375" s="4"/>
      <c r="AA375" s="4" t="s">
        <v>558</v>
      </c>
      <c r="AB375" s="4" t="b">
        <v>0</v>
      </c>
      <c r="AC375" s="4" t="s">
        <v>599</v>
      </c>
      <c r="AD375" s="4" t="s">
        <v>537</v>
      </c>
    </row>
    <row r="376" ht="14.25" customHeight="1">
      <c r="A376" s="4">
        <v>8111732.0</v>
      </c>
      <c r="B376" s="2">
        <v>46004.1989699074</v>
      </c>
      <c r="C376" s="4">
        <v>7338781.0</v>
      </c>
      <c r="D376" s="4" t="s">
        <v>1030</v>
      </c>
      <c r="E376" s="2">
        <v>46004.2</v>
      </c>
      <c r="F376" s="4">
        <v>1.0</v>
      </c>
      <c r="G376" s="4">
        <v>0.0</v>
      </c>
      <c r="H376" s="4" t="s">
        <v>1519</v>
      </c>
      <c r="I376" s="4" t="s">
        <v>2129</v>
      </c>
      <c r="J376" s="4" t="s">
        <v>1519</v>
      </c>
      <c r="K376" s="4" t="s">
        <v>1513</v>
      </c>
      <c r="L376" s="4" t="s">
        <v>2129</v>
      </c>
      <c r="M376" s="4" t="s">
        <v>1482</v>
      </c>
      <c r="N376" s="4" t="s">
        <v>2151</v>
      </c>
      <c r="O376" s="4" t="s">
        <v>2152</v>
      </c>
      <c r="P376" s="4" t="s">
        <v>2153</v>
      </c>
      <c r="Q376" s="4" t="s">
        <v>2154</v>
      </c>
      <c r="R376" s="4" t="b">
        <v>0</v>
      </c>
      <c r="S376" s="4" t="s">
        <v>1486</v>
      </c>
      <c r="T376" s="2">
        <v>46004.2013888889</v>
      </c>
      <c r="U376" s="2">
        <v>46004.0</v>
      </c>
      <c r="V376" s="4">
        <v>49.0</v>
      </c>
      <c r="W376" s="4" t="s">
        <v>550</v>
      </c>
      <c r="X376" s="4">
        <v>2025.0</v>
      </c>
      <c r="Y376" s="4" t="s">
        <v>1518</v>
      </c>
      <c r="Z376" s="4"/>
      <c r="AA376" s="4" t="s">
        <v>558</v>
      </c>
      <c r="AB376" s="4" t="b">
        <v>0</v>
      </c>
      <c r="AC376" s="4" t="s">
        <v>599</v>
      </c>
      <c r="AD376" s="4" t="s">
        <v>537</v>
      </c>
    </row>
    <row r="377" ht="14.25" customHeight="1">
      <c r="A377" s="4">
        <v>8112019.0</v>
      </c>
      <c r="B377" s="2">
        <v>46004.258125</v>
      </c>
      <c r="C377" s="4">
        <v>7339068.0</v>
      </c>
      <c r="D377" s="4" t="s">
        <v>1031</v>
      </c>
      <c r="E377" s="2">
        <v>46004.2868055556</v>
      </c>
      <c r="F377" s="4">
        <v>0.5</v>
      </c>
      <c r="G377" s="4">
        <v>0.0</v>
      </c>
      <c r="H377" s="4" t="s">
        <v>1526</v>
      </c>
      <c r="I377" s="4" t="s">
        <v>2155</v>
      </c>
      <c r="J377" s="4" t="s">
        <v>1526</v>
      </c>
      <c r="K377" s="4" t="s">
        <v>1527</v>
      </c>
      <c r="L377" s="4" t="s">
        <v>2155</v>
      </c>
      <c r="M377" s="4" t="s">
        <v>2156</v>
      </c>
      <c r="N377" s="4" t="s">
        <v>2157</v>
      </c>
      <c r="O377" s="4" t="s">
        <v>2158</v>
      </c>
      <c r="P377" s="4" t="s">
        <v>1488</v>
      </c>
      <c r="Q377" s="4" t="s">
        <v>2159</v>
      </c>
      <c r="R377" s="4" t="b">
        <v>0</v>
      </c>
      <c r="S377" s="4" t="s">
        <v>1486</v>
      </c>
      <c r="T377" s="2">
        <v>46004.2881944444</v>
      </c>
      <c r="U377" s="2">
        <v>46004.0</v>
      </c>
      <c r="V377" s="4">
        <v>49.0</v>
      </c>
      <c r="W377" s="4" t="s">
        <v>550</v>
      </c>
      <c r="X377" s="4">
        <v>2025.0</v>
      </c>
      <c r="Y377" s="4" t="s">
        <v>1518</v>
      </c>
      <c r="Z377" s="4" t="s">
        <v>1032</v>
      </c>
      <c r="AA377" s="4" t="s">
        <v>1033</v>
      </c>
      <c r="AB377" s="4" t="b">
        <v>0</v>
      </c>
      <c r="AC377" s="4" t="s">
        <v>536</v>
      </c>
      <c r="AD377" s="4" t="s">
        <v>537</v>
      </c>
    </row>
    <row r="378" ht="14.25" customHeight="1">
      <c r="A378" s="4">
        <v>8112149.0</v>
      </c>
      <c r="B378" s="2">
        <v>46004.2850925926</v>
      </c>
      <c r="C378" s="4">
        <v>7339068.0</v>
      </c>
      <c r="D378" s="4" t="s">
        <v>1031</v>
      </c>
      <c r="E378" s="2">
        <v>46004.2868055556</v>
      </c>
      <c r="F378" s="4">
        <v>0.5</v>
      </c>
      <c r="G378" s="4">
        <v>0.0</v>
      </c>
      <c r="H378" s="4" t="s">
        <v>1526</v>
      </c>
      <c r="I378" s="4" t="s">
        <v>2155</v>
      </c>
      <c r="J378" s="4" t="s">
        <v>1526</v>
      </c>
      <c r="K378" s="4" t="s">
        <v>1527</v>
      </c>
      <c r="L378" s="4" t="s">
        <v>2155</v>
      </c>
      <c r="M378" s="4" t="s">
        <v>2156</v>
      </c>
      <c r="N378" s="4"/>
      <c r="O378" s="4" t="s">
        <v>2158</v>
      </c>
      <c r="P378" s="4" t="s">
        <v>1488</v>
      </c>
      <c r="Q378" s="4" t="s">
        <v>2159</v>
      </c>
      <c r="R378" s="4" t="b">
        <v>0</v>
      </c>
      <c r="S378" s="4" t="s">
        <v>1486</v>
      </c>
      <c r="T378" s="2">
        <v>46004.2881944444</v>
      </c>
      <c r="U378" s="2">
        <v>46004.0</v>
      </c>
      <c r="V378" s="4">
        <v>49.0</v>
      </c>
      <c r="W378" s="4" t="s">
        <v>550</v>
      </c>
      <c r="X378" s="4">
        <v>2025.0</v>
      </c>
      <c r="Y378" s="4" t="s">
        <v>1518</v>
      </c>
      <c r="Z378" s="4" t="s">
        <v>1032</v>
      </c>
      <c r="AA378" s="4" t="s">
        <v>1033</v>
      </c>
      <c r="AB378" s="4" t="b">
        <v>0</v>
      </c>
      <c r="AC378" s="4" t="s">
        <v>536</v>
      </c>
      <c r="AD378" s="4" t="s">
        <v>537</v>
      </c>
    </row>
    <row r="379" ht="14.25" customHeight="1">
      <c r="A379" s="4">
        <v>8112620.0</v>
      </c>
      <c r="B379" s="2">
        <v>46004.3918287037</v>
      </c>
      <c r="C379" s="4">
        <v>7339662.0</v>
      </c>
      <c r="D379" s="4" t="s">
        <v>1034</v>
      </c>
      <c r="E379" s="2">
        <v>46004.3944444444</v>
      </c>
      <c r="F379" s="4">
        <v>1.0</v>
      </c>
      <c r="G379" s="4">
        <v>0.0</v>
      </c>
      <c r="H379" s="4" t="s">
        <v>1511</v>
      </c>
      <c r="I379" s="4" t="s">
        <v>1759</v>
      </c>
      <c r="J379" s="4" t="s">
        <v>1511</v>
      </c>
      <c r="K379" s="4" t="s">
        <v>1513</v>
      </c>
      <c r="L379" s="4" t="s">
        <v>1759</v>
      </c>
      <c r="M379" s="4" t="s">
        <v>2160</v>
      </c>
      <c r="N379" s="4" t="s">
        <v>653</v>
      </c>
      <c r="O379" s="4" t="s">
        <v>2161</v>
      </c>
      <c r="P379" s="4" t="s">
        <v>1845</v>
      </c>
      <c r="Q379" s="4" t="s">
        <v>2162</v>
      </c>
      <c r="R379" s="4" t="b">
        <v>0</v>
      </c>
      <c r="S379" s="4" t="s">
        <v>1486</v>
      </c>
      <c r="T379" s="2">
        <v>46004.3958333333</v>
      </c>
      <c r="U379" s="2">
        <v>46004.0</v>
      </c>
      <c r="V379" s="4">
        <v>49.0</v>
      </c>
      <c r="W379" s="4" t="s">
        <v>550</v>
      </c>
      <c r="X379" s="4">
        <v>2025.0</v>
      </c>
      <c r="Y379" s="4" t="s">
        <v>1518</v>
      </c>
      <c r="Z379" s="4" t="s">
        <v>557</v>
      </c>
      <c r="AA379" s="4" t="s">
        <v>558</v>
      </c>
      <c r="AB379" s="4" t="b">
        <v>0</v>
      </c>
      <c r="AC379" s="4" t="s">
        <v>536</v>
      </c>
      <c r="AD379" s="4" t="s">
        <v>537</v>
      </c>
    </row>
    <row r="380" ht="14.25" customHeight="1">
      <c r="A380" s="4">
        <v>7771936.0</v>
      </c>
      <c r="B380" s="2">
        <v>45945.7430555556</v>
      </c>
      <c r="C380" s="4">
        <v>7008148.0</v>
      </c>
      <c r="D380" s="4" t="s">
        <v>1035</v>
      </c>
      <c r="E380" s="2">
        <v>46004.4569444444</v>
      </c>
      <c r="F380" s="4">
        <v>0.5</v>
      </c>
      <c r="G380" s="4">
        <v>0.0</v>
      </c>
      <c r="H380" s="4" t="s">
        <v>1511</v>
      </c>
      <c r="I380" s="4" t="s">
        <v>1648</v>
      </c>
      <c r="J380" s="4" t="s">
        <v>1511</v>
      </c>
      <c r="K380" s="4" t="s">
        <v>1513</v>
      </c>
      <c r="L380" s="4" t="s">
        <v>1648</v>
      </c>
      <c r="M380" s="4" t="s">
        <v>1649</v>
      </c>
      <c r="N380" s="4" t="s">
        <v>653</v>
      </c>
      <c r="O380" s="4" t="s">
        <v>2163</v>
      </c>
      <c r="P380" s="4" t="s">
        <v>1727</v>
      </c>
      <c r="Q380" s="4" t="s">
        <v>2164</v>
      </c>
      <c r="R380" s="4" t="b">
        <v>0</v>
      </c>
      <c r="S380" s="4" t="s">
        <v>1486</v>
      </c>
      <c r="T380" s="2">
        <v>46004.4583333333</v>
      </c>
      <c r="U380" s="2">
        <v>45945.0</v>
      </c>
      <c r="V380" s="4">
        <v>41.0</v>
      </c>
      <c r="W380" s="4" t="s">
        <v>1560</v>
      </c>
      <c r="X380" s="4">
        <v>2025.0</v>
      </c>
      <c r="Y380" s="4" t="s">
        <v>1518</v>
      </c>
      <c r="Z380" s="4"/>
      <c r="AA380" s="4" t="s">
        <v>558</v>
      </c>
      <c r="AB380" s="4" t="b">
        <v>0</v>
      </c>
      <c r="AC380" s="4" t="s">
        <v>567</v>
      </c>
      <c r="AD380" s="4" t="s">
        <v>537</v>
      </c>
    </row>
    <row r="381" ht="14.25" customHeight="1">
      <c r="A381" s="4">
        <v>8112919.0</v>
      </c>
      <c r="B381" s="2">
        <v>46004.4548958333</v>
      </c>
      <c r="C381" s="4">
        <v>7008148.0</v>
      </c>
      <c r="D381" s="4" t="s">
        <v>1035</v>
      </c>
      <c r="E381" s="2">
        <v>46004.4569444444</v>
      </c>
      <c r="F381" s="4">
        <v>0.5</v>
      </c>
      <c r="G381" s="4">
        <v>0.0</v>
      </c>
      <c r="H381" s="4" t="s">
        <v>1511</v>
      </c>
      <c r="I381" s="4" t="s">
        <v>2085</v>
      </c>
      <c r="J381" s="4" t="s">
        <v>1511</v>
      </c>
      <c r="K381" s="4" t="s">
        <v>1513</v>
      </c>
      <c r="L381" s="4" t="s">
        <v>2085</v>
      </c>
      <c r="M381" s="4" t="s">
        <v>2165</v>
      </c>
      <c r="N381" s="4" t="s">
        <v>653</v>
      </c>
      <c r="O381" s="4" t="s">
        <v>2166</v>
      </c>
      <c r="P381" s="4" t="s">
        <v>1845</v>
      </c>
      <c r="Q381" s="4" t="s">
        <v>2164</v>
      </c>
      <c r="R381" s="4" t="b">
        <v>0</v>
      </c>
      <c r="S381" s="4" t="s">
        <v>1486</v>
      </c>
      <c r="T381" s="2">
        <v>46004.4583333333</v>
      </c>
      <c r="U381" s="2">
        <v>46004.0</v>
      </c>
      <c r="V381" s="4">
        <v>49.0</v>
      </c>
      <c r="W381" s="4" t="s">
        <v>550</v>
      </c>
      <c r="X381" s="4">
        <v>2025.0</v>
      </c>
      <c r="Y381" s="4" t="s">
        <v>1518</v>
      </c>
      <c r="Z381" s="4"/>
      <c r="AA381" s="4" t="s">
        <v>558</v>
      </c>
      <c r="AB381" s="4" t="b">
        <v>0</v>
      </c>
      <c r="AC381" s="4" t="s">
        <v>567</v>
      </c>
      <c r="AD381" s="4" t="s">
        <v>537</v>
      </c>
    </row>
    <row r="382" ht="14.25" customHeight="1">
      <c r="A382" s="4">
        <v>8113509.0</v>
      </c>
      <c r="B382" s="2">
        <v>46004.5255902778</v>
      </c>
      <c r="C382" s="4">
        <v>7340537.0</v>
      </c>
      <c r="D382" s="4" t="s">
        <v>1036</v>
      </c>
      <c r="E382" s="2">
        <v>46004.5256944444</v>
      </c>
      <c r="F382" s="4">
        <v>1.0</v>
      </c>
      <c r="G382" s="4">
        <v>0.0</v>
      </c>
      <c r="H382" s="4" t="s">
        <v>1685</v>
      </c>
      <c r="I382" s="4" t="s">
        <v>1686</v>
      </c>
      <c r="J382" s="4" t="s">
        <v>1685</v>
      </c>
      <c r="K382" s="4" t="s">
        <v>1513</v>
      </c>
      <c r="L382" s="4" t="s">
        <v>1686</v>
      </c>
      <c r="M382" s="4" t="s">
        <v>1687</v>
      </c>
      <c r="N382" s="4" t="s">
        <v>1688</v>
      </c>
      <c r="O382" s="4" t="s">
        <v>2167</v>
      </c>
      <c r="P382" s="4" t="s">
        <v>2168</v>
      </c>
      <c r="Q382" s="4" t="s">
        <v>2169</v>
      </c>
      <c r="R382" s="4" t="b">
        <v>0</v>
      </c>
      <c r="S382" s="4" t="s">
        <v>1486</v>
      </c>
      <c r="T382" s="2">
        <v>46004.5270833333</v>
      </c>
      <c r="U382" s="2">
        <v>46004.0</v>
      </c>
      <c r="V382" s="4">
        <v>49.0</v>
      </c>
      <c r="W382" s="4" t="s">
        <v>550</v>
      </c>
      <c r="X382" s="4">
        <v>2025.0</v>
      </c>
      <c r="Y382" s="4" t="s">
        <v>1518</v>
      </c>
      <c r="Z382" s="4"/>
      <c r="AA382" s="4" t="s">
        <v>558</v>
      </c>
      <c r="AB382" s="4" t="b">
        <v>0</v>
      </c>
      <c r="AC382" s="4" t="s">
        <v>599</v>
      </c>
      <c r="AD382" s="4" t="s">
        <v>537</v>
      </c>
    </row>
    <row r="383" ht="14.25" customHeight="1">
      <c r="A383" s="4">
        <v>8113647.0</v>
      </c>
      <c r="B383" s="2">
        <v>46004.5504282407</v>
      </c>
      <c r="C383" s="4">
        <v>7340674.0</v>
      </c>
      <c r="D383" s="4" t="s">
        <v>1037</v>
      </c>
      <c r="E383" s="2">
        <v>46004.5506944444</v>
      </c>
      <c r="F383" s="4">
        <v>0.0</v>
      </c>
      <c r="G383" s="4">
        <v>0.0</v>
      </c>
      <c r="H383" s="4"/>
      <c r="I383" s="4"/>
      <c r="J383" s="4"/>
      <c r="K383" s="4"/>
      <c r="L383" s="4"/>
      <c r="M383" s="4" t="s">
        <v>1482</v>
      </c>
      <c r="N383" s="4" t="s">
        <v>1842</v>
      </c>
      <c r="O383" s="4" t="s">
        <v>1598</v>
      </c>
      <c r="P383" s="4" t="s">
        <v>1979</v>
      </c>
      <c r="Q383" s="4" t="s">
        <v>2170</v>
      </c>
      <c r="R383" s="4" t="b">
        <v>1</v>
      </c>
      <c r="S383" s="4" t="s">
        <v>1486</v>
      </c>
      <c r="T383" s="2">
        <v>46004.5520833333</v>
      </c>
      <c r="U383" s="2">
        <v>46004.0</v>
      </c>
      <c r="V383" s="4">
        <v>49.0</v>
      </c>
      <c r="W383" s="4" t="s">
        <v>550</v>
      </c>
      <c r="X383" s="4">
        <v>2025.0</v>
      </c>
      <c r="Y383" s="4" t="s">
        <v>1540</v>
      </c>
      <c r="Z383" s="4"/>
      <c r="AA383" s="4" t="s">
        <v>786</v>
      </c>
      <c r="AB383" s="4" t="b">
        <v>0</v>
      </c>
      <c r="AC383" s="4" t="s">
        <v>536</v>
      </c>
      <c r="AD383" s="4" t="s">
        <v>537</v>
      </c>
    </row>
    <row r="384" ht="14.25" customHeight="1">
      <c r="A384" s="4">
        <v>8114126.0</v>
      </c>
      <c r="B384" s="2">
        <v>46004.6198263889</v>
      </c>
      <c r="C384" s="4">
        <v>7341148.0</v>
      </c>
      <c r="D384" s="4" t="s">
        <v>1038</v>
      </c>
      <c r="E384" s="2">
        <v>46004.6201388889</v>
      </c>
      <c r="F384" s="4">
        <v>1.0</v>
      </c>
      <c r="G384" s="4">
        <v>0.0</v>
      </c>
      <c r="H384" s="4" t="s">
        <v>1519</v>
      </c>
      <c r="I384" s="4" t="s">
        <v>2171</v>
      </c>
      <c r="J384" s="4" t="s">
        <v>1519</v>
      </c>
      <c r="K384" s="4" t="s">
        <v>1513</v>
      </c>
      <c r="L384" s="4" t="s">
        <v>2171</v>
      </c>
      <c r="M384" s="4" t="s">
        <v>2172</v>
      </c>
      <c r="N384" s="4" t="s">
        <v>540</v>
      </c>
      <c r="O384" s="4" t="s">
        <v>2173</v>
      </c>
      <c r="P384" s="4" t="s">
        <v>1635</v>
      </c>
      <c r="Q384" s="4" t="s">
        <v>2174</v>
      </c>
      <c r="R384" s="4" t="b">
        <v>0</v>
      </c>
      <c r="S384" s="4" t="s">
        <v>1486</v>
      </c>
      <c r="T384" s="2">
        <v>46004.6215277778</v>
      </c>
      <c r="U384" s="2">
        <v>46004.0</v>
      </c>
      <c r="V384" s="4">
        <v>49.0</v>
      </c>
      <c r="W384" s="4" t="s">
        <v>550</v>
      </c>
      <c r="X384" s="4">
        <v>2025.0</v>
      </c>
      <c r="Y384" s="4" t="s">
        <v>1518</v>
      </c>
      <c r="Z384" s="4"/>
      <c r="AA384" s="4" t="s">
        <v>546</v>
      </c>
      <c r="AB384" s="4" t="b">
        <v>0</v>
      </c>
      <c r="AC384" s="4" t="s">
        <v>536</v>
      </c>
      <c r="AD384" s="4" t="s">
        <v>537</v>
      </c>
    </row>
    <row r="385" ht="14.25" customHeight="1">
      <c r="A385" s="4">
        <v>8114412.0</v>
      </c>
      <c r="B385" s="2">
        <v>46004.6569560185</v>
      </c>
      <c r="C385" s="4">
        <v>7341433.0</v>
      </c>
      <c r="D385" s="4" t="s">
        <v>1039</v>
      </c>
      <c r="E385" s="2">
        <v>46004.6576388889</v>
      </c>
      <c r="F385" s="4">
        <v>1.0</v>
      </c>
      <c r="G385" s="4">
        <v>0.0</v>
      </c>
      <c r="H385" s="4"/>
      <c r="I385" s="4"/>
      <c r="J385" s="4" t="s">
        <v>1480</v>
      </c>
      <c r="K385" s="4" t="s">
        <v>1480</v>
      </c>
      <c r="L385" s="4" t="s">
        <v>1481</v>
      </c>
      <c r="M385" s="4" t="s">
        <v>1482</v>
      </c>
      <c r="N385" s="4" t="s">
        <v>540</v>
      </c>
      <c r="O385" s="4" t="s">
        <v>1483</v>
      </c>
      <c r="P385" s="4" t="s">
        <v>1635</v>
      </c>
      <c r="Q385" s="4" t="s">
        <v>2175</v>
      </c>
      <c r="R385" s="4" t="b">
        <v>0</v>
      </c>
      <c r="S385" s="4" t="s">
        <v>1486</v>
      </c>
      <c r="T385" s="2">
        <v>46004.6590277778</v>
      </c>
      <c r="U385" s="2">
        <v>46004.0</v>
      </c>
      <c r="V385" s="4">
        <v>49.0</v>
      </c>
      <c r="W385" s="4" t="s">
        <v>550</v>
      </c>
      <c r="X385" s="4">
        <v>2025.0</v>
      </c>
      <c r="Y385" s="4" t="s">
        <v>1487</v>
      </c>
      <c r="Z385" s="4"/>
      <c r="AA385" s="4" t="s">
        <v>558</v>
      </c>
      <c r="AB385" s="4" t="b">
        <v>1</v>
      </c>
      <c r="AC385" s="4" t="s">
        <v>536</v>
      </c>
      <c r="AD385" s="4" t="s">
        <v>537</v>
      </c>
    </row>
    <row r="386" ht="14.25" customHeight="1">
      <c r="A386" s="4">
        <v>8113041.0</v>
      </c>
      <c r="B386" s="2">
        <v>46004.4734953704</v>
      </c>
      <c r="C386" s="4">
        <v>7340072.0</v>
      </c>
      <c r="D386" s="4" t="s">
        <v>1040</v>
      </c>
      <c r="E386" s="2">
        <v>46004.6826388889</v>
      </c>
      <c r="F386" s="4">
        <v>1.0</v>
      </c>
      <c r="G386" s="4">
        <v>0.0</v>
      </c>
      <c r="H386" s="4"/>
      <c r="I386" s="4"/>
      <c r="J386" s="4" t="s">
        <v>539</v>
      </c>
      <c r="K386" s="4" t="s">
        <v>539</v>
      </c>
      <c r="L386" s="4" t="s">
        <v>1499</v>
      </c>
      <c r="M386" s="4" t="s">
        <v>1482</v>
      </c>
      <c r="N386" s="4"/>
      <c r="O386" s="4" t="s">
        <v>2176</v>
      </c>
      <c r="P386" s="4" t="s">
        <v>1544</v>
      </c>
      <c r="Q386" s="4" t="s">
        <v>2177</v>
      </c>
      <c r="R386" s="4" t="b">
        <v>0</v>
      </c>
      <c r="S386" s="4" t="s">
        <v>1486</v>
      </c>
      <c r="T386" s="2">
        <v>46004.6840277778</v>
      </c>
      <c r="U386" s="2">
        <v>46004.0</v>
      </c>
      <c r="V386" s="4">
        <v>49.0</v>
      </c>
      <c r="W386" s="4" t="s">
        <v>550</v>
      </c>
      <c r="X386" s="4">
        <v>2025.0</v>
      </c>
      <c r="Y386" s="4" t="s">
        <v>1502</v>
      </c>
      <c r="Z386" s="4"/>
      <c r="AA386" s="4" t="s">
        <v>558</v>
      </c>
      <c r="AB386" s="4" t="b">
        <v>1</v>
      </c>
      <c r="AC386" s="4" t="s">
        <v>567</v>
      </c>
      <c r="AD386" s="4" t="s">
        <v>537</v>
      </c>
    </row>
    <row r="387" ht="14.25" customHeight="1">
      <c r="A387" s="4">
        <v>8114114.0</v>
      </c>
      <c r="B387" s="2">
        <v>46004.6179398148</v>
      </c>
      <c r="C387" s="4">
        <v>7341136.0</v>
      </c>
      <c r="D387" s="4" t="s">
        <v>1041</v>
      </c>
      <c r="E387" s="2">
        <v>46004.7104166667</v>
      </c>
      <c r="F387" s="4">
        <v>1.0</v>
      </c>
      <c r="G387" s="4">
        <v>0.0</v>
      </c>
      <c r="H387" s="4" t="s">
        <v>1519</v>
      </c>
      <c r="I387" s="4" t="s">
        <v>1781</v>
      </c>
      <c r="J387" s="4" t="s">
        <v>1519</v>
      </c>
      <c r="K387" s="4" t="s">
        <v>1513</v>
      </c>
      <c r="L387" s="4" t="s">
        <v>1781</v>
      </c>
      <c r="M387" s="4" t="s">
        <v>1692</v>
      </c>
      <c r="N387" s="4" t="s">
        <v>540</v>
      </c>
      <c r="O387" s="4" t="s">
        <v>2178</v>
      </c>
      <c r="P387" s="4" t="s">
        <v>1506</v>
      </c>
      <c r="Q387" s="4" t="s">
        <v>2179</v>
      </c>
      <c r="R387" s="4" t="b">
        <v>0</v>
      </c>
      <c r="S387" s="4" t="s">
        <v>1486</v>
      </c>
      <c r="T387" s="2">
        <v>46004.7118055556</v>
      </c>
      <c r="U387" s="2">
        <v>46004.0</v>
      </c>
      <c r="V387" s="4">
        <v>49.0</v>
      </c>
      <c r="W387" s="4" t="s">
        <v>550</v>
      </c>
      <c r="X387" s="4">
        <v>2025.0</v>
      </c>
      <c r="Y387" s="4" t="s">
        <v>1518</v>
      </c>
      <c r="Z387" s="4" t="s">
        <v>557</v>
      </c>
      <c r="AA387" s="4" t="s">
        <v>558</v>
      </c>
      <c r="AB387" s="4" t="b">
        <v>0</v>
      </c>
      <c r="AC387" s="4" t="s">
        <v>536</v>
      </c>
      <c r="AD387" s="4" t="s">
        <v>537</v>
      </c>
    </row>
    <row r="388" ht="14.25" customHeight="1">
      <c r="A388" s="4">
        <v>8114811.0</v>
      </c>
      <c r="B388" s="2">
        <v>46004.7196759259</v>
      </c>
      <c r="C388" s="4">
        <v>7341830.0</v>
      </c>
      <c r="D388" s="4" t="s">
        <v>1042</v>
      </c>
      <c r="E388" s="2">
        <v>46004.7201388889</v>
      </c>
      <c r="F388" s="4">
        <v>1.0</v>
      </c>
      <c r="G388" s="4">
        <v>0.0</v>
      </c>
      <c r="H388" s="4"/>
      <c r="I388" s="4"/>
      <c r="J388" s="4" t="s">
        <v>1480</v>
      </c>
      <c r="K388" s="4" t="s">
        <v>1480</v>
      </c>
      <c r="L388" s="4" t="s">
        <v>1511</v>
      </c>
      <c r="M388" s="4" t="s">
        <v>1482</v>
      </c>
      <c r="N388" s="4" t="s">
        <v>653</v>
      </c>
      <c r="O388" s="4" t="s">
        <v>2180</v>
      </c>
      <c r="P388" s="4" t="s">
        <v>1845</v>
      </c>
      <c r="Q388" s="4" t="s">
        <v>2181</v>
      </c>
      <c r="R388" s="4" t="b">
        <v>0</v>
      </c>
      <c r="S388" s="4" t="s">
        <v>1486</v>
      </c>
      <c r="T388" s="2">
        <v>46004.7215277778</v>
      </c>
      <c r="U388" s="2">
        <v>46004.0</v>
      </c>
      <c r="V388" s="4">
        <v>49.0</v>
      </c>
      <c r="W388" s="4" t="s">
        <v>550</v>
      </c>
      <c r="X388" s="4">
        <v>2025.0</v>
      </c>
      <c r="Y388" s="4" t="s">
        <v>1680</v>
      </c>
      <c r="Z388" s="4"/>
      <c r="AA388" s="4" t="s">
        <v>558</v>
      </c>
      <c r="AB388" s="4" t="b">
        <v>0</v>
      </c>
      <c r="AC388" s="4" t="s">
        <v>554</v>
      </c>
      <c r="AD388" s="4" t="s">
        <v>537</v>
      </c>
    </row>
    <row r="389" ht="14.25" customHeight="1">
      <c r="A389" s="4">
        <v>8106617.0</v>
      </c>
      <c r="B389" s="2">
        <v>46003.4406944444</v>
      </c>
      <c r="C389" s="4">
        <v>7333726.0</v>
      </c>
      <c r="D389" s="4" t="s">
        <v>1043</v>
      </c>
      <c r="E389" s="2">
        <v>46004.7652777778</v>
      </c>
      <c r="F389" s="4">
        <v>1.0</v>
      </c>
      <c r="G389" s="4">
        <v>0.0</v>
      </c>
      <c r="H389" s="4"/>
      <c r="I389" s="4"/>
      <c r="J389" s="4" t="s">
        <v>1480</v>
      </c>
      <c r="K389" s="4" t="s">
        <v>1480</v>
      </c>
      <c r="L389" s="4" t="s">
        <v>1481</v>
      </c>
      <c r="M389" s="4" t="s">
        <v>1482</v>
      </c>
      <c r="N389" s="4" t="s">
        <v>540</v>
      </c>
      <c r="O389" s="4" t="s">
        <v>1557</v>
      </c>
      <c r="P389" s="4" t="s">
        <v>1488</v>
      </c>
      <c r="Q389" s="4" t="s">
        <v>2182</v>
      </c>
      <c r="R389" s="4" t="b">
        <v>0</v>
      </c>
      <c r="S389" s="4" t="s">
        <v>1486</v>
      </c>
      <c r="T389" s="2">
        <v>46004.7666666667</v>
      </c>
      <c r="U389" s="2">
        <v>46003.0</v>
      </c>
      <c r="V389" s="4">
        <v>49.0</v>
      </c>
      <c r="W389" s="4" t="s">
        <v>550</v>
      </c>
      <c r="X389" s="4">
        <v>2025.0</v>
      </c>
      <c r="Y389" s="4" t="s">
        <v>1487</v>
      </c>
      <c r="Z389" s="4" t="s">
        <v>557</v>
      </c>
      <c r="AA389" s="4" t="s">
        <v>558</v>
      </c>
      <c r="AB389" s="4" t="b">
        <v>0</v>
      </c>
      <c r="AC389" s="4" t="s">
        <v>536</v>
      </c>
      <c r="AD389" s="4" t="s">
        <v>537</v>
      </c>
    </row>
    <row r="390" ht="14.25" customHeight="1">
      <c r="A390" s="4">
        <v>8115363.0</v>
      </c>
      <c r="B390" s="2">
        <v>46004.8065393519</v>
      </c>
      <c r="C390" s="4">
        <v>7342377.0</v>
      </c>
      <c r="D390" s="4" t="s">
        <v>1045</v>
      </c>
      <c r="E390" s="2">
        <v>46004.8083333333</v>
      </c>
      <c r="F390" s="4">
        <v>1.0</v>
      </c>
      <c r="G390" s="4">
        <v>0.0</v>
      </c>
      <c r="H390" s="4"/>
      <c r="I390" s="4"/>
      <c r="J390" s="4" t="s">
        <v>1480</v>
      </c>
      <c r="K390" s="4" t="s">
        <v>1480</v>
      </c>
      <c r="L390" s="4" t="s">
        <v>1481</v>
      </c>
      <c r="M390" s="4" t="s">
        <v>1482</v>
      </c>
      <c r="N390" s="4" t="s">
        <v>540</v>
      </c>
      <c r="O390" s="4" t="s">
        <v>1500</v>
      </c>
      <c r="P390" s="4" t="s">
        <v>1488</v>
      </c>
      <c r="Q390" s="4" t="s">
        <v>2183</v>
      </c>
      <c r="R390" s="4" t="b">
        <v>0</v>
      </c>
      <c r="S390" s="4" t="s">
        <v>1486</v>
      </c>
      <c r="T390" s="2">
        <v>46004.8097222222</v>
      </c>
      <c r="U390" s="2">
        <v>46004.0</v>
      </c>
      <c r="V390" s="4">
        <v>49.0</v>
      </c>
      <c r="W390" s="4" t="s">
        <v>550</v>
      </c>
      <c r="X390" s="4">
        <v>2025.0</v>
      </c>
      <c r="Y390" s="4" t="s">
        <v>1487</v>
      </c>
      <c r="Z390" s="4"/>
      <c r="AA390" s="4" t="s">
        <v>931</v>
      </c>
      <c r="AB390" s="4" t="b">
        <v>0</v>
      </c>
      <c r="AC390" s="4" t="s">
        <v>599</v>
      </c>
      <c r="AD390" s="4" t="s">
        <v>537</v>
      </c>
    </row>
    <row r="391" ht="14.25" customHeight="1">
      <c r="A391" s="4">
        <v>8048722.0</v>
      </c>
      <c r="B391" s="2">
        <v>45999.5900462963</v>
      </c>
      <c r="C391" s="4">
        <v>7276113.0</v>
      </c>
      <c r="D391" s="4" t="s">
        <v>1046</v>
      </c>
      <c r="E391" s="2">
        <v>46004.8909722222</v>
      </c>
      <c r="F391" s="4">
        <v>1.0</v>
      </c>
      <c r="G391" s="4">
        <v>0.0</v>
      </c>
      <c r="H391" s="4"/>
      <c r="I391" s="4"/>
      <c r="J391" s="4" t="s">
        <v>1480</v>
      </c>
      <c r="K391" s="4" t="s">
        <v>1480</v>
      </c>
      <c r="L391" s="4" t="s">
        <v>1481</v>
      </c>
      <c r="M391" s="4" t="s">
        <v>1482</v>
      </c>
      <c r="N391" s="4" t="s">
        <v>540</v>
      </c>
      <c r="O391" s="4" t="s">
        <v>1483</v>
      </c>
      <c r="P391" s="4" t="s">
        <v>1488</v>
      </c>
      <c r="Q391" s="4" t="s">
        <v>2184</v>
      </c>
      <c r="R391" s="4" t="b">
        <v>0</v>
      </c>
      <c r="S391" s="4" t="s">
        <v>1486</v>
      </c>
      <c r="T391" s="2">
        <v>46004.8923611111</v>
      </c>
      <c r="U391" s="2">
        <v>45999.0</v>
      </c>
      <c r="V391" s="4">
        <v>49.0</v>
      </c>
      <c r="W391" s="4" t="s">
        <v>550</v>
      </c>
      <c r="X391" s="4">
        <v>2025.0</v>
      </c>
      <c r="Y391" s="4" t="s">
        <v>1487</v>
      </c>
      <c r="Z391" s="4" t="s">
        <v>557</v>
      </c>
      <c r="AA391" s="4" t="s">
        <v>558</v>
      </c>
      <c r="AB391" s="4" t="b">
        <v>0</v>
      </c>
      <c r="AC391" s="4" t="s">
        <v>567</v>
      </c>
      <c r="AD391" s="4" t="s">
        <v>537</v>
      </c>
    </row>
    <row r="392" ht="14.25" customHeight="1">
      <c r="A392" s="4">
        <v>8115785.0</v>
      </c>
      <c r="B392" s="2">
        <v>46004.8785416667</v>
      </c>
      <c r="C392" s="4">
        <v>7342786.0</v>
      </c>
      <c r="D392" s="4" t="s">
        <v>1048</v>
      </c>
      <c r="E392" s="2">
        <v>46004.8965277778</v>
      </c>
      <c r="F392" s="4">
        <v>1.0</v>
      </c>
      <c r="G392" s="4">
        <v>0.0</v>
      </c>
      <c r="H392" s="4"/>
      <c r="I392" s="4"/>
      <c r="J392" s="4" t="s">
        <v>539</v>
      </c>
      <c r="K392" s="4" t="s">
        <v>539</v>
      </c>
      <c r="L392" s="4" t="s">
        <v>1499</v>
      </c>
      <c r="M392" s="4" t="s">
        <v>1482</v>
      </c>
      <c r="N392" s="4"/>
      <c r="O392" s="4" t="s">
        <v>2185</v>
      </c>
      <c r="P392" s="4" t="s">
        <v>2186</v>
      </c>
      <c r="Q392" s="4" t="s">
        <v>2187</v>
      </c>
      <c r="R392" s="4" t="b">
        <v>0</v>
      </c>
      <c r="S392" s="4" t="s">
        <v>1486</v>
      </c>
      <c r="T392" s="2">
        <v>46004.8979166667</v>
      </c>
      <c r="U392" s="2">
        <v>46004.0</v>
      </c>
      <c r="V392" s="4">
        <v>49.0</v>
      </c>
      <c r="W392" s="4" t="s">
        <v>550</v>
      </c>
      <c r="X392" s="4">
        <v>2025.0</v>
      </c>
      <c r="Y392" s="4" t="s">
        <v>1502</v>
      </c>
      <c r="Z392" s="4"/>
      <c r="AA392" s="4" t="s">
        <v>558</v>
      </c>
      <c r="AB392" s="4" t="b">
        <v>0</v>
      </c>
      <c r="AC392" s="4" t="s">
        <v>567</v>
      </c>
      <c r="AD392" s="4" t="s">
        <v>537</v>
      </c>
    </row>
    <row r="393" ht="14.25" customHeight="1">
      <c r="A393" s="4">
        <v>8115948.0</v>
      </c>
      <c r="B393" s="2">
        <v>46004.9102546296</v>
      </c>
      <c r="C393" s="4">
        <v>7342948.0</v>
      </c>
      <c r="D393" s="4" t="s">
        <v>1049</v>
      </c>
      <c r="E393" s="2">
        <v>46004.9111111111</v>
      </c>
      <c r="F393" s="4">
        <v>1.0</v>
      </c>
      <c r="G393" s="4">
        <v>0.0</v>
      </c>
      <c r="H393" s="4"/>
      <c r="I393" s="4"/>
      <c r="J393" s="4" t="s">
        <v>1480</v>
      </c>
      <c r="K393" s="4" t="s">
        <v>1480</v>
      </c>
      <c r="L393" s="4" t="s">
        <v>1481</v>
      </c>
      <c r="M393" s="4" t="s">
        <v>1482</v>
      </c>
      <c r="N393" s="4" t="s">
        <v>540</v>
      </c>
      <c r="O393" s="4" t="s">
        <v>2188</v>
      </c>
      <c r="P393" s="4" t="s">
        <v>1635</v>
      </c>
      <c r="Q393" s="4" t="s">
        <v>2189</v>
      </c>
      <c r="R393" s="4" t="b">
        <v>0</v>
      </c>
      <c r="S393" s="4" t="s">
        <v>1486</v>
      </c>
      <c r="T393" s="2">
        <v>46004.9125</v>
      </c>
      <c r="U393" s="2">
        <v>46004.0</v>
      </c>
      <c r="V393" s="4">
        <v>49.0</v>
      </c>
      <c r="W393" s="4" t="s">
        <v>550</v>
      </c>
      <c r="X393" s="4">
        <v>2025.0</v>
      </c>
      <c r="Y393" s="4" t="s">
        <v>1487</v>
      </c>
      <c r="Z393" s="4" t="s">
        <v>557</v>
      </c>
      <c r="AA393" s="4" t="s">
        <v>558</v>
      </c>
      <c r="AB393" s="4" t="b">
        <v>0</v>
      </c>
      <c r="AC393" s="4" t="s">
        <v>536</v>
      </c>
      <c r="AD393" s="4" t="s">
        <v>537</v>
      </c>
    </row>
    <row r="394" ht="14.25" customHeight="1">
      <c r="A394" s="4">
        <v>8116747.0</v>
      </c>
      <c r="B394" s="2">
        <v>46005.0627777778</v>
      </c>
      <c r="C394" s="4">
        <v>7343742.0</v>
      </c>
      <c r="D394" s="4" t="s">
        <v>1050</v>
      </c>
      <c r="E394" s="2">
        <v>46005.0652777778</v>
      </c>
      <c r="F394" s="4">
        <v>1.0</v>
      </c>
      <c r="G394" s="4">
        <v>0.0</v>
      </c>
      <c r="H394" s="4"/>
      <c r="I394" s="4"/>
      <c r="J394" s="4" t="s">
        <v>1526</v>
      </c>
      <c r="K394" s="4" t="s">
        <v>1527</v>
      </c>
      <c r="L394" s="4" t="s">
        <v>1528</v>
      </c>
      <c r="M394" s="4" t="s">
        <v>1482</v>
      </c>
      <c r="N394" s="4" t="s">
        <v>1529</v>
      </c>
      <c r="O394" s="4" t="s">
        <v>1530</v>
      </c>
      <c r="P394" s="4" t="s">
        <v>1635</v>
      </c>
      <c r="Q394" s="4" t="s">
        <v>2190</v>
      </c>
      <c r="R394" s="4" t="b">
        <v>0</v>
      </c>
      <c r="S394" s="4" t="s">
        <v>1486</v>
      </c>
      <c r="T394" s="2">
        <v>46005.0666666667</v>
      </c>
      <c r="U394" s="2">
        <v>46005.0</v>
      </c>
      <c r="V394" s="4">
        <v>49.0</v>
      </c>
      <c r="W394" s="4" t="s">
        <v>550</v>
      </c>
      <c r="X394" s="4">
        <v>2025.0</v>
      </c>
      <c r="Y394" s="4" t="s">
        <v>1532</v>
      </c>
      <c r="Z394" s="4" t="s">
        <v>795</v>
      </c>
      <c r="AA394" s="4" t="s">
        <v>649</v>
      </c>
      <c r="AB394" s="4" t="b">
        <v>0</v>
      </c>
      <c r="AC394" s="4" t="s">
        <v>536</v>
      </c>
      <c r="AD394" s="4" t="s">
        <v>537</v>
      </c>
    </row>
    <row r="395" ht="14.25" customHeight="1">
      <c r="A395" s="4">
        <v>8117703.0</v>
      </c>
      <c r="B395" s="2">
        <v>46005.2601157407</v>
      </c>
      <c r="C395" s="4">
        <v>7344694.0</v>
      </c>
      <c r="D395" s="4" t="s">
        <v>1051</v>
      </c>
      <c r="E395" s="2">
        <v>46005.2611111111</v>
      </c>
      <c r="F395" s="4">
        <v>1.0</v>
      </c>
      <c r="G395" s="4">
        <v>0.0</v>
      </c>
      <c r="H395" s="4"/>
      <c r="I395" s="4"/>
      <c r="J395" s="4" t="s">
        <v>1480</v>
      </c>
      <c r="K395" s="4" t="s">
        <v>1480</v>
      </c>
      <c r="L395" s="4" t="s">
        <v>1481</v>
      </c>
      <c r="M395" s="4" t="s">
        <v>1482</v>
      </c>
      <c r="N395" s="4" t="s">
        <v>540</v>
      </c>
      <c r="O395" s="4" t="s">
        <v>2191</v>
      </c>
      <c r="P395" s="4" t="s">
        <v>1923</v>
      </c>
      <c r="Q395" s="4" t="s">
        <v>2192</v>
      </c>
      <c r="R395" s="4" t="b">
        <v>0</v>
      </c>
      <c r="S395" s="4" t="s">
        <v>1486</v>
      </c>
      <c r="T395" s="2">
        <v>46005.2638888889</v>
      </c>
      <c r="U395" s="2">
        <v>46005.0</v>
      </c>
      <c r="V395" s="4">
        <v>49.0</v>
      </c>
      <c r="W395" s="4" t="s">
        <v>550</v>
      </c>
      <c r="X395" s="4">
        <v>2025.0</v>
      </c>
      <c r="Y395" s="4" t="s">
        <v>1487</v>
      </c>
      <c r="Z395" s="4"/>
      <c r="AA395" s="4" t="s">
        <v>558</v>
      </c>
      <c r="AB395" s="4" t="b">
        <v>0</v>
      </c>
      <c r="AC395" s="4" t="s">
        <v>536</v>
      </c>
      <c r="AD395" s="4" t="s">
        <v>537</v>
      </c>
    </row>
    <row r="396" ht="14.25" customHeight="1">
      <c r="A396" s="4">
        <v>8117703.0</v>
      </c>
      <c r="B396" s="2">
        <v>46005.2601157407</v>
      </c>
      <c r="C396" s="4">
        <v>7344694.0</v>
      </c>
      <c r="D396" s="4" t="s">
        <v>1052</v>
      </c>
      <c r="E396" s="2">
        <v>46005.2625</v>
      </c>
      <c r="F396" s="4">
        <v>1.0</v>
      </c>
      <c r="G396" s="4">
        <v>0.0</v>
      </c>
      <c r="H396" s="4"/>
      <c r="I396" s="4"/>
      <c r="J396" s="4" t="s">
        <v>1480</v>
      </c>
      <c r="K396" s="4" t="s">
        <v>1480</v>
      </c>
      <c r="L396" s="4" t="s">
        <v>1481</v>
      </c>
      <c r="M396" s="4" t="s">
        <v>1482</v>
      </c>
      <c r="N396" s="4" t="s">
        <v>540</v>
      </c>
      <c r="O396" s="4" t="s">
        <v>2191</v>
      </c>
      <c r="P396" s="4" t="s">
        <v>1923</v>
      </c>
      <c r="Q396" s="4" t="s">
        <v>2192</v>
      </c>
      <c r="R396" s="4" t="b">
        <v>0</v>
      </c>
      <c r="S396" s="4" t="s">
        <v>1486</v>
      </c>
      <c r="T396" s="2">
        <v>46005.2638888889</v>
      </c>
      <c r="U396" s="2">
        <v>46005.0</v>
      </c>
      <c r="V396" s="4">
        <v>49.0</v>
      </c>
      <c r="W396" s="4" t="s">
        <v>550</v>
      </c>
      <c r="X396" s="4">
        <v>2025.0</v>
      </c>
      <c r="Y396" s="4" t="s">
        <v>1487</v>
      </c>
      <c r="Z396" s="4"/>
      <c r="AA396" s="4" t="s">
        <v>558</v>
      </c>
      <c r="AB396" s="4" t="b">
        <v>1</v>
      </c>
      <c r="AC396" s="4" t="s">
        <v>599</v>
      </c>
      <c r="AD396" s="4" t="s">
        <v>537</v>
      </c>
    </row>
    <row r="397" ht="14.25" customHeight="1">
      <c r="A397" s="4">
        <v>8117714.0</v>
      </c>
      <c r="B397" s="2">
        <v>46005.262650463</v>
      </c>
      <c r="C397" s="4">
        <v>7344705.0</v>
      </c>
      <c r="D397" s="4" t="s">
        <v>1053</v>
      </c>
      <c r="E397" s="2">
        <v>46005.2625</v>
      </c>
      <c r="F397" s="4">
        <v>0.0</v>
      </c>
      <c r="G397" s="4">
        <v>0.0</v>
      </c>
      <c r="H397" s="4"/>
      <c r="I397" s="4"/>
      <c r="J397" s="4"/>
      <c r="K397" s="4"/>
      <c r="L397" s="4"/>
      <c r="M397" s="4" t="s">
        <v>1482</v>
      </c>
      <c r="N397" s="4" t="s">
        <v>1483</v>
      </c>
      <c r="O397" s="4" t="s">
        <v>2193</v>
      </c>
      <c r="P397" s="4" t="s">
        <v>1794</v>
      </c>
      <c r="Q397" s="4" t="s">
        <v>2194</v>
      </c>
      <c r="R397" s="4" t="b">
        <v>1</v>
      </c>
      <c r="S397" s="4" t="s">
        <v>1486</v>
      </c>
      <c r="T397" s="2">
        <v>46005.2638888889</v>
      </c>
      <c r="U397" s="2">
        <v>46005.0</v>
      </c>
      <c r="V397" s="4">
        <v>49.0</v>
      </c>
      <c r="W397" s="4" t="s">
        <v>550</v>
      </c>
      <c r="X397" s="4">
        <v>2025.0</v>
      </c>
      <c r="Y397" s="4" t="s">
        <v>1540</v>
      </c>
      <c r="Z397" s="4" t="s">
        <v>557</v>
      </c>
      <c r="AA397" s="4" t="s">
        <v>558</v>
      </c>
      <c r="AB397" s="4" t="b">
        <v>0</v>
      </c>
      <c r="AC397" s="4" t="s">
        <v>536</v>
      </c>
      <c r="AD397" s="4" t="s">
        <v>537</v>
      </c>
    </row>
    <row r="398" ht="14.25" customHeight="1">
      <c r="A398" s="4">
        <v>8117802.0</v>
      </c>
      <c r="B398" s="2">
        <v>46005.2800810185</v>
      </c>
      <c r="C398" s="4">
        <v>7344793.0</v>
      </c>
      <c r="D398" s="4" t="s">
        <v>1054</v>
      </c>
      <c r="E398" s="2">
        <v>46005.2805555556</v>
      </c>
      <c r="F398" s="4">
        <v>0.0</v>
      </c>
      <c r="G398" s="4">
        <v>0.0</v>
      </c>
      <c r="H398" s="4"/>
      <c r="I398" s="4"/>
      <c r="J398" s="4"/>
      <c r="K398" s="4"/>
      <c r="L398" s="4"/>
      <c r="M398" s="4" t="s">
        <v>1482</v>
      </c>
      <c r="N398" s="4" t="s">
        <v>1483</v>
      </c>
      <c r="O398" s="4" t="s">
        <v>1500</v>
      </c>
      <c r="P398" s="4" t="s">
        <v>1923</v>
      </c>
      <c r="Q398" s="4" t="s">
        <v>2195</v>
      </c>
      <c r="R398" s="4" t="b">
        <v>1</v>
      </c>
      <c r="S398" s="4" t="s">
        <v>1486</v>
      </c>
      <c r="T398" s="2">
        <v>46005.2819444444</v>
      </c>
      <c r="U398" s="2">
        <v>46005.0</v>
      </c>
      <c r="V398" s="4">
        <v>49.0</v>
      </c>
      <c r="W398" s="4" t="s">
        <v>550</v>
      </c>
      <c r="X398" s="4">
        <v>2025.0</v>
      </c>
      <c r="Y398" s="4" t="s">
        <v>1540</v>
      </c>
      <c r="Z398" s="4"/>
      <c r="AA398" s="4" t="s">
        <v>624</v>
      </c>
      <c r="AB398" s="4" t="b">
        <v>0</v>
      </c>
      <c r="AC398" s="4" t="s">
        <v>599</v>
      </c>
      <c r="AD398" s="4" t="s">
        <v>537</v>
      </c>
    </row>
    <row r="399" ht="14.25" customHeight="1">
      <c r="A399" s="4">
        <v>8117845.0</v>
      </c>
      <c r="B399" s="2">
        <v>46005.2883449074</v>
      </c>
      <c r="C399" s="4">
        <v>7344836.0</v>
      </c>
      <c r="D399" s="4" t="s">
        <v>1055</v>
      </c>
      <c r="E399" s="2">
        <v>46005.2888888889</v>
      </c>
      <c r="F399" s="4">
        <v>1.0</v>
      </c>
      <c r="G399" s="4">
        <v>0.0</v>
      </c>
      <c r="H399" s="4" t="s">
        <v>1685</v>
      </c>
      <c r="I399" s="4" t="s">
        <v>2196</v>
      </c>
      <c r="J399" s="4" t="s">
        <v>1685</v>
      </c>
      <c r="K399" s="4" t="s">
        <v>1513</v>
      </c>
      <c r="L399" s="4" t="s">
        <v>2196</v>
      </c>
      <c r="M399" s="4" t="s">
        <v>2197</v>
      </c>
      <c r="N399" s="4" t="s">
        <v>1833</v>
      </c>
      <c r="O399" s="4" t="s">
        <v>2198</v>
      </c>
      <c r="P399" s="4" t="s">
        <v>2199</v>
      </c>
      <c r="Q399" s="4" t="s">
        <v>2200</v>
      </c>
      <c r="R399" s="4" t="b">
        <v>0</v>
      </c>
      <c r="S399" s="4" t="s">
        <v>1486</v>
      </c>
      <c r="T399" s="2">
        <v>46005.2902777778</v>
      </c>
      <c r="U399" s="2">
        <v>46005.0</v>
      </c>
      <c r="V399" s="4">
        <v>49.0</v>
      </c>
      <c r="W399" s="4" t="s">
        <v>550</v>
      </c>
      <c r="X399" s="4">
        <v>2025.0</v>
      </c>
      <c r="Y399" s="4" t="s">
        <v>1518</v>
      </c>
      <c r="Z399" s="4"/>
      <c r="AA399" s="4" t="s">
        <v>558</v>
      </c>
      <c r="AB399" s="4" t="b">
        <v>0</v>
      </c>
      <c r="AC399" s="4" t="s">
        <v>599</v>
      </c>
      <c r="AD399" s="4" t="s">
        <v>537</v>
      </c>
    </row>
    <row r="400" ht="14.25" customHeight="1">
      <c r="A400" s="4">
        <v>8118231.0</v>
      </c>
      <c r="B400" s="2">
        <v>46005.3706597222</v>
      </c>
      <c r="C400" s="4">
        <v>7345219.0</v>
      </c>
      <c r="D400" s="4" t="s">
        <v>1056</v>
      </c>
      <c r="E400" s="2">
        <v>46005.3708333333</v>
      </c>
      <c r="F400" s="4">
        <v>1.0</v>
      </c>
      <c r="G400" s="4">
        <v>0.0</v>
      </c>
      <c r="H400" s="4"/>
      <c r="I400" s="4"/>
      <c r="J400" s="4" t="s">
        <v>1526</v>
      </c>
      <c r="K400" s="4" t="s">
        <v>1527</v>
      </c>
      <c r="L400" s="4" t="s">
        <v>1528</v>
      </c>
      <c r="M400" s="4" t="s">
        <v>1482</v>
      </c>
      <c r="N400" s="4" t="s">
        <v>1529</v>
      </c>
      <c r="O400" s="4" t="s">
        <v>1530</v>
      </c>
      <c r="P400" s="4" t="s">
        <v>2201</v>
      </c>
      <c r="Q400" s="4" t="s">
        <v>2202</v>
      </c>
      <c r="R400" s="4" t="b">
        <v>0</v>
      </c>
      <c r="S400" s="4" t="s">
        <v>1486</v>
      </c>
      <c r="T400" s="2">
        <v>46005.3722222222</v>
      </c>
      <c r="U400" s="2">
        <v>46005.0</v>
      </c>
      <c r="V400" s="4">
        <v>49.0</v>
      </c>
      <c r="W400" s="4" t="s">
        <v>550</v>
      </c>
      <c r="X400" s="4">
        <v>2025.0</v>
      </c>
      <c r="Y400" s="4" t="s">
        <v>1532</v>
      </c>
      <c r="Z400" s="4" t="s">
        <v>557</v>
      </c>
      <c r="AA400" s="4" t="s">
        <v>624</v>
      </c>
      <c r="AB400" s="4" t="b">
        <v>0</v>
      </c>
      <c r="AC400" s="4" t="s">
        <v>536</v>
      </c>
      <c r="AD400" s="4" t="s">
        <v>537</v>
      </c>
    </row>
    <row r="401" ht="14.25" customHeight="1">
      <c r="A401" s="4">
        <v>8118304.0</v>
      </c>
      <c r="B401" s="2">
        <v>46005.3844212963</v>
      </c>
      <c r="C401" s="4">
        <v>7345290.0</v>
      </c>
      <c r="D401" s="4" t="s">
        <v>1057</v>
      </c>
      <c r="E401" s="2">
        <v>46005.3881944444</v>
      </c>
      <c r="F401" s="4">
        <v>1.0</v>
      </c>
      <c r="G401" s="4">
        <v>0.0</v>
      </c>
      <c r="H401" s="4" t="s">
        <v>1519</v>
      </c>
      <c r="I401" s="4" t="s">
        <v>1781</v>
      </c>
      <c r="J401" s="4" t="s">
        <v>1519</v>
      </c>
      <c r="K401" s="4" t="s">
        <v>1513</v>
      </c>
      <c r="L401" s="4" t="s">
        <v>1781</v>
      </c>
      <c r="M401" s="4" t="s">
        <v>1692</v>
      </c>
      <c r="N401" s="4" t="s">
        <v>540</v>
      </c>
      <c r="O401" s="4" t="s">
        <v>2203</v>
      </c>
      <c r="P401" s="4" t="s">
        <v>2003</v>
      </c>
      <c r="Q401" s="4" t="s">
        <v>2204</v>
      </c>
      <c r="R401" s="4" t="b">
        <v>0</v>
      </c>
      <c r="S401" s="4" t="s">
        <v>1486</v>
      </c>
      <c r="T401" s="2">
        <v>46005.3895833333</v>
      </c>
      <c r="U401" s="2">
        <v>46005.0</v>
      </c>
      <c r="V401" s="4">
        <v>49.0</v>
      </c>
      <c r="W401" s="4" t="s">
        <v>550</v>
      </c>
      <c r="X401" s="4">
        <v>2025.0</v>
      </c>
      <c r="Y401" s="4" t="s">
        <v>1518</v>
      </c>
      <c r="Z401" s="4"/>
      <c r="AA401" s="4" t="s">
        <v>558</v>
      </c>
      <c r="AB401" s="4" t="b">
        <v>0</v>
      </c>
      <c r="AC401" s="4" t="s">
        <v>554</v>
      </c>
      <c r="AD401" s="4" t="s">
        <v>537</v>
      </c>
    </row>
    <row r="402" ht="14.25" customHeight="1">
      <c r="A402" s="4">
        <v>8118990.0</v>
      </c>
      <c r="B402" s="2">
        <v>46005.5079166667</v>
      </c>
      <c r="C402" s="4">
        <v>7345968.0</v>
      </c>
      <c r="D402" s="4" t="s">
        <v>1058</v>
      </c>
      <c r="E402" s="2">
        <v>46005.5111111111</v>
      </c>
      <c r="F402" s="4">
        <v>0.5</v>
      </c>
      <c r="G402" s="4">
        <v>0.0</v>
      </c>
      <c r="H402" s="4" t="s">
        <v>1511</v>
      </c>
      <c r="I402" s="4" t="s">
        <v>1759</v>
      </c>
      <c r="J402" s="4" t="s">
        <v>1511</v>
      </c>
      <c r="K402" s="4" t="s">
        <v>1513</v>
      </c>
      <c r="L402" s="4" t="s">
        <v>1759</v>
      </c>
      <c r="M402" s="4" t="s">
        <v>2205</v>
      </c>
      <c r="N402" s="4" t="s">
        <v>653</v>
      </c>
      <c r="O402" s="4" t="s">
        <v>2206</v>
      </c>
      <c r="P402" s="4" t="s">
        <v>1845</v>
      </c>
      <c r="Q402" s="4" t="s">
        <v>2207</v>
      </c>
      <c r="R402" s="4" t="b">
        <v>0</v>
      </c>
      <c r="S402" s="4" t="s">
        <v>1486</v>
      </c>
      <c r="T402" s="2">
        <v>46005.5125</v>
      </c>
      <c r="U402" s="2">
        <v>46005.0</v>
      </c>
      <c r="V402" s="4">
        <v>49.0</v>
      </c>
      <c r="W402" s="4" t="s">
        <v>550</v>
      </c>
      <c r="X402" s="4">
        <v>2025.0</v>
      </c>
      <c r="Y402" s="4" t="s">
        <v>1518</v>
      </c>
      <c r="Z402" s="4" t="s">
        <v>557</v>
      </c>
      <c r="AA402" s="4" t="s">
        <v>558</v>
      </c>
      <c r="AB402" s="4" t="b">
        <v>0</v>
      </c>
      <c r="AC402" s="4" t="s">
        <v>536</v>
      </c>
      <c r="AD402" s="4" t="s">
        <v>537</v>
      </c>
    </row>
    <row r="403" ht="14.25" customHeight="1">
      <c r="A403" s="4">
        <v>8118991.0</v>
      </c>
      <c r="B403" s="2">
        <v>46005.5079282407</v>
      </c>
      <c r="C403" s="4">
        <v>7345968.0</v>
      </c>
      <c r="D403" s="4" t="s">
        <v>1058</v>
      </c>
      <c r="E403" s="2">
        <v>46005.5111111111</v>
      </c>
      <c r="F403" s="4">
        <v>0.5</v>
      </c>
      <c r="G403" s="4">
        <v>0.0</v>
      </c>
      <c r="H403" s="4" t="s">
        <v>1511</v>
      </c>
      <c r="I403" s="4" t="s">
        <v>1759</v>
      </c>
      <c r="J403" s="4" t="s">
        <v>1511</v>
      </c>
      <c r="K403" s="4" t="s">
        <v>1513</v>
      </c>
      <c r="L403" s="4" t="s">
        <v>1759</v>
      </c>
      <c r="M403" s="4" t="s">
        <v>2205</v>
      </c>
      <c r="N403" s="4" t="s">
        <v>653</v>
      </c>
      <c r="O403" s="4" t="s">
        <v>2206</v>
      </c>
      <c r="P403" s="4" t="s">
        <v>1845</v>
      </c>
      <c r="Q403" s="4" t="s">
        <v>2207</v>
      </c>
      <c r="R403" s="4" t="b">
        <v>0</v>
      </c>
      <c r="S403" s="4" t="s">
        <v>1486</v>
      </c>
      <c r="T403" s="2">
        <v>46005.5125</v>
      </c>
      <c r="U403" s="2">
        <v>46005.0</v>
      </c>
      <c r="V403" s="4">
        <v>49.0</v>
      </c>
      <c r="W403" s="4" t="s">
        <v>550</v>
      </c>
      <c r="X403" s="4">
        <v>2025.0</v>
      </c>
      <c r="Y403" s="4" t="s">
        <v>1518</v>
      </c>
      <c r="Z403" s="4" t="s">
        <v>557</v>
      </c>
      <c r="AA403" s="4" t="s">
        <v>558</v>
      </c>
      <c r="AB403" s="4" t="b">
        <v>0</v>
      </c>
      <c r="AC403" s="4" t="s">
        <v>536</v>
      </c>
      <c r="AD403" s="4" t="s">
        <v>537</v>
      </c>
    </row>
    <row r="404" ht="14.25" customHeight="1">
      <c r="A404" s="4">
        <v>8119380.0</v>
      </c>
      <c r="B404" s="2">
        <v>46005.570462963</v>
      </c>
      <c r="C404" s="4">
        <v>7346355.0</v>
      </c>
      <c r="D404" s="4" t="s">
        <v>1060</v>
      </c>
      <c r="E404" s="2">
        <v>46005.5708333333</v>
      </c>
      <c r="F404" s="4">
        <v>1.0</v>
      </c>
      <c r="G404" s="4">
        <v>0.0</v>
      </c>
      <c r="H404" s="4" t="s">
        <v>1519</v>
      </c>
      <c r="I404" s="4" t="s">
        <v>1781</v>
      </c>
      <c r="J404" s="4" t="s">
        <v>1519</v>
      </c>
      <c r="K404" s="4" t="s">
        <v>1513</v>
      </c>
      <c r="L404" s="4" t="s">
        <v>1781</v>
      </c>
      <c r="M404" s="4" t="s">
        <v>1692</v>
      </c>
      <c r="N404" s="4" t="s">
        <v>540</v>
      </c>
      <c r="O404" s="4" t="s">
        <v>2208</v>
      </c>
      <c r="P404" s="4" t="s">
        <v>1506</v>
      </c>
      <c r="Q404" s="4" t="s">
        <v>2209</v>
      </c>
      <c r="R404" s="4" t="b">
        <v>0</v>
      </c>
      <c r="S404" s="4" t="s">
        <v>1486</v>
      </c>
      <c r="T404" s="2">
        <v>46005.5722222222</v>
      </c>
      <c r="U404" s="2">
        <v>46005.0</v>
      </c>
      <c r="V404" s="4">
        <v>49.0</v>
      </c>
      <c r="W404" s="4" t="s">
        <v>550</v>
      </c>
      <c r="X404" s="4">
        <v>2025.0</v>
      </c>
      <c r="Y404" s="4" t="s">
        <v>1518</v>
      </c>
      <c r="Z404" s="4"/>
      <c r="AA404" s="4" t="s">
        <v>558</v>
      </c>
      <c r="AB404" s="4" t="b">
        <v>0</v>
      </c>
      <c r="AC404" s="4" t="s">
        <v>554</v>
      </c>
      <c r="AD404" s="4" t="s">
        <v>537</v>
      </c>
    </row>
    <row r="405" ht="14.25" customHeight="1">
      <c r="A405" s="4">
        <v>8116078.0</v>
      </c>
      <c r="B405" s="2">
        <v>46004.9314583333</v>
      </c>
      <c r="C405" s="4">
        <v>7343077.0</v>
      </c>
      <c r="D405" s="4" t="s">
        <v>1061</v>
      </c>
      <c r="E405" s="2">
        <v>46005.8034722222</v>
      </c>
      <c r="F405" s="4">
        <v>0.4</v>
      </c>
      <c r="G405" s="4">
        <v>0.0</v>
      </c>
      <c r="H405" s="4" t="s">
        <v>1685</v>
      </c>
      <c r="I405" s="4" t="s">
        <v>1686</v>
      </c>
      <c r="J405" s="4" t="s">
        <v>1685</v>
      </c>
      <c r="K405" s="4" t="s">
        <v>1513</v>
      </c>
      <c r="L405" s="4" t="s">
        <v>1686</v>
      </c>
      <c r="M405" s="4" t="s">
        <v>1687</v>
      </c>
      <c r="N405" s="4" t="s">
        <v>1833</v>
      </c>
      <c r="O405" s="4" t="s">
        <v>2210</v>
      </c>
      <c r="P405" s="4" t="s">
        <v>2211</v>
      </c>
      <c r="Q405" s="4" t="s">
        <v>2212</v>
      </c>
      <c r="R405" s="4" t="b">
        <v>0</v>
      </c>
      <c r="S405" s="4" t="s">
        <v>1486</v>
      </c>
      <c r="T405" s="2">
        <v>46005.8048611111</v>
      </c>
      <c r="U405" s="2">
        <v>46004.0</v>
      </c>
      <c r="V405" s="4">
        <v>49.0</v>
      </c>
      <c r="W405" s="4" t="s">
        <v>550</v>
      </c>
      <c r="X405" s="4">
        <v>2025.0</v>
      </c>
      <c r="Y405" s="4" t="s">
        <v>1518</v>
      </c>
      <c r="Z405" s="4"/>
      <c r="AA405" s="4" t="s">
        <v>558</v>
      </c>
      <c r="AB405" s="4" t="b">
        <v>0</v>
      </c>
      <c r="AC405" s="4" t="s">
        <v>554</v>
      </c>
      <c r="AD405" s="4" t="s">
        <v>537</v>
      </c>
    </row>
    <row r="406" ht="14.25" customHeight="1">
      <c r="A406" s="4">
        <v>8116081.0</v>
      </c>
      <c r="B406" s="2">
        <v>46004.9316898148</v>
      </c>
      <c r="C406" s="4">
        <v>7343077.0</v>
      </c>
      <c r="D406" s="4" t="s">
        <v>1061</v>
      </c>
      <c r="E406" s="2">
        <v>46005.8034722222</v>
      </c>
      <c r="F406" s="4">
        <v>0.2</v>
      </c>
      <c r="G406" s="4">
        <v>0.0</v>
      </c>
      <c r="H406" s="4" t="s">
        <v>1685</v>
      </c>
      <c r="I406" s="4" t="s">
        <v>1686</v>
      </c>
      <c r="J406" s="4" t="s">
        <v>1685</v>
      </c>
      <c r="K406" s="4" t="s">
        <v>1513</v>
      </c>
      <c r="L406" s="4" t="s">
        <v>1686</v>
      </c>
      <c r="M406" s="4" t="s">
        <v>1687</v>
      </c>
      <c r="N406" s="4" t="s">
        <v>2210</v>
      </c>
      <c r="O406" s="4" t="s">
        <v>2213</v>
      </c>
      <c r="P406" s="4" t="s">
        <v>2211</v>
      </c>
      <c r="Q406" s="4" t="s">
        <v>2212</v>
      </c>
      <c r="R406" s="4" t="b">
        <v>0</v>
      </c>
      <c r="S406" s="4" t="s">
        <v>1486</v>
      </c>
      <c r="T406" s="2">
        <v>46005.8048611111</v>
      </c>
      <c r="U406" s="2">
        <v>46004.0</v>
      </c>
      <c r="V406" s="4">
        <v>49.0</v>
      </c>
      <c r="W406" s="4" t="s">
        <v>550</v>
      </c>
      <c r="X406" s="4">
        <v>2025.0</v>
      </c>
      <c r="Y406" s="4" t="s">
        <v>1518</v>
      </c>
      <c r="Z406" s="4"/>
      <c r="AA406" s="4" t="s">
        <v>558</v>
      </c>
      <c r="AB406" s="4" t="b">
        <v>0</v>
      </c>
      <c r="AC406" s="4" t="s">
        <v>554</v>
      </c>
      <c r="AD406" s="4" t="s">
        <v>537</v>
      </c>
    </row>
    <row r="407" ht="14.25" customHeight="1">
      <c r="A407" s="4">
        <v>8120792.0</v>
      </c>
      <c r="B407" s="2">
        <v>46005.8018865741</v>
      </c>
      <c r="C407" s="4">
        <v>7343077.0</v>
      </c>
      <c r="D407" s="4" t="s">
        <v>1061</v>
      </c>
      <c r="E407" s="2">
        <v>46005.8034722222</v>
      </c>
      <c r="F407" s="4">
        <v>0.4</v>
      </c>
      <c r="G407" s="4">
        <v>0.0</v>
      </c>
      <c r="H407" s="4" t="s">
        <v>1685</v>
      </c>
      <c r="I407" s="4" t="s">
        <v>1686</v>
      </c>
      <c r="J407" s="4" t="s">
        <v>1685</v>
      </c>
      <c r="K407" s="4" t="s">
        <v>1513</v>
      </c>
      <c r="L407" s="4" t="s">
        <v>1686</v>
      </c>
      <c r="M407" s="4" t="s">
        <v>1687</v>
      </c>
      <c r="N407" s="4" t="s">
        <v>1833</v>
      </c>
      <c r="O407" s="4" t="s">
        <v>2214</v>
      </c>
      <c r="P407" s="4" t="s">
        <v>2215</v>
      </c>
      <c r="Q407" s="4" t="s">
        <v>2212</v>
      </c>
      <c r="R407" s="4" t="b">
        <v>0</v>
      </c>
      <c r="S407" s="4" t="s">
        <v>1486</v>
      </c>
      <c r="T407" s="2">
        <v>46005.8048611111</v>
      </c>
      <c r="U407" s="2">
        <v>46005.0</v>
      </c>
      <c r="V407" s="4">
        <v>49.0</v>
      </c>
      <c r="W407" s="4" t="s">
        <v>550</v>
      </c>
      <c r="X407" s="4">
        <v>2025.0</v>
      </c>
      <c r="Y407" s="4" t="s">
        <v>1518</v>
      </c>
      <c r="Z407" s="4"/>
      <c r="AA407" s="4" t="s">
        <v>558</v>
      </c>
      <c r="AB407" s="4" t="b">
        <v>0</v>
      </c>
      <c r="AC407" s="4" t="s">
        <v>554</v>
      </c>
      <c r="AD407" s="4" t="s">
        <v>537</v>
      </c>
    </row>
    <row r="408" ht="14.25" customHeight="1">
      <c r="A408" s="4">
        <v>8120461.0</v>
      </c>
      <c r="B408" s="2">
        <v>46005.747337963</v>
      </c>
      <c r="C408" s="4">
        <v>7347422.0</v>
      </c>
      <c r="D408" s="4" t="s">
        <v>1062</v>
      </c>
      <c r="E408" s="2">
        <v>46005.8111111111</v>
      </c>
      <c r="F408" s="4">
        <v>1.0</v>
      </c>
      <c r="G408" s="4">
        <v>0.0</v>
      </c>
      <c r="H408" s="4" t="s">
        <v>1519</v>
      </c>
      <c r="I408" s="4" t="s">
        <v>1717</v>
      </c>
      <c r="J408" s="4" t="s">
        <v>1519</v>
      </c>
      <c r="K408" s="4" t="s">
        <v>1513</v>
      </c>
      <c r="L408" s="4" t="s">
        <v>1717</v>
      </c>
      <c r="M408" s="4" t="s">
        <v>1482</v>
      </c>
      <c r="N408" s="4" t="s">
        <v>540</v>
      </c>
      <c r="O408" s="4" t="s">
        <v>2216</v>
      </c>
      <c r="P408" s="4" t="s">
        <v>1605</v>
      </c>
      <c r="Q408" s="4" t="s">
        <v>2217</v>
      </c>
      <c r="R408" s="4" t="b">
        <v>0</v>
      </c>
      <c r="S408" s="4" t="s">
        <v>1486</v>
      </c>
      <c r="T408" s="2">
        <v>46005.8125</v>
      </c>
      <c r="U408" s="2">
        <v>46005.0</v>
      </c>
      <c r="V408" s="4">
        <v>49.0</v>
      </c>
      <c r="W408" s="4" t="s">
        <v>550</v>
      </c>
      <c r="X408" s="4">
        <v>2025.0</v>
      </c>
      <c r="Y408" s="4" t="s">
        <v>1518</v>
      </c>
      <c r="Z408" s="4"/>
      <c r="AA408" s="4" t="s">
        <v>558</v>
      </c>
      <c r="AB408" s="4" t="b">
        <v>1</v>
      </c>
      <c r="AC408" s="4" t="s">
        <v>567</v>
      </c>
      <c r="AD408" s="4" t="s">
        <v>537</v>
      </c>
    </row>
    <row r="409" ht="14.25" customHeight="1">
      <c r="A409" s="4">
        <v>8121294.0</v>
      </c>
      <c r="B409" s="2">
        <v>46005.8772569444</v>
      </c>
      <c r="C409" s="4">
        <v>7348243.0</v>
      </c>
      <c r="D409" s="4" t="s">
        <v>1063</v>
      </c>
      <c r="E409" s="2">
        <v>46005.8770833333</v>
      </c>
      <c r="F409" s="4">
        <v>1.0</v>
      </c>
      <c r="G409" s="4">
        <v>0.0</v>
      </c>
      <c r="H409" s="4" t="s">
        <v>1519</v>
      </c>
      <c r="I409" s="4" t="s">
        <v>2218</v>
      </c>
      <c r="J409" s="4" t="s">
        <v>1519</v>
      </c>
      <c r="K409" s="4" t="s">
        <v>1513</v>
      </c>
      <c r="L409" s="4" t="s">
        <v>2218</v>
      </c>
      <c r="M409" s="4" t="s">
        <v>1482</v>
      </c>
      <c r="N409" s="4" t="s">
        <v>1594</v>
      </c>
      <c r="O409" s="4" t="s">
        <v>2219</v>
      </c>
      <c r="P409" s="4" t="s">
        <v>2220</v>
      </c>
      <c r="Q409" s="4" t="s">
        <v>2221</v>
      </c>
      <c r="R409" s="4" t="b">
        <v>0</v>
      </c>
      <c r="S409" s="4" t="s">
        <v>1486</v>
      </c>
      <c r="T409" s="2">
        <v>46005.8784722222</v>
      </c>
      <c r="U409" s="2">
        <v>46005.0</v>
      </c>
      <c r="V409" s="4">
        <v>49.0</v>
      </c>
      <c r="W409" s="4" t="s">
        <v>550</v>
      </c>
      <c r="X409" s="4">
        <v>2025.0</v>
      </c>
      <c r="Y409" s="4" t="s">
        <v>1518</v>
      </c>
      <c r="Z409" s="4"/>
      <c r="AA409" s="4" t="s">
        <v>558</v>
      </c>
      <c r="AB409" s="4" t="b">
        <v>0</v>
      </c>
      <c r="AC409" s="4" t="s">
        <v>599</v>
      </c>
      <c r="AD409" s="4" t="s">
        <v>537</v>
      </c>
    </row>
    <row r="410" ht="14.25" customHeight="1">
      <c r="A410" s="4">
        <v>8121410.0</v>
      </c>
      <c r="B410" s="2">
        <v>46005.8942592593</v>
      </c>
      <c r="C410" s="4">
        <v>7348356.0</v>
      </c>
      <c r="D410" s="4" t="s">
        <v>1064</v>
      </c>
      <c r="E410" s="2">
        <v>46005.8951388889</v>
      </c>
      <c r="F410" s="4">
        <v>1.0</v>
      </c>
      <c r="G410" s="4">
        <v>0.0</v>
      </c>
      <c r="H410" s="4" t="s">
        <v>1519</v>
      </c>
      <c r="I410" s="4" t="s">
        <v>1913</v>
      </c>
      <c r="J410" s="4" t="s">
        <v>1519</v>
      </c>
      <c r="K410" s="4" t="s">
        <v>1513</v>
      </c>
      <c r="L410" s="4" t="s">
        <v>1913</v>
      </c>
      <c r="M410" s="4" t="s">
        <v>1482</v>
      </c>
      <c r="N410" s="4" t="s">
        <v>1594</v>
      </c>
      <c r="O410" s="4" t="s">
        <v>2222</v>
      </c>
      <c r="P410" s="4" t="s">
        <v>2223</v>
      </c>
      <c r="Q410" s="4" t="s">
        <v>2224</v>
      </c>
      <c r="R410" s="4" t="b">
        <v>0</v>
      </c>
      <c r="S410" s="4" t="s">
        <v>1486</v>
      </c>
      <c r="T410" s="2">
        <v>46005.8965277778</v>
      </c>
      <c r="U410" s="2">
        <v>46005.0</v>
      </c>
      <c r="V410" s="4">
        <v>49.0</v>
      </c>
      <c r="W410" s="4" t="s">
        <v>550</v>
      </c>
      <c r="X410" s="4">
        <v>2025.0</v>
      </c>
      <c r="Y410" s="4" t="s">
        <v>1518</v>
      </c>
      <c r="Z410" s="4"/>
      <c r="AA410" s="4" t="s">
        <v>558</v>
      </c>
      <c r="AB410" s="4" t="b">
        <v>0</v>
      </c>
      <c r="AC410" s="4" t="s">
        <v>599</v>
      </c>
      <c r="AD410" s="4" t="s">
        <v>537</v>
      </c>
    </row>
    <row r="411" ht="14.25" customHeight="1">
      <c r="A411" s="4">
        <v>8121610.0</v>
      </c>
      <c r="B411" s="2">
        <v>46005.9262962963</v>
      </c>
      <c r="C411" s="4">
        <v>7348552.0</v>
      </c>
      <c r="D411" s="4" t="s">
        <v>1065</v>
      </c>
      <c r="E411" s="2">
        <v>46005.9270833333</v>
      </c>
      <c r="F411" s="4">
        <v>1.0</v>
      </c>
      <c r="G411" s="4">
        <v>0.0</v>
      </c>
      <c r="H411" s="4" t="s">
        <v>1519</v>
      </c>
      <c r="I411" s="4" t="s">
        <v>1913</v>
      </c>
      <c r="J411" s="4" t="s">
        <v>1519</v>
      </c>
      <c r="K411" s="4" t="s">
        <v>1513</v>
      </c>
      <c r="L411" s="4" t="s">
        <v>1913</v>
      </c>
      <c r="M411" s="4" t="s">
        <v>1482</v>
      </c>
      <c r="N411" s="4" t="s">
        <v>1594</v>
      </c>
      <c r="O411" s="4" t="s">
        <v>2225</v>
      </c>
      <c r="P411" s="4" t="s">
        <v>2226</v>
      </c>
      <c r="Q411" s="4" t="s">
        <v>2227</v>
      </c>
      <c r="R411" s="4" t="b">
        <v>0</v>
      </c>
      <c r="S411" s="4" t="s">
        <v>1486</v>
      </c>
      <c r="T411" s="2">
        <v>46005.9284722222</v>
      </c>
      <c r="U411" s="2">
        <v>46005.0</v>
      </c>
      <c r="V411" s="4">
        <v>49.0</v>
      </c>
      <c r="W411" s="4" t="s">
        <v>550</v>
      </c>
      <c r="X411" s="4">
        <v>2025.0</v>
      </c>
      <c r="Y411" s="4" t="s">
        <v>1518</v>
      </c>
      <c r="Z411" s="4"/>
      <c r="AA411" s="4" t="s">
        <v>558</v>
      </c>
      <c r="AB411" s="4" t="b">
        <v>0</v>
      </c>
      <c r="AC411" s="4" t="s">
        <v>599</v>
      </c>
      <c r="AD411" s="4" t="s">
        <v>537</v>
      </c>
    </row>
    <row r="412" ht="14.25" customHeight="1">
      <c r="A412" s="4">
        <v>8121766.0</v>
      </c>
      <c r="B412" s="2">
        <v>46005.9470486111</v>
      </c>
      <c r="C412" s="4">
        <v>7348708.0</v>
      </c>
      <c r="D412" s="4" t="s">
        <v>1066</v>
      </c>
      <c r="E412" s="2">
        <v>46005.9493055556</v>
      </c>
      <c r="F412" s="4">
        <v>1.0</v>
      </c>
      <c r="G412" s="4">
        <v>0.0</v>
      </c>
      <c r="H412" s="4"/>
      <c r="I412" s="4"/>
      <c r="J412" s="4" t="s">
        <v>1480</v>
      </c>
      <c r="K412" s="4" t="s">
        <v>1480</v>
      </c>
      <c r="L412" s="4" t="s">
        <v>1481</v>
      </c>
      <c r="M412" s="4" t="s">
        <v>1482</v>
      </c>
      <c r="N412" s="4" t="s">
        <v>540</v>
      </c>
      <c r="O412" s="4" t="s">
        <v>2228</v>
      </c>
      <c r="P412" s="4" t="s">
        <v>1635</v>
      </c>
      <c r="Q412" s="4" t="s">
        <v>2229</v>
      </c>
      <c r="R412" s="4" t="b">
        <v>0</v>
      </c>
      <c r="S412" s="4" t="s">
        <v>1486</v>
      </c>
      <c r="T412" s="2">
        <v>46005.9506944444</v>
      </c>
      <c r="U412" s="2">
        <v>46005.0</v>
      </c>
      <c r="V412" s="4">
        <v>49.0</v>
      </c>
      <c r="W412" s="4" t="s">
        <v>550</v>
      </c>
      <c r="X412" s="4">
        <v>2025.0</v>
      </c>
      <c r="Y412" s="4" t="s">
        <v>1487</v>
      </c>
      <c r="Z412" s="4"/>
      <c r="AA412" s="4" t="s">
        <v>624</v>
      </c>
      <c r="AB412" s="4" t="b">
        <v>0</v>
      </c>
      <c r="AC412" s="4" t="s">
        <v>567</v>
      </c>
      <c r="AD412" s="4" t="s">
        <v>537</v>
      </c>
    </row>
    <row r="413" ht="14.25" customHeight="1">
      <c r="A413" s="4">
        <v>8121798.0</v>
      </c>
      <c r="B413" s="2">
        <v>46005.9528472222</v>
      </c>
      <c r="C413" s="4">
        <v>7348738.0</v>
      </c>
      <c r="D413" s="4" t="s">
        <v>1067</v>
      </c>
      <c r="E413" s="2">
        <v>46005.9534722222</v>
      </c>
      <c r="F413" s="4">
        <v>0.0</v>
      </c>
      <c r="G413" s="4">
        <v>0.0</v>
      </c>
      <c r="H413" s="4"/>
      <c r="I413" s="4"/>
      <c r="J413" s="4"/>
      <c r="K413" s="4"/>
      <c r="L413" s="4"/>
      <c r="M413" s="4" t="s">
        <v>1482</v>
      </c>
      <c r="N413" s="4" t="s">
        <v>1483</v>
      </c>
      <c r="O413" s="4" t="s">
        <v>1825</v>
      </c>
      <c r="P413" s="4" t="s">
        <v>2003</v>
      </c>
      <c r="Q413" s="4" t="s">
        <v>2230</v>
      </c>
      <c r="R413" s="4" t="b">
        <v>1</v>
      </c>
      <c r="S413" s="4" t="s">
        <v>1486</v>
      </c>
      <c r="T413" s="2">
        <v>46005.9548611111</v>
      </c>
      <c r="U413" s="2">
        <v>46005.0</v>
      </c>
      <c r="V413" s="4">
        <v>49.0</v>
      </c>
      <c r="W413" s="4" t="s">
        <v>550</v>
      </c>
      <c r="X413" s="4">
        <v>2025.0</v>
      </c>
      <c r="Y413" s="4" t="s">
        <v>1540</v>
      </c>
      <c r="Z413" s="4"/>
      <c r="AA413" s="4" t="s">
        <v>649</v>
      </c>
      <c r="AB413" s="4" t="b">
        <v>0</v>
      </c>
      <c r="AC413" s="4" t="s">
        <v>536</v>
      </c>
      <c r="AD413" s="4" t="s">
        <v>537</v>
      </c>
    </row>
    <row r="414" ht="14.25" customHeight="1">
      <c r="A414" s="4">
        <v>8122125.0</v>
      </c>
      <c r="B414" s="2">
        <v>46006.0072569444</v>
      </c>
      <c r="C414" s="4">
        <v>7349063.0</v>
      </c>
      <c r="D414" s="4" t="s">
        <v>1068</v>
      </c>
      <c r="E414" s="2">
        <v>46006.0076388889</v>
      </c>
      <c r="F414" s="4">
        <v>1.0</v>
      </c>
      <c r="G414" s="4">
        <v>0.0</v>
      </c>
      <c r="H414" s="4" t="s">
        <v>1519</v>
      </c>
      <c r="I414" s="4" t="s">
        <v>2171</v>
      </c>
      <c r="J414" s="4" t="s">
        <v>1519</v>
      </c>
      <c r="K414" s="4" t="s">
        <v>1513</v>
      </c>
      <c r="L414" s="4" t="s">
        <v>2171</v>
      </c>
      <c r="M414" s="4" t="s">
        <v>2231</v>
      </c>
      <c r="N414" s="4" t="s">
        <v>540</v>
      </c>
      <c r="O414" s="4" t="s">
        <v>2232</v>
      </c>
      <c r="P414" s="4" t="s">
        <v>1635</v>
      </c>
      <c r="Q414" s="4" t="s">
        <v>2233</v>
      </c>
      <c r="R414" s="4" t="b">
        <v>0</v>
      </c>
      <c r="S414" s="4" t="s">
        <v>1486</v>
      </c>
      <c r="T414" s="2">
        <v>46006.0090277778</v>
      </c>
      <c r="U414" s="2">
        <v>46006.0</v>
      </c>
      <c r="V414" s="4">
        <v>50.0</v>
      </c>
      <c r="W414" s="4" t="s">
        <v>550</v>
      </c>
      <c r="X414" s="4">
        <v>2025.0</v>
      </c>
      <c r="Y414" s="4" t="s">
        <v>1518</v>
      </c>
      <c r="Z414" s="4"/>
      <c r="AA414" s="4" t="s">
        <v>546</v>
      </c>
      <c r="AB414" s="4" t="b">
        <v>0</v>
      </c>
      <c r="AC414" s="4" t="s">
        <v>554</v>
      </c>
      <c r="AD414" s="4" t="s">
        <v>537</v>
      </c>
    </row>
    <row r="415" ht="14.25" customHeight="1">
      <c r="A415" s="4">
        <v>8122000.0</v>
      </c>
      <c r="B415" s="2">
        <v>46005.9853356481</v>
      </c>
      <c r="C415" s="4">
        <v>7348940.0</v>
      </c>
      <c r="D415" s="4" t="s">
        <v>1069</v>
      </c>
      <c r="E415" s="2">
        <v>46006.0152777778</v>
      </c>
      <c r="F415" s="4">
        <v>1.0</v>
      </c>
      <c r="G415" s="4">
        <v>0.0</v>
      </c>
      <c r="H415" s="4"/>
      <c r="I415" s="4"/>
      <c r="J415" s="4" t="s">
        <v>1480</v>
      </c>
      <c r="K415" s="4" t="s">
        <v>1480</v>
      </c>
      <c r="L415" s="4" t="s">
        <v>1481</v>
      </c>
      <c r="M415" s="4" t="s">
        <v>1482</v>
      </c>
      <c r="N415" s="4" t="s">
        <v>540</v>
      </c>
      <c r="O415" s="4" t="s">
        <v>2234</v>
      </c>
      <c r="P415" s="4" t="s">
        <v>1627</v>
      </c>
      <c r="Q415" s="4" t="s">
        <v>2235</v>
      </c>
      <c r="R415" s="4" t="b">
        <v>0</v>
      </c>
      <c r="S415" s="4" t="s">
        <v>1486</v>
      </c>
      <c r="T415" s="2">
        <v>46006.0166666667</v>
      </c>
      <c r="U415" s="2">
        <v>46005.0</v>
      </c>
      <c r="V415" s="4">
        <v>49.0</v>
      </c>
      <c r="W415" s="4" t="s">
        <v>550</v>
      </c>
      <c r="X415" s="4">
        <v>2025.0</v>
      </c>
      <c r="Y415" s="4" t="s">
        <v>1487</v>
      </c>
      <c r="Z415" s="4"/>
      <c r="AA415" s="4" t="s">
        <v>558</v>
      </c>
      <c r="AB415" s="4" t="b">
        <v>0</v>
      </c>
      <c r="AC415" s="4" t="s">
        <v>623</v>
      </c>
      <c r="AD415" s="4" t="s">
        <v>537</v>
      </c>
    </row>
    <row r="416" ht="14.25" customHeight="1">
      <c r="A416" s="4">
        <v>8122233.0</v>
      </c>
      <c r="B416" s="2">
        <v>46006.0255787037</v>
      </c>
      <c r="C416" s="4">
        <v>7349171.0</v>
      </c>
      <c r="D416" s="4" t="s">
        <v>1070</v>
      </c>
      <c r="E416" s="2">
        <v>46006.0284722222</v>
      </c>
      <c r="F416" s="4">
        <v>1.0</v>
      </c>
      <c r="G416" s="4">
        <v>0.0</v>
      </c>
      <c r="H416" s="4" t="s">
        <v>1519</v>
      </c>
      <c r="I416" s="4" t="s">
        <v>1913</v>
      </c>
      <c r="J416" s="4" t="s">
        <v>1519</v>
      </c>
      <c r="K416" s="4" t="s">
        <v>1513</v>
      </c>
      <c r="L416" s="4" t="s">
        <v>1913</v>
      </c>
      <c r="M416" s="4" t="s">
        <v>1482</v>
      </c>
      <c r="N416" s="4" t="s">
        <v>1594</v>
      </c>
      <c r="O416" s="4" t="s">
        <v>2236</v>
      </c>
      <c r="P416" s="4" t="s">
        <v>2237</v>
      </c>
      <c r="Q416" s="4" t="s">
        <v>2238</v>
      </c>
      <c r="R416" s="4" t="b">
        <v>0</v>
      </c>
      <c r="S416" s="4" t="s">
        <v>1486</v>
      </c>
      <c r="T416" s="2">
        <v>46006.0298611111</v>
      </c>
      <c r="U416" s="2">
        <v>46006.0</v>
      </c>
      <c r="V416" s="4">
        <v>50.0</v>
      </c>
      <c r="W416" s="4" t="s">
        <v>550</v>
      </c>
      <c r="X416" s="4">
        <v>2025.0</v>
      </c>
      <c r="Y416" s="4" t="s">
        <v>1518</v>
      </c>
      <c r="Z416" s="4"/>
      <c r="AA416" s="4" t="s">
        <v>558</v>
      </c>
      <c r="AB416" s="4" t="b">
        <v>0</v>
      </c>
      <c r="AC416" s="4" t="s">
        <v>599</v>
      </c>
      <c r="AD416" s="4" t="s">
        <v>537</v>
      </c>
    </row>
    <row r="417" ht="14.25" customHeight="1">
      <c r="A417" s="4">
        <v>8122350.0</v>
      </c>
      <c r="B417" s="2">
        <v>46006.0506365741</v>
      </c>
      <c r="C417" s="4">
        <v>7349288.0</v>
      </c>
      <c r="D417" s="4" t="s">
        <v>1071</v>
      </c>
      <c r="E417" s="2">
        <v>46006.0527777778</v>
      </c>
      <c r="F417" s="4">
        <v>1.0</v>
      </c>
      <c r="G417" s="4">
        <v>0.0</v>
      </c>
      <c r="H417" s="4" t="s">
        <v>1519</v>
      </c>
      <c r="I417" s="4" t="s">
        <v>1913</v>
      </c>
      <c r="J417" s="4" t="s">
        <v>1519</v>
      </c>
      <c r="K417" s="4" t="s">
        <v>1513</v>
      </c>
      <c r="L417" s="4" t="s">
        <v>1913</v>
      </c>
      <c r="M417" s="4" t="s">
        <v>1482</v>
      </c>
      <c r="N417" s="4" t="s">
        <v>1594</v>
      </c>
      <c r="O417" s="4" t="s">
        <v>2239</v>
      </c>
      <c r="P417" s="4" t="s">
        <v>2240</v>
      </c>
      <c r="Q417" s="4" t="s">
        <v>2241</v>
      </c>
      <c r="R417" s="4" t="b">
        <v>0</v>
      </c>
      <c r="S417" s="4" t="s">
        <v>1486</v>
      </c>
      <c r="T417" s="2">
        <v>46006.0541666667</v>
      </c>
      <c r="U417" s="2">
        <v>46006.0</v>
      </c>
      <c r="V417" s="4">
        <v>50.0</v>
      </c>
      <c r="W417" s="4" t="s">
        <v>550</v>
      </c>
      <c r="X417" s="4">
        <v>2025.0</v>
      </c>
      <c r="Y417" s="4" t="s">
        <v>1518</v>
      </c>
      <c r="Z417" s="4"/>
      <c r="AA417" s="4" t="s">
        <v>558</v>
      </c>
      <c r="AB417" s="4" t="b">
        <v>0</v>
      </c>
      <c r="AC417" s="4" t="s">
        <v>567</v>
      </c>
      <c r="AD417" s="4" t="s">
        <v>537</v>
      </c>
    </row>
    <row r="418" ht="14.25" customHeight="1">
      <c r="A418" s="4">
        <v>8122403.0</v>
      </c>
      <c r="B418" s="2">
        <v>46006.0647453704</v>
      </c>
      <c r="C418" s="4">
        <v>7349341.0</v>
      </c>
      <c r="D418" s="4" t="s">
        <v>1072</v>
      </c>
      <c r="E418" s="2">
        <v>46006.0652777778</v>
      </c>
      <c r="F418" s="4">
        <v>1.0</v>
      </c>
      <c r="G418" s="4">
        <v>0.0</v>
      </c>
      <c r="H418" s="4"/>
      <c r="I418" s="4"/>
      <c r="J418" s="4" t="s">
        <v>1480</v>
      </c>
      <c r="K418" s="4" t="s">
        <v>1480</v>
      </c>
      <c r="L418" s="4" t="s">
        <v>1481</v>
      </c>
      <c r="M418" s="4" t="s">
        <v>1482</v>
      </c>
      <c r="N418" s="4" t="s">
        <v>540</v>
      </c>
      <c r="O418" s="4" t="s">
        <v>1557</v>
      </c>
      <c r="P418" s="4" t="s">
        <v>2242</v>
      </c>
      <c r="Q418" s="4" t="s">
        <v>2243</v>
      </c>
      <c r="R418" s="4" t="b">
        <v>0</v>
      </c>
      <c r="S418" s="4" t="s">
        <v>1486</v>
      </c>
      <c r="T418" s="2">
        <v>46006.0666666667</v>
      </c>
      <c r="U418" s="2">
        <v>46006.0</v>
      </c>
      <c r="V418" s="4">
        <v>50.0</v>
      </c>
      <c r="W418" s="4" t="s">
        <v>550</v>
      </c>
      <c r="X418" s="4">
        <v>2025.0</v>
      </c>
      <c r="Y418" s="4" t="s">
        <v>1487</v>
      </c>
      <c r="Z418" s="4"/>
      <c r="AA418" s="4" t="s">
        <v>943</v>
      </c>
      <c r="AB418" s="4" t="b">
        <v>0</v>
      </c>
      <c r="AC418" s="4" t="s">
        <v>554</v>
      </c>
      <c r="AD418" s="4" t="s">
        <v>537</v>
      </c>
    </row>
    <row r="419" ht="14.25" customHeight="1">
      <c r="A419" s="4">
        <v>8122751.0</v>
      </c>
      <c r="B419" s="2">
        <v>46006.1354166667</v>
      </c>
      <c r="C419" s="4">
        <v>7349688.0</v>
      </c>
      <c r="D419" s="4" t="s">
        <v>1073</v>
      </c>
      <c r="E419" s="2">
        <v>46006.1576388889</v>
      </c>
      <c r="F419" s="4">
        <v>1.0</v>
      </c>
      <c r="G419" s="4">
        <v>0.0</v>
      </c>
      <c r="H419" s="4"/>
      <c r="I419" s="4"/>
      <c r="J419" s="4" t="s">
        <v>1480</v>
      </c>
      <c r="K419" s="4" t="s">
        <v>1480</v>
      </c>
      <c r="L419" s="4" t="s">
        <v>1481</v>
      </c>
      <c r="M419" s="4" t="s">
        <v>1482</v>
      </c>
      <c r="N419" s="4" t="s">
        <v>540</v>
      </c>
      <c r="O419" s="4" t="s">
        <v>1483</v>
      </c>
      <c r="P419" s="4" t="s">
        <v>1488</v>
      </c>
      <c r="Q419" s="4" t="s">
        <v>2244</v>
      </c>
      <c r="R419" s="4" t="b">
        <v>0</v>
      </c>
      <c r="S419" s="4" t="s">
        <v>1486</v>
      </c>
      <c r="T419" s="2">
        <v>46007.1569444444</v>
      </c>
      <c r="U419" s="2">
        <v>46006.0</v>
      </c>
      <c r="V419" s="4">
        <v>50.0</v>
      </c>
      <c r="W419" s="4" t="s">
        <v>550</v>
      </c>
      <c r="X419" s="4">
        <v>2025.0</v>
      </c>
      <c r="Y419" s="4" t="s">
        <v>1487</v>
      </c>
      <c r="Z419" s="4"/>
      <c r="AA419" s="4" t="s">
        <v>985</v>
      </c>
      <c r="AB419" s="4" t="b">
        <v>1</v>
      </c>
      <c r="AC419" s="4" t="s">
        <v>536</v>
      </c>
      <c r="AD419" s="4" t="s">
        <v>537</v>
      </c>
    </row>
    <row r="420" ht="14.25" customHeight="1">
      <c r="A420" s="4">
        <v>8121650.0</v>
      </c>
      <c r="B420" s="2">
        <v>46005.9318055556</v>
      </c>
      <c r="C420" s="4">
        <v>7348592.0</v>
      </c>
      <c r="D420" s="4" t="s">
        <v>1074</v>
      </c>
      <c r="E420" s="2">
        <v>46006.1881944444</v>
      </c>
      <c r="F420" s="4">
        <v>1.0</v>
      </c>
      <c r="G420" s="4">
        <v>0.0</v>
      </c>
      <c r="H420" s="4"/>
      <c r="I420" s="4"/>
      <c r="J420" s="4" t="s">
        <v>1480</v>
      </c>
      <c r="K420" s="4" t="s">
        <v>1480</v>
      </c>
      <c r="L420" s="4" t="s">
        <v>1481</v>
      </c>
      <c r="M420" s="4" t="s">
        <v>1482</v>
      </c>
      <c r="N420" s="4" t="s">
        <v>540</v>
      </c>
      <c r="O420" s="4" t="s">
        <v>1483</v>
      </c>
      <c r="P420" s="4" t="s">
        <v>1923</v>
      </c>
      <c r="Q420" s="4" t="s">
        <v>2245</v>
      </c>
      <c r="R420" s="4" t="b">
        <v>0</v>
      </c>
      <c r="S420" s="4" t="s">
        <v>1486</v>
      </c>
      <c r="T420" s="2">
        <v>46006.1895833333</v>
      </c>
      <c r="U420" s="2">
        <v>46005.0</v>
      </c>
      <c r="V420" s="4">
        <v>49.0</v>
      </c>
      <c r="W420" s="4" t="s">
        <v>550</v>
      </c>
      <c r="X420" s="4">
        <v>2025.0</v>
      </c>
      <c r="Y420" s="4" t="s">
        <v>1487</v>
      </c>
      <c r="Z420" s="4" t="s">
        <v>557</v>
      </c>
      <c r="AA420" s="4" t="s">
        <v>558</v>
      </c>
      <c r="AB420" s="4" t="b">
        <v>0</v>
      </c>
      <c r="AC420" s="4" t="s">
        <v>536</v>
      </c>
      <c r="AD420" s="4" t="s">
        <v>537</v>
      </c>
    </row>
    <row r="421" ht="14.25" customHeight="1">
      <c r="A421" s="4">
        <v>8123224.0</v>
      </c>
      <c r="B421" s="2">
        <v>46006.2388425926</v>
      </c>
      <c r="C421" s="4">
        <v>7350158.0</v>
      </c>
      <c r="D421" s="4" t="s">
        <v>1075</v>
      </c>
      <c r="E421" s="2">
        <v>46006.2416666667</v>
      </c>
      <c r="F421" s="4">
        <v>1.0</v>
      </c>
      <c r="G421" s="4">
        <v>0.0</v>
      </c>
      <c r="H421" s="4"/>
      <c r="I421" s="4"/>
      <c r="J421" s="4" t="s">
        <v>1480</v>
      </c>
      <c r="K421" s="4" t="s">
        <v>1480</v>
      </c>
      <c r="L421" s="4" t="s">
        <v>1561</v>
      </c>
      <c r="M421" s="4" t="s">
        <v>1482</v>
      </c>
      <c r="N421" s="4" t="s">
        <v>588</v>
      </c>
      <c r="O421" s="4" t="s">
        <v>1483</v>
      </c>
      <c r="P421" s="4" t="s">
        <v>1635</v>
      </c>
      <c r="Q421" s="4" t="s">
        <v>2246</v>
      </c>
      <c r="R421" s="4" t="b">
        <v>0</v>
      </c>
      <c r="S421" s="4" t="s">
        <v>1486</v>
      </c>
      <c r="T421" s="2">
        <v>46006.2430555556</v>
      </c>
      <c r="U421" s="2">
        <v>46006.0</v>
      </c>
      <c r="V421" s="4">
        <v>50.0</v>
      </c>
      <c r="W421" s="4" t="s">
        <v>550</v>
      </c>
      <c r="X421" s="4">
        <v>2025.0</v>
      </c>
      <c r="Y421" s="4" t="s">
        <v>1564</v>
      </c>
      <c r="Z421" s="4"/>
      <c r="AA421" s="4" t="s">
        <v>558</v>
      </c>
      <c r="AB421" s="4" t="b">
        <v>0</v>
      </c>
      <c r="AC421" s="4" t="s">
        <v>536</v>
      </c>
      <c r="AD421" s="4" t="s">
        <v>537</v>
      </c>
    </row>
    <row r="422" ht="14.25" customHeight="1">
      <c r="A422" s="4">
        <v>8123294.0</v>
      </c>
      <c r="B422" s="2">
        <v>46006.252962963</v>
      </c>
      <c r="C422" s="4">
        <v>7350228.0</v>
      </c>
      <c r="D422" s="4" t="s">
        <v>1076</v>
      </c>
      <c r="E422" s="2">
        <v>46006.2527777778</v>
      </c>
      <c r="F422" s="4">
        <v>1.0</v>
      </c>
      <c r="G422" s="4">
        <v>0.0</v>
      </c>
      <c r="H422" s="4"/>
      <c r="I422" s="4"/>
      <c r="J422" s="4" t="s">
        <v>1526</v>
      </c>
      <c r="K422" s="4" t="s">
        <v>1527</v>
      </c>
      <c r="L422" s="4" t="s">
        <v>1528</v>
      </c>
      <c r="M422" s="4" t="s">
        <v>1482</v>
      </c>
      <c r="N422" s="4" t="s">
        <v>1529</v>
      </c>
      <c r="O422" s="4" t="s">
        <v>1530</v>
      </c>
      <c r="P422" s="4" t="s">
        <v>2003</v>
      </c>
      <c r="Q422" s="4" t="s">
        <v>2247</v>
      </c>
      <c r="R422" s="4" t="b">
        <v>0</v>
      </c>
      <c r="S422" s="4" t="s">
        <v>1486</v>
      </c>
      <c r="T422" s="2">
        <v>46006.3840277778</v>
      </c>
      <c r="U422" s="2">
        <v>46006.0</v>
      </c>
      <c r="V422" s="4">
        <v>50.0</v>
      </c>
      <c r="W422" s="4" t="s">
        <v>550</v>
      </c>
      <c r="X422" s="4">
        <v>2025.0</v>
      </c>
      <c r="Y422" s="4" t="s">
        <v>1532</v>
      </c>
      <c r="Z422" s="4" t="s">
        <v>557</v>
      </c>
      <c r="AA422" s="4" t="s">
        <v>624</v>
      </c>
      <c r="AB422" s="4" t="b">
        <v>1</v>
      </c>
      <c r="AC422" s="4" t="s">
        <v>536</v>
      </c>
      <c r="AD422" s="4" t="s">
        <v>537</v>
      </c>
    </row>
    <row r="423" ht="14.25" customHeight="1">
      <c r="A423" s="4">
        <v>8123313.0</v>
      </c>
      <c r="B423" s="2">
        <v>46006.2575</v>
      </c>
      <c r="C423" s="4">
        <v>7350246.0</v>
      </c>
      <c r="D423" s="4" t="s">
        <v>1078</v>
      </c>
      <c r="E423" s="2">
        <v>46006.2597222222</v>
      </c>
      <c r="F423" s="4">
        <v>0.0</v>
      </c>
      <c r="G423" s="4">
        <v>0.0</v>
      </c>
      <c r="H423" s="4"/>
      <c r="I423" s="4"/>
      <c r="J423" s="4"/>
      <c r="K423" s="4"/>
      <c r="L423" s="4"/>
      <c r="M423" s="4" t="s">
        <v>1482</v>
      </c>
      <c r="N423" s="4" t="s">
        <v>2248</v>
      </c>
      <c r="O423" s="4" t="s">
        <v>1644</v>
      </c>
      <c r="P423" s="4" t="s">
        <v>2003</v>
      </c>
      <c r="Q423" s="4" t="s">
        <v>2247</v>
      </c>
      <c r="R423" s="4" t="b">
        <v>1</v>
      </c>
      <c r="S423" s="4" t="s">
        <v>1486</v>
      </c>
      <c r="T423" s="2">
        <v>46006.3840277778</v>
      </c>
      <c r="U423" s="2">
        <v>46006.0</v>
      </c>
      <c r="V423" s="4">
        <v>50.0</v>
      </c>
      <c r="W423" s="4" t="s">
        <v>550</v>
      </c>
      <c r="X423" s="4">
        <v>2025.0</v>
      </c>
      <c r="Y423" s="4" t="s">
        <v>1540</v>
      </c>
      <c r="Z423" s="4" t="s">
        <v>557</v>
      </c>
      <c r="AA423" s="4" t="s">
        <v>624</v>
      </c>
      <c r="AB423" s="4" t="b">
        <v>1</v>
      </c>
      <c r="AC423" s="4" t="s">
        <v>536</v>
      </c>
      <c r="AD423" s="4" t="s">
        <v>537</v>
      </c>
    </row>
    <row r="424" ht="14.25" customHeight="1">
      <c r="A424" s="4">
        <v>8122751.0</v>
      </c>
      <c r="B424" s="2">
        <v>46006.1354166667</v>
      </c>
      <c r="C424" s="4">
        <v>7349688.0</v>
      </c>
      <c r="D424" s="4" t="s">
        <v>1080</v>
      </c>
      <c r="E424" s="2">
        <v>46006.2666666667</v>
      </c>
      <c r="F424" s="4">
        <v>1.0</v>
      </c>
      <c r="G424" s="4">
        <v>0.0</v>
      </c>
      <c r="H424" s="4"/>
      <c r="I424" s="4"/>
      <c r="J424" s="4" t="s">
        <v>1480</v>
      </c>
      <c r="K424" s="4" t="s">
        <v>1480</v>
      </c>
      <c r="L424" s="4" t="s">
        <v>1481</v>
      </c>
      <c r="M424" s="4" t="s">
        <v>1482</v>
      </c>
      <c r="N424" s="4" t="s">
        <v>540</v>
      </c>
      <c r="O424" s="4" t="s">
        <v>1483</v>
      </c>
      <c r="P424" s="4" t="s">
        <v>1488</v>
      </c>
      <c r="Q424" s="4" t="s">
        <v>2244</v>
      </c>
      <c r="R424" s="4" t="b">
        <v>0</v>
      </c>
      <c r="S424" s="4" t="s">
        <v>1486</v>
      </c>
      <c r="T424" s="2">
        <v>46007.1569444444</v>
      </c>
      <c r="U424" s="2">
        <v>46006.0</v>
      </c>
      <c r="V424" s="4">
        <v>50.0</v>
      </c>
      <c r="W424" s="4" t="s">
        <v>550</v>
      </c>
      <c r="X424" s="4">
        <v>2025.0</v>
      </c>
      <c r="Y424" s="4" t="s">
        <v>1487</v>
      </c>
      <c r="Z424" s="4"/>
      <c r="AA424" s="4" t="s">
        <v>985</v>
      </c>
      <c r="AB424" s="4" t="b">
        <v>1</v>
      </c>
      <c r="AC424" s="4" t="s">
        <v>536</v>
      </c>
      <c r="AD424" s="4" t="s">
        <v>537</v>
      </c>
    </row>
    <row r="425" ht="14.25" customHeight="1">
      <c r="A425" s="4">
        <v>8106537.0</v>
      </c>
      <c r="B425" s="2">
        <v>46003.4307291667</v>
      </c>
      <c r="C425" s="4">
        <v>7333647.0</v>
      </c>
      <c r="D425" s="4" t="s">
        <v>1081</v>
      </c>
      <c r="E425" s="2">
        <v>46006.3645833333</v>
      </c>
      <c r="F425" s="4">
        <v>1.0</v>
      </c>
      <c r="G425" s="4">
        <v>0.0</v>
      </c>
      <c r="H425" s="4"/>
      <c r="I425" s="4"/>
      <c r="J425" s="4" t="s">
        <v>1526</v>
      </c>
      <c r="K425" s="4" t="s">
        <v>1527</v>
      </c>
      <c r="L425" s="4" t="s">
        <v>1528</v>
      </c>
      <c r="M425" s="4" t="s">
        <v>1482</v>
      </c>
      <c r="N425" s="4" t="s">
        <v>1529</v>
      </c>
      <c r="O425" s="4" t="s">
        <v>1530</v>
      </c>
      <c r="P425" s="4" t="s">
        <v>1635</v>
      </c>
      <c r="Q425" s="4" t="s">
        <v>2089</v>
      </c>
      <c r="R425" s="4" t="b">
        <v>0</v>
      </c>
      <c r="S425" s="4" t="s">
        <v>1486</v>
      </c>
      <c r="T425" s="2">
        <v>46006.3659722222</v>
      </c>
      <c r="U425" s="2">
        <v>46003.0</v>
      </c>
      <c r="V425" s="4">
        <v>49.0</v>
      </c>
      <c r="W425" s="4" t="s">
        <v>550</v>
      </c>
      <c r="X425" s="4">
        <v>2025.0</v>
      </c>
      <c r="Y425" s="4" t="s">
        <v>1532</v>
      </c>
      <c r="Z425" s="4"/>
      <c r="AA425" s="4" t="s">
        <v>985</v>
      </c>
      <c r="AB425" s="4" t="b">
        <v>1</v>
      </c>
      <c r="AC425" s="4" t="s">
        <v>536</v>
      </c>
      <c r="AD425" s="4" t="s">
        <v>537</v>
      </c>
    </row>
    <row r="426" ht="14.25" customHeight="1">
      <c r="A426" s="4">
        <v>8124407.0</v>
      </c>
      <c r="B426" s="2">
        <v>46006.4195023148</v>
      </c>
      <c r="C426" s="4">
        <v>7351322.0</v>
      </c>
      <c r="D426" s="4" t="s">
        <v>1082</v>
      </c>
      <c r="E426" s="2">
        <v>46006.4201388889</v>
      </c>
      <c r="F426" s="4">
        <v>1.0</v>
      </c>
      <c r="G426" s="4">
        <v>0.0</v>
      </c>
      <c r="H426" s="4"/>
      <c r="I426" s="4"/>
      <c r="J426" s="4" t="s">
        <v>1480</v>
      </c>
      <c r="K426" s="4" t="s">
        <v>1480</v>
      </c>
      <c r="L426" s="4" t="s">
        <v>1481</v>
      </c>
      <c r="M426" s="4" t="s">
        <v>1482</v>
      </c>
      <c r="N426" s="4" t="s">
        <v>540</v>
      </c>
      <c r="O426" s="4" t="s">
        <v>1483</v>
      </c>
      <c r="P426" s="4" t="s">
        <v>1635</v>
      </c>
      <c r="Q426" s="4" t="s">
        <v>2249</v>
      </c>
      <c r="R426" s="4" t="b">
        <v>0</v>
      </c>
      <c r="S426" s="4" t="s">
        <v>1486</v>
      </c>
      <c r="T426" s="2">
        <v>46006.4215277778</v>
      </c>
      <c r="U426" s="2">
        <v>46006.0</v>
      </c>
      <c r="V426" s="4">
        <v>50.0</v>
      </c>
      <c r="W426" s="4" t="s">
        <v>550</v>
      </c>
      <c r="X426" s="4">
        <v>2025.0</v>
      </c>
      <c r="Y426" s="4" t="s">
        <v>1487</v>
      </c>
      <c r="Z426" s="4"/>
      <c r="AA426" s="4" t="s">
        <v>558</v>
      </c>
      <c r="AB426" s="4" t="b">
        <v>0</v>
      </c>
      <c r="AC426" s="4" t="s">
        <v>567</v>
      </c>
      <c r="AD426" s="4" t="s">
        <v>537</v>
      </c>
    </row>
    <row r="427" ht="14.25" customHeight="1">
      <c r="A427" s="4">
        <v>8113784.0</v>
      </c>
      <c r="B427" s="2">
        <v>46004.5715393519</v>
      </c>
      <c r="C427" s="4">
        <v>7340809.0</v>
      </c>
      <c r="D427" s="4" t="s">
        <v>1083</v>
      </c>
      <c r="E427" s="2">
        <v>46006.4638888889</v>
      </c>
      <c r="F427" s="4">
        <v>1.0</v>
      </c>
      <c r="G427" s="4">
        <v>0.0</v>
      </c>
      <c r="H427" s="4"/>
      <c r="I427" s="4"/>
      <c r="J427" s="4" t="s">
        <v>1480</v>
      </c>
      <c r="K427" s="4" t="s">
        <v>1480</v>
      </c>
      <c r="L427" s="4" t="s">
        <v>1511</v>
      </c>
      <c r="M427" s="4" t="s">
        <v>1482</v>
      </c>
      <c r="N427" s="4" t="s">
        <v>653</v>
      </c>
      <c r="O427" s="4" t="s">
        <v>1483</v>
      </c>
      <c r="P427" s="4" t="s">
        <v>1845</v>
      </c>
      <c r="Q427" s="4" t="s">
        <v>2250</v>
      </c>
      <c r="R427" s="4" t="b">
        <v>0</v>
      </c>
      <c r="S427" s="4" t="s">
        <v>1486</v>
      </c>
      <c r="T427" s="2">
        <v>46006.4652777778</v>
      </c>
      <c r="U427" s="2">
        <v>46004.0</v>
      </c>
      <c r="V427" s="4">
        <v>49.0</v>
      </c>
      <c r="W427" s="4" t="s">
        <v>550</v>
      </c>
      <c r="X427" s="4">
        <v>2025.0</v>
      </c>
      <c r="Y427" s="4" t="s">
        <v>1680</v>
      </c>
      <c r="Z427" s="4" t="s">
        <v>557</v>
      </c>
      <c r="AA427" s="4" t="s">
        <v>558</v>
      </c>
      <c r="AB427" s="4" t="b">
        <v>0</v>
      </c>
      <c r="AC427" s="4" t="s">
        <v>536</v>
      </c>
      <c r="AD427" s="4" t="s">
        <v>537</v>
      </c>
    </row>
    <row r="428" ht="14.25" customHeight="1">
      <c r="A428" s="4">
        <v>8125298.0</v>
      </c>
      <c r="B428" s="2">
        <v>46006.514212963</v>
      </c>
      <c r="C428" s="4">
        <v>7352143.0</v>
      </c>
      <c r="D428" s="4" t="s">
        <v>1085</v>
      </c>
      <c r="E428" s="2">
        <v>46006.5138888889</v>
      </c>
      <c r="F428" s="4">
        <v>0.0</v>
      </c>
      <c r="G428" s="4">
        <v>0.0</v>
      </c>
      <c r="H428" s="4"/>
      <c r="I428" s="4"/>
      <c r="J428" s="4"/>
      <c r="K428" s="4"/>
      <c r="L428" s="4"/>
      <c r="M428" s="4" t="s">
        <v>1482</v>
      </c>
      <c r="N428" s="4" t="s">
        <v>1483</v>
      </c>
      <c r="O428" s="4" t="s">
        <v>2251</v>
      </c>
      <c r="P428" s="4" t="s">
        <v>2003</v>
      </c>
      <c r="Q428" s="4" t="s">
        <v>2252</v>
      </c>
      <c r="R428" s="4" t="b">
        <v>1</v>
      </c>
      <c r="S428" s="4" t="s">
        <v>1486</v>
      </c>
      <c r="T428" s="2">
        <v>46006.5152777778</v>
      </c>
      <c r="U428" s="2">
        <v>46006.0</v>
      </c>
      <c r="V428" s="4">
        <v>50.0</v>
      </c>
      <c r="W428" s="4" t="s">
        <v>550</v>
      </c>
      <c r="X428" s="4">
        <v>2025.0</v>
      </c>
      <c r="Y428" s="4" t="s">
        <v>1540</v>
      </c>
      <c r="Z428" s="4"/>
      <c r="AA428" s="4" t="s">
        <v>546</v>
      </c>
      <c r="AB428" s="4" t="b">
        <v>1</v>
      </c>
      <c r="AC428" s="4" t="s">
        <v>554</v>
      </c>
      <c r="AD428" s="4" t="s">
        <v>537</v>
      </c>
    </row>
    <row r="429" ht="14.25" customHeight="1">
      <c r="A429" s="4">
        <v>8125568.0</v>
      </c>
      <c r="B429" s="2">
        <v>46006.5469328704</v>
      </c>
      <c r="C429" s="4">
        <v>7352409.0</v>
      </c>
      <c r="D429" s="4" t="s">
        <v>1086</v>
      </c>
      <c r="E429" s="2">
        <v>46006.5472222222</v>
      </c>
      <c r="F429" s="4">
        <v>1.0</v>
      </c>
      <c r="G429" s="4">
        <v>0.0</v>
      </c>
      <c r="H429" s="4"/>
      <c r="I429" s="4"/>
      <c r="J429" s="4" t="s">
        <v>1480</v>
      </c>
      <c r="K429" s="4" t="s">
        <v>1480</v>
      </c>
      <c r="L429" s="4" t="s">
        <v>1481</v>
      </c>
      <c r="M429" s="4" t="s">
        <v>1482</v>
      </c>
      <c r="N429" s="4" t="s">
        <v>540</v>
      </c>
      <c r="O429" s="4" t="s">
        <v>2253</v>
      </c>
      <c r="P429" s="4" t="s">
        <v>2254</v>
      </c>
      <c r="Q429" s="4" t="s">
        <v>2255</v>
      </c>
      <c r="R429" s="4" t="b">
        <v>0</v>
      </c>
      <c r="S429" s="4" t="s">
        <v>1486</v>
      </c>
      <c r="T429" s="2">
        <v>46006.5486111111</v>
      </c>
      <c r="U429" s="2">
        <v>46006.0</v>
      </c>
      <c r="V429" s="4">
        <v>50.0</v>
      </c>
      <c r="W429" s="4" t="s">
        <v>550</v>
      </c>
      <c r="X429" s="4">
        <v>2025.0</v>
      </c>
      <c r="Y429" s="4" t="s">
        <v>1487</v>
      </c>
      <c r="Z429" s="4"/>
      <c r="AA429" s="4" t="s">
        <v>558</v>
      </c>
      <c r="AB429" s="4" t="b">
        <v>0</v>
      </c>
      <c r="AC429" s="4" t="s">
        <v>623</v>
      </c>
      <c r="AD429" s="4" t="s">
        <v>537</v>
      </c>
    </row>
    <row r="430" ht="14.25" customHeight="1">
      <c r="A430" s="4">
        <v>8125581.0</v>
      </c>
      <c r="B430" s="2">
        <v>46006.5480092593</v>
      </c>
      <c r="C430" s="4">
        <v>7352422.0</v>
      </c>
      <c r="D430" s="4" t="s">
        <v>1087</v>
      </c>
      <c r="E430" s="2">
        <v>46006.5479166667</v>
      </c>
      <c r="F430" s="4">
        <v>1.0</v>
      </c>
      <c r="G430" s="4">
        <v>0.0</v>
      </c>
      <c r="H430" s="4"/>
      <c r="I430" s="4"/>
      <c r="J430" s="4" t="s">
        <v>1526</v>
      </c>
      <c r="K430" s="4" t="s">
        <v>1527</v>
      </c>
      <c r="L430" s="4" t="s">
        <v>1528</v>
      </c>
      <c r="M430" s="4" t="s">
        <v>1482</v>
      </c>
      <c r="N430" s="4" t="s">
        <v>1529</v>
      </c>
      <c r="O430" s="4" t="s">
        <v>1530</v>
      </c>
      <c r="P430" s="4" t="s">
        <v>2003</v>
      </c>
      <c r="Q430" s="4" t="s">
        <v>2256</v>
      </c>
      <c r="R430" s="4" t="b">
        <v>0</v>
      </c>
      <c r="S430" s="4" t="s">
        <v>1486</v>
      </c>
      <c r="T430" s="2">
        <v>46006.5493055556</v>
      </c>
      <c r="U430" s="2">
        <v>46006.0</v>
      </c>
      <c r="V430" s="4">
        <v>50.0</v>
      </c>
      <c r="W430" s="4" t="s">
        <v>550</v>
      </c>
      <c r="X430" s="4">
        <v>2025.0</v>
      </c>
      <c r="Y430" s="4" t="s">
        <v>1532</v>
      </c>
      <c r="Z430" s="4" t="s">
        <v>557</v>
      </c>
      <c r="AA430" s="4" t="s">
        <v>558</v>
      </c>
      <c r="AB430" s="4" t="b">
        <v>0</v>
      </c>
      <c r="AC430" s="4" t="s">
        <v>536</v>
      </c>
      <c r="AD430" s="4" t="s">
        <v>537</v>
      </c>
    </row>
    <row r="431" ht="14.25" customHeight="1">
      <c r="A431" s="4">
        <v>8125670.0</v>
      </c>
      <c r="B431" s="2">
        <v>46006.5592708333</v>
      </c>
      <c r="C431" s="4">
        <v>7352511.0</v>
      </c>
      <c r="D431" s="4" t="s">
        <v>1088</v>
      </c>
      <c r="E431" s="2">
        <v>46006.5597222222</v>
      </c>
      <c r="F431" s="4">
        <v>1.0</v>
      </c>
      <c r="G431" s="4">
        <v>0.0</v>
      </c>
      <c r="H431" s="4"/>
      <c r="I431" s="4"/>
      <c r="J431" s="4" t="s">
        <v>1480</v>
      </c>
      <c r="K431" s="4" t="s">
        <v>1480</v>
      </c>
      <c r="L431" s="4" t="s">
        <v>1481</v>
      </c>
      <c r="M431" s="4" t="s">
        <v>1482</v>
      </c>
      <c r="N431" s="4" t="s">
        <v>540</v>
      </c>
      <c r="O431" s="4" t="s">
        <v>2257</v>
      </c>
      <c r="P431" s="4" t="s">
        <v>1635</v>
      </c>
      <c r="Q431" s="4" t="s">
        <v>2258</v>
      </c>
      <c r="R431" s="4" t="b">
        <v>0</v>
      </c>
      <c r="S431" s="4" t="s">
        <v>1486</v>
      </c>
      <c r="T431" s="2">
        <v>46006.5611111111</v>
      </c>
      <c r="U431" s="2">
        <v>46006.0</v>
      </c>
      <c r="V431" s="4">
        <v>50.0</v>
      </c>
      <c r="W431" s="4" t="s">
        <v>550</v>
      </c>
      <c r="X431" s="4">
        <v>2025.0</v>
      </c>
      <c r="Y431" s="4" t="s">
        <v>1487</v>
      </c>
      <c r="Z431" s="4"/>
      <c r="AA431" s="4" t="s">
        <v>558</v>
      </c>
      <c r="AB431" s="4" t="b">
        <v>0</v>
      </c>
      <c r="AC431" s="4" t="s">
        <v>554</v>
      </c>
      <c r="AD431" s="4" t="s">
        <v>537</v>
      </c>
    </row>
    <row r="432" ht="14.25" customHeight="1">
      <c r="A432" s="4">
        <v>8125742.0</v>
      </c>
      <c r="B432" s="2">
        <v>46006.5670833333</v>
      </c>
      <c r="C432" s="4">
        <v>7352582.0</v>
      </c>
      <c r="D432" s="4" t="s">
        <v>1089</v>
      </c>
      <c r="E432" s="2">
        <v>46006.5680555556</v>
      </c>
      <c r="F432" s="4">
        <v>1.0</v>
      </c>
      <c r="G432" s="4">
        <v>0.0</v>
      </c>
      <c r="H432" s="4" t="s">
        <v>2259</v>
      </c>
      <c r="I432" s="4" t="s">
        <v>2260</v>
      </c>
      <c r="J432" s="4" t="s">
        <v>2259</v>
      </c>
      <c r="K432" s="4" t="s">
        <v>1567</v>
      </c>
      <c r="L432" s="4" t="s">
        <v>2260</v>
      </c>
      <c r="M432" s="4" t="s">
        <v>2261</v>
      </c>
      <c r="N432" s="4"/>
      <c r="O432" s="4" t="s">
        <v>2262</v>
      </c>
      <c r="P432" s="4" t="s">
        <v>2263</v>
      </c>
      <c r="Q432" s="4" t="s">
        <v>2264</v>
      </c>
      <c r="R432" s="4" t="b">
        <v>0</v>
      </c>
      <c r="S432" s="4" t="s">
        <v>1486</v>
      </c>
      <c r="T432" s="2">
        <v>46006.5694444444</v>
      </c>
      <c r="U432" s="2">
        <v>46006.0</v>
      </c>
      <c r="V432" s="4">
        <v>50.0</v>
      </c>
      <c r="W432" s="4" t="s">
        <v>550</v>
      </c>
      <c r="X432" s="4">
        <v>2025.0</v>
      </c>
      <c r="Y432" s="4" t="s">
        <v>1518</v>
      </c>
      <c r="Z432" s="4"/>
      <c r="AA432" s="4" t="s">
        <v>558</v>
      </c>
      <c r="AB432" s="4" t="b">
        <v>1</v>
      </c>
      <c r="AC432" s="4" t="s">
        <v>567</v>
      </c>
      <c r="AD432" s="4" t="s">
        <v>537</v>
      </c>
    </row>
    <row r="433" ht="14.25" customHeight="1">
      <c r="A433" s="4">
        <v>8126098.0</v>
      </c>
      <c r="B433" s="2">
        <v>46006.6013425926</v>
      </c>
      <c r="C433" s="4">
        <v>7352927.0</v>
      </c>
      <c r="D433" s="4" t="s">
        <v>1090</v>
      </c>
      <c r="E433" s="2">
        <v>46006.6027777778</v>
      </c>
      <c r="F433" s="4">
        <v>1.0</v>
      </c>
      <c r="G433" s="4">
        <v>0.0</v>
      </c>
      <c r="H433" s="4" t="s">
        <v>1519</v>
      </c>
      <c r="I433" s="4" t="s">
        <v>1781</v>
      </c>
      <c r="J433" s="4" t="s">
        <v>1519</v>
      </c>
      <c r="K433" s="4" t="s">
        <v>1513</v>
      </c>
      <c r="L433" s="4" t="s">
        <v>1781</v>
      </c>
      <c r="M433" s="4" t="s">
        <v>1692</v>
      </c>
      <c r="N433" s="4" t="s">
        <v>540</v>
      </c>
      <c r="O433" s="4" t="s">
        <v>2265</v>
      </c>
      <c r="P433" s="4" t="s">
        <v>2003</v>
      </c>
      <c r="Q433" s="4" t="s">
        <v>2266</v>
      </c>
      <c r="R433" s="4" t="b">
        <v>0</v>
      </c>
      <c r="S433" s="4" t="s">
        <v>1486</v>
      </c>
      <c r="T433" s="2">
        <v>46006.6041666667</v>
      </c>
      <c r="U433" s="2">
        <v>46006.0</v>
      </c>
      <c r="V433" s="4">
        <v>50.0</v>
      </c>
      <c r="W433" s="4" t="s">
        <v>550</v>
      </c>
      <c r="X433" s="4">
        <v>2025.0</v>
      </c>
      <c r="Y433" s="4" t="s">
        <v>1518</v>
      </c>
      <c r="Z433" s="4"/>
      <c r="AA433" s="4" t="s">
        <v>558</v>
      </c>
      <c r="AB433" s="4" t="b">
        <v>0</v>
      </c>
      <c r="AC433" s="4" t="s">
        <v>536</v>
      </c>
      <c r="AD433" s="4" t="s">
        <v>537</v>
      </c>
    </row>
    <row r="434" ht="14.25" customHeight="1">
      <c r="A434" s="4">
        <v>7179874.0</v>
      </c>
      <c r="B434" s="2">
        <v>45767.4033101852</v>
      </c>
      <c r="C434" s="4">
        <v>6431390.0</v>
      </c>
      <c r="D434" s="4" t="s">
        <v>1091</v>
      </c>
      <c r="E434" s="2">
        <v>46006.6131944444</v>
      </c>
      <c r="F434" s="4">
        <v>0.0</v>
      </c>
      <c r="G434" s="4">
        <v>0.0</v>
      </c>
      <c r="H434" s="4"/>
      <c r="I434" s="4"/>
      <c r="J434" s="4" t="s">
        <v>539</v>
      </c>
      <c r="K434" s="4" t="s">
        <v>539</v>
      </c>
      <c r="L434" s="4" t="s">
        <v>1499</v>
      </c>
      <c r="M434" s="4" t="s">
        <v>1482</v>
      </c>
      <c r="N434" s="4"/>
      <c r="O434" s="4" t="s">
        <v>2267</v>
      </c>
      <c r="P434" s="4" t="s">
        <v>2268</v>
      </c>
      <c r="Q434" s="4" t="s">
        <v>2269</v>
      </c>
      <c r="R434" s="4" t="b">
        <v>0</v>
      </c>
      <c r="S434" s="4" t="s">
        <v>1486</v>
      </c>
      <c r="T434" s="2">
        <v>46006.6145833333</v>
      </c>
      <c r="U434" s="2">
        <v>45767.0</v>
      </c>
      <c r="V434" s="4">
        <v>15.0</v>
      </c>
      <c r="W434" s="4" t="s">
        <v>2270</v>
      </c>
      <c r="X434" s="4">
        <v>2025.0</v>
      </c>
      <c r="Y434" s="4" t="s">
        <v>1502</v>
      </c>
      <c r="Z434" s="4" t="s">
        <v>557</v>
      </c>
      <c r="AA434" s="4" t="s">
        <v>558</v>
      </c>
      <c r="AB434" s="4" t="b">
        <v>0</v>
      </c>
      <c r="AC434" s="4" t="s">
        <v>536</v>
      </c>
      <c r="AD434" s="4" t="s">
        <v>537</v>
      </c>
    </row>
    <row r="435" ht="14.25" customHeight="1">
      <c r="A435" s="4">
        <v>7233486.0</v>
      </c>
      <c r="B435" s="2">
        <v>45782.7061111111</v>
      </c>
      <c r="C435" s="4">
        <v>6431390.0</v>
      </c>
      <c r="D435" s="4" t="s">
        <v>1091</v>
      </c>
      <c r="E435" s="2">
        <v>46006.6131944444</v>
      </c>
      <c r="F435" s="4">
        <v>0.4</v>
      </c>
      <c r="G435" s="4">
        <v>0.0</v>
      </c>
      <c r="H435" s="4" t="s">
        <v>2271</v>
      </c>
      <c r="I435" s="4" t="s">
        <v>2272</v>
      </c>
      <c r="J435" s="4" t="s">
        <v>2271</v>
      </c>
      <c r="K435" s="4" t="s">
        <v>1775</v>
      </c>
      <c r="L435" s="4" t="s">
        <v>2272</v>
      </c>
      <c r="M435" s="4" t="s">
        <v>2273</v>
      </c>
      <c r="N435" s="4" t="s">
        <v>2274</v>
      </c>
      <c r="O435" s="4" t="s">
        <v>2275</v>
      </c>
      <c r="P435" s="4" t="s">
        <v>2268</v>
      </c>
      <c r="Q435" s="4" t="s">
        <v>2269</v>
      </c>
      <c r="R435" s="4" t="b">
        <v>0</v>
      </c>
      <c r="S435" s="4" t="s">
        <v>1486</v>
      </c>
      <c r="T435" s="2">
        <v>46006.6145833333</v>
      </c>
      <c r="U435" s="2">
        <v>45782.0</v>
      </c>
      <c r="V435" s="4">
        <v>18.0</v>
      </c>
      <c r="W435" s="4" t="s">
        <v>2276</v>
      </c>
      <c r="X435" s="4">
        <v>2025.0</v>
      </c>
      <c r="Y435" s="4" t="s">
        <v>1518</v>
      </c>
      <c r="Z435" s="4" t="s">
        <v>557</v>
      </c>
      <c r="AA435" s="4" t="s">
        <v>558</v>
      </c>
      <c r="AB435" s="4" t="b">
        <v>0</v>
      </c>
      <c r="AC435" s="4" t="s">
        <v>536</v>
      </c>
      <c r="AD435" s="4" t="s">
        <v>537</v>
      </c>
    </row>
    <row r="436" ht="14.25" customHeight="1">
      <c r="A436" s="4">
        <v>7233986.0</v>
      </c>
      <c r="B436" s="2">
        <v>45782.8148032407</v>
      </c>
      <c r="C436" s="4">
        <v>6431390.0</v>
      </c>
      <c r="D436" s="4" t="s">
        <v>1091</v>
      </c>
      <c r="E436" s="2">
        <v>46006.6131944444</v>
      </c>
      <c r="F436" s="4">
        <v>0.0071</v>
      </c>
      <c r="G436" s="4">
        <v>0.0</v>
      </c>
      <c r="H436" s="4" t="s">
        <v>2271</v>
      </c>
      <c r="I436" s="4" t="s">
        <v>2272</v>
      </c>
      <c r="J436" s="4" t="s">
        <v>2271</v>
      </c>
      <c r="K436" s="4" t="s">
        <v>1775</v>
      </c>
      <c r="L436" s="4" t="s">
        <v>2272</v>
      </c>
      <c r="M436" s="4" t="s">
        <v>2273</v>
      </c>
      <c r="N436" s="4" t="s">
        <v>2274</v>
      </c>
      <c r="O436" s="4" t="s">
        <v>2275</v>
      </c>
      <c r="P436" s="4" t="s">
        <v>2268</v>
      </c>
      <c r="Q436" s="4" t="s">
        <v>2269</v>
      </c>
      <c r="R436" s="4" t="b">
        <v>0</v>
      </c>
      <c r="S436" s="4" t="s">
        <v>1486</v>
      </c>
      <c r="T436" s="2">
        <v>46006.6145833333</v>
      </c>
      <c r="U436" s="2">
        <v>45782.0</v>
      </c>
      <c r="V436" s="4">
        <v>18.0</v>
      </c>
      <c r="W436" s="4" t="s">
        <v>2276</v>
      </c>
      <c r="X436" s="4">
        <v>2025.0</v>
      </c>
      <c r="Y436" s="4" t="s">
        <v>1518</v>
      </c>
      <c r="Z436" s="4" t="s">
        <v>557</v>
      </c>
      <c r="AA436" s="4" t="s">
        <v>558</v>
      </c>
      <c r="AB436" s="4" t="b">
        <v>0</v>
      </c>
      <c r="AC436" s="4" t="s">
        <v>536</v>
      </c>
      <c r="AD436" s="4" t="s">
        <v>537</v>
      </c>
    </row>
    <row r="437" ht="14.25" customHeight="1">
      <c r="A437" s="4">
        <v>7277890.0</v>
      </c>
      <c r="B437" s="2">
        <v>45796.7215509259</v>
      </c>
      <c r="C437" s="4">
        <v>6431390.0</v>
      </c>
      <c r="D437" s="4" t="s">
        <v>1091</v>
      </c>
      <c r="E437" s="2">
        <v>46006.6131944444</v>
      </c>
      <c r="F437" s="4">
        <v>0.0071</v>
      </c>
      <c r="G437" s="4">
        <v>0.0</v>
      </c>
      <c r="H437" s="4" t="s">
        <v>2271</v>
      </c>
      <c r="I437" s="4" t="s">
        <v>2272</v>
      </c>
      <c r="J437" s="4" t="s">
        <v>2271</v>
      </c>
      <c r="K437" s="4" t="s">
        <v>1775</v>
      </c>
      <c r="L437" s="4" t="s">
        <v>2272</v>
      </c>
      <c r="M437" s="4" t="s">
        <v>2273</v>
      </c>
      <c r="N437" s="4" t="s">
        <v>2274</v>
      </c>
      <c r="O437" s="4" t="s">
        <v>2275</v>
      </c>
      <c r="P437" s="4" t="s">
        <v>2277</v>
      </c>
      <c r="Q437" s="4" t="s">
        <v>2278</v>
      </c>
      <c r="R437" s="4" t="b">
        <v>0</v>
      </c>
      <c r="S437" s="4" t="s">
        <v>1486</v>
      </c>
      <c r="T437" s="2">
        <v>46006.6145833333</v>
      </c>
      <c r="U437" s="2">
        <v>45796.0</v>
      </c>
      <c r="V437" s="4">
        <v>20.0</v>
      </c>
      <c r="W437" s="4" t="s">
        <v>2276</v>
      </c>
      <c r="X437" s="4">
        <v>2025.0</v>
      </c>
      <c r="Y437" s="4" t="s">
        <v>1518</v>
      </c>
      <c r="Z437" s="4" t="s">
        <v>557</v>
      </c>
      <c r="AA437" s="4" t="s">
        <v>558</v>
      </c>
      <c r="AB437" s="4" t="b">
        <v>0</v>
      </c>
      <c r="AC437" s="4" t="s">
        <v>536</v>
      </c>
      <c r="AD437" s="4" t="s">
        <v>537</v>
      </c>
    </row>
    <row r="438" ht="14.25" customHeight="1">
      <c r="A438" s="4">
        <v>7301502.0</v>
      </c>
      <c r="B438" s="2">
        <v>45804.508275463</v>
      </c>
      <c r="C438" s="4">
        <v>6431390.0</v>
      </c>
      <c r="D438" s="4" t="s">
        <v>1091</v>
      </c>
      <c r="E438" s="2">
        <v>46006.6131944444</v>
      </c>
      <c r="F438" s="4">
        <v>0.0071</v>
      </c>
      <c r="G438" s="4">
        <v>0.0</v>
      </c>
      <c r="H438" s="4" t="s">
        <v>2271</v>
      </c>
      <c r="I438" s="4" t="s">
        <v>2272</v>
      </c>
      <c r="J438" s="4" t="s">
        <v>2271</v>
      </c>
      <c r="K438" s="4" t="s">
        <v>1775</v>
      </c>
      <c r="L438" s="4" t="s">
        <v>2272</v>
      </c>
      <c r="M438" s="4" t="s">
        <v>2273</v>
      </c>
      <c r="N438" s="4" t="s">
        <v>2274</v>
      </c>
      <c r="O438" s="4" t="s">
        <v>2275</v>
      </c>
      <c r="P438" s="4" t="s">
        <v>2277</v>
      </c>
      <c r="Q438" s="4" t="s">
        <v>2269</v>
      </c>
      <c r="R438" s="4" t="b">
        <v>0</v>
      </c>
      <c r="S438" s="4" t="s">
        <v>1486</v>
      </c>
      <c r="T438" s="2">
        <v>46006.6145833333</v>
      </c>
      <c r="U438" s="2">
        <v>45804.0</v>
      </c>
      <c r="V438" s="4">
        <v>21.0</v>
      </c>
      <c r="W438" s="4" t="s">
        <v>2276</v>
      </c>
      <c r="X438" s="4">
        <v>2025.0</v>
      </c>
      <c r="Y438" s="4" t="s">
        <v>1518</v>
      </c>
      <c r="Z438" s="4" t="s">
        <v>557</v>
      </c>
      <c r="AA438" s="4" t="s">
        <v>558</v>
      </c>
      <c r="AB438" s="4" t="b">
        <v>0</v>
      </c>
      <c r="AC438" s="4" t="s">
        <v>536</v>
      </c>
      <c r="AD438" s="4" t="s">
        <v>537</v>
      </c>
    </row>
    <row r="439" ht="14.25" customHeight="1">
      <c r="A439" s="4">
        <v>7314684.0</v>
      </c>
      <c r="B439" s="2">
        <v>45807.6248263889</v>
      </c>
      <c r="C439" s="4">
        <v>6431390.0</v>
      </c>
      <c r="D439" s="4" t="s">
        <v>1091</v>
      </c>
      <c r="E439" s="2">
        <v>46006.6131944444</v>
      </c>
      <c r="F439" s="4">
        <v>0.0071</v>
      </c>
      <c r="G439" s="4">
        <v>0.0</v>
      </c>
      <c r="H439" s="4" t="s">
        <v>2271</v>
      </c>
      <c r="I439" s="4" t="s">
        <v>2272</v>
      </c>
      <c r="J439" s="4" t="s">
        <v>2271</v>
      </c>
      <c r="K439" s="4" t="s">
        <v>1775</v>
      </c>
      <c r="L439" s="4" t="s">
        <v>2272</v>
      </c>
      <c r="M439" s="4" t="s">
        <v>2273</v>
      </c>
      <c r="N439" s="4" t="s">
        <v>2274</v>
      </c>
      <c r="O439" s="4" t="s">
        <v>2275</v>
      </c>
      <c r="P439" s="4" t="s">
        <v>2277</v>
      </c>
      <c r="Q439" s="4" t="s">
        <v>2269</v>
      </c>
      <c r="R439" s="4" t="b">
        <v>0</v>
      </c>
      <c r="S439" s="4" t="s">
        <v>1486</v>
      </c>
      <c r="T439" s="2">
        <v>46006.6145833333</v>
      </c>
      <c r="U439" s="2">
        <v>45807.0</v>
      </c>
      <c r="V439" s="4">
        <v>21.0</v>
      </c>
      <c r="W439" s="4" t="s">
        <v>2276</v>
      </c>
      <c r="X439" s="4">
        <v>2025.0</v>
      </c>
      <c r="Y439" s="4" t="s">
        <v>1518</v>
      </c>
      <c r="Z439" s="4" t="s">
        <v>557</v>
      </c>
      <c r="AA439" s="4" t="s">
        <v>558</v>
      </c>
      <c r="AB439" s="4" t="b">
        <v>0</v>
      </c>
      <c r="AC439" s="4" t="s">
        <v>536</v>
      </c>
      <c r="AD439" s="4" t="s">
        <v>537</v>
      </c>
    </row>
    <row r="440" ht="14.25" customHeight="1">
      <c r="A440" s="4">
        <v>7403252.0</v>
      </c>
      <c r="B440" s="2">
        <v>45834.5188888889</v>
      </c>
      <c r="C440" s="4">
        <v>6431390.0</v>
      </c>
      <c r="D440" s="4" t="s">
        <v>1091</v>
      </c>
      <c r="E440" s="2">
        <v>46006.6131944444</v>
      </c>
      <c r="F440" s="4">
        <v>0.0071</v>
      </c>
      <c r="G440" s="4">
        <v>0.0</v>
      </c>
      <c r="H440" s="4" t="s">
        <v>2271</v>
      </c>
      <c r="I440" s="4" t="s">
        <v>2272</v>
      </c>
      <c r="J440" s="4" t="s">
        <v>2271</v>
      </c>
      <c r="K440" s="4" t="s">
        <v>1775</v>
      </c>
      <c r="L440" s="4" t="s">
        <v>2272</v>
      </c>
      <c r="M440" s="4" t="s">
        <v>2273</v>
      </c>
      <c r="N440" s="4" t="s">
        <v>2274</v>
      </c>
      <c r="O440" s="4" t="s">
        <v>2275</v>
      </c>
      <c r="P440" s="4" t="s">
        <v>1891</v>
      </c>
      <c r="Q440" s="4" t="s">
        <v>2279</v>
      </c>
      <c r="R440" s="4" t="b">
        <v>0</v>
      </c>
      <c r="S440" s="4" t="s">
        <v>1486</v>
      </c>
      <c r="T440" s="2">
        <v>46006.6145833333</v>
      </c>
      <c r="U440" s="2">
        <v>45834.0</v>
      </c>
      <c r="V440" s="4">
        <v>25.0</v>
      </c>
      <c r="W440" s="4" t="s">
        <v>1525</v>
      </c>
      <c r="X440" s="4">
        <v>2025.0</v>
      </c>
      <c r="Y440" s="4" t="s">
        <v>1518</v>
      </c>
      <c r="Z440" s="4" t="s">
        <v>557</v>
      </c>
      <c r="AA440" s="4" t="s">
        <v>558</v>
      </c>
      <c r="AB440" s="4" t="b">
        <v>0</v>
      </c>
      <c r="AC440" s="4" t="s">
        <v>536</v>
      </c>
      <c r="AD440" s="4" t="s">
        <v>537</v>
      </c>
    </row>
    <row r="441" ht="14.25" customHeight="1">
      <c r="A441" s="4">
        <v>7403258.0</v>
      </c>
      <c r="B441" s="2">
        <v>45834.5198611111</v>
      </c>
      <c r="C441" s="4">
        <v>6431390.0</v>
      </c>
      <c r="D441" s="4" t="s">
        <v>1091</v>
      </c>
      <c r="E441" s="2">
        <v>46006.6131944444</v>
      </c>
      <c r="F441" s="4">
        <v>0.0071</v>
      </c>
      <c r="G441" s="4">
        <v>0.0</v>
      </c>
      <c r="H441" s="4" t="s">
        <v>2271</v>
      </c>
      <c r="I441" s="4" t="s">
        <v>2272</v>
      </c>
      <c r="J441" s="4" t="s">
        <v>2271</v>
      </c>
      <c r="K441" s="4" t="s">
        <v>1775</v>
      </c>
      <c r="L441" s="4" t="s">
        <v>2272</v>
      </c>
      <c r="M441" s="4" t="s">
        <v>2273</v>
      </c>
      <c r="N441" s="4" t="s">
        <v>2274</v>
      </c>
      <c r="O441" s="4" t="s">
        <v>2275</v>
      </c>
      <c r="P441" s="4" t="s">
        <v>1891</v>
      </c>
      <c r="Q441" s="4" t="s">
        <v>2279</v>
      </c>
      <c r="R441" s="4" t="b">
        <v>0</v>
      </c>
      <c r="S441" s="4" t="s">
        <v>1486</v>
      </c>
      <c r="T441" s="2">
        <v>46006.6145833333</v>
      </c>
      <c r="U441" s="2">
        <v>45834.0</v>
      </c>
      <c r="V441" s="4">
        <v>25.0</v>
      </c>
      <c r="W441" s="4" t="s">
        <v>1525</v>
      </c>
      <c r="X441" s="4">
        <v>2025.0</v>
      </c>
      <c r="Y441" s="4" t="s">
        <v>1518</v>
      </c>
      <c r="Z441" s="4" t="s">
        <v>557</v>
      </c>
      <c r="AA441" s="4" t="s">
        <v>558</v>
      </c>
      <c r="AB441" s="4" t="b">
        <v>0</v>
      </c>
      <c r="AC441" s="4" t="s">
        <v>536</v>
      </c>
      <c r="AD441" s="4" t="s">
        <v>537</v>
      </c>
    </row>
    <row r="442" ht="14.25" customHeight="1">
      <c r="A442" s="4">
        <v>7408153.0</v>
      </c>
      <c r="B442" s="2">
        <v>45835.7468865741</v>
      </c>
      <c r="C442" s="4">
        <v>6431390.0</v>
      </c>
      <c r="D442" s="4" t="s">
        <v>1091</v>
      </c>
      <c r="E442" s="2">
        <v>46006.6131944444</v>
      </c>
      <c r="F442" s="4">
        <v>0.0071</v>
      </c>
      <c r="G442" s="4">
        <v>0.0</v>
      </c>
      <c r="H442" s="4" t="s">
        <v>2271</v>
      </c>
      <c r="I442" s="4" t="s">
        <v>2272</v>
      </c>
      <c r="J442" s="4" t="s">
        <v>2271</v>
      </c>
      <c r="K442" s="4" t="s">
        <v>1775</v>
      </c>
      <c r="L442" s="4" t="s">
        <v>2272</v>
      </c>
      <c r="M442" s="4" t="s">
        <v>2273</v>
      </c>
      <c r="N442" s="4" t="s">
        <v>2274</v>
      </c>
      <c r="O442" s="4" t="s">
        <v>2275</v>
      </c>
      <c r="P442" s="4" t="s">
        <v>1891</v>
      </c>
      <c r="Q442" s="4" t="s">
        <v>2279</v>
      </c>
      <c r="R442" s="4" t="b">
        <v>0</v>
      </c>
      <c r="S442" s="4" t="s">
        <v>1486</v>
      </c>
      <c r="T442" s="2">
        <v>46006.6145833333</v>
      </c>
      <c r="U442" s="2">
        <v>45835.0</v>
      </c>
      <c r="V442" s="4">
        <v>25.0</v>
      </c>
      <c r="W442" s="4" t="s">
        <v>1525</v>
      </c>
      <c r="X442" s="4">
        <v>2025.0</v>
      </c>
      <c r="Y442" s="4" t="s">
        <v>1518</v>
      </c>
      <c r="Z442" s="4" t="s">
        <v>557</v>
      </c>
      <c r="AA442" s="4" t="s">
        <v>558</v>
      </c>
      <c r="AB442" s="4" t="b">
        <v>0</v>
      </c>
      <c r="AC442" s="4" t="s">
        <v>536</v>
      </c>
      <c r="AD442" s="4" t="s">
        <v>537</v>
      </c>
    </row>
    <row r="443" ht="14.25" customHeight="1">
      <c r="A443" s="4">
        <v>7420029.0</v>
      </c>
      <c r="B443" s="2">
        <v>45840.424525463</v>
      </c>
      <c r="C443" s="4">
        <v>6431390.0</v>
      </c>
      <c r="D443" s="4" t="s">
        <v>1091</v>
      </c>
      <c r="E443" s="2">
        <v>46006.6131944444</v>
      </c>
      <c r="F443" s="4">
        <v>0.0071</v>
      </c>
      <c r="G443" s="4">
        <v>0.0</v>
      </c>
      <c r="H443" s="4" t="s">
        <v>2271</v>
      </c>
      <c r="I443" s="4" t="s">
        <v>2272</v>
      </c>
      <c r="J443" s="4" t="s">
        <v>2271</v>
      </c>
      <c r="K443" s="4" t="s">
        <v>1775</v>
      </c>
      <c r="L443" s="4" t="s">
        <v>2272</v>
      </c>
      <c r="M443" s="4" t="s">
        <v>2273</v>
      </c>
      <c r="N443" s="4" t="s">
        <v>2274</v>
      </c>
      <c r="O443" s="4" t="s">
        <v>2275</v>
      </c>
      <c r="P443" s="4" t="s">
        <v>1891</v>
      </c>
      <c r="Q443" s="4" t="s">
        <v>2279</v>
      </c>
      <c r="R443" s="4" t="b">
        <v>0</v>
      </c>
      <c r="S443" s="4" t="s">
        <v>1486</v>
      </c>
      <c r="T443" s="2">
        <v>46006.6145833333</v>
      </c>
      <c r="U443" s="2">
        <v>45840.0</v>
      </c>
      <c r="V443" s="4">
        <v>26.0</v>
      </c>
      <c r="W443" s="4" t="s">
        <v>1668</v>
      </c>
      <c r="X443" s="4">
        <v>2025.0</v>
      </c>
      <c r="Y443" s="4" t="s">
        <v>1518</v>
      </c>
      <c r="Z443" s="4" t="s">
        <v>557</v>
      </c>
      <c r="AA443" s="4" t="s">
        <v>558</v>
      </c>
      <c r="AB443" s="4" t="b">
        <v>0</v>
      </c>
      <c r="AC443" s="4" t="s">
        <v>536</v>
      </c>
      <c r="AD443" s="4" t="s">
        <v>537</v>
      </c>
    </row>
    <row r="444" ht="14.25" customHeight="1">
      <c r="A444" s="4">
        <v>7526100.0</v>
      </c>
      <c r="B444" s="2">
        <v>45872.4144907407</v>
      </c>
      <c r="C444" s="4">
        <v>6431390.0</v>
      </c>
      <c r="D444" s="4" t="s">
        <v>1091</v>
      </c>
      <c r="E444" s="2">
        <v>46006.6131944444</v>
      </c>
      <c r="F444" s="4">
        <v>0.0071</v>
      </c>
      <c r="G444" s="4">
        <v>0.0</v>
      </c>
      <c r="H444" s="4" t="s">
        <v>2271</v>
      </c>
      <c r="I444" s="4" t="s">
        <v>2272</v>
      </c>
      <c r="J444" s="4" t="s">
        <v>2271</v>
      </c>
      <c r="K444" s="4" t="s">
        <v>1775</v>
      </c>
      <c r="L444" s="4" t="s">
        <v>2272</v>
      </c>
      <c r="M444" s="4" t="s">
        <v>2273</v>
      </c>
      <c r="N444" s="4" t="s">
        <v>2274</v>
      </c>
      <c r="O444" s="4" t="s">
        <v>2275</v>
      </c>
      <c r="P444" s="4" t="s">
        <v>1894</v>
      </c>
      <c r="Q444" s="4" t="s">
        <v>2279</v>
      </c>
      <c r="R444" s="4" t="b">
        <v>0</v>
      </c>
      <c r="S444" s="4" t="s">
        <v>1486</v>
      </c>
      <c r="T444" s="2">
        <v>46006.6145833333</v>
      </c>
      <c r="U444" s="2">
        <v>45872.0</v>
      </c>
      <c r="V444" s="4">
        <v>30.0</v>
      </c>
      <c r="W444" s="4" t="s">
        <v>1769</v>
      </c>
      <c r="X444" s="4">
        <v>2025.0</v>
      </c>
      <c r="Y444" s="4" t="s">
        <v>1518</v>
      </c>
      <c r="Z444" s="4" t="s">
        <v>557</v>
      </c>
      <c r="AA444" s="4" t="s">
        <v>558</v>
      </c>
      <c r="AB444" s="4" t="b">
        <v>0</v>
      </c>
      <c r="AC444" s="4" t="s">
        <v>536</v>
      </c>
      <c r="AD444" s="4" t="s">
        <v>537</v>
      </c>
    </row>
    <row r="445" ht="14.25" customHeight="1">
      <c r="A445" s="4">
        <v>7534905.0</v>
      </c>
      <c r="B445" s="2">
        <v>45875.4497222222</v>
      </c>
      <c r="C445" s="4">
        <v>6431390.0</v>
      </c>
      <c r="D445" s="4" t="s">
        <v>1091</v>
      </c>
      <c r="E445" s="2">
        <v>46006.6131944444</v>
      </c>
      <c r="F445" s="4">
        <v>0.0071</v>
      </c>
      <c r="G445" s="4">
        <v>0.0</v>
      </c>
      <c r="H445" s="4" t="s">
        <v>2271</v>
      </c>
      <c r="I445" s="4" t="s">
        <v>2272</v>
      </c>
      <c r="J445" s="4" t="s">
        <v>2271</v>
      </c>
      <c r="K445" s="4" t="s">
        <v>1775</v>
      </c>
      <c r="L445" s="4" t="s">
        <v>2272</v>
      </c>
      <c r="M445" s="4" t="s">
        <v>2273</v>
      </c>
      <c r="N445" s="4" t="s">
        <v>2274</v>
      </c>
      <c r="O445" s="4" t="s">
        <v>2275</v>
      </c>
      <c r="P445" s="4" t="s">
        <v>2115</v>
      </c>
      <c r="Q445" s="4" t="s">
        <v>2279</v>
      </c>
      <c r="R445" s="4" t="b">
        <v>0</v>
      </c>
      <c r="S445" s="4" t="s">
        <v>1486</v>
      </c>
      <c r="T445" s="2">
        <v>46006.6145833333</v>
      </c>
      <c r="U445" s="2">
        <v>45875.0</v>
      </c>
      <c r="V445" s="4">
        <v>31.0</v>
      </c>
      <c r="W445" s="4" t="s">
        <v>1769</v>
      </c>
      <c r="X445" s="4">
        <v>2025.0</v>
      </c>
      <c r="Y445" s="4" t="s">
        <v>1518</v>
      </c>
      <c r="Z445" s="4" t="s">
        <v>557</v>
      </c>
      <c r="AA445" s="4" t="s">
        <v>558</v>
      </c>
      <c r="AB445" s="4" t="b">
        <v>0</v>
      </c>
      <c r="AC445" s="4" t="s">
        <v>536</v>
      </c>
      <c r="AD445" s="4" t="s">
        <v>537</v>
      </c>
    </row>
    <row r="446" ht="14.25" customHeight="1">
      <c r="A446" s="4">
        <v>7745526.0</v>
      </c>
      <c r="B446" s="2">
        <v>45938.5689351852</v>
      </c>
      <c r="C446" s="4">
        <v>6431390.0</v>
      </c>
      <c r="D446" s="4" t="s">
        <v>1091</v>
      </c>
      <c r="E446" s="2">
        <v>46006.6131944444</v>
      </c>
      <c r="F446" s="4">
        <v>0.0071</v>
      </c>
      <c r="G446" s="4">
        <v>0.0</v>
      </c>
      <c r="H446" s="4" t="s">
        <v>1888</v>
      </c>
      <c r="I446" s="4" t="s">
        <v>1889</v>
      </c>
      <c r="J446" s="4" t="s">
        <v>1888</v>
      </c>
      <c r="K446" s="4" t="s">
        <v>1775</v>
      </c>
      <c r="L446" s="4" t="s">
        <v>1889</v>
      </c>
      <c r="M446" s="4" t="s">
        <v>2280</v>
      </c>
      <c r="N446" s="4"/>
      <c r="O446" s="4" t="s">
        <v>1483</v>
      </c>
      <c r="P446" s="4" t="s">
        <v>1585</v>
      </c>
      <c r="Q446" s="4" t="s">
        <v>2279</v>
      </c>
      <c r="R446" s="4" t="b">
        <v>0</v>
      </c>
      <c r="S446" s="4" t="s">
        <v>1486</v>
      </c>
      <c r="T446" s="2">
        <v>46006.6145833333</v>
      </c>
      <c r="U446" s="2">
        <v>45938.0</v>
      </c>
      <c r="V446" s="4">
        <v>40.0</v>
      </c>
      <c r="W446" s="4" t="s">
        <v>1560</v>
      </c>
      <c r="X446" s="4">
        <v>2025.0</v>
      </c>
      <c r="Y446" s="4" t="s">
        <v>1518</v>
      </c>
      <c r="Z446" s="4" t="s">
        <v>557</v>
      </c>
      <c r="AA446" s="4" t="s">
        <v>558</v>
      </c>
      <c r="AB446" s="4" t="b">
        <v>0</v>
      </c>
      <c r="AC446" s="4" t="s">
        <v>536</v>
      </c>
      <c r="AD446" s="4" t="s">
        <v>537</v>
      </c>
    </row>
    <row r="447" ht="14.25" customHeight="1">
      <c r="A447" s="4">
        <v>7921040.0</v>
      </c>
      <c r="B447" s="2">
        <v>45976.4403587963</v>
      </c>
      <c r="C447" s="4">
        <v>6431390.0</v>
      </c>
      <c r="D447" s="4" t="s">
        <v>1091</v>
      </c>
      <c r="E447" s="2">
        <v>46006.6131944444</v>
      </c>
      <c r="F447" s="4">
        <v>0.0071</v>
      </c>
      <c r="G447" s="4">
        <v>0.0</v>
      </c>
      <c r="H447" s="4" t="s">
        <v>2271</v>
      </c>
      <c r="I447" s="4" t="s">
        <v>2272</v>
      </c>
      <c r="J447" s="4" t="s">
        <v>2271</v>
      </c>
      <c r="K447" s="4" t="s">
        <v>1775</v>
      </c>
      <c r="L447" s="4" t="s">
        <v>2272</v>
      </c>
      <c r="M447" s="4" t="s">
        <v>2273</v>
      </c>
      <c r="N447" s="4" t="s">
        <v>2274</v>
      </c>
      <c r="O447" s="4" t="s">
        <v>2275</v>
      </c>
      <c r="P447" s="4" t="s">
        <v>1488</v>
      </c>
      <c r="Q447" s="4" t="s">
        <v>2269</v>
      </c>
      <c r="R447" s="4" t="b">
        <v>0</v>
      </c>
      <c r="S447" s="4" t="s">
        <v>1486</v>
      </c>
      <c r="T447" s="2">
        <v>46006.6145833333</v>
      </c>
      <c r="U447" s="2">
        <v>45976.0</v>
      </c>
      <c r="V447" s="4">
        <v>45.0</v>
      </c>
      <c r="W447" s="4" t="s">
        <v>545</v>
      </c>
      <c r="X447" s="4">
        <v>2025.0</v>
      </c>
      <c r="Y447" s="4" t="s">
        <v>1518</v>
      </c>
      <c r="Z447" s="4" t="s">
        <v>557</v>
      </c>
      <c r="AA447" s="4" t="s">
        <v>558</v>
      </c>
      <c r="AB447" s="4" t="b">
        <v>0</v>
      </c>
      <c r="AC447" s="4" t="s">
        <v>536</v>
      </c>
      <c r="AD447" s="4" t="s">
        <v>537</v>
      </c>
    </row>
    <row r="448" ht="14.25" customHeight="1">
      <c r="A448" s="4">
        <v>7921077.0</v>
      </c>
      <c r="B448" s="2">
        <v>45976.4539930556</v>
      </c>
      <c r="C448" s="4">
        <v>6431390.0</v>
      </c>
      <c r="D448" s="4" t="s">
        <v>1091</v>
      </c>
      <c r="E448" s="2">
        <v>46006.6131944444</v>
      </c>
      <c r="F448" s="4">
        <v>0.0071</v>
      </c>
      <c r="G448" s="4">
        <v>0.0</v>
      </c>
      <c r="H448" s="4" t="s">
        <v>2271</v>
      </c>
      <c r="I448" s="4" t="s">
        <v>2272</v>
      </c>
      <c r="J448" s="4" t="s">
        <v>2271</v>
      </c>
      <c r="K448" s="4" t="s">
        <v>1775</v>
      </c>
      <c r="L448" s="4" t="s">
        <v>2272</v>
      </c>
      <c r="M448" s="4" t="s">
        <v>2273</v>
      </c>
      <c r="N448" s="4" t="s">
        <v>2274</v>
      </c>
      <c r="O448" s="4" t="s">
        <v>2275</v>
      </c>
      <c r="P448" s="4" t="s">
        <v>1488</v>
      </c>
      <c r="Q448" s="4" t="s">
        <v>2269</v>
      </c>
      <c r="R448" s="4" t="b">
        <v>0</v>
      </c>
      <c r="S448" s="4" t="s">
        <v>1486</v>
      </c>
      <c r="T448" s="2">
        <v>46006.6145833333</v>
      </c>
      <c r="U448" s="2">
        <v>45976.0</v>
      </c>
      <c r="V448" s="4">
        <v>45.0</v>
      </c>
      <c r="W448" s="4" t="s">
        <v>545</v>
      </c>
      <c r="X448" s="4">
        <v>2025.0</v>
      </c>
      <c r="Y448" s="4" t="s">
        <v>1518</v>
      </c>
      <c r="Z448" s="4" t="s">
        <v>557</v>
      </c>
      <c r="AA448" s="4" t="s">
        <v>558</v>
      </c>
      <c r="AB448" s="4" t="b">
        <v>0</v>
      </c>
      <c r="AC448" s="4" t="s">
        <v>536</v>
      </c>
      <c r="AD448" s="4" t="s">
        <v>537</v>
      </c>
    </row>
    <row r="449" ht="14.25" customHeight="1">
      <c r="A449" s="4">
        <v>7921080.0</v>
      </c>
      <c r="B449" s="2">
        <v>45976.4544675926</v>
      </c>
      <c r="C449" s="4">
        <v>6431390.0</v>
      </c>
      <c r="D449" s="4" t="s">
        <v>1091</v>
      </c>
      <c r="E449" s="2">
        <v>46006.6131944444</v>
      </c>
      <c r="F449" s="4">
        <v>0.0071</v>
      </c>
      <c r="G449" s="4">
        <v>0.0</v>
      </c>
      <c r="H449" s="4" t="s">
        <v>2271</v>
      </c>
      <c r="I449" s="4" t="s">
        <v>2272</v>
      </c>
      <c r="J449" s="4" t="s">
        <v>2271</v>
      </c>
      <c r="K449" s="4" t="s">
        <v>1775</v>
      </c>
      <c r="L449" s="4" t="s">
        <v>2272</v>
      </c>
      <c r="M449" s="4" t="s">
        <v>2273</v>
      </c>
      <c r="N449" s="4" t="s">
        <v>2274</v>
      </c>
      <c r="O449" s="4" t="s">
        <v>2275</v>
      </c>
      <c r="P449" s="4" t="s">
        <v>1488</v>
      </c>
      <c r="Q449" s="4" t="s">
        <v>2269</v>
      </c>
      <c r="R449" s="4" t="b">
        <v>0</v>
      </c>
      <c r="S449" s="4" t="s">
        <v>1486</v>
      </c>
      <c r="T449" s="2">
        <v>46006.6145833333</v>
      </c>
      <c r="U449" s="2">
        <v>45976.0</v>
      </c>
      <c r="V449" s="4">
        <v>45.0</v>
      </c>
      <c r="W449" s="4" t="s">
        <v>545</v>
      </c>
      <c r="X449" s="4">
        <v>2025.0</v>
      </c>
      <c r="Y449" s="4" t="s">
        <v>1518</v>
      </c>
      <c r="Z449" s="4" t="s">
        <v>557</v>
      </c>
      <c r="AA449" s="4" t="s">
        <v>558</v>
      </c>
      <c r="AB449" s="4" t="b">
        <v>0</v>
      </c>
      <c r="AC449" s="4" t="s">
        <v>536</v>
      </c>
      <c r="AD449" s="4" t="s">
        <v>537</v>
      </c>
    </row>
    <row r="450" ht="14.25" customHeight="1">
      <c r="A450" s="4">
        <v>7921104.0</v>
      </c>
      <c r="B450" s="2">
        <v>45976.4590856481</v>
      </c>
      <c r="C450" s="4">
        <v>6431390.0</v>
      </c>
      <c r="D450" s="4" t="s">
        <v>1091</v>
      </c>
      <c r="E450" s="2">
        <v>46006.6131944444</v>
      </c>
      <c r="F450" s="4">
        <v>0.0071</v>
      </c>
      <c r="G450" s="4">
        <v>0.0</v>
      </c>
      <c r="H450" s="4" t="s">
        <v>2271</v>
      </c>
      <c r="I450" s="4" t="s">
        <v>2272</v>
      </c>
      <c r="J450" s="4" t="s">
        <v>2271</v>
      </c>
      <c r="K450" s="4" t="s">
        <v>1775</v>
      </c>
      <c r="L450" s="4" t="s">
        <v>2272</v>
      </c>
      <c r="M450" s="4" t="s">
        <v>2273</v>
      </c>
      <c r="N450" s="4" t="s">
        <v>2274</v>
      </c>
      <c r="O450" s="4" t="s">
        <v>2275</v>
      </c>
      <c r="P450" s="4" t="s">
        <v>1488</v>
      </c>
      <c r="Q450" s="4" t="s">
        <v>2269</v>
      </c>
      <c r="R450" s="4" t="b">
        <v>0</v>
      </c>
      <c r="S450" s="4" t="s">
        <v>1486</v>
      </c>
      <c r="T450" s="2">
        <v>46006.6145833333</v>
      </c>
      <c r="U450" s="2">
        <v>45976.0</v>
      </c>
      <c r="V450" s="4">
        <v>45.0</v>
      </c>
      <c r="W450" s="4" t="s">
        <v>545</v>
      </c>
      <c r="X450" s="4">
        <v>2025.0</v>
      </c>
      <c r="Y450" s="4" t="s">
        <v>1518</v>
      </c>
      <c r="Z450" s="4" t="s">
        <v>557</v>
      </c>
      <c r="AA450" s="4" t="s">
        <v>558</v>
      </c>
      <c r="AB450" s="4" t="b">
        <v>0</v>
      </c>
      <c r="AC450" s="4" t="s">
        <v>536</v>
      </c>
      <c r="AD450" s="4" t="s">
        <v>537</v>
      </c>
    </row>
    <row r="451" ht="14.25" customHeight="1">
      <c r="A451" s="4">
        <v>7921105.0</v>
      </c>
      <c r="B451" s="2">
        <v>45976.4594328704</v>
      </c>
      <c r="C451" s="4">
        <v>6431390.0</v>
      </c>
      <c r="D451" s="4" t="s">
        <v>1091</v>
      </c>
      <c r="E451" s="2">
        <v>46006.6131944444</v>
      </c>
      <c r="F451" s="4">
        <v>0.0071</v>
      </c>
      <c r="G451" s="4">
        <v>0.0</v>
      </c>
      <c r="H451" s="4" t="s">
        <v>2271</v>
      </c>
      <c r="I451" s="4" t="s">
        <v>2272</v>
      </c>
      <c r="J451" s="4" t="s">
        <v>2271</v>
      </c>
      <c r="K451" s="4" t="s">
        <v>1775</v>
      </c>
      <c r="L451" s="4" t="s">
        <v>2272</v>
      </c>
      <c r="M451" s="4" t="s">
        <v>2273</v>
      </c>
      <c r="N451" s="4" t="s">
        <v>2274</v>
      </c>
      <c r="O451" s="4" t="s">
        <v>2275</v>
      </c>
      <c r="P451" s="4" t="s">
        <v>1488</v>
      </c>
      <c r="Q451" s="4" t="s">
        <v>2269</v>
      </c>
      <c r="R451" s="4" t="b">
        <v>0</v>
      </c>
      <c r="S451" s="4" t="s">
        <v>1486</v>
      </c>
      <c r="T451" s="2">
        <v>46006.6145833333</v>
      </c>
      <c r="U451" s="2">
        <v>45976.0</v>
      </c>
      <c r="V451" s="4">
        <v>45.0</v>
      </c>
      <c r="W451" s="4" t="s">
        <v>545</v>
      </c>
      <c r="X451" s="4">
        <v>2025.0</v>
      </c>
      <c r="Y451" s="4" t="s">
        <v>1518</v>
      </c>
      <c r="Z451" s="4" t="s">
        <v>557</v>
      </c>
      <c r="AA451" s="4" t="s">
        <v>558</v>
      </c>
      <c r="AB451" s="4" t="b">
        <v>0</v>
      </c>
      <c r="AC451" s="4" t="s">
        <v>536</v>
      </c>
      <c r="AD451" s="4" t="s">
        <v>537</v>
      </c>
    </row>
    <row r="452" ht="14.25" customHeight="1">
      <c r="A452" s="4">
        <v>7921189.0</v>
      </c>
      <c r="B452" s="2">
        <v>45976.4868981481</v>
      </c>
      <c r="C452" s="4">
        <v>6431390.0</v>
      </c>
      <c r="D452" s="4" t="s">
        <v>1091</v>
      </c>
      <c r="E452" s="2">
        <v>46006.6131944444</v>
      </c>
      <c r="F452" s="4">
        <v>0.0071</v>
      </c>
      <c r="G452" s="4">
        <v>0.0</v>
      </c>
      <c r="H452" s="4" t="s">
        <v>2271</v>
      </c>
      <c r="I452" s="4" t="s">
        <v>2272</v>
      </c>
      <c r="J452" s="4" t="s">
        <v>2271</v>
      </c>
      <c r="K452" s="4" t="s">
        <v>1775</v>
      </c>
      <c r="L452" s="4" t="s">
        <v>2272</v>
      </c>
      <c r="M452" s="4" t="s">
        <v>2273</v>
      </c>
      <c r="N452" s="4" t="s">
        <v>2274</v>
      </c>
      <c r="O452" s="4" t="s">
        <v>2275</v>
      </c>
      <c r="P452" s="4" t="s">
        <v>1488</v>
      </c>
      <c r="Q452" s="4" t="s">
        <v>2269</v>
      </c>
      <c r="R452" s="4" t="b">
        <v>0</v>
      </c>
      <c r="S452" s="4" t="s">
        <v>1486</v>
      </c>
      <c r="T452" s="2">
        <v>46006.6145833333</v>
      </c>
      <c r="U452" s="2">
        <v>45976.0</v>
      </c>
      <c r="V452" s="4">
        <v>45.0</v>
      </c>
      <c r="W452" s="4" t="s">
        <v>545</v>
      </c>
      <c r="X452" s="4">
        <v>2025.0</v>
      </c>
      <c r="Y452" s="4" t="s">
        <v>1518</v>
      </c>
      <c r="Z452" s="4" t="s">
        <v>557</v>
      </c>
      <c r="AA452" s="4" t="s">
        <v>558</v>
      </c>
      <c r="AB452" s="4" t="b">
        <v>0</v>
      </c>
      <c r="AC452" s="4" t="s">
        <v>536</v>
      </c>
      <c r="AD452" s="4" t="s">
        <v>537</v>
      </c>
    </row>
    <row r="453" ht="14.25" customHeight="1">
      <c r="A453" s="4">
        <v>7921235.0</v>
      </c>
      <c r="B453" s="2">
        <v>45976.4983449074</v>
      </c>
      <c r="C453" s="4">
        <v>6431390.0</v>
      </c>
      <c r="D453" s="4" t="s">
        <v>1091</v>
      </c>
      <c r="E453" s="2">
        <v>46006.6131944444</v>
      </c>
      <c r="F453" s="4">
        <v>0.0071</v>
      </c>
      <c r="G453" s="4">
        <v>0.0</v>
      </c>
      <c r="H453" s="4" t="s">
        <v>2271</v>
      </c>
      <c r="I453" s="4" t="s">
        <v>2272</v>
      </c>
      <c r="J453" s="4" t="s">
        <v>2271</v>
      </c>
      <c r="K453" s="4" t="s">
        <v>1775</v>
      </c>
      <c r="L453" s="4" t="s">
        <v>2272</v>
      </c>
      <c r="M453" s="4" t="s">
        <v>2273</v>
      </c>
      <c r="N453" s="4" t="s">
        <v>2274</v>
      </c>
      <c r="O453" s="4" t="s">
        <v>2275</v>
      </c>
      <c r="P453" s="4" t="s">
        <v>1488</v>
      </c>
      <c r="Q453" s="4" t="s">
        <v>2269</v>
      </c>
      <c r="R453" s="4" t="b">
        <v>0</v>
      </c>
      <c r="S453" s="4" t="s">
        <v>1486</v>
      </c>
      <c r="T453" s="2">
        <v>46006.6145833333</v>
      </c>
      <c r="U453" s="2">
        <v>45976.0</v>
      </c>
      <c r="V453" s="4">
        <v>45.0</v>
      </c>
      <c r="W453" s="4" t="s">
        <v>545</v>
      </c>
      <c r="X453" s="4">
        <v>2025.0</v>
      </c>
      <c r="Y453" s="4" t="s">
        <v>1518</v>
      </c>
      <c r="Z453" s="4" t="s">
        <v>557</v>
      </c>
      <c r="AA453" s="4" t="s">
        <v>558</v>
      </c>
      <c r="AB453" s="4" t="b">
        <v>0</v>
      </c>
      <c r="AC453" s="4" t="s">
        <v>536</v>
      </c>
      <c r="AD453" s="4" t="s">
        <v>537</v>
      </c>
    </row>
    <row r="454" ht="14.25" customHeight="1">
      <c r="A454" s="4">
        <v>7950336.0</v>
      </c>
      <c r="B454" s="2">
        <v>45982.577974537</v>
      </c>
      <c r="C454" s="4">
        <v>6431390.0</v>
      </c>
      <c r="D454" s="4" t="s">
        <v>1091</v>
      </c>
      <c r="E454" s="2">
        <v>46006.6131944444</v>
      </c>
      <c r="F454" s="4">
        <v>0.0071</v>
      </c>
      <c r="G454" s="4">
        <v>0.0</v>
      </c>
      <c r="H454" s="4" t="s">
        <v>2271</v>
      </c>
      <c r="I454" s="4" t="s">
        <v>2272</v>
      </c>
      <c r="J454" s="4" t="s">
        <v>2271</v>
      </c>
      <c r="K454" s="4" t="s">
        <v>1775</v>
      </c>
      <c r="L454" s="4" t="s">
        <v>2272</v>
      </c>
      <c r="M454" s="4" t="s">
        <v>2273</v>
      </c>
      <c r="N454" s="4" t="s">
        <v>2274</v>
      </c>
      <c r="O454" s="4" t="s">
        <v>2275</v>
      </c>
      <c r="P454" s="4" t="s">
        <v>1488</v>
      </c>
      <c r="Q454" s="4" t="s">
        <v>2281</v>
      </c>
      <c r="R454" s="4" t="b">
        <v>0</v>
      </c>
      <c r="S454" s="4" t="s">
        <v>1486</v>
      </c>
      <c r="T454" s="2">
        <v>46006.6145833333</v>
      </c>
      <c r="U454" s="2">
        <v>45982.0</v>
      </c>
      <c r="V454" s="4">
        <v>46.0</v>
      </c>
      <c r="W454" s="4" t="s">
        <v>545</v>
      </c>
      <c r="X454" s="4">
        <v>2025.0</v>
      </c>
      <c r="Y454" s="4" t="s">
        <v>1518</v>
      </c>
      <c r="Z454" s="4" t="s">
        <v>557</v>
      </c>
      <c r="AA454" s="4" t="s">
        <v>558</v>
      </c>
      <c r="AB454" s="4" t="b">
        <v>0</v>
      </c>
      <c r="AC454" s="4" t="s">
        <v>536</v>
      </c>
      <c r="AD454" s="4" t="s">
        <v>537</v>
      </c>
    </row>
    <row r="455" ht="14.25" customHeight="1">
      <c r="A455" s="4">
        <v>7956664.0</v>
      </c>
      <c r="B455" s="2">
        <v>45984.4147569444</v>
      </c>
      <c r="C455" s="4">
        <v>6431390.0</v>
      </c>
      <c r="D455" s="4" t="s">
        <v>1091</v>
      </c>
      <c r="E455" s="2">
        <v>46006.6131944444</v>
      </c>
      <c r="F455" s="4">
        <v>0.0071</v>
      </c>
      <c r="G455" s="4">
        <v>0.0</v>
      </c>
      <c r="H455" s="4" t="s">
        <v>2271</v>
      </c>
      <c r="I455" s="4" t="s">
        <v>2272</v>
      </c>
      <c r="J455" s="4" t="s">
        <v>2271</v>
      </c>
      <c r="K455" s="4" t="s">
        <v>1775</v>
      </c>
      <c r="L455" s="4" t="s">
        <v>2272</v>
      </c>
      <c r="M455" s="4" t="s">
        <v>2273</v>
      </c>
      <c r="N455" s="4" t="s">
        <v>2274</v>
      </c>
      <c r="O455" s="4" t="s">
        <v>2275</v>
      </c>
      <c r="P455" s="4" t="s">
        <v>1488</v>
      </c>
      <c r="Q455" s="4" t="s">
        <v>2269</v>
      </c>
      <c r="R455" s="4" t="b">
        <v>0</v>
      </c>
      <c r="S455" s="4" t="s">
        <v>1486</v>
      </c>
      <c r="T455" s="2">
        <v>46006.6145833333</v>
      </c>
      <c r="U455" s="2">
        <v>45984.0</v>
      </c>
      <c r="V455" s="4">
        <v>46.0</v>
      </c>
      <c r="W455" s="4" t="s">
        <v>545</v>
      </c>
      <c r="X455" s="4">
        <v>2025.0</v>
      </c>
      <c r="Y455" s="4" t="s">
        <v>1518</v>
      </c>
      <c r="Z455" s="4" t="s">
        <v>557</v>
      </c>
      <c r="AA455" s="4" t="s">
        <v>558</v>
      </c>
      <c r="AB455" s="4" t="b">
        <v>0</v>
      </c>
      <c r="AC455" s="4" t="s">
        <v>536</v>
      </c>
      <c r="AD455" s="4" t="s">
        <v>537</v>
      </c>
    </row>
    <row r="456" ht="14.25" customHeight="1">
      <c r="A456" s="4">
        <v>7966969.0</v>
      </c>
      <c r="B456" s="2">
        <v>45986.5118287037</v>
      </c>
      <c r="C456" s="4">
        <v>6431390.0</v>
      </c>
      <c r="D456" s="4" t="s">
        <v>1091</v>
      </c>
      <c r="E456" s="2">
        <v>46006.6131944444</v>
      </c>
      <c r="F456" s="4">
        <v>0.0071</v>
      </c>
      <c r="G456" s="4">
        <v>0.0</v>
      </c>
      <c r="H456" s="4" t="s">
        <v>2271</v>
      </c>
      <c r="I456" s="4" t="s">
        <v>2272</v>
      </c>
      <c r="J456" s="4" t="s">
        <v>2271</v>
      </c>
      <c r="K456" s="4" t="s">
        <v>1775</v>
      </c>
      <c r="L456" s="4" t="s">
        <v>2272</v>
      </c>
      <c r="M456" s="4" t="s">
        <v>2273</v>
      </c>
      <c r="N456" s="4" t="s">
        <v>2274</v>
      </c>
      <c r="O456" s="4" t="s">
        <v>2275</v>
      </c>
      <c r="P456" s="4" t="s">
        <v>1488</v>
      </c>
      <c r="Q456" s="4" t="s">
        <v>2269</v>
      </c>
      <c r="R456" s="4" t="b">
        <v>0</v>
      </c>
      <c r="S456" s="4" t="s">
        <v>1486</v>
      </c>
      <c r="T456" s="2">
        <v>46006.6145833333</v>
      </c>
      <c r="U456" s="2">
        <v>45986.0</v>
      </c>
      <c r="V456" s="4">
        <v>47.0</v>
      </c>
      <c r="W456" s="4" t="s">
        <v>545</v>
      </c>
      <c r="X456" s="4">
        <v>2025.0</v>
      </c>
      <c r="Y456" s="4" t="s">
        <v>1518</v>
      </c>
      <c r="Z456" s="4" t="s">
        <v>557</v>
      </c>
      <c r="AA456" s="4" t="s">
        <v>558</v>
      </c>
      <c r="AB456" s="4" t="b">
        <v>0</v>
      </c>
      <c r="AC456" s="4" t="s">
        <v>536</v>
      </c>
      <c r="AD456" s="4" t="s">
        <v>537</v>
      </c>
    </row>
    <row r="457" ht="14.25" customHeight="1">
      <c r="A457" s="4">
        <v>7980642.0</v>
      </c>
      <c r="B457" s="2">
        <v>45989.3879282407</v>
      </c>
      <c r="C457" s="4">
        <v>6431390.0</v>
      </c>
      <c r="D457" s="4" t="s">
        <v>1091</v>
      </c>
      <c r="E457" s="2">
        <v>46006.6131944444</v>
      </c>
      <c r="F457" s="4">
        <v>0.0071</v>
      </c>
      <c r="G457" s="4">
        <v>0.0</v>
      </c>
      <c r="H457" s="4" t="s">
        <v>2271</v>
      </c>
      <c r="I457" s="4" t="s">
        <v>2272</v>
      </c>
      <c r="J457" s="4" t="s">
        <v>2271</v>
      </c>
      <c r="K457" s="4" t="s">
        <v>1775</v>
      </c>
      <c r="L457" s="4" t="s">
        <v>2272</v>
      </c>
      <c r="M457" s="4" t="s">
        <v>2273</v>
      </c>
      <c r="N457" s="4" t="s">
        <v>2274</v>
      </c>
      <c r="O457" s="4" t="s">
        <v>2275</v>
      </c>
      <c r="P457" s="4" t="s">
        <v>1488</v>
      </c>
      <c r="Q457" s="4" t="s">
        <v>2269</v>
      </c>
      <c r="R457" s="4" t="b">
        <v>0</v>
      </c>
      <c r="S457" s="4" t="s">
        <v>1486</v>
      </c>
      <c r="T457" s="2">
        <v>46006.6145833333</v>
      </c>
      <c r="U457" s="2">
        <v>45989.0</v>
      </c>
      <c r="V457" s="4">
        <v>47.0</v>
      </c>
      <c r="W457" s="4" t="s">
        <v>545</v>
      </c>
      <c r="X457" s="4">
        <v>2025.0</v>
      </c>
      <c r="Y457" s="4" t="s">
        <v>1518</v>
      </c>
      <c r="Z457" s="4" t="s">
        <v>557</v>
      </c>
      <c r="AA457" s="4" t="s">
        <v>558</v>
      </c>
      <c r="AB457" s="4" t="b">
        <v>0</v>
      </c>
      <c r="AC457" s="4" t="s">
        <v>536</v>
      </c>
      <c r="AD457" s="4" t="s">
        <v>537</v>
      </c>
    </row>
    <row r="458" ht="14.25" customHeight="1">
      <c r="A458" s="4">
        <v>7980648.0</v>
      </c>
      <c r="B458" s="2">
        <v>45989.3887152778</v>
      </c>
      <c r="C458" s="4">
        <v>6431390.0</v>
      </c>
      <c r="D458" s="4" t="s">
        <v>1091</v>
      </c>
      <c r="E458" s="2">
        <v>46006.6131944444</v>
      </c>
      <c r="F458" s="4">
        <v>0.0071</v>
      </c>
      <c r="G458" s="4">
        <v>0.0</v>
      </c>
      <c r="H458" s="4" t="s">
        <v>2271</v>
      </c>
      <c r="I458" s="4" t="s">
        <v>2272</v>
      </c>
      <c r="J458" s="4" t="s">
        <v>2271</v>
      </c>
      <c r="K458" s="4" t="s">
        <v>1775</v>
      </c>
      <c r="L458" s="4" t="s">
        <v>2272</v>
      </c>
      <c r="M458" s="4" t="s">
        <v>2273</v>
      </c>
      <c r="N458" s="4" t="s">
        <v>1688</v>
      </c>
      <c r="O458" s="4" t="s">
        <v>2282</v>
      </c>
      <c r="P458" s="4" t="s">
        <v>1488</v>
      </c>
      <c r="Q458" s="4" t="s">
        <v>2269</v>
      </c>
      <c r="R458" s="4" t="b">
        <v>0</v>
      </c>
      <c r="S458" s="4" t="s">
        <v>1486</v>
      </c>
      <c r="T458" s="2">
        <v>46006.6145833333</v>
      </c>
      <c r="U458" s="2">
        <v>45989.0</v>
      </c>
      <c r="V458" s="4">
        <v>47.0</v>
      </c>
      <c r="W458" s="4" t="s">
        <v>545</v>
      </c>
      <c r="X458" s="4">
        <v>2025.0</v>
      </c>
      <c r="Y458" s="4" t="s">
        <v>1518</v>
      </c>
      <c r="Z458" s="4" t="s">
        <v>557</v>
      </c>
      <c r="AA458" s="4" t="s">
        <v>558</v>
      </c>
      <c r="AB458" s="4" t="b">
        <v>0</v>
      </c>
      <c r="AC458" s="4" t="s">
        <v>536</v>
      </c>
      <c r="AD458" s="4" t="s">
        <v>537</v>
      </c>
    </row>
    <row r="459" ht="14.25" customHeight="1">
      <c r="A459" s="4">
        <v>8026682.0</v>
      </c>
      <c r="B459" s="2">
        <v>45997.6861226852</v>
      </c>
      <c r="C459" s="4">
        <v>6431390.0</v>
      </c>
      <c r="D459" s="4" t="s">
        <v>1091</v>
      </c>
      <c r="E459" s="2">
        <v>46006.6131944444</v>
      </c>
      <c r="F459" s="4">
        <v>0.0071</v>
      </c>
      <c r="G459" s="4">
        <v>0.0</v>
      </c>
      <c r="H459" s="4" t="s">
        <v>1480</v>
      </c>
      <c r="I459" s="4" t="s">
        <v>1550</v>
      </c>
      <c r="J459" s="4" t="s">
        <v>1480</v>
      </c>
      <c r="K459" s="4" t="s">
        <v>1480</v>
      </c>
      <c r="L459" s="4" t="s">
        <v>1550</v>
      </c>
      <c r="M459" s="4" t="s">
        <v>1551</v>
      </c>
      <c r="N459" s="4" t="s">
        <v>540</v>
      </c>
      <c r="O459" s="4" t="s">
        <v>1552</v>
      </c>
      <c r="P459" s="4" t="s">
        <v>1635</v>
      </c>
      <c r="Q459" s="4" t="s">
        <v>2269</v>
      </c>
      <c r="R459" s="4" t="b">
        <v>0</v>
      </c>
      <c r="S459" s="4" t="s">
        <v>1486</v>
      </c>
      <c r="T459" s="2">
        <v>46006.6145833333</v>
      </c>
      <c r="U459" s="2">
        <v>45997.0</v>
      </c>
      <c r="V459" s="4">
        <v>48.0</v>
      </c>
      <c r="W459" s="4" t="s">
        <v>550</v>
      </c>
      <c r="X459" s="4">
        <v>2025.0</v>
      </c>
      <c r="Y459" s="4" t="s">
        <v>1518</v>
      </c>
      <c r="Z459" s="4" t="s">
        <v>557</v>
      </c>
      <c r="AA459" s="4" t="s">
        <v>558</v>
      </c>
      <c r="AB459" s="4" t="b">
        <v>0</v>
      </c>
      <c r="AC459" s="4" t="s">
        <v>536</v>
      </c>
      <c r="AD459" s="4" t="s">
        <v>537</v>
      </c>
    </row>
    <row r="460" ht="14.25" customHeight="1">
      <c r="A460" s="4">
        <v>8026748.0</v>
      </c>
      <c r="B460" s="2">
        <v>45997.6926967593</v>
      </c>
      <c r="C460" s="4">
        <v>6431390.0</v>
      </c>
      <c r="D460" s="4" t="s">
        <v>1091</v>
      </c>
      <c r="E460" s="2">
        <v>46006.6131944444</v>
      </c>
      <c r="F460" s="4">
        <v>0.0071</v>
      </c>
      <c r="G460" s="4">
        <v>0.0</v>
      </c>
      <c r="H460" s="4" t="s">
        <v>1888</v>
      </c>
      <c r="I460" s="4" t="s">
        <v>1889</v>
      </c>
      <c r="J460" s="4" t="s">
        <v>1888</v>
      </c>
      <c r="K460" s="4" t="s">
        <v>1775</v>
      </c>
      <c r="L460" s="4" t="s">
        <v>1889</v>
      </c>
      <c r="M460" s="4" t="s">
        <v>2280</v>
      </c>
      <c r="N460" s="4" t="s">
        <v>2283</v>
      </c>
      <c r="O460" s="4" t="s">
        <v>1483</v>
      </c>
      <c r="P460" s="4" t="s">
        <v>1635</v>
      </c>
      <c r="Q460" s="4" t="s">
        <v>2269</v>
      </c>
      <c r="R460" s="4" t="b">
        <v>0</v>
      </c>
      <c r="S460" s="4" t="s">
        <v>1486</v>
      </c>
      <c r="T460" s="2">
        <v>46006.6145833333</v>
      </c>
      <c r="U460" s="2">
        <v>45997.0</v>
      </c>
      <c r="V460" s="4">
        <v>48.0</v>
      </c>
      <c r="W460" s="4" t="s">
        <v>550</v>
      </c>
      <c r="X460" s="4">
        <v>2025.0</v>
      </c>
      <c r="Y460" s="4" t="s">
        <v>1518</v>
      </c>
      <c r="Z460" s="4" t="s">
        <v>557</v>
      </c>
      <c r="AA460" s="4" t="s">
        <v>558</v>
      </c>
      <c r="AB460" s="4" t="b">
        <v>0</v>
      </c>
      <c r="AC460" s="4" t="s">
        <v>536</v>
      </c>
      <c r="AD460" s="4" t="s">
        <v>537</v>
      </c>
    </row>
    <row r="461" ht="14.25" customHeight="1">
      <c r="A461" s="4">
        <v>8033824.0</v>
      </c>
      <c r="B461" s="2">
        <v>45998.4352314815</v>
      </c>
      <c r="C461" s="4">
        <v>6431390.0</v>
      </c>
      <c r="D461" s="4" t="s">
        <v>1091</v>
      </c>
      <c r="E461" s="2">
        <v>46006.6131944444</v>
      </c>
      <c r="F461" s="4">
        <v>0.0071</v>
      </c>
      <c r="G461" s="4">
        <v>0.0</v>
      </c>
      <c r="H461" s="4" t="s">
        <v>2271</v>
      </c>
      <c r="I461" s="4" t="s">
        <v>2272</v>
      </c>
      <c r="J461" s="4" t="s">
        <v>2271</v>
      </c>
      <c r="K461" s="4" t="s">
        <v>1775</v>
      </c>
      <c r="L461" s="4" t="s">
        <v>2272</v>
      </c>
      <c r="M461" s="4" t="s">
        <v>2273</v>
      </c>
      <c r="N461" s="4" t="s">
        <v>2284</v>
      </c>
      <c r="O461" s="4" t="s">
        <v>2275</v>
      </c>
      <c r="P461" s="4" t="s">
        <v>1635</v>
      </c>
      <c r="Q461" s="4" t="s">
        <v>2269</v>
      </c>
      <c r="R461" s="4" t="b">
        <v>0</v>
      </c>
      <c r="S461" s="4" t="s">
        <v>1486</v>
      </c>
      <c r="T461" s="2">
        <v>46006.6145833333</v>
      </c>
      <c r="U461" s="2">
        <v>45998.0</v>
      </c>
      <c r="V461" s="4">
        <v>48.0</v>
      </c>
      <c r="W461" s="4" t="s">
        <v>550</v>
      </c>
      <c r="X461" s="4">
        <v>2025.0</v>
      </c>
      <c r="Y461" s="4" t="s">
        <v>1518</v>
      </c>
      <c r="Z461" s="4" t="s">
        <v>557</v>
      </c>
      <c r="AA461" s="4" t="s">
        <v>558</v>
      </c>
      <c r="AB461" s="4" t="b">
        <v>0</v>
      </c>
      <c r="AC461" s="4" t="s">
        <v>536</v>
      </c>
      <c r="AD461" s="4" t="s">
        <v>537</v>
      </c>
    </row>
    <row r="462" ht="14.25" customHeight="1">
      <c r="A462" s="4">
        <v>8033863.0</v>
      </c>
      <c r="B462" s="2">
        <v>45998.4391782407</v>
      </c>
      <c r="C462" s="4">
        <v>6431390.0</v>
      </c>
      <c r="D462" s="4" t="s">
        <v>1091</v>
      </c>
      <c r="E462" s="2">
        <v>46006.6131944444</v>
      </c>
      <c r="F462" s="4">
        <v>0.0071</v>
      </c>
      <c r="G462" s="4">
        <v>0.0</v>
      </c>
      <c r="H462" s="4" t="s">
        <v>2271</v>
      </c>
      <c r="I462" s="4" t="s">
        <v>2272</v>
      </c>
      <c r="J462" s="4" t="s">
        <v>2271</v>
      </c>
      <c r="K462" s="4" t="s">
        <v>1775</v>
      </c>
      <c r="L462" s="4" t="s">
        <v>2272</v>
      </c>
      <c r="M462" s="4" t="s">
        <v>2273</v>
      </c>
      <c r="N462" s="4" t="s">
        <v>2274</v>
      </c>
      <c r="O462" s="4" t="s">
        <v>2275</v>
      </c>
      <c r="P462" s="4" t="s">
        <v>1635</v>
      </c>
      <c r="Q462" s="4" t="s">
        <v>2269</v>
      </c>
      <c r="R462" s="4" t="b">
        <v>0</v>
      </c>
      <c r="S462" s="4" t="s">
        <v>1486</v>
      </c>
      <c r="T462" s="2">
        <v>46006.6145833333</v>
      </c>
      <c r="U462" s="2">
        <v>45998.0</v>
      </c>
      <c r="V462" s="4">
        <v>48.0</v>
      </c>
      <c r="W462" s="4" t="s">
        <v>550</v>
      </c>
      <c r="X462" s="4">
        <v>2025.0</v>
      </c>
      <c r="Y462" s="4" t="s">
        <v>1518</v>
      </c>
      <c r="Z462" s="4" t="s">
        <v>557</v>
      </c>
      <c r="AA462" s="4" t="s">
        <v>558</v>
      </c>
      <c r="AB462" s="4" t="b">
        <v>0</v>
      </c>
      <c r="AC462" s="4" t="s">
        <v>536</v>
      </c>
      <c r="AD462" s="4" t="s">
        <v>537</v>
      </c>
    </row>
    <row r="463" ht="14.25" customHeight="1">
      <c r="A463" s="4">
        <v>8125919.0</v>
      </c>
      <c r="B463" s="2">
        <v>46006.58625</v>
      </c>
      <c r="C463" s="4">
        <v>6431390.0</v>
      </c>
      <c r="D463" s="4" t="s">
        <v>1091</v>
      </c>
      <c r="E463" s="2">
        <v>46006.6131944444</v>
      </c>
      <c r="F463" s="4">
        <v>0.0071</v>
      </c>
      <c r="G463" s="4">
        <v>0.0</v>
      </c>
      <c r="H463" s="4" t="s">
        <v>2271</v>
      </c>
      <c r="I463" s="4" t="s">
        <v>2272</v>
      </c>
      <c r="J463" s="4" t="s">
        <v>2271</v>
      </c>
      <c r="K463" s="4" t="s">
        <v>1775</v>
      </c>
      <c r="L463" s="4" t="s">
        <v>2272</v>
      </c>
      <c r="M463" s="4" t="s">
        <v>2273</v>
      </c>
      <c r="N463" s="4" t="s">
        <v>2274</v>
      </c>
      <c r="O463" s="4" t="s">
        <v>2275</v>
      </c>
      <c r="P463" s="4" t="s">
        <v>1635</v>
      </c>
      <c r="Q463" s="4" t="s">
        <v>2269</v>
      </c>
      <c r="R463" s="4" t="b">
        <v>0</v>
      </c>
      <c r="S463" s="4" t="s">
        <v>1486</v>
      </c>
      <c r="T463" s="2">
        <v>46006.6145833333</v>
      </c>
      <c r="U463" s="2">
        <v>46006.0</v>
      </c>
      <c r="V463" s="4">
        <v>50.0</v>
      </c>
      <c r="W463" s="4" t="s">
        <v>550</v>
      </c>
      <c r="X463" s="4">
        <v>2025.0</v>
      </c>
      <c r="Y463" s="4" t="s">
        <v>1518</v>
      </c>
      <c r="Z463" s="4" t="s">
        <v>557</v>
      </c>
      <c r="AA463" s="4" t="s">
        <v>558</v>
      </c>
      <c r="AB463" s="4" t="b">
        <v>0</v>
      </c>
      <c r="AC463" s="4" t="s">
        <v>536</v>
      </c>
      <c r="AD463" s="4" t="s">
        <v>537</v>
      </c>
    </row>
    <row r="464" ht="14.25" customHeight="1">
      <c r="A464" s="4">
        <v>8126203.0</v>
      </c>
      <c r="B464" s="2">
        <v>46006.6116087963</v>
      </c>
      <c r="C464" s="4">
        <v>6431390.0</v>
      </c>
      <c r="D464" s="4" t="s">
        <v>1091</v>
      </c>
      <c r="E464" s="2">
        <v>46006.6131944444</v>
      </c>
      <c r="F464" s="4">
        <v>0.4</v>
      </c>
      <c r="G464" s="4">
        <v>0.0</v>
      </c>
      <c r="H464" s="4" t="s">
        <v>2271</v>
      </c>
      <c r="I464" s="4" t="s">
        <v>2272</v>
      </c>
      <c r="J464" s="4" t="s">
        <v>2271</v>
      </c>
      <c r="K464" s="4" t="s">
        <v>1775</v>
      </c>
      <c r="L464" s="4" t="s">
        <v>2272</v>
      </c>
      <c r="M464" s="4" t="s">
        <v>2273</v>
      </c>
      <c r="N464" s="4" t="s">
        <v>2274</v>
      </c>
      <c r="O464" s="4" t="s">
        <v>2275</v>
      </c>
      <c r="P464" s="4" t="s">
        <v>1635</v>
      </c>
      <c r="Q464" s="4" t="s">
        <v>2269</v>
      </c>
      <c r="R464" s="4" t="b">
        <v>0</v>
      </c>
      <c r="S464" s="4" t="s">
        <v>1486</v>
      </c>
      <c r="T464" s="2">
        <v>46006.6145833333</v>
      </c>
      <c r="U464" s="2">
        <v>46006.0</v>
      </c>
      <c r="V464" s="4">
        <v>50.0</v>
      </c>
      <c r="W464" s="4" t="s">
        <v>550</v>
      </c>
      <c r="X464" s="4">
        <v>2025.0</v>
      </c>
      <c r="Y464" s="4" t="s">
        <v>1518</v>
      </c>
      <c r="Z464" s="4" t="s">
        <v>557</v>
      </c>
      <c r="AA464" s="4" t="s">
        <v>558</v>
      </c>
      <c r="AB464" s="4" t="b">
        <v>0</v>
      </c>
      <c r="AC464" s="4" t="s">
        <v>536</v>
      </c>
      <c r="AD464" s="4" t="s">
        <v>537</v>
      </c>
    </row>
    <row r="465" ht="14.25" customHeight="1">
      <c r="A465" s="4">
        <v>8126238.0</v>
      </c>
      <c r="B465" s="2">
        <v>46006.6148958333</v>
      </c>
      <c r="C465" s="4">
        <v>7353060.0</v>
      </c>
      <c r="D465" s="4" t="s">
        <v>1094</v>
      </c>
      <c r="E465" s="2">
        <v>46006.6159722222</v>
      </c>
      <c r="F465" s="4">
        <v>1.0</v>
      </c>
      <c r="G465" s="4">
        <v>0.0</v>
      </c>
      <c r="H465" s="4" t="s">
        <v>1511</v>
      </c>
      <c r="I465" s="4" t="s">
        <v>2085</v>
      </c>
      <c r="J465" s="4" t="s">
        <v>1511</v>
      </c>
      <c r="K465" s="4" t="s">
        <v>1513</v>
      </c>
      <c r="L465" s="4" t="s">
        <v>2085</v>
      </c>
      <c r="M465" s="4" t="s">
        <v>2165</v>
      </c>
      <c r="N465" s="4" t="s">
        <v>653</v>
      </c>
      <c r="O465" s="4" t="s">
        <v>2285</v>
      </c>
      <c r="P465" s="4" t="s">
        <v>1845</v>
      </c>
      <c r="Q465" s="4" t="s">
        <v>2286</v>
      </c>
      <c r="R465" s="4" t="b">
        <v>0</v>
      </c>
      <c r="S465" s="4" t="s">
        <v>1486</v>
      </c>
      <c r="T465" s="2">
        <v>46006.6173611111</v>
      </c>
      <c r="U465" s="2">
        <v>46006.0</v>
      </c>
      <c r="V465" s="4">
        <v>50.0</v>
      </c>
      <c r="W465" s="4" t="s">
        <v>550</v>
      </c>
      <c r="X465" s="4">
        <v>2025.0</v>
      </c>
      <c r="Y465" s="4" t="s">
        <v>1518</v>
      </c>
      <c r="Z465" s="4"/>
      <c r="AA465" s="4" t="s">
        <v>558</v>
      </c>
      <c r="AB465" s="4" t="b">
        <v>0</v>
      </c>
      <c r="AC465" s="4" t="s">
        <v>567</v>
      </c>
      <c r="AD465" s="4" t="s">
        <v>537</v>
      </c>
    </row>
    <row r="466" ht="14.25" customHeight="1">
      <c r="A466" s="4">
        <v>8125829.0</v>
      </c>
      <c r="B466" s="2">
        <v>46006.577962963</v>
      </c>
      <c r="C466" s="4">
        <v>7352666.0</v>
      </c>
      <c r="D466" s="4" t="s">
        <v>1095</v>
      </c>
      <c r="E466" s="2">
        <v>46006.625</v>
      </c>
      <c r="F466" s="4">
        <v>1.0</v>
      </c>
      <c r="G466" s="4">
        <v>0.0</v>
      </c>
      <c r="H466" s="4"/>
      <c r="I466" s="4"/>
      <c r="J466" s="4" t="s">
        <v>1480</v>
      </c>
      <c r="K466" s="4" t="s">
        <v>1480</v>
      </c>
      <c r="L466" s="4" t="s">
        <v>1481</v>
      </c>
      <c r="M466" s="4" t="s">
        <v>1482</v>
      </c>
      <c r="N466" s="4" t="s">
        <v>540</v>
      </c>
      <c r="O466" s="4" t="s">
        <v>2287</v>
      </c>
      <c r="P466" s="4" t="s">
        <v>1488</v>
      </c>
      <c r="Q466" s="4" t="s">
        <v>2288</v>
      </c>
      <c r="R466" s="4" t="b">
        <v>0</v>
      </c>
      <c r="S466" s="4" t="s">
        <v>1486</v>
      </c>
      <c r="T466" s="2">
        <v>46006.6263888889</v>
      </c>
      <c r="U466" s="2">
        <v>46006.0</v>
      </c>
      <c r="V466" s="4">
        <v>50.0</v>
      </c>
      <c r="W466" s="4" t="s">
        <v>550</v>
      </c>
      <c r="X466" s="4">
        <v>2025.0</v>
      </c>
      <c r="Y466" s="4" t="s">
        <v>1487</v>
      </c>
      <c r="Z466" s="4"/>
      <c r="AA466" s="4" t="s">
        <v>558</v>
      </c>
      <c r="AB466" s="4" t="b">
        <v>0</v>
      </c>
      <c r="AC466" s="4" t="s">
        <v>567</v>
      </c>
      <c r="AD466" s="4" t="s">
        <v>537</v>
      </c>
    </row>
    <row r="467" ht="14.25" customHeight="1">
      <c r="A467" s="4">
        <v>8124497.0</v>
      </c>
      <c r="B467" s="2">
        <v>46006.4283333333</v>
      </c>
      <c r="C467" s="4">
        <v>7351404.0</v>
      </c>
      <c r="D467" s="4" t="s">
        <v>1096</v>
      </c>
      <c r="E467" s="2">
        <v>46006.6402777778</v>
      </c>
      <c r="F467" s="4">
        <v>1.0</v>
      </c>
      <c r="G467" s="4">
        <v>0.0</v>
      </c>
      <c r="H467" s="4"/>
      <c r="I467" s="4"/>
      <c r="J467" s="4" t="s">
        <v>1480</v>
      </c>
      <c r="K467" s="4" t="s">
        <v>1480</v>
      </c>
      <c r="L467" s="4" t="s">
        <v>1481</v>
      </c>
      <c r="M467" s="4" t="s">
        <v>1482</v>
      </c>
      <c r="N467" s="4" t="s">
        <v>540</v>
      </c>
      <c r="O467" s="4" t="s">
        <v>1483</v>
      </c>
      <c r="P467" s="4" t="s">
        <v>1845</v>
      </c>
      <c r="Q467" s="4" t="s">
        <v>2289</v>
      </c>
      <c r="R467" s="4" t="b">
        <v>0</v>
      </c>
      <c r="S467" s="4" t="s">
        <v>1486</v>
      </c>
      <c r="T467" s="2">
        <v>46006.6416666667</v>
      </c>
      <c r="U467" s="2">
        <v>46006.0</v>
      </c>
      <c r="V467" s="4">
        <v>50.0</v>
      </c>
      <c r="W467" s="4" t="s">
        <v>550</v>
      </c>
      <c r="X467" s="4">
        <v>2025.0</v>
      </c>
      <c r="Y467" s="4" t="s">
        <v>1487</v>
      </c>
      <c r="Z467" s="4" t="s">
        <v>557</v>
      </c>
      <c r="AA467" s="4" t="s">
        <v>558</v>
      </c>
      <c r="AB467" s="4" t="b">
        <v>0</v>
      </c>
      <c r="AC467" s="4" t="s">
        <v>536</v>
      </c>
      <c r="AD467" s="4" t="s">
        <v>537</v>
      </c>
    </row>
    <row r="468" ht="14.25" customHeight="1">
      <c r="A468" s="4">
        <v>8126530.0</v>
      </c>
      <c r="B468" s="2">
        <v>46006.6491319444</v>
      </c>
      <c r="C468" s="4">
        <v>7353351.0</v>
      </c>
      <c r="D468" s="4" t="s">
        <v>1097</v>
      </c>
      <c r="E468" s="2">
        <v>46006.6493055556</v>
      </c>
      <c r="F468" s="4">
        <v>1.0</v>
      </c>
      <c r="G468" s="4">
        <v>0.0</v>
      </c>
      <c r="H468" s="4"/>
      <c r="I468" s="4"/>
      <c r="J468" s="4" t="s">
        <v>539</v>
      </c>
      <c r="K468" s="4" t="s">
        <v>539</v>
      </c>
      <c r="L468" s="4" t="s">
        <v>1499</v>
      </c>
      <c r="M468" s="4" t="s">
        <v>1482</v>
      </c>
      <c r="N468" s="4"/>
      <c r="O468" s="4" t="s">
        <v>2290</v>
      </c>
      <c r="P468" s="4" t="s">
        <v>1488</v>
      </c>
      <c r="Q468" s="4" t="s">
        <v>2288</v>
      </c>
      <c r="R468" s="4" t="b">
        <v>0</v>
      </c>
      <c r="S468" s="4" t="s">
        <v>1486</v>
      </c>
      <c r="T468" s="2">
        <v>46006.6506944444</v>
      </c>
      <c r="U468" s="2">
        <v>46006.0</v>
      </c>
      <c r="V468" s="4">
        <v>50.0</v>
      </c>
      <c r="W468" s="4" t="s">
        <v>550</v>
      </c>
      <c r="X468" s="4">
        <v>2025.0</v>
      </c>
      <c r="Y468" s="4" t="s">
        <v>1502</v>
      </c>
      <c r="Z468" s="4"/>
      <c r="AA468" s="4" t="s">
        <v>558</v>
      </c>
      <c r="AB468" s="4" t="b">
        <v>1</v>
      </c>
      <c r="AC468" s="4" t="s">
        <v>567</v>
      </c>
      <c r="AD468" s="4" t="s">
        <v>537</v>
      </c>
    </row>
    <row r="469" ht="14.25" customHeight="1">
      <c r="A469" s="4">
        <v>7776034.0</v>
      </c>
      <c r="B469" s="2">
        <v>45946.6824537037</v>
      </c>
      <c r="C469" s="4">
        <v>7012143.0</v>
      </c>
      <c r="D469" s="4" t="s">
        <v>1098</v>
      </c>
      <c r="E469" s="2">
        <v>46006.6604166667</v>
      </c>
      <c r="F469" s="4">
        <v>1.0</v>
      </c>
      <c r="G469" s="4">
        <v>0.0</v>
      </c>
      <c r="H469" s="4"/>
      <c r="I469" s="4"/>
      <c r="J469" s="4" t="s">
        <v>1480</v>
      </c>
      <c r="K469" s="4" t="s">
        <v>1480</v>
      </c>
      <c r="L469" s="4" t="s">
        <v>1511</v>
      </c>
      <c r="M469" s="4" t="s">
        <v>1482</v>
      </c>
      <c r="N469" s="4" t="s">
        <v>653</v>
      </c>
      <c r="O469" s="4" t="s">
        <v>1483</v>
      </c>
      <c r="P469" s="4" t="s">
        <v>1727</v>
      </c>
      <c r="Q469" s="4" t="s">
        <v>2291</v>
      </c>
      <c r="R469" s="4" t="b">
        <v>0</v>
      </c>
      <c r="S469" s="4" t="s">
        <v>1486</v>
      </c>
      <c r="T469" s="2">
        <v>46009.5430555556</v>
      </c>
      <c r="U469" s="2">
        <v>45946.0</v>
      </c>
      <c r="V469" s="4">
        <v>41.0</v>
      </c>
      <c r="W469" s="4" t="s">
        <v>1560</v>
      </c>
      <c r="X469" s="4">
        <v>2025.0</v>
      </c>
      <c r="Y469" s="4" t="s">
        <v>1680</v>
      </c>
      <c r="Z469" s="4"/>
      <c r="AA469" s="4" t="s">
        <v>558</v>
      </c>
      <c r="AB469" s="4" t="b">
        <v>1</v>
      </c>
      <c r="AC469" s="4" t="s">
        <v>567</v>
      </c>
      <c r="AD469" s="4" t="s">
        <v>537</v>
      </c>
    </row>
    <row r="470" ht="14.25" customHeight="1">
      <c r="A470" s="4">
        <v>8097384.0</v>
      </c>
      <c r="B470" s="2">
        <v>46002.3478703704</v>
      </c>
      <c r="C470" s="4">
        <v>7324557.0</v>
      </c>
      <c r="D470" s="4" t="s">
        <v>1099</v>
      </c>
      <c r="E470" s="2">
        <v>46006.6625</v>
      </c>
      <c r="F470" s="4">
        <v>1.0</v>
      </c>
      <c r="G470" s="4">
        <v>0.0</v>
      </c>
      <c r="H470" s="4"/>
      <c r="I470" s="4"/>
      <c r="J470" s="4" t="s">
        <v>1480</v>
      </c>
      <c r="K470" s="4" t="s">
        <v>1480</v>
      </c>
      <c r="L470" s="4" t="s">
        <v>1481</v>
      </c>
      <c r="M470" s="4" t="s">
        <v>1482</v>
      </c>
      <c r="N470" s="4" t="s">
        <v>540</v>
      </c>
      <c r="O470" s="4" t="s">
        <v>1483</v>
      </c>
      <c r="P470" s="4" t="s">
        <v>2003</v>
      </c>
      <c r="Q470" s="4" t="s">
        <v>2292</v>
      </c>
      <c r="R470" s="4" t="b">
        <v>0</v>
      </c>
      <c r="S470" s="4" t="s">
        <v>1486</v>
      </c>
      <c r="T470" s="2">
        <v>46006.6638888889</v>
      </c>
      <c r="U470" s="2">
        <v>46002.0</v>
      </c>
      <c r="V470" s="4">
        <v>49.0</v>
      </c>
      <c r="W470" s="4" t="s">
        <v>550</v>
      </c>
      <c r="X470" s="4">
        <v>2025.0</v>
      </c>
      <c r="Y470" s="4" t="s">
        <v>1487</v>
      </c>
      <c r="Z470" s="4" t="s">
        <v>557</v>
      </c>
      <c r="AA470" s="4" t="s">
        <v>558</v>
      </c>
      <c r="AB470" s="4" t="b">
        <v>0</v>
      </c>
      <c r="AC470" s="4" t="s">
        <v>536</v>
      </c>
      <c r="AD470" s="4" t="s">
        <v>537</v>
      </c>
    </row>
    <row r="471" ht="14.25" customHeight="1">
      <c r="A471" s="4">
        <v>7998816.0</v>
      </c>
      <c r="B471" s="2">
        <v>45993.581087963</v>
      </c>
      <c r="C471" s="4">
        <v>7226569.0</v>
      </c>
      <c r="D471" s="4" t="s">
        <v>1100</v>
      </c>
      <c r="E471" s="2">
        <v>46006.6972222222</v>
      </c>
      <c r="F471" s="4">
        <v>0.5</v>
      </c>
      <c r="G471" s="4">
        <v>0.0</v>
      </c>
      <c r="H471" s="4"/>
      <c r="I471" s="4"/>
      <c r="J471" s="4" t="s">
        <v>1480</v>
      </c>
      <c r="K471" s="4" t="s">
        <v>1480</v>
      </c>
      <c r="L471" s="4" t="s">
        <v>1561</v>
      </c>
      <c r="M471" s="4" t="s">
        <v>1482</v>
      </c>
      <c r="N471" s="4" t="s">
        <v>588</v>
      </c>
      <c r="O471" s="4" t="s">
        <v>2293</v>
      </c>
      <c r="P471" s="4" t="s">
        <v>1488</v>
      </c>
      <c r="Q471" s="4" t="s">
        <v>2294</v>
      </c>
      <c r="R471" s="4" t="b">
        <v>0</v>
      </c>
      <c r="S471" s="4" t="s">
        <v>1486</v>
      </c>
      <c r="T471" s="2">
        <v>46006.6986111111</v>
      </c>
      <c r="U471" s="2">
        <v>45993.0</v>
      </c>
      <c r="V471" s="4">
        <v>48.0</v>
      </c>
      <c r="W471" s="4" t="s">
        <v>550</v>
      </c>
      <c r="X471" s="4">
        <v>2025.0</v>
      </c>
      <c r="Y471" s="4" t="s">
        <v>1564</v>
      </c>
      <c r="Z471" s="4" t="s">
        <v>557</v>
      </c>
      <c r="AA471" s="4" t="s">
        <v>558</v>
      </c>
      <c r="AB471" s="4" t="b">
        <v>0</v>
      </c>
      <c r="AC471" s="4" t="s">
        <v>536</v>
      </c>
      <c r="AD471" s="4" t="s">
        <v>537</v>
      </c>
    </row>
    <row r="472" ht="14.25" customHeight="1">
      <c r="A472" s="4">
        <v>8126984.0</v>
      </c>
      <c r="B472" s="2">
        <v>46006.6969675926</v>
      </c>
      <c r="C472" s="4">
        <v>7226569.0</v>
      </c>
      <c r="D472" s="4" t="s">
        <v>1100</v>
      </c>
      <c r="E472" s="2">
        <v>46006.6972222222</v>
      </c>
      <c r="F472" s="4">
        <v>0.5</v>
      </c>
      <c r="G472" s="4">
        <v>0.0</v>
      </c>
      <c r="H472" s="4" t="s">
        <v>1526</v>
      </c>
      <c r="I472" s="4" t="s">
        <v>2155</v>
      </c>
      <c r="J472" s="4" t="s">
        <v>1526</v>
      </c>
      <c r="K472" s="4" t="s">
        <v>1527</v>
      </c>
      <c r="L472" s="4" t="s">
        <v>2155</v>
      </c>
      <c r="M472" s="4" t="s">
        <v>2156</v>
      </c>
      <c r="N472" s="4" t="s">
        <v>2157</v>
      </c>
      <c r="O472" s="4" t="s">
        <v>2158</v>
      </c>
      <c r="P472" s="4" t="s">
        <v>1635</v>
      </c>
      <c r="Q472" s="4" t="s">
        <v>2295</v>
      </c>
      <c r="R472" s="4" t="b">
        <v>0</v>
      </c>
      <c r="S472" s="4" t="s">
        <v>1486</v>
      </c>
      <c r="T472" s="2">
        <v>46006.6986111111</v>
      </c>
      <c r="U472" s="2">
        <v>46006.0</v>
      </c>
      <c r="V472" s="4">
        <v>50.0</v>
      </c>
      <c r="W472" s="4" t="s">
        <v>550</v>
      </c>
      <c r="X472" s="4">
        <v>2025.0</v>
      </c>
      <c r="Y472" s="4" t="s">
        <v>1518</v>
      </c>
      <c r="Z472" s="4" t="s">
        <v>557</v>
      </c>
      <c r="AA472" s="4" t="s">
        <v>558</v>
      </c>
      <c r="AB472" s="4" t="b">
        <v>0</v>
      </c>
      <c r="AC472" s="4" t="s">
        <v>536</v>
      </c>
      <c r="AD472" s="4" t="s">
        <v>537</v>
      </c>
    </row>
    <row r="473" ht="14.25" customHeight="1">
      <c r="A473" s="4">
        <v>8126981.0</v>
      </c>
      <c r="B473" s="2">
        <v>46006.6966319444</v>
      </c>
      <c r="C473" s="4">
        <v>7353796.0</v>
      </c>
      <c r="D473" s="4" t="s">
        <v>1101</v>
      </c>
      <c r="E473" s="2">
        <v>46006.7013888889</v>
      </c>
      <c r="F473" s="4">
        <v>1.0</v>
      </c>
      <c r="G473" s="4">
        <v>0.0</v>
      </c>
      <c r="H473" s="4"/>
      <c r="I473" s="4"/>
      <c r="J473" s="4" t="s">
        <v>1526</v>
      </c>
      <c r="K473" s="4" t="s">
        <v>1527</v>
      </c>
      <c r="L473" s="4" t="s">
        <v>1528</v>
      </c>
      <c r="M473" s="4" t="s">
        <v>1482</v>
      </c>
      <c r="N473" s="4" t="s">
        <v>1529</v>
      </c>
      <c r="O473" s="4" t="s">
        <v>1530</v>
      </c>
      <c r="P473" s="4" t="s">
        <v>1635</v>
      </c>
      <c r="Q473" s="4" t="s">
        <v>2296</v>
      </c>
      <c r="R473" s="4" t="b">
        <v>0</v>
      </c>
      <c r="S473" s="4" t="s">
        <v>1486</v>
      </c>
      <c r="T473" s="2">
        <v>46007.7</v>
      </c>
      <c r="U473" s="2">
        <v>46006.0</v>
      </c>
      <c r="V473" s="4">
        <v>50.0</v>
      </c>
      <c r="W473" s="4" t="s">
        <v>550</v>
      </c>
      <c r="X473" s="4">
        <v>2025.0</v>
      </c>
      <c r="Y473" s="4" t="s">
        <v>1532</v>
      </c>
      <c r="Z473" s="4"/>
      <c r="AA473" s="4" t="s">
        <v>558</v>
      </c>
      <c r="AB473" s="4" t="b">
        <v>1</v>
      </c>
      <c r="AC473" s="4" t="s">
        <v>554</v>
      </c>
      <c r="AD473" s="4" t="s">
        <v>537</v>
      </c>
    </row>
    <row r="474" ht="14.25" customHeight="1">
      <c r="A474" s="4">
        <v>8126886.0</v>
      </c>
      <c r="B474" s="2">
        <v>46006.687974537</v>
      </c>
      <c r="C474" s="4">
        <v>7353702.0</v>
      </c>
      <c r="D474" s="4" t="s">
        <v>1103</v>
      </c>
      <c r="E474" s="2">
        <v>46006.7048611111</v>
      </c>
      <c r="F474" s="4">
        <v>1.0</v>
      </c>
      <c r="G474" s="4">
        <v>0.0</v>
      </c>
      <c r="H474" s="4"/>
      <c r="I474" s="4"/>
      <c r="J474" s="4" t="s">
        <v>1480</v>
      </c>
      <c r="K474" s="4" t="s">
        <v>1480</v>
      </c>
      <c r="L474" s="4" t="s">
        <v>1481</v>
      </c>
      <c r="M474" s="4" t="s">
        <v>1482</v>
      </c>
      <c r="N474" s="4" t="s">
        <v>540</v>
      </c>
      <c r="O474" s="4" t="s">
        <v>2297</v>
      </c>
      <c r="P474" s="4" t="s">
        <v>1635</v>
      </c>
      <c r="Q474" s="4" t="s">
        <v>2298</v>
      </c>
      <c r="R474" s="4" t="b">
        <v>0</v>
      </c>
      <c r="S474" s="4" t="s">
        <v>1486</v>
      </c>
      <c r="T474" s="2">
        <v>46006.70625</v>
      </c>
      <c r="U474" s="2">
        <v>46006.0</v>
      </c>
      <c r="V474" s="4">
        <v>50.0</v>
      </c>
      <c r="W474" s="4" t="s">
        <v>550</v>
      </c>
      <c r="X474" s="4">
        <v>2025.0</v>
      </c>
      <c r="Y474" s="4" t="s">
        <v>1487</v>
      </c>
      <c r="Z474" s="4" t="s">
        <v>557</v>
      </c>
      <c r="AA474" s="4" t="s">
        <v>558</v>
      </c>
      <c r="AB474" s="4" t="b">
        <v>0</v>
      </c>
      <c r="AC474" s="4" t="s">
        <v>536</v>
      </c>
      <c r="AD474" s="4" t="s">
        <v>537</v>
      </c>
    </row>
    <row r="475" ht="14.25" customHeight="1">
      <c r="A475" s="4">
        <v>8127152.0</v>
      </c>
      <c r="B475" s="2">
        <v>46006.7104050926</v>
      </c>
      <c r="C475" s="4">
        <v>7353965.0</v>
      </c>
      <c r="D475" s="4" t="s">
        <v>1104</v>
      </c>
      <c r="E475" s="2">
        <v>46006.7118055556</v>
      </c>
      <c r="F475" s="4">
        <v>1.0</v>
      </c>
      <c r="G475" s="4">
        <v>0.0</v>
      </c>
      <c r="H475" s="4"/>
      <c r="I475" s="4"/>
      <c r="J475" s="4" t="s">
        <v>1480</v>
      </c>
      <c r="K475" s="4" t="s">
        <v>1480</v>
      </c>
      <c r="L475" s="4" t="s">
        <v>1561</v>
      </c>
      <c r="M475" s="4" t="s">
        <v>1482</v>
      </c>
      <c r="N475" s="4" t="s">
        <v>588</v>
      </c>
      <c r="O475" s="4" t="s">
        <v>2299</v>
      </c>
      <c r="P475" s="4" t="s">
        <v>1635</v>
      </c>
      <c r="Q475" s="4" t="s">
        <v>2300</v>
      </c>
      <c r="R475" s="4" t="b">
        <v>0</v>
      </c>
      <c r="S475" s="4" t="s">
        <v>1486</v>
      </c>
      <c r="T475" s="2">
        <v>46006.7131944444</v>
      </c>
      <c r="U475" s="2">
        <v>46006.0</v>
      </c>
      <c r="V475" s="4">
        <v>50.0</v>
      </c>
      <c r="W475" s="4" t="s">
        <v>550</v>
      </c>
      <c r="X475" s="4">
        <v>2025.0</v>
      </c>
      <c r="Y475" s="4" t="s">
        <v>1564</v>
      </c>
      <c r="Z475" s="4"/>
      <c r="AA475" s="4" t="s">
        <v>558</v>
      </c>
      <c r="AB475" s="4" t="b">
        <v>0</v>
      </c>
      <c r="AC475" s="4" t="s">
        <v>567</v>
      </c>
      <c r="AD475" s="4" t="s">
        <v>537</v>
      </c>
    </row>
    <row r="476" ht="14.25" customHeight="1">
      <c r="A476" s="4">
        <v>8127347.0</v>
      </c>
      <c r="B476" s="2">
        <v>46006.7366898148</v>
      </c>
      <c r="C476" s="4">
        <v>7354154.0</v>
      </c>
      <c r="D476" s="4" t="s">
        <v>1105</v>
      </c>
      <c r="E476" s="2">
        <v>46006.7368055556</v>
      </c>
      <c r="F476" s="4">
        <v>1.0</v>
      </c>
      <c r="G476" s="4">
        <v>0.0</v>
      </c>
      <c r="H476" s="4"/>
      <c r="I476" s="4"/>
      <c r="J476" s="4" t="s">
        <v>1526</v>
      </c>
      <c r="K476" s="4" t="s">
        <v>1527</v>
      </c>
      <c r="L476" s="4" t="s">
        <v>1528</v>
      </c>
      <c r="M476" s="4" t="s">
        <v>1482</v>
      </c>
      <c r="N476" s="4" t="s">
        <v>1529</v>
      </c>
      <c r="O476" s="4" t="s">
        <v>1530</v>
      </c>
      <c r="P476" s="4" t="s">
        <v>2003</v>
      </c>
      <c r="Q476" s="4" t="s">
        <v>2301</v>
      </c>
      <c r="R476" s="4" t="b">
        <v>0</v>
      </c>
      <c r="S476" s="4" t="s">
        <v>1486</v>
      </c>
      <c r="T476" s="2">
        <v>46006.7381944444</v>
      </c>
      <c r="U476" s="2">
        <v>46006.0</v>
      </c>
      <c r="V476" s="4">
        <v>50.0</v>
      </c>
      <c r="W476" s="4" t="s">
        <v>550</v>
      </c>
      <c r="X476" s="4">
        <v>2025.0</v>
      </c>
      <c r="Y476" s="4" t="s">
        <v>1532</v>
      </c>
      <c r="Z476" s="4" t="s">
        <v>795</v>
      </c>
      <c r="AA476" s="4" t="s">
        <v>649</v>
      </c>
      <c r="AB476" s="4" t="b">
        <v>0</v>
      </c>
      <c r="AC476" s="4" t="s">
        <v>536</v>
      </c>
      <c r="AD476" s="4" t="s">
        <v>537</v>
      </c>
    </row>
    <row r="477" ht="14.25" customHeight="1">
      <c r="A477" s="4">
        <v>8127398.0</v>
      </c>
      <c r="B477" s="2">
        <v>46006.7419675926</v>
      </c>
      <c r="C477" s="4">
        <v>7354205.0</v>
      </c>
      <c r="D477" s="4" t="s">
        <v>1106</v>
      </c>
      <c r="E477" s="2">
        <v>46006.7430555556</v>
      </c>
      <c r="F477" s="4">
        <v>1.0</v>
      </c>
      <c r="G477" s="4">
        <v>0.0</v>
      </c>
      <c r="H477" s="4"/>
      <c r="I477" s="4"/>
      <c r="J477" s="4" t="s">
        <v>539</v>
      </c>
      <c r="K477" s="4" t="s">
        <v>539</v>
      </c>
      <c r="L477" s="4" t="s">
        <v>1499</v>
      </c>
      <c r="M477" s="4" t="s">
        <v>1482</v>
      </c>
      <c r="N477" s="4"/>
      <c r="O477" s="4" t="s">
        <v>1500</v>
      </c>
      <c r="P477" s="4" t="s">
        <v>2302</v>
      </c>
      <c r="Q477" s="4" t="s">
        <v>2303</v>
      </c>
      <c r="R477" s="4" t="b">
        <v>0</v>
      </c>
      <c r="S477" s="4" t="s">
        <v>1486</v>
      </c>
      <c r="T477" s="2">
        <v>46006.7444444444</v>
      </c>
      <c r="U477" s="2">
        <v>46006.0</v>
      </c>
      <c r="V477" s="4">
        <v>50.0</v>
      </c>
      <c r="W477" s="4" t="s">
        <v>550</v>
      </c>
      <c r="X477" s="4">
        <v>2025.0</v>
      </c>
      <c r="Y477" s="4" t="s">
        <v>1502</v>
      </c>
      <c r="Z477" s="4" t="s">
        <v>557</v>
      </c>
      <c r="AA477" s="4" t="s">
        <v>558</v>
      </c>
      <c r="AB477" s="4" t="b">
        <v>0</v>
      </c>
      <c r="AC477" s="4" t="s">
        <v>536</v>
      </c>
      <c r="AD477" s="4" t="s">
        <v>537</v>
      </c>
    </row>
    <row r="478" ht="14.25" customHeight="1">
      <c r="A478" s="4">
        <v>8127416.0</v>
      </c>
      <c r="B478" s="2">
        <v>46006.7439930556</v>
      </c>
      <c r="C478" s="4">
        <v>7354221.0</v>
      </c>
      <c r="D478" s="4" t="s">
        <v>1107</v>
      </c>
      <c r="E478" s="2">
        <v>46006.7444444444</v>
      </c>
      <c r="F478" s="4">
        <v>1.0</v>
      </c>
      <c r="G478" s="4">
        <v>0.0</v>
      </c>
      <c r="H478" s="4"/>
      <c r="I478" s="4"/>
      <c r="J478" s="4" t="s">
        <v>1774</v>
      </c>
      <c r="K478" s="4" t="s">
        <v>1775</v>
      </c>
      <c r="L478" s="4" t="s">
        <v>2304</v>
      </c>
      <c r="M478" s="4" t="s">
        <v>1482</v>
      </c>
      <c r="N478" s="4" t="s">
        <v>2305</v>
      </c>
      <c r="O478" s="4" t="s">
        <v>2306</v>
      </c>
      <c r="P478" s="4" t="s">
        <v>1923</v>
      </c>
      <c r="Q478" s="4" t="s">
        <v>2307</v>
      </c>
      <c r="R478" s="4" t="b">
        <v>0</v>
      </c>
      <c r="S478" s="4" t="s">
        <v>1486</v>
      </c>
      <c r="T478" s="2">
        <v>46006.7458333333</v>
      </c>
      <c r="U478" s="2">
        <v>46006.0</v>
      </c>
      <c r="V478" s="4">
        <v>50.0</v>
      </c>
      <c r="W478" s="4" t="s">
        <v>550</v>
      </c>
      <c r="X478" s="4">
        <v>2025.0</v>
      </c>
      <c r="Y478" s="4" t="s">
        <v>2308</v>
      </c>
      <c r="Z478" s="4"/>
      <c r="AA478" s="4" t="s">
        <v>558</v>
      </c>
      <c r="AB478" s="4" t="b">
        <v>0</v>
      </c>
      <c r="AC478" s="4" t="s">
        <v>536</v>
      </c>
      <c r="AD478" s="4" t="s">
        <v>537</v>
      </c>
    </row>
    <row r="479" ht="14.25" customHeight="1">
      <c r="A479" s="4">
        <v>8127614.0</v>
      </c>
      <c r="B479" s="2">
        <v>46006.7693171296</v>
      </c>
      <c r="C479" s="4">
        <v>7354416.0</v>
      </c>
      <c r="D479" s="4" t="s">
        <v>1110</v>
      </c>
      <c r="E479" s="2">
        <v>46006.7694444444</v>
      </c>
      <c r="F479" s="4">
        <v>1.0</v>
      </c>
      <c r="G479" s="4">
        <v>0.0</v>
      </c>
      <c r="H479" s="4" t="s">
        <v>1519</v>
      </c>
      <c r="I479" s="4" t="s">
        <v>1858</v>
      </c>
      <c r="J479" s="4" t="s">
        <v>1519</v>
      </c>
      <c r="K479" s="4" t="s">
        <v>1513</v>
      </c>
      <c r="L479" s="4" t="s">
        <v>1858</v>
      </c>
      <c r="M479" s="4" t="s">
        <v>1482</v>
      </c>
      <c r="N479" s="4" t="s">
        <v>540</v>
      </c>
      <c r="O479" s="4" t="s">
        <v>2309</v>
      </c>
      <c r="P479" s="4" t="s">
        <v>1605</v>
      </c>
      <c r="Q479" s="4" t="s">
        <v>2310</v>
      </c>
      <c r="R479" s="4" t="b">
        <v>0</v>
      </c>
      <c r="S479" s="4" t="s">
        <v>1486</v>
      </c>
      <c r="T479" s="2">
        <v>46006.7708333333</v>
      </c>
      <c r="U479" s="2">
        <v>46006.0</v>
      </c>
      <c r="V479" s="4">
        <v>50.0</v>
      </c>
      <c r="W479" s="4" t="s">
        <v>550</v>
      </c>
      <c r="X479" s="4">
        <v>2025.0</v>
      </c>
      <c r="Y479" s="4" t="s">
        <v>1518</v>
      </c>
      <c r="Z479" s="4"/>
      <c r="AA479" s="4" t="s">
        <v>558</v>
      </c>
      <c r="AB479" s="4" t="b">
        <v>0</v>
      </c>
      <c r="AC479" s="4" t="s">
        <v>554</v>
      </c>
      <c r="AD479" s="4" t="s">
        <v>537</v>
      </c>
    </row>
    <row r="480" ht="14.25" customHeight="1">
      <c r="A480" s="4">
        <v>8128289.0</v>
      </c>
      <c r="B480" s="2">
        <v>46006.8717592593</v>
      </c>
      <c r="C480" s="4">
        <v>7355087.0</v>
      </c>
      <c r="D480" s="4" t="s">
        <v>1111</v>
      </c>
      <c r="E480" s="2">
        <v>46006.8715277778</v>
      </c>
      <c r="F480" s="4">
        <v>0.0</v>
      </c>
      <c r="G480" s="4">
        <v>0.0</v>
      </c>
      <c r="H480" s="4"/>
      <c r="I480" s="4"/>
      <c r="J480" s="4"/>
      <c r="K480" s="4"/>
      <c r="L480" s="4"/>
      <c r="M480" s="4" t="s">
        <v>1482</v>
      </c>
      <c r="N480" s="4" t="s">
        <v>1842</v>
      </c>
      <c r="O480" s="4" t="s">
        <v>2311</v>
      </c>
      <c r="P480" s="4" t="s">
        <v>1923</v>
      </c>
      <c r="Q480" s="4" t="s">
        <v>2312</v>
      </c>
      <c r="R480" s="4" t="b">
        <v>1</v>
      </c>
      <c r="S480" s="4" t="s">
        <v>1486</v>
      </c>
      <c r="T480" s="2">
        <v>46006.8729166667</v>
      </c>
      <c r="U480" s="2">
        <v>46006.0</v>
      </c>
      <c r="V480" s="4">
        <v>50.0</v>
      </c>
      <c r="W480" s="4" t="s">
        <v>550</v>
      </c>
      <c r="X480" s="4">
        <v>2025.0</v>
      </c>
      <c r="Y480" s="4" t="s">
        <v>1540</v>
      </c>
      <c r="Z480" s="4"/>
      <c r="AA480" s="4" t="s">
        <v>786</v>
      </c>
      <c r="AB480" s="4" t="b">
        <v>0</v>
      </c>
      <c r="AC480" s="4" t="s">
        <v>599</v>
      </c>
      <c r="AD480" s="4" t="s">
        <v>537</v>
      </c>
    </row>
    <row r="481" ht="14.25" customHeight="1">
      <c r="A481" s="4">
        <v>8128286.0</v>
      </c>
      <c r="B481" s="2">
        <v>46006.8714814815</v>
      </c>
      <c r="C481" s="4">
        <v>7355084.0</v>
      </c>
      <c r="D481" s="4" t="s">
        <v>1112</v>
      </c>
      <c r="E481" s="2">
        <v>46006.8722222222</v>
      </c>
      <c r="F481" s="4">
        <v>1.0</v>
      </c>
      <c r="G481" s="4">
        <v>0.0</v>
      </c>
      <c r="H481" s="4" t="s">
        <v>1519</v>
      </c>
      <c r="I481" s="4" t="s">
        <v>1717</v>
      </c>
      <c r="J481" s="4" t="s">
        <v>1519</v>
      </c>
      <c r="K481" s="4" t="s">
        <v>1513</v>
      </c>
      <c r="L481" s="4" t="s">
        <v>1717</v>
      </c>
      <c r="M481" s="4" t="s">
        <v>1482</v>
      </c>
      <c r="N481" s="4" t="s">
        <v>540</v>
      </c>
      <c r="O481" s="4" t="s">
        <v>2313</v>
      </c>
      <c r="P481" s="4" t="s">
        <v>2314</v>
      </c>
      <c r="Q481" s="4" t="s">
        <v>2315</v>
      </c>
      <c r="R481" s="4" t="b">
        <v>0</v>
      </c>
      <c r="S481" s="4" t="s">
        <v>1486</v>
      </c>
      <c r="T481" s="2">
        <v>46006.8736111111</v>
      </c>
      <c r="U481" s="2">
        <v>46006.0</v>
      </c>
      <c r="V481" s="4">
        <v>50.0</v>
      </c>
      <c r="W481" s="4" t="s">
        <v>550</v>
      </c>
      <c r="X481" s="4">
        <v>2025.0</v>
      </c>
      <c r="Y481" s="4" t="s">
        <v>1518</v>
      </c>
      <c r="Z481" s="4"/>
      <c r="AA481" s="4" t="s">
        <v>558</v>
      </c>
      <c r="AB481" s="4" t="b">
        <v>0</v>
      </c>
      <c r="AC481" s="4" t="s">
        <v>567</v>
      </c>
      <c r="AD481" s="4" t="s">
        <v>537</v>
      </c>
    </row>
    <row r="482" ht="14.25" customHeight="1">
      <c r="A482" s="4">
        <v>8128491.0</v>
      </c>
      <c r="B482" s="2">
        <v>46006.8989930556</v>
      </c>
      <c r="C482" s="4">
        <v>7355286.0</v>
      </c>
      <c r="D482" s="4" t="s">
        <v>1113</v>
      </c>
      <c r="E482" s="2">
        <v>46006.9006944444</v>
      </c>
      <c r="F482" s="4">
        <v>1.0</v>
      </c>
      <c r="G482" s="4">
        <v>0.0</v>
      </c>
      <c r="H482" s="4"/>
      <c r="I482" s="4"/>
      <c r="J482" s="4" t="s">
        <v>1526</v>
      </c>
      <c r="K482" s="4" t="s">
        <v>1527</v>
      </c>
      <c r="L482" s="4" t="s">
        <v>1528</v>
      </c>
      <c r="M482" s="4" t="s">
        <v>1482</v>
      </c>
      <c r="N482" s="4" t="s">
        <v>1529</v>
      </c>
      <c r="O482" s="4" t="s">
        <v>2316</v>
      </c>
      <c r="P482" s="4" t="s">
        <v>1488</v>
      </c>
      <c r="Q482" s="4" t="s">
        <v>2317</v>
      </c>
      <c r="R482" s="4" t="b">
        <v>0</v>
      </c>
      <c r="S482" s="4" t="s">
        <v>1486</v>
      </c>
      <c r="T482" s="2">
        <v>46006.9020833333</v>
      </c>
      <c r="U482" s="2">
        <v>46006.0</v>
      </c>
      <c r="V482" s="4">
        <v>50.0</v>
      </c>
      <c r="W482" s="4" t="s">
        <v>550</v>
      </c>
      <c r="X482" s="4">
        <v>2025.0</v>
      </c>
      <c r="Y482" s="4" t="s">
        <v>1532</v>
      </c>
      <c r="Z482" s="4"/>
      <c r="AA482" s="4" t="s">
        <v>792</v>
      </c>
      <c r="AB482" s="4" t="b">
        <v>1</v>
      </c>
      <c r="AC482" s="4" t="s">
        <v>536</v>
      </c>
      <c r="AD482" s="4" t="s">
        <v>537</v>
      </c>
    </row>
    <row r="483" ht="14.25" customHeight="1">
      <c r="A483" s="4">
        <v>8128767.0</v>
      </c>
      <c r="B483" s="2">
        <v>46006.9306944444</v>
      </c>
      <c r="C483" s="4">
        <v>7355560.0</v>
      </c>
      <c r="D483" s="4" t="s">
        <v>1114</v>
      </c>
      <c r="E483" s="2">
        <v>46006.9319444444</v>
      </c>
      <c r="F483" s="4">
        <v>1.0</v>
      </c>
      <c r="G483" s="4">
        <v>0.0</v>
      </c>
      <c r="H483" s="4"/>
      <c r="I483" s="4"/>
      <c r="J483" s="4" t="s">
        <v>1490</v>
      </c>
      <c r="K483" s="4" t="s">
        <v>542</v>
      </c>
      <c r="L483" s="4"/>
      <c r="M483" s="4" t="s">
        <v>1482</v>
      </c>
      <c r="N483" s="4" t="s">
        <v>2318</v>
      </c>
      <c r="O483" s="4" t="s">
        <v>1483</v>
      </c>
      <c r="P483" s="4" t="s">
        <v>1794</v>
      </c>
      <c r="Q483" s="4" t="s">
        <v>2319</v>
      </c>
      <c r="R483" s="4" t="b">
        <v>0</v>
      </c>
      <c r="S483" s="4" t="s">
        <v>1486</v>
      </c>
      <c r="T483" s="2">
        <v>46006.9333333333</v>
      </c>
      <c r="U483" s="2">
        <v>46006.0</v>
      </c>
      <c r="V483" s="4">
        <v>50.0</v>
      </c>
      <c r="W483" s="4" t="s">
        <v>550</v>
      </c>
      <c r="X483" s="4">
        <v>2025.0</v>
      </c>
      <c r="Y483" s="4" t="s">
        <v>1494</v>
      </c>
      <c r="Z483" s="4"/>
      <c r="AA483" s="4" t="s">
        <v>558</v>
      </c>
      <c r="AB483" s="4" t="b">
        <v>0</v>
      </c>
      <c r="AC483" s="4" t="s">
        <v>599</v>
      </c>
      <c r="AD483" s="4" t="s">
        <v>537</v>
      </c>
    </row>
    <row r="484" ht="14.25" customHeight="1">
      <c r="A484" s="4">
        <v>8128981.0</v>
      </c>
      <c r="B484" s="2">
        <v>46006.9573611111</v>
      </c>
      <c r="C484" s="4">
        <v>7355771.0</v>
      </c>
      <c r="D484" s="4" t="s">
        <v>1115</v>
      </c>
      <c r="E484" s="2">
        <v>46006.9590277778</v>
      </c>
      <c r="F484" s="4">
        <v>1.0</v>
      </c>
      <c r="G484" s="4">
        <v>0.0</v>
      </c>
      <c r="H484" s="4"/>
      <c r="I484" s="4"/>
      <c r="J484" s="4" t="s">
        <v>1526</v>
      </c>
      <c r="K484" s="4" t="s">
        <v>1527</v>
      </c>
      <c r="L484" s="4" t="s">
        <v>1528</v>
      </c>
      <c r="M484" s="4" t="s">
        <v>1482</v>
      </c>
      <c r="N484" s="4" t="s">
        <v>1529</v>
      </c>
      <c r="O484" s="4" t="s">
        <v>2320</v>
      </c>
      <c r="P484" s="4" t="s">
        <v>2321</v>
      </c>
      <c r="Q484" s="4" t="s">
        <v>2322</v>
      </c>
      <c r="R484" s="4" t="b">
        <v>0</v>
      </c>
      <c r="S484" s="4" t="s">
        <v>1486</v>
      </c>
      <c r="T484" s="2">
        <v>46006.9604166667</v>
      </c>
      <c r="U484" s="2">
        <v>46006.0</v>
      </c>
      <c r="V484" s="4">
        <v>50.0</v>
      </c>
      <c r="W484" s="4" t="s">
        <v>550</v>
      </c>
      <c r="X484" s="4">
        <v>2025.0</v>
      </c>
      <c r="Y484" s="4" t="s">
        <v>1532</v>
      </c>
      <c r="Z484" s="4" t="s">
        <v>557</v>
      </c>
      <c r="AA484" s="4" t="s">
        <v>558</v>
      </c>
      <c r="AB484" s="4" t="b">
        <v>0</v>
      </c>
      <c r="AC484" s="4" t="s">
        <v>536</v>
      </c>
      <c r="AD484" s="4" t="s">
        <v>537</v>
      </c>
    </row>
    <row r="485" ht="14.25" customHeight="1">
      <c r="A485" s="4">
        <v>8129083.0</v>
      </c>
      <c r="B485" s="2">
        <v>46006.966712963</v>
      </c>
      <c r="C485" s="4">
        <v>7355873.0</v>
      </c>
      <c r="D485" s="4" t="s">
        <v>1117</v>
      </c>
      <c r="E485" s="2">
        <v>46006.9673611111</v>
      </c>
      <c r="F485" s="4">
        <v>1.0</v>
      </c>
      <c r="G485" s="4">
        <v>0.0</v>
      </c>
      <c r="H485" s="4"/>
      <c r="I485" s="4"/>
      <c r="J485" s="4" t="s">
        <v>1480</v>
      </c>
      <c r="K485" s="4" t="s">
        <v>1480</v>
      </c>
      <c r="L485" s="4" t="s">
        <v>1481</v>
      </c>
      <c r="M485" s="4" t="s">
        <v>1482</v>
      </c>
      <c r="N485" s="4" t="s">
        <v>540</v>
      </c>
      <c r="O485" s="4" t="s">
        <v>1483</v>
      </c>
      <c r="P485" s="4" t="s">
        <v>1845</v>
      </c>
      <c r="Q485" s="4" t="s">
        <v>2323</v>
      </c>
      <c r="R485" s="4" t="b">
        <v>0</v>
      </c>
      <c r="S485" s="4" t="s">
        <v>1486</v>
      </c>
      <c r="T485" s="2">
        <v>46006.96875</v>
      </c>
      <c r="U485" s="2">
        <v>46006.0</v>
      </c>
      <c r="V485" s="4">
        <v>50.0</v>
      </c>
      <c r="W485" s="4" t="s">
        <v>550</v>
      </c>
      <c r="X485" s="4">
        <v>2025.0</v>
      </c>
      <c r="Y485" s="4" t="s">
        <v>1487</v>
      </c>
      <c r="Z485" s="4" t="s">
        <v>557</v>
      </c>
      <c r="AA485" s="4" t="s">
        <v>558</v>
      </c>
      <c r="AB485" s="4" t="b">
        <v>0</v>
      </c>
      <c r="AC485" s="4" t="s">
        <v>536</v>
      </c>
      <c r="AD485" s="4" t="s">
        <v>537</v>
      </c>
    </row>
    <row r="486" ht="14.25" customHeight="1">
      <c r="A486" s="4">
        <v>8129206.0</v>
      </c>
      <c r="B486" s="2">
        <v>46006.9873611111</v>
      </c>
      <c r="C486" s="4">
        <v>7355995.0</v>
      </c>
      <c r="D486" s="4" t="s">
        <v>1118</v>
      </c>
      <c r="E486" s="2">
        <v>46007.0138888889</v>
      </c>
      <c r="F486" s="4">
        <v>1.0</v>
      </c>
      <c r="G486" s="4">
        <v>0.0</v>
      </c>
      <c r="H486" s="4"/>
      <c r="I486" s="4"/>
      <c r="J486" s="4" t="s">
        <v>539</v>
      </c>
      <c r="K486" s="4" t="s">
        <v>539</v>
      </c>
      <c r="L486" s="4" t="s">
        <v>1499</v>
      </c>
      <c r="M486" s="4" t="s">
        <v>1482</v>
      </c>
      <c r="N486" s="4"/>
      <c r="O486" s="4" t="s">
        <v>1483</v>
      </c>
      <c r="P486" s="4" t="s">
        <v>2079</v>
      </c>
      <c r="Q486" s="4" t="s">
        <v>2324</v>
      </c>
      <c r="R486" s="4" t="b">
        <v>0</v>
      </c>
      <c r="S486" s="4" t="s">
        <v>1486</v>
      </c>
      <c r="T486" s="2">
        <v>46007.0152777778</v>
      </c>
      <c r="U486" s="2">
        <v>46006.0</v>
      </c>
      <c r="V486" s="4">
        <v>50.0</v>
      </c>
      <c r="W486" s="4" t="s">
        <v>550</v>
      </c>
      <c r="X486" s="4">
        <v>2025.0</v>
      </c>
      <c r="Y486" s="4" t="s">
        <v>1502</v>
      </c>
      <c r="Z486" s="4"/>
      <c r="AA486" s="4" t="s">
        <v>558</v>
      </c>
      <c r="AB486" s="4" t="b">
        <v>0</v>
      </c>
      <c r="AC486" s="4" t="s">
        <v>554</v>
      </c>
      <c r="AD486" s="4" t="s">
        <v>537</v>
      </c>
    </row>
    <row r="487" ht="14.25" customHeight="1">
      <c r="A487" s="4">
        <v>8122751.0</v>
      </c>
      <c r="B487" s="2">
        <v>46006.1354166667</v>
      </c>
      <c r="C487" s="4">
        <v>7349688.0</v>
      </c>
      <c r="D487" s="4" t="s">
        <v>1119</v>
      </c>
      <c r="E487" s="2">
        <v>46007.1555555556</v>
      </c>
      <c r="F487" s="4">
        <v>1.0</v>
      </c>
      <c r="G487" s="4">
        <v>0.0</v>
      </c>
      <c r="H487" s="4"/>
      <c r="I487" s="4"/>
      <c r="J487" s="4" t="s">
        <v>1480</v>
      </c>
      <c r="K487" s="4" t="s">
        <v>1480</v>
      </c>
      <c r="L487" s="4" t="s">
        <v>1481</v>
      </c>
      <c r="M487" s="4" t="s">
        <v>1482</v>
      </c>
      <c r="N487" s="4" t="s">
        <v>540</v>
      </c>
      <c r="O487" s="4" t="s">
        <v>1483</v>
      </c>
      <c r="P487" s="4" t="s">
        <v>1488</v>
      </c>
      <c r="Q487" s="4" t="s">
        <v>2244</v>
      </c>
      <c r="R487" s="4" t="b">
        <v>0</v>
      </c>
      <c r="S487" s="4" t="s">
        <v>1486</v>
      </c>
      <c r="T487" s="2">
        <v>46007.1569444444</v>
      </c>
      <c r="U487" s="2">
        <v>46006.0</v>
      </c>
      <c r="V487" s="4">
        <v>50.0</v>
      </c>
      <c r="W487" s="4" t="s">
        <v>550</v>
      </c>
      <c r="X487" s="4">
        <v>2025.0</v>
      </c>
      <c r="Y487" s="4" t="s">
        <v>1487</v>
      </c>
      <c r="Z487" s="4" t="s">
        <v>984</v>
      </c>
      <c r="AA487" s="4" t="s">
        <v>985</v>
      </c>
      <c r="AB487" s="4" t="b">
        <v>0</v>
      </c>
      <c r="AC487" s="4" t="s">
        <v>536</v>
      </c>
      <c r="AD487" s="4" t="s">
        <v>537</v>
      </c>
    </row>
    <row r="488" ht="14.25" customHeight="1">
      <c r="A488" s="4">
        <v>8130318.0</v>
      </c>
      <c r="B488" s="2">
        <v>46007.177025463</v>
      </c>
      <c r="C488" s="4">
        <v>7357104.0</v>
      </c>
      <c r="D488" s="4" t="s">
        <v>1121</v>
      </c>
      <c r="E488" s="2">
        <v>46007.1777777778</v>
      </c>
      <c r="F488" s="4">
        <v>1.0</v>
      </c>
      <c r="G488" s="4">
        <v>0.0</v>
      </c>
      <c r="H488" s="4"/>
      <c r="I488" s="4"/>
      <c r="J488" s="4" t="s">
        <v>1480</v>
      </c>
      <c r="K488" s="4" t="s">
        <v>1480</v>
      </c>
      <c r="L488" s="4" t="s">
        <v>1481</v>
      </c>
      <c r="M488" s="4" t="s">
        <v>1482</v>
      </c>
      <c r="N488" s="4" t="s">
        <v>540</v>
      </c>
      <c r="O488" s="4" t="s">
        <v>1483</v>
      </c>
      <c r="P488" s="4" t="s">
        <v>2325</v>
      </c>
      <c r="Q488" s="4" t="s">
        <v>2326</v>
      </c>
      <c r="R488" s="4" t="b">
        <v>0</v>
      </c>
      <c r="S488" s="4" t="s">
        <v>1486</v>
      </c>
      <c r="T488" s="2">
        <v>46007.1791666667</v>
      </c>
      <c r="U488" s="2">
        <v>46007.0</v>
      </c>
      <c r="V488" s="4">
        <v>50.0</v>
      </c>
      <c r="W488" s="4" t="s">
        <v>550</v>
      </c>
      <c r="X488" s="4">
        <v>2025.0</v>
      </c>
      <c r="Y488" s="4" t="s">
        <v>1487</v>
      </c>
      <c r="Z488" s="4"/>
      <c r="AA488" s="4" t="s">
        <v>835</v>
      </c>
      <c r="AB488" s="4" t="b">
        <v>0</v>
      </c>
      <c r="AC488" s="4" t="s">
        <v>536</v>
      </c>
      <c r="AD488" s="4" t="s">
        <v>537</v>
      </c>
    </row>
    <row r="489" ht="14.25" customHeight="1">
      <c r="A489" s="4">
        <v>8131002.0</v>
      </c>
      <c r="B489" s="2">
        <v>46007.264849537</v>
      </c>
      <c r="C489" s="4">
        <v>7357786.0</v>
      </c>
      <c r="D489" s="4" t="s">
        <v>1122</v>
      </c>
      <c r="E489" s="2">
        <v>46007.2666666667</v>
      </c>
      <c r="F489" s="4">
        <v>1.0</v>
      </c>
      <c r="G489" s="4">
        <v>0.0</v>
      </c>
      <c r="H489" s="4"/>
      <c r="I489" s="4"/>
      <c r="J489" s="4" t="s">
        <v>1526</v>
      </c>
      <c r="K489" s="4" t="s">
        <v>1527</v>
      </c>
      <c r="L489" s="4" t="s">
        <v>1528</v>
      </c>
      <c r="M489" s="4" t="s">
        <v>1482</v>
      </c>
      <c r="N489" s="4" t="s">
        <v>1529</v>
      </c>
      <c r="O489" s="4" t="s">
        <v>2327</v>
      </c>
      <c r="P489" s="4" t="s">
        <v>1845</v>
      </c>
      <c r="Q489" s="4" t="s">
        <v>2328</v>
      </c>
      <c r="R489" s="4" t="b">
        <v>0</v>
      </c>
      <c r="S489" s="4" t="s">
        <v>1486</v>
      </c>
      <c r="T489" s="2">
        <v>46007.2680555556</v>
      </c>
      <c r="U489" s="2">
        <v>46007.0</v>
      </c>
      <c r="V489" s="4">
        <v>50.0</v>
      </c>
      <c r="W489" s="4" t="s">
        <v>550</v>
      </c>
      <c r="X489" s="4">
        <v>2025.0</v>
      </c>
      <c r="Y489" s="4" t="s">
        <v>1532</v>
      </c>
      <c r="Z489" s="4" t="s">
        <v>1123</v>
      </c>
      <c r="AA489" s="4" t="s">
        <v>594</v>
      </c>
      <c r="AB489" s="4" t="b">
        <v>0</v>
      </c>
      <c r="AC489" s="4" t="s">
        <v>536</v>
      </c>
      <c r="AD489" s="4" t="s">
        <v>537</v>
      </c>
    </row>
    <row r="490" ht="14.25" customHeight="1">
      <c r="A490" s="4">
        <v>8132329.0</v>
      </c>
      <c r="B490" s="2">
        <v>46007.4116898148</v>
      </c>
      <c r="C490" s="4">
        <v>7359095.0</v>
      </c>
      <c r="D490" s="4" t="s">
        <v>1124</v>
      </c>
      <c r="E490" s="2">
        <v>46007.4118055556</v>
      </c>
      <c r="F490" s="4">
        <v>1.0</v>
      </c>
      <c r="G490" s="4">
        <v>0.0</v>
      </c>
      <c r="H490" s="4" t="s">
        <v>1519</v>
      </c>
      <c r="I490" s="4" t="s">
        <v>1781</v>
      </c>
      <c r="J490" s="4" t="s">
        <v>1519</v>
      </c>
      <c r="K490" s="4" t="s">
        <v>1513</v>
      </c>
      <c r="L490" s="4" t="s">
        <v>1781</v>
      </c>
      <c r="M490" s="4" t="s">
        <v>1692</v>
      </c>
      <c r="N490" s="4" t="s">
        <v>540</v>
      </c>
      <c r="O490" s="4" t="s">
        <v>2329</v>
      </c>
      <c r="P490" s="4" t="s">
        <v>1635</v>
      </c>
      <c r="Q490" s="4" t="s">
        <v>2330</v>
      </c>
      <c r="R490" s="4" t="b">
        <v>0</v>
      </c>
      <c r="S490" s="4" t="s">
        <v>1486</v>
      </c>
      <c r="T490" s="2">
        <v>46007.4131944444</v>
      </c>
      <c r="U490" s="2">
        <v>46007.0</v>
      </c>
      <c r="V490" s="4">
        <v>50.0</v>
      </c>
      <c r="W490" s="4" t="s">
        <v>550</v>
      </c>
      <c r="X490" s="4">
        <v>2025.0</v>
      </c>
      <c r="Y490" s="4" t="s">
        <v>1518</v>
      </c>
      <c r="Z490" s="4"/>
      <c r="AA490" s="4" t="s">
        <v>558</v>
      </c>
      <c r="AB490" s="4" t="b">
        <v>0</v>
      </c>
      <c r="AC490" s="4" t="s">
        <v>567</v>
      </c>
      <c r="AD490" s="4" t="s">
        <v>537</v>
      </c>
    </row>
    <row r="491" ht="14.25" customHeight="1">
      <c r="A491" s="4">
        <v>7917927.0</v>
      </c>
      <c r="B491" s="2">
        <v>45975.5086111111</v>
      </c>
      <c r="C491" s="4">
        <v>7146953.0</v>
      </c>
      <c r="D491" s="4" t="s">
        <v>1125</v>
      </c>
      <c r="E491" s="2">
        <v>46007.4416666667</v>
      </c>
      <c r="F491" s="4">
        <v>1.0</v>
      </c>
      <c r="G491" s="4">
        <v>0.0</v>
      </c>
      <c r="H491" s="4"/>
      <c r="I491" s="4"/>
      <c r="J491" s="4" t="s">
        <v>1480</v>
      </c>
      <c r="K491" s="4" t="s">
        <v>1480</v>
      </c>
      <c r="L491" s="4" t="s">
        <v>1481</v>
      </c>
      <c r="M491" s="4" t="s">
        <v>1482</v>
      </c>
      <c r="N491" s="4" t="s">
        <v>540</v>
      </c>
      <c r="O491" s="4" t="s">
        <v>1483</v>
      </c>
      <c r="P491" s="4" t="s">
        <v>1488</v>
      </c>
      <c r="Q491" s="4" t="s">
        <v>2331</v>
      </c>
      <c r="R491" s="4" t="b">
        <v>0</v>
      </c>
      <c r="S491" s="4" t="s">
        <v>1486</v>
      </c>
      <c r="T491" s="2">
        <v>46007.4430555556</v>
      </c>
      <c r="U491" s="2">
        <v>45975.0</v>
      </c>
      <c r="V491" s="4">
        <v>45.0</v>
      </c>
      <c r="W491" s="4" t="s">
        <v>545</v>
      </c>
      <c r="X491" s="4">
        <v>2025.0</v>
      </c>
      <c r="Y491" s="4" t="s">
        <v>1487</v>
      </c>
      <c r="Z491" s="4" t="s">
        <v>557</v>
      </c>
      <c r="AA491" s="4" t="s">
        <v>558</v>
      </c>
      <c r="AB491" s="4" t="b">
        <v>0</v>
      </c>
      <c r="AC491" s="4" t="s">
        <v>567</v>
      </c>
      <c r="AD491" s="4" t="s">
        <v>537</v>
      </c>
    </row>
    <row r="492" ht="14.25" customHeight="1">
      <c r="A492" s="4">
        <v>8133095.0</v>
      </c>
      <c r="B492" s="2">
        <v>46007.470625</v>
      </c>
      <c r="C492" s="4">
        <v>7359849.0</v>
      </c>
      <c r="D492" s="4" t="s">
        <v>1127</v>
      </c>
      <c r="E492" s="2">
        <v>46007.4715277778</v>
      </c>
      <c r="F492" s="4">
        <v>1.0</v>
      </c>
      <c r="G492" s="4">
        <v>0.0</v>
      </c>
      <c r="H492" s="4" t="s">
        <v>1519</v>
      </c>
      <c r="I492" s="4" t="s">
        <v>1781</v>
      </c>
      <c r="J492" s="4" t="s">
        <v>1519</v>
      </c>
      <c r="K492" s="4" t="s">
        <v>1513</v>
      </c>
      <c r="L492" s="4" t="s">
        <v>1781</v>
      </c>
      <c r="M492" s="4" t="s">
        <v>1692</v>
      </c>
      <c r="N492" s="4" t="s">
        <v>540</v>
      </c>
      <c r="O492" s="4" t="s">
        <v>2332</v>
      </c>
      <c r="P492" s="4" t="s">
        <v>2333</v>
      </c>
      <c r="Q492" s="4" t="s">
        <v>2334</v>
      </c>
      <c r="R492" s="4" t="b">
        <v>0</v>
      </c>
      <c r="S492" s="4" t="s">
        <v>1486</v>
      </c>
      <c r="T492" s="2">
        <v>46007.4729166667</v>
      </c>
      <c r="U492" s="2">
        <v>46007.0</v>
      </c>
      <c r="V492" s="4">
        <v>50.0</v>
      </c>
      <c r="W492" s="4" t="s">
        <v>550</v>
      </c>
      <c r="X492" s="4">
        <v>2025.0</v>
      </c>
      <c r="Y492" s="4" t="s">
        <v>1518</v>
      </c>
      <c r="Z492" s="4"/>
      <c r="AA492" s="4" t="s">
        <v>558</v>
      </c>
      <c r="AB492" s="4" t="b">
        <v>0</v>
      </c>
      <c r="AC492" s="4" t="s">
        <v>554</v>
      </c>
      <c r="AD492" s="4" t="s">
        <v>537</v>
      </c>
    </row>
    <row r="493" ht="14.25" customHeight="1">
      <c r="A493" s="4">
        <v>8133408.0</v>
      </c>
      <c r="B493" s="2">
        <v>46007.4973726852</v>
      </c>
      <c r="C493" s="4">
        <v>7360157.0</v>
      </c>
      <c r="D493" s="4" t="s">
        <v>1128</v>
      </c>
      <c r="E493" s="2">
        <v>46007.4979166667</v>
      </c>
      <c r="F493" s="4">
        <v>1.0</v>
      </c>
      <c r="G493" s="4">
        <v>0.0</v>
      </c>
      <c r="H493" s="4"/>
      <c r="I493" s="4"/>
      <c r="J493" s="4" t="s">
        <v>1480</v>
      </c>
      <c r="K493" s="4" t="s">
        <v>1480</v>
      </c>
      <c r="L493" s="4" t="s">
        <v>1481</v>
      </c>
      <c r="M493" s="4" t="s">
        <v>1482</v>
      </c>
      <c r="N493" s="4" t="s">
        <v>540</v>
      </c>
      <c r="O493" s="4" t="s">
        <v>2123</v>
      </c>
      <c r="P493" s="4" t="s">
        <v>1635</v>
      </c>
      <c r="Q493" s="4" t="s">
        <v>2335</v>
      </c>
      <c r="R493" s="4" t="b">
        <v>0</v>
      </c>
      <c r="S493" s="4" t="s">
        <v>1486</v>
      </c>
      <c r="T493" s="2">
        <v>46007.4993055556</v>
      </c>
      <c r="U493" s="2">
        <v>46007.0</v>
      </c>
      <c r="V493" s="4">
        <v>50.0</v>
      </c>
      <c r="W493" s="4" t="s">
        <v>550</v>
      </c>
      <c r="X493" s="4">
        <v>2025.0</v>
      </c>
      <c r="Y493" s="4" t="s">
        <v>1487</v>
      </c>
      <c r="Z493" s="4"/>
      <c r="AA493" s="4" t="s">
        <v>558</v>
      </c>
      <c r="AB493" s="4" t="b">
        <v>0</v>
      </c>
      <c r="AC493" s="4" t="s">
        <v>599</v>
      </c>
      <c r="AD493" s="4" t="s">
        <v>537</v>
      </c>
    </row>
    <row r="494" ht="14.25" customHeight="1">
      <c r="A494" s="4">
        <v>8133827.0</v>
      </c>
      <c r="B494" s="2">
        <v>46007.5264236111</v>
      </c>
      <c r="C494" s="4">
        <v>7360566.0</v>
      </c>
      <c r="D494" s="4" t="s">
        <v>1129</v>
      </c>
      <c r="E494" s="2">
        <v>46007.5270833333</v>
      </c>
      <c r="F494" s="4">
        <v>1.0</v>
      </c>
      <c r="G494" s="4">
        <v>0.0</v>
      </c>
      <c r="H494" s="4"/>
      <c r="I494" s="4"/>
      <c r="J494" s="4" t="s">
        <v>539</v>
      </c>
      <c r="K494" s="4" t="s">
        <v>539</v>
      </c>
      <c r="L494" s="4" t="s">
        <v>1499</v>
      </c>
      <c r="M494" s="4" t="s">
        <v>1482</v>
      </c>
      <c r="N494" s="4"/>
      <c r="O494" s="4" t="s">
        <v>1483</v>
      </c>
      <c r="P494" s="4" t="s">
        <v>1635</v>
      </c>
      <c r="Q494" s="4" t="s">
        <v>2336</v>
      </c>
      <c r="R494" s="4" t="b">
        <v>0</v>
      </c>
      <c r="S494" s="4" t="s">
        <v>1486</v>
      </c>
      <c r="T494" s="2">
        <v>46007.5284722222</v>
      </c>
      <c r="U494" s="2">
        <v>46007.0</v>
      </c>
      <c r="V494" s="4">
        <v>50.0</v>
      </c>
      <c r="W494" s="4" t="s">
        <v>550</v>
      </c>
      <c r="X494" s="4">
        <v>2025.0</v>
      </c>
      <c r="Y494" s="4" t="s">
        <v>1502</v>
      </c>
      <c r="Z494" s="4" t="s">
        <v>557</v>
      </c>
      <c r="AA494" s="4" t="s">
        <v>558</v>
      </c>
      <c r="AB494" s="4" t="b">
        <v>0</v>
      </c>
      <c r="AC494" s="4" t="s">
        <v>536</v>
      </c>
      <c r="AD494" s="4" t="s">
        <v>537</v>
      </c>
    </row>
    <row r="495" ht="14.25" customHeight="1">
      <c r="A495" s="4">
        <v>8134106.0</v>
      </c>
      <c r="B495" s="2">
        <v>46007.5516666667</v>
      </c>
      <c r="C495" s="4">
        <v>7360844.0</v>
      </c>
      <c r="D495" s="4" t="s">
        <v>1131</v>
      </c>
      <c r="E495" s="2">
        <v>46007.5548611111</v>
      </c>
      <c r="F495" s="4">
        <v>0.0</v>
      </c>
      <c r="G495" s="4">
        <v>0.0</v>
      </c>
      <c r="H495" s="4"/>
      <c r="I495" s="4"/>
      <c r="J495" s="4"/>
      <c r="K495" s="4"/>
      <c r="L495" s="4"/>
      <c r="M495" s="4" t="s">
        <v>1482</v>
      </c>
      <c r="N495" s="4" t="s">
        <v>1483</v>
      </c>
      <c r="O495" s="4" t="s">
        <v>2337</v>
      </c>
      <c r="P495" s="4" t="s">
        <v>2168</v>
      </c>
      <c r="Q495" s="4" t="s">
        <v>2338</v>
      </c>
      <c r="R495" s="4" t="b">
        <v>1</v>
      </c>
      <c r="S495" s="4" t="s">
        <v>1486</v>
      </c>
      <c r="T495" s="2">
        <v>46007.55625</v>
      </c>
      <c r="U495" s="2">
        <v>46007.0</v>
      </c>
      <c r="V495" s="4">
        <v>50.0</v>
      </c>
      <c r="W495" s="4" t="s">
        <v>550</v>
      </c>
      <c r="X495" s="4">
        <v>2025.0</v>
      </c>
      <c r="Y495" s="4" t="s">
        <v>1540</v>
      </c>
      <c r="Z495" s="4" t="s">
        <v>557</v>
      </c>
      <c r="AA495" s="4" t="s">
        <v>558</v>
      </c>
      <c r="AB495" s="4" t="b">
        <v>1</v>
      </c>
      <c r="AC495" s="4" t="s">
        <v>536</v>
      </c>
      <c r="AD495" s="4" t="s">
        <v>537</v>
      </c>
    </row>
    <row r="496" ht="14.25" customHeight="1">
      <c r="A496" s="4">
        <v>8134173.0</v>
      </c>
      <c r="B496" s="2">
        <v>46007.5573148148</v>
      </c>
      <c r="C496" s="4">
        <v>7360911.0</v>
      </c>
      <c r="D496" s="4" t="s">
        <v>1133</v>
      </c>
      <c r="E496" s="2">
        <v>46007.5569444444</v>
      </c>
      <c r="F496" s="4">
        <v>1.0</v>
      </c>
      <c r="G496" s="4">
        <v>0.0</v>
      </c>
      <c r="H496" s="4"/>
      <c r="I496" s="4"/>
      <c r="J496" s="4" t="s">
        <v>539</v>
      </c>
      <c r="K496" s="4" t="s">
        <v>539</v>
      </c>
      <c r="L496" s="4" t="s">
        <v>1499</v>
      </c>
      <c r="M496" s="4" t="s">
        <v>1482</v>
      </c>
      <c r="N496" s="4"/>
      <c r="O496" s="4" t="s">
        <v>1530</v>
      </c>
      <c r="P496" s="4" t="s">
        <v>1845</v>
      </c>
      <c r="Q496" s="4" t="s">
        <v>2339</v>
      </c>
      <c r="R496" s="4" t="b">
        <v>0</v>
      </c>
      <c r="S496" s="4" t="s">
        <v>1486</v>
      </c>
      <c r="T496" s="2">
        <v>46007.5583333333</v>
      </c>
      <c r="U496" s="2">
        <v>46007.0</v>
      </c>
      <c r="V496" s="4">
        <v>50.0</v>
      </c>
      <c r="W496" s="4" t="s">
        <v>550</v>
      </c>
      <c r="X496" s="4">
        <v>2025.0</v>
      </c>
      <c r="Y496" s="4" t="s">
        <v>1502</v>
      </c>
      <c r="Z496" s="4" t="s">
        <v>557</v>
      </c>
      <c r="AA496" s="4" t="s">
        <v>558</v>
      </c>
      <c r="AB496" s="4" t="b">
        <v>0</v>
      </c>
      <c r="AC496" s="4" t="s">
        <v>536</v>
      </c>
      <c r="AD496" s="4" t="s">
        <v>537</v>
      </c>
    </row>
    <row r="497" ht="14.25" customHeight="1">
      <c r="A497" s="4">
        <v>8049993.0</v>
      </c>
      <c r="B497" s="2">
        <v>45999.663125</v>
      </c>
      <c r="C497" s="4">
        <v>7277373.0</v>
      </c>
      <c r="D497" s="4" t="s">
        <v>1135</v>
      </c>
      <c r="E497" s="2">
        <v>46007.5875</v>
      </c>
      <c r="F497" s="4">
        <v>0.4</v>
      </c>
      <c r="G497" s="4">
        <v>0.0</v>
      </c>
      <c r="H497" s="4" t="s">
        <v>1511</v>
      </c>
      <c r="I497" s="4" t="s">
        <v>1648</v>
      </c>
      <c r="J497" s="4" t="s">
        <v>1511</v>
      </c>
      <c r="K497" s="4" t="s">
        <v>1513</v>
      </c>
      <c r="L497" s="4" t="s">
        <v>1648</v>
      </c>
      <c r="M497" s="4" t="s">
        <v>1649</v>
      </c>
      <c r="N497" s="4" t="s">
        <v>653</v>
      </c>
      <c r="O497" s="4" t="s">
        <v>2340</v>
      </c>
      <c r="P497" s="4" t="s">
        <v>1845</v>
      </c>
      <c r="Q497" s="4" t="s">
        <v>2264</v>
      </c>
      <c r="R497" s="4" t="b">
        <v>0</v>
      </c>
      <c r="S497" s="4" t="s">
        <v>1486</v>
      </c>
      <c r="T497" s="2">
        <v>46007.7215277778</v>
      </c>
      <c r="U497" s="2">
        <v>45999.0</v>
      </c>
      <c r="V497" s="4">
        <v>49.0</v>
      </c>
      <c r="W497" s="4" t="s">
        <v>550</v>
      </c>
      <c r="X497" s="4">
        <v>2025.0</v>
      </c>
      <c r="Y497" s="4" t="s">
        <v>1518</v>
      </c>
      <c r="Z497" s="4" t="s">
        <v>557</v>
      </c>
      <c r="AA497" s="4" t="s">
        <v>558</v>
      </c>
      <c r="AB497" s="4" t="b">
        <v>0</v>
      </c>
      <c r="AC497" s="4" t="s">
        <v>536</v>
      </c>
      <c r="AD497" s="4" t="s">
        <v>537</v>
      </c>
    </row>
    <row r="498" ht="14.25" customHeight="1">
      <c r="A498" s="4">
        <v>8061568.0</v>
      </c>
      <c r="B498" s="2">
        <v>46000.4254513889</v>
      </c>
      <c r="C498" s="4">
        <v>7277373.0</v>
      </c>
      <c r="D498" s="4" t="s">
        <v>1135</v>
      </c>
      <c r="E498" s="2">
        <v>46007.5875</v>
      </c>
      <c r="F498" s="4">
        <v>0.1</v>
      </c>
      <c r="G498" s="4">
        <v>0.0</v>
      </c>
      <c r="H498" s="4" t="s">
        <v>1511</v>
      </c>
      <c r="I498" s="4" t="s">
        <v>1759</v>
      </c>
      <c r="J498" s="4" t="s">
        <v>1511</v>
      </c>
      <c r="K498" s="4" t="s">
        <v>1513</v>
      </c>
      <c r="L498" s="4" t="s">
        <v>1759</v>
      </c>
      <c r="M498" s="4" t="s">
        <v>2341</v>
      </c>
      <c r="N498" s="4" t="s">
        <v>653</v>
      </c>
      <c r="O498" s="4" t="s">
        <v>2342</v>
      </c>
      <c r="P498" s="4" t="s">
        <v>1845</v>
      </c>
      <c r="Q498" s="4" t="s">
        <v>2264</v>
      </c>
      <c r="R498" s="4" t="b">
        <v>0</v>
      </c>
      <c r="S498" s="4" t="s">
        <v>1486</v>
      </c>
      <c r="T498" s="2">
        <v>46007.7215277778</v>
      </c>
      <c r="U498" s="2">
        <v>46000.0</v>
      </c>
      <c r="V498" s="4">
        <v>49.0</v>
      </c>
      <c r="W498" s="4" t="s">
        <v>550</v>
      </c>
      <c r="X498" s="4">
        <v>2025.0</v>
      </c>
      <c r="Y498" s="4" t="s">
        <v>1518</v>
      </c>
      <c r="Z498" s="4" t="s">
        <v>557</v>
      </c>
      <c r="AA498" s="4" t="s">
        <v>558</v>
      </c>
      <c r="AB498" s="4" t="b">
        <v>0</v>
      </c>
      <c r="AC498" s="4" t="s">
        <v>536</v>
      </c>
      <c r="AD498" s="4" t="s">
        <v>537</v>
      </c>
    </row>
    <row r="499" ht="14.25" customHeight="1">
      <c r="A499" s="4">
        <v>8125703.0</v>
      </c>
      <c r="B499" s="2">
        <v>46006.5630208333</v>
      </c>
      <c r="C499" s="4">
        <v>7277373.0</v>
      </c>
      <c r="D499" s="4" t="s">
        <v>1135</v>
      </c>
      <c r="E499" s="2">
        <v>46007.5875</v>
      </c>
      <c r="F499" s="4">
        <v>0.1</v>
      </c>
      <c r="G499" s="4">
        <v>0.0</v>
      </c>
      <c r="H499" s="4" t="s">
        <v>2259</v>
      </c>
      <c r="I499" s="4" t="s">
        <v>2260</v>
      </c>
      <c r="J499" s="4" t="s">
        <v>2259</v>
      </c>
      <c r="K499" s="4" t="s">
        <v>1567</v>
      </c>
      <c r="L499" s="4" t="s">
        <v>2260</v>
      </c>
      <c r="M499" s="4" t="s">
        <v>2261</v>
      </c>
      <c r="N499" s="4"/>
      <c r="O499" s="4" t="s">
        <v>2343</v>
      </c>
      <c r="P499" s="4" t="s">
        <v>1845</v>
      </c>
      <c r="Q499" s="4" t="s">
        <v>2264</v>
      </c>
      <c r="R499" s="4" t="b">
        <v>0</v>
      </c>
      <c r="S499" s="4" t="s">
        <v>1486</v>
      </c>
      <c r="T499" s="2">
        <v>46007.7215277778</v>
      </c>
      <c r="U499" s="2">
        <v>46006.0</v>
      </c>
      <c r="V499" s="4">
        <v>50.0</v>
      </c>
      <c r="W499" s="4" t="s">
        <v>550</v>
      </c>
      <c r="X499" s="4">
        <v>2025.0</v>
      </c>
      <c r="Y499" s="4" t="s">
        <v>1518</v>
      </c>
      <c r="Z499" s="4" t="s">
        <v>557</v>
      </c>
      <c r="AA499" s="4" t="s">
        <v>558</v>
      </c>
      <c r="AB499" s="4" t="b">
        <v>0</v>
      </c>
      <c r="AC499" s="4" t="s">
        <v>536</v>
      </c>
      <c r="AD499" s="4" t="s">
        <v>537</v>
      </c>
    </row>
    <row r="500" ht="14.25" customHeight="1">
      <c r="A500" s="4">
        <v>8134535.0</v>
      </c>
      <c r="B500" s="2">
        <v>46007.5865162037</v>
      </c>
      <c r="C500" s="4">
        <v>7277373.0</v>
      </c>
      <c r="D500" s="4" t="s">
        <v>1135</v>
      </c>
      <c r="E500" s="2">
        <v>46007.5875</v>
      </c>
      <c r="F500" s="4">
        <v>0.4</v>
      </c>
      <c r="G500" s="4">
        <v>0.0</v>
      </c>
      <c r="H500" s="4" t="s">
        <v>1888</v>
      </c>
      <c r="I500" s="4" t="s">
        <v>1889</v>
      </c>
      <c r="J500" s="4" t="s">
        <v>1888</v>
      </c>
      <c r="K500" s="4" t="s">
        <v>1775</v>
      </c>
      <c r="L500" s="4" t="s">
        <v>1889</v>
      </c>
      <c r="M500" s="4" t="s">
        <v>2344</v>
      </c>
      <c r="N500" s="4"/>
      <c r="O500" s="4" t="s">
        <v>1483</v>
      </c>
      <c r="P500" s="4" t="s">
        <v>1845</v>
      </c>
      <c r="Q500" s="4" t="s">
        <v>2264</v>
      </c>
      <c r="R500" s="4" t="b">
        <v>0</v>
      </c>
      <c r="S500" s="4" t="s">
        <v>1486</v>
      </c>
      <c r="T500" s="2">
        <v>46007.7215277778</v>
      </c>
      <c r="U500" s="2">
        <v>46007.0</v>
      </c>
      <c r="V500" s="4">
        <v>50.0</v>
      </c>
      <c r="W500" s="4" t="s">
        <v>550</v>
      </c>
      <c r="X500" s="4">
        <v>2025.0</v>
      </c>
      <c r="Y500" s="4" t="s">
        <v>1518</v>
      </c>
      <c r="Z500" s="4" t="s">
        <v>557</v>
      </c>
      <c r="AA500" s="4" t="s">
        <v>558</v>
      </c>
      <c r="AB500" s="4" t="b">
        <v>0</v>
      </c>
      <c r="AC500" s="4" t="s">
        <v>536</v>
      </c>
      <c r="AD500" s="4" t="s">
        <v>537</v>
      </c>
    </row>
    <row r="501" ht="14.25" customHeight="1">
      <c r="A501" s="4">
        <v>8133340.0</v>
      </c>
      <c r="B501" s="2">
        <v>46007.4922453704</v>
      </c>
      <c r="C501" s="4">
        <v>7360089.0</v>
      </c>
      <c r="D501" s="4" t="s">
        <v>1137</v>
      </c>
      <c r="E501" s="2">
        <v>46007.5958333333</v>
      </c>
      <c r="F501" s="4">
        <v>0.0</v>
      </c>
      <c r="G501" s="4">
        <v>0.0</v>
      </c>
      <c r="H501" s="4"/>
      <c r="I501" s="4"/>
      <c r="J501" s="4"/>
      <c r="K501" s="4"/>
      <c r="L501" s="4"/>
      <c r="M501" s="4" t="s">
        <v>1482</v>
      </c>
      <c r="N501" s="4" t="s">
        <v>2345</v>
      </c>
      <c r="O501" s="4" t="s">
        <v>2346</v>
      </c>
      <c r="P501" s="4" t="s">
        <v>1635</v>
      </c>
      <c r="Q501" s="4" t="s">
        <v>2347</v>
      </c>
      <c r="R501" s="4" t="b">
        <v>1</v>
      </c>
      <c r="S501" s="4" t="s">
        <v>1486</v>
      </c>
      <c r="T501" s="2">
        <v>46007.7041666667</v>
      </c>
      <c r="U501" s="2">
        <v>46007.0</v>
      </c>
      <c r="V501" s="4">
        <v>50.0</v>
      </c>
      <c r="W501" s="4" t="s">
        <v>550</v>
      </c>
      <c r="X501" s="4">
        <v>2025.0</v>
      </c>
      <c r="Y501" s="4" t="s">
        <v>1540</v>
      </c>
      <c r="Z501" s="4"/>
      <c r="AA501" s="4" t="s">
        <v>558</v>
      </c>
      <c r="AB501" s="4" t="b">
        <v>1</v>
      </c>
      <c r="AC501" s="4" t="s">
        <v>567</v>
      </c>
      <c r="AD501" s="4" t="s">
        <v>537</v>
      </c>
    </row>
    <row r="502" ht="14.25" customHeight="1">
      <c r="A502" s="4">
        <v>8134639.0</v>
      </c>
      <c r="B502" s="2">
        <v>46007.59375</v>
      </c>
      <c r="C502" s="4">
        <v>7360089.0</v>
      </c>
      <c r="D502" s="4" t="s">
        <v>1137</v>
      </c>
      <c r="E502" s="2">
        <v>46007.5958333333</v>
      </c>
      <c r="F502" s="4">
        <v>1.0</v>
      </c>
      <c r="G502" s="4">
        <v>0.0</v>
      </c>
      <c r="H502" s="4" t="s">
        <v>1888</v>
      </c>
      <c r="I502" s="4" t="s">
        <v>1889</v>
      </c>
      <c r="J502" s="4" t="s">
        <v>1888</v>
      </c>
      <c r="K502" s="4" t="s">
        <v>1775</v>
      </c>
      <c r="L502" s="4" t="s">
        <v>1889</v>
      </c>
      <c r="M502" s="4" t="s">
        <v>2344</v>
      </c>
      <c r="N502" s="4"/>
      <c r="O502" s="4" t="s">
        <v>1483</v>
      </c>
      <c r="P502" s="4" t="s">
        <v>1635</v>
      </c>
      <c r="Q502" s="4" t="s">
        <v>2347</v>
      </c>
      <c r="R502" s="4" t="b">
        <v>0</v>
      </c>
      <c r="S502" s="4" t="s">
        <v>1486</v>
      </c>
      <c r="T502" s="2">
        <v>46007.7041666667</v>
      </c>
      <c r="U502" s="2">
        <v>46007.0</v>
      </c>
      <c r="V502" s="4">
        <v>50.0</v>
      </c>
      <c r="W502" s="4" t="s">
        <v>550</v>
      </c>
      <c r="X502" s="4">
        <v>2025.0</v>
      </c>
      <c r="Y502" s="4" t="s">
        <v>1518</v>
      </c>
      <c r="Z502" s="4"/>
      <c r="AA502" s="4" t="s">
        <v>558</v>
      </c>
      <c r="AB502" s="4" t="b">
        <v>1</v>
      </c>
      <c r="AC502" s="4" t="s">
        <v>567</v>
      </c>
      <c r="AD502" s="4" t="s">
        <v>537</v>
      </c>
    </row>
    <row r="503" ht="14.25" customHeight="1">
      <c r="A503" s="4">
        <v>8084445.0</v>
      </c>
      <c r="B503" s="2">
        <v>46001.592650463</v>
      </c>
      <c r="C503" s="4">
        <v>7311650.0</v>
      </c>
      <c r="D503" s="4" t="s">
        <v>1138</v>
      </c>
      <c r="E503" s="2">
        <v>46007.6055555556</v>
      </c>
      <c r="F503" s="4">
        <v>1.0</v>
      </c>
      <c r="G503" s="4">
        <v>0.0</v>
      </c>
      <c r="H503" s="4"/>
      <c r="I503" s="4"/>
      <c r="J503" s="4" t="s">
        <v>539</v>
      </c>
      <c r="K503" s="4" t="s">
        <v>539</v>
      </c>
      <c r="L503" s="4" t="s">
        <v>1499</v>
      </c>
      <c r="M503" s="4" t="s">
        <v>1482</v>
      </c>
      <c r="N503" s="4"/>
      <c r="O503" s="4" t="s">
        <v>1598</v>
      </c>
      <c r="P503" s="4" t="s">
        <v>1845</v>
      </c>
      <c r="Q503" s="4" t="s">
        <v>2348</v>
      </c>
      <c r="R503" s="4" t="b">
        <v>0</v>
      </c>
      <c r="S503" s="4" t="s">
        <v>1486</v>
      </c>
      <c r="T503" s="2">
        <v>46007.6069444444</v>
      </c>
      <c r="U503" s="2">
        <v>46001.0</v>
      </c>
      <c r="V503" s="4">
        <v>49.0</v>
      </c>
      <c r="W503" s="4" t="s">
        <v>550</v>
      </c>
      <c r="X503" s="4">
        <v>2025.0</v>
      </c>
      <c r="Y503" s="4" t="s">
        <v>1502</v>
      </c>
      <c r="Z503" s="4"/>
      <c r="AA503" s="4" t="s">
        <v>624</v>
      </c>
      <c r="AB503" s="4" t="b">
        <v>0</v>
      </c>
      <c r="AC503" s="4" t="s">
        <v>623</v>
      </c>
      <c r="AD503" s="4" t="s">
        <v>537</v>
      </c>
    </row>
    <row r="504" ht="14.25" customHeight="1">
      <c r="A504" s="4">
        <v>8135275.0</v>
      </c>
      <c r="B504" s="2">
        <v>46007.6397569444</v>
      </c>
      <c r="C504" s="4">
        <v>7361997.0</v>
      </c>
      <c r="D504" s="4" t="s">
        <v>1139</v>
      </c>
      <c r="E504" s="2">
        <v>46007.6513888889</v>
      </c>
      <c r="F504" s="4">
        <v>1.0</v>
      </c>
      <c r="G504" s="4">
        <v>0.0</v>
      </c>
      <c r="H504" s="4"/>
      <c r="I504" s="4"/>
      <c r="J504" s="4" t="s">
        <v>539</v>
      </c>
      <c r="K504" s="4" t="s">
        <v>539</v>
      </c>
      <c r="L504" s="4" t="s">
        <v>1499</v>
      </c>
      <c r="M504" s="4" t="s">
        <v>1482</v>
      </c>
      <c r="N504" s="4"/>
      <c r="O504" s="4" t="s">
        <v>1483</v>
      </c>
      <c r="P504" s="4" t="s">
        <v>1635</v>
      </c>
      <c r="Q504" s="4" t="s">
        <v>2349</v>
      </c>
      <c r="R504" s="4" t="b">
        <v>0</v>
      </c>
      <c r="S504" s="4" t="s">
        <v>1486</v>
      </c>
      <c r="T504" s="2">
        <v>46007.6527777778</v>
      </c>
      <c r="U504" s="2">
        <v>46007.0</v>
      </c>
      <c r="V504" s="4">
        <v>50.0</v>
      </c>
      <c r="W504" s="4" t="s">
        <v>550</v>
      </c>
      <c r="X504" s="4">
        <v>2025.0</v>
      </c>
      <c r="Y504" s="4" t="s">
        <v>1502</v>
      </c>
      <c r="Z504" s="4"/>
      <c r="AA504" s="4" t="s">
        <v>558</v>
      </c>
      <c r="AB504" s="4" t="b">
        <v>0</v>
      </c>
      <c r="AC504" s="4" t="s">
        <v>567</v>
      </c>
      <c r="AD504" s="4" t="s">
        <v>537</v>
      </c>
    </row>
    <row r="505" ht="14.25" customHeight="1">
      <c r="A505" s="4">
        <v>8135718.0</v>
      </c>
      <c r="B505" s="2">
        <v>46007.6690509259</v>
      </c>
      <c r="C505" s="4">
        <v>7362434.0</v>
      </c>
      <c r="D505" s="4" t="s">
        <v>1140</v>
      </c>
      <c r="E505" s="2">
        <v>46007.6736111111</v>
      </c>
      <c r="F505" s="4">
        <v>1.0</v>
      </c>
      <c r="G505" s="4">
        <v>0.0</v>
      </c>
      <c r="H505" s="4"/>
      <c r="I505" s="4"/>
      <c r="J505" s="4" t="s">
        <v>1480</v>
      </c>
      <c r="K505" s="4" t="s">
        <v>1480</v>
      </c>
      <c r="L505" s="4" t="s">
        <v>1511</v>
      </c>
      <c r="M505" s="4" t="s">
        <v>1482</v>
      </c>
      <c r="N505" s="4" t="s">
        <v>653</v>
      </c>
      <c r="O505" s="4" t="s">
        <v>1483</v>
      </c>
      <c r="P505" s="4" t="s">
        <v>1845</v>
      </c>
      <c r="Q505" s="4" t="s">
        <v>2350</v>
      </c>
      <c r="R505" s="4" t="b">
        <v>0</v>
      </c>
      <c r="S505" s="4" t="s">
        <v>1486</v>
      </c>
      <c r="T505" s="2">
        <v>46007.675</v>
      </c>
      <c r="U505" s="2">
        <v>46007.0</v>
      </c>
      <c r="V505" s="4">
        <v>50.0</v>
      </c>
      <c r="W505" s="4" t="s">
        <v>550</v>
      </c>
      <c r="X505" s="4">
        <v>2025.0</v>
      </c>
      <c r="Y505" s="4" t="s">
        <v>1680</v>
      </c>
      <c r="Z505" s="4" t="s">
        <v>557</v>
      </c>
      <c r="AA505" s="4" t="s">
        <v>558</v>
      </c>
      <c r="AB505" s="4" t="b">
        <v>0</v>
      </c>
      <c r="AC505" s="4" t="s">
        <v>536</v>
      </c>
      <c r="AD505" s="4" t="s">
        <v>537</v>
      </c>
    </row>
    <row r="506" ht="14.25" customHeight="1">
      <c r="A506" s="4">
        <v>8126981.0</v>
      </c>
      <c r="B506" s="2">
        <v>46006.6966319444</v>
      </c>
      <c r="C506" s="4">
        <v>7353796.0</v>
      </c>
      <c r="D506" s="4" t="s">
        <v>1141</v>
      </c>
      <c r="E506" s="2">
        <v>46007.6986111111</v>
      </c>
      <c r="F506" s="4">
        <v>0.4</v>
      </c>
      <c r="G506" s="4">
        <v>0.0</v>
      </c>
      <c r="H506" s="4"/>
      <c r="I506" s="4"/>
      <c r="J506" s="4" t="s">
        <v>1526</v>
      </c>
      <c r="K506" s="4" t="s">
        <v>1527</v>
      </c>
      <c r="L506" s="4" t="s">
        <v>1528</v>
      </c>
      <c r="M506" s="4" t="s">
        <v>1482</v>
      </c>
      <c r="N506" s="4" t="s">
        <v>1529</v>
      </c>
      <c r="O506" s="4" t="s">
        <v>1530</v>
      </c>
      <c r="P506" s="4" t="s">
        <v>1635</v>
      </c>
      <c r="Q506" s="4" t="s">
        <v>2296</v>
      </c>
      <c r="R506" s="4" t="b">
        <v>0</v>
      </c>
      <c r="S506" s="4" t="s">
        <v>1486</v>
      </c>
      <c r="T506" s="2">
        <v>46007.7</v>
      </c>
      <c r="U506" s="2">
        <v>46006.0</v>
      </c>
      <c r="V506" s="4">
        <v>50.0</v>
      </c>
      <c r="W506" s="4" t="s">
        <v>550</v>
      </c>
      <c r="X506" s="4">
        <v>2025.0</v>
      </c>
      <c r="Y506" s="4" t="s">
        <v>1532</v>
      </c>
      <c r="Z506" s="4" t="s">
        <v>557</v>
      </c>
      <c r="AA506" s="4" t="s">
        <v>558</v>
      </c>
      <c r="AB506" s="4" t="b">
        <v>0</v>
      </c>
      <c r="AC506" s="4" t="s">
        <v>536</v>
      </c>
      <c r="AD506" s="4" t="s">
        <v>537</v>
      </c>
    </row>
    <row r="507" ht="14.25" customHeight="1">
      <c r="A507" s="4">
        <v>8133860.0</v>
      </c>
      <c r="B507" s="2">
        <v>46007.5296180556</v>
      </c>
      <c r="C507" s="4">
        <v>7353796.0</v>
      </c>
      <c r="D507" s="4" t="s">
        <v>1141</v>
      </c>
      <c r="E507" s="2">
        <v>46007.6986111111</v>
      </c>
      <c r="F507" s="4">
        <v>0.2</v>
      </c>
      <c r="G507" s="4">
        <v>0.0</v>
      </c>
      <c r="H507" s="4" t="s">
        <v>1519</v>
      </c>
      <c r="I507" s="4" t="s">
        <v>2351</v>
      </c>
      <c r="J507" s="4" t="s">
        <v>1519</v>
      </c>
      <c r="K507" s="4" t="s">
        <v>1513</v>
      </c>
      <c r="L507" s="4" t="s">
        <v>2351</v>
      </c>
      <c r="M507" s="4" t="s">
        <v>1692</v>
      </c>
      <c r="N507" s="4" t="s">
        <v>540</v>
      </c>
      <c r="O507" s="4" t="s">
        <v>2352</v>
      </c>
      <c r="P507" s="4" t="s">
        <v>1635</v>
      </c>
      <c r="Q507" s="4" t="s">
        <v>2296</v>
      </c>
      <c r="R507" s="4" t="b">
        <v>0</v>
      </c>
      <c r="S507" s="4" t="s">
        <v>1486</v>
      </c>
      <c r="T507" s="2">
        <v>46007.7</v>
      </c>
      <c r="U507" s="2">
        <v>46007.0</v>
      </c>
      <c r="V507" s="4">
        <v>50.0</v>
      </c>
      <c r="W507" s="4" t="s">
        <v>550</v>
      </c>
      <c r="X507" s="4">
        <v>2025.0</v>
      </c>
      <c r="Y507" s="4" t="s">
        <v>1518</v>
      </c>
      <c r="Z507" s="4" t="s">
        <v>557</v>
      </c>
      <c r="AA507" s="4" t="s">
        <v>558</v>
      </c>
      <c r="AB507" s="4" t="b">
        <v>0</v>
      </c>
      <c r="AC507" s="4" t="s">
        <v>536</v>
      </c>
      <c r="AD507" s="4" t="s">
        <v>537</v>
      </c>
    </row>
    <row r="508" ht="14.25" customHeight="1">
      <c r="A508" s="4">
        <v>8136105.0</v>
      </c>
      <c r="B508" s="2">
        <v>46007.6984259259</v>
      </c>
      <c r="C508" s="4">
        <v>7353796.0</v>
      </c>
      <c r="D508" s="4" t="s">
        <v>1141</v>
      </c>
      <c r="E508" s="2">
        <v>46007.6986111111</v>
      </c>
      <c r="F508" s="4">
        <v>0.4</v>
      </c>
      <c r="G508" s="4">
        <v>0.0</v>
      </c>
      <c r="H508" s="4" t="s">
        <v>1526</v>
      </c>
      <c r="I508" s="4" t="s">
        <v>2155</v>
      </c>
      <c r="J508" s="4" t="s">
        <v>1526</v>
      </c>
      <c r="K508" s="4" t="s">
        <v>1527</v>
      </c>
      <c r="L508" s="4" t="s">
        <v>2155</v>
      </c>
      <c r="M508" s="4" t="s">
        <v>2156</v>
      </c>
      <c r="N508" s="4" t="s">
        <v>2157</v>
      </c>
      <c r="O508" s="4" t="s">
        <v>2158</v>
      </c>
      <c r="P508" s="4" t="s">
        <v>1635</v>
      </c>
      <c r="Q508" s="4" t="s">
        <v>2353</v>
      </c>
      <c r="R508" s="4" t="b">
        <v>0</v>
      </c>
      <c r="S508" s="4" t="s">
        <v>1486</v>
      </c>
      <c r="T508" s="2">
        <v>46007.7</v>
      </c>
      <c r="U508" s="2">
        <v>46007.0</v>
      </c>
      <c r="V508" s="4">
        <v>50.0</v>
      </c>
      <c r="W508" s="4" t="s">
        <v>550</v>
      </c>
      <c r="X508" s="4">
        <v>2025.0</v>
      </c>
      <c r="Y508" s="4" t="s">
        <v>1518</v>
      </c>
      <c r="Z508" s="4" t="s">
        <v>557</v>
      </c>
      <c r="AA508" s="4" t="s">
        <v>558</v>
      </c>
      <c r="AB508" s="4" t="b">
        <v>0</v>
      </c>
      <c r="AC508" s="4" t="s">
        <v>536</v>
      </c>
      <c r="AD508" s="4" t="s">
        <v>537</v>
      </c>
    </row>
    <row r="509" ht="14.25" customHeight="1">
      <c r="A509" s="4">
        <v>8133340.0</v>
      </c>
      <c r="B509" s="2">
        <v>46007.4922453704</v>
      </c>
      <c r="C509" s="4">
        <v>7360089.0</v>
      </c>
      <c r="D509" s="4" t="s">
        <v>1142</v>
      </c>
      <c r="E509" s="2">
        <v>46007.7027777778</v>
      </c>
      <c r="F509" s="4">
        <v>0.0</v>
      </c>
      <c r="G509" s="4">
        <v>0.0</v>
      </c>
      <c r="H509" s="4"/>
      <c r="I509" s="4"/>
      <c r="J509" s="4"/>
      <c r="K509" s="4"/>
      <c r="L509" s="4"/>
      <c r="M509" s="4" t="s">
        <v>1482</v>
      </c>
      <c r="N509" s="4" t="s">
        <v>2345</v>
      </c>
      <c r="O509" s="4" t="s">
        <v>2346</v>
      </c>
      <c r="P509" s="4" t="s">
        <v>1635</v>
      </c>
      <c r="Q509" s="4" t="s">
        <v>2347</v>
      </c>
      <c r="R509" s="4" t="b">
        <v>1</v>
      </c>
      <c r="S509" s="4" t="s">
        <v>1486</v>
      </c>
      <c r="T509" s="2">
        <v>46007.7041666667</v>
      </c>
      <c r="U509" s="2">
        <v>46007.0</v>
      </c>
      <c r="V509" s="4">
        <v>50.0</v>
      </c>
      <c r="W509" s="4" t="s">
        <v>550</v>
      </c>
      <c r="X509" s="4">
        <v>2025.0</v>
      </c>
      <c r="Y509" s="4" t="s">
        <v>1540</v>
      </c>
      <c r="Z509" s="4" t="s">
        <v>557</v>
      </c>
      <c r="AA509" s="4" t="s">
        <v>558</v>
      </c>
      <c r="AB509" s="4" t="b">
        <v>0</v>
      </c>
      <c r="AC509" s="4" t="s">
        <v>567</v>
      </c>
      <c r="AD509" s="4" t="s">
        <v>537</v>
      </c>
    </row>
    <row r="510" ht="14.25" customHeight="1">
      <c r="A510" s="4">
        <v>8134639.0</v>
      </c>
      <c r="B510" s="2">
        <v>46007.59375</v>
      </c>
      <c r="C510" s="4">
        <v>7360089.0</v>
      </c>
      <c r="D510" s="4" t="s">
        <v>1142</v>
      </c>
      <c r="E510" s="2">
        <v>46007.7027777778</v>
      </c>
      <c r="F510" s="4">
        <v>0.5</v>
      </c>
      <c r="G510" s="4">
        <v>0.0</v>
      </c>
      <c r="H510" s="4" t="s">
        <v>1888</v>
      </c>
      <c r="I510" s="4" t="s">
        <v>1889</v>
      </c>
      <c r="J510" s="4" t="s">
        <v>1888</v>
      </c>
      <c r="K510" s="4" t="s">
        <v>1775</v>
      </c>
      <c r="L510" s="4" t="s">
        <v>1889</v>
      </c>
      <c r="M510" s="4" t="s">
        <v>2344</v>
      </c>
      <c r="N510" s="4"/>
      <c r="O510" s="4" t="s">
        <v>1483</v>
      </c>
      <c r="P510" s="4" t="s">
        <v>1635</v>
      </c>
      <c r="Q510" s="4" t="s">
        <v>2347</v>
      </c>
      <c r="R510" s="4" t="b">
        <v>0</v>
      </c>
      <c r="S510" s="4" t="s">
        <v>1486</v>
      </c>
      <c r="T510" s="2">
        <v>46007.7041666667</v>
      </c>
      <c r="U510" s="2">
        <v>46007.0</v>
      </c>
      <c r="V510" s="4">
        <v>50.0</v>
      </c>
      <c r="W510" s="4" t="s">
        <v>550</v>
      </c>
      <c r="X510" s="4">
        <v>2025.0</v>
      </c>
      <c r="Y510" s="4" t="s">
        <v>1518</v>
      </c>
      <c r="Z510" s="4" t="s">
        <v>557</v>
      </c>
      <c r="AA510" s="4" t="s">
        <v>558</v>
      </c>
      <c r="AB510" s="4" t="b">
        <v>0</v>
      </c>
      <c r="AC510" s="4" t="s">
        <v>567</v>
      </c>
      <c r="AD510" s="4" t="s">
        <v>537</v>
      </c>
    </row>
    <row r="511" ht="14.25" customHeight="1">
      <c r="A511" s="4">
        <v>8136139.0</v>
      </c>
      <c r="B511" s="2">
        <v>46007.7019560185</v>
      </c>
      <c r="C511" s="4">
        <v>7360089.0</v>
      </c>
      <c r="D511" s="4" t="s">
        <v>1142</v>
      </c>
      <c r="E511" s="2">
        <v>46007.7027777778</v>
      </c>
      <c r="F511" s="4">
        <v>0.5</v>
      </c>
      <c r="G511" s="4">
        <v>0.0</v>
      </c>
      <c r="H511" s="4" t="s">
        <v>1888</v>
      </c>
      <c r="I511" s="4" t="s">
        <v>1889</v>
      </c>
      <c r="J511" s="4" t="s">
        <v>1888</v>
      </c>
      <c r="K511" s="4" t="s">
        <v>1775</v>
      </c>
      <c r="L511" s="4" t="s">
        <v>1889</v>
      </c>
      <c r="M511" s="4" t="s">
        <v>2344</v>
      </c>
      <c r="N511" s="4"/>
      <c r="O511" s="4" t="s">
        <v>1483</v>
      </c>
      <c r="P511" s="4" t="s">
        <v>1635</v>
      </c>
      <c r="Q511" s="4" t="s">
        <v>2347</v>
      </c>
      <c r="R511" s="4" t="b">
        <v>0</v>
      </c>
      <c r="S511" s="4" t="s">
        <v>1486</v>
      </c>
      <c r="T511" s="2">
        <v>46007.7041666667</v>
      </c>
      <c r="U511" s="2">
        <v>46007.0</v>
      </c>
      <c r="V511" s="4">
        <v>50.0</v>
      </c>
      <c r="W511" s="4" t="s">
        <v>550</v>
      </c>
      <c r="X511" s="4">
        <v>2025.0</v>
      </c>
      <c r="Y511" s="4" t="s">
        <v>1518</v>
      </c>
      <c r="Z511" s="4" t="s">
        <v>557</v>
      </c>
      <c r="AA511" s="4" t="s">
        <v>558</v>
      </c>
      <c r="AB511" s="4" t="b">
        <v>0</v>
      </c>
      <c r="AC511" s="4" t="s">
        <v>567</v>
      </c>
      <c r="AD511" s="4" t="s">
        <v>537</v>
      </c>
    </row>
    <row r="512" ht="14.25" customHeight="1">
      <c r="A512" s="4">
        <v>8049993.0</v>
      </c>
      <c r="B512" s="2">
        <v>45999.663125</v>
      </c>
      <c r="C512" s="4">
        <v>7277373.0</v>
      </c>
      <c r="D512" s="4" t="s">
        <v>1143</v>
      </c>
      <c r="E512" s="2">
        <v>46007.7201388889</v>
      </c>
      <c r="F512" s="4">
        <v>0.4</v>
      </c>
      <c r="G512" s="4">
        <v>0.0</v>
      </c>
      <c r="H512" s="4" t="s">
        <v>1511</v>
      </c>
      <c r="I512" s="4" t="s">
        <v>1648</v>
      </c>
      <c r="J512" s="4" t="s">
        <v>1511</v>
      </c>
      <c r="K512" s="4" t="s">
        <v>1513</v>
      </c>
      <c r="L512" s="4" t="s">
        <v>1648</v>
      </c>
      <c r="M512" s="4" t="s">
        <v>1649</v>
      </c>
      <c r="N512" s="4" t="s">
        <v>653</v>
      </c>
      <c r="O512" s="4" t="s">
        <v>2340</v>
      </c>
      <c r="P512" s="4" t="s">
        <v>1845</v>
      </c>
      <c r="Q512" s="4" t="s">
        <v>2264</v>
      </c>
      <c r="R512" s="4" t="b">
        <v>0</v>
      </c>
      <c r="S512" s="4" t="s">
        <v>1486</v>
      </c>
      <c r="T512" s="2">
        <v>46007.7215277778</v>
      </c>
      <c r="U512" s="2">
        <v>45999.0</v>
      </c>
      <c r="V512" s="4">
        <v>49.0</v>
      </c>
      <c r="W512" s="4" t="s">
        <v>550</v>
      </c>
      <c r="X512" s="4">
        <v>2025.0</v>
      </c>
      <c r="Y512" s="4" t="s">
        <v>1518</v>
      </c>
      <c r="Z512" s="4"/>
      <c r="AA512" s="4" t="s">
        <v>558</v>
      </c>
      <c r="AB512" s="4" t="b">
        <v>0</v>
      </c>
      <c r="AC512" s="4" t="s">
        <v>536</v>
      </c>
      <c r="AD512" s="4" t="s">
        <v>537</v>
      </c>
    </row>
    <row r="513" ht="14.25" customHeight="1">
      <c r="A513" s="4">
        <v>8061568.0</v>
      </c>
      <c r="B513" s="2">
        <v>46000.4254513889</v>
      </c>
      <c r="C513" s="4">
        <v>7277373.0</v>
      </c>
      <c r="D513" s="4" t="s">
        <v>1143</v>
      </c>
      <c r="E513" s="2">
        <v>46007.7201388889</v>
      </c>
      <c r="F513" s="4">
        <v>0.05</v>
      </c>
      <c r="G513" s="4">
        <v>0.0</v>
      </c>
      <c r="H513" s="4" t="s">
        <v>1511</v>
      </c>
      <c r="I513" s="4" t="s">
        <v>1759</v>
      </c>
      <c r="J513" s="4" t="s">
        <v>1511</v>
      </c>
      <c r="K513" s="4" t="s">
        <v>1513</v>
      </c>
      <c r="L513" s="4" t="s">
        <v>1759</v>
      </c>
      <c r="M513" s="4" t="s">
        <v>2341</v>
      </c>
      <c r="N513" s="4" t="s">
        <v>653</v>
      </c>
      <c r="O513" s="4" t="s">
        <v>2342</v>
      </c>
      <c r="P513" s="4" t="s">
        <v>1845</v>
      </c>
      <c r="Q513" s="4" t="s">
        <v>2264</v>
      </c>
      <c r="R513" s="4" t="b">
        <v>0</v>
      </c>
      <c r="S513" s="4" t="s">
        <v>1486</v>
      </c>
      <c r="T513" s="2">
        <v>46007.7215277778</v>
      </c>
      <c r="U513" s="2">
        <v>46000.0</v>
      </c>
      <c r="V513" s="4">
        <v>49.0</v>
      </c>
      <c r="W513" s="4" t="s">
        <v>550</v>
      </c>
      <c r="X513" s="4">
        <v>2025.0</v>
      </c>
      <c r="Y513" s="4" t="s">
        <v>1518</v>
      </c>
      <c r="Z513" s="4"/>
      <c r="AA513" s="4" t="s">
        <v>558</v>
      </c>
      <c r="AB513" s="4" t="b">
        <v>0</v>
      </c>
      <c r="AC513" s="4" t="s">
        <v>536</v>
      </c>
      <c r="AD513" s="4" t="s">
        <v>537</v>
      </c>
    </row>
    <row r="514" ht="14.25" customHeight="1">
      <c r="A514" s="4">
        <v>8125703.0</v>
      </c>
      <c r="B514" s="2">
        <v>46006.5630208333</v>
      </c>
      <c r="C514" s="4">
        <v>7277373.0</v>
      </c>
      <c r="D514" s="4" t="s">
        <v>1143</v>
      </c>
      <c r="E514" s="2">
        <v>46007.7201388889</v>
      </c>
      <c r="F514" s="4">
        <v>0.05</v>
      </c>
      <c r="G514" s="4">
        <v>0.0</v>
      </c>
      <c r="H514" s="4" t="s">
        <v>2259</v>
      </c>
      <c r="I514" s="4" t="s">
        <v>2260</v>
      </c>
      <c r="J514" s="4" t="s">
        <v>2259</v>
      </c>
      <c r="K514" s="4" t="s">
        <v>1567</v>
      </c>
      <c r="L514" s="4" t="s">
        <v>2260</v>
      </c>
      <c r="M514" s="4" t="s">
        <v>2261</v>
      </c>
      <c r="N514" s="4"/>
      <c r="O514" s="4" t="s">
        <v>2343</v>
      </c>
      <c r="P514" s="4" t="s">
        <v>1845</v>
      </c>
      <c r="Q514" s="4" t="s">
        <v>2264</v>
      </c>
      <c r="R514" s="4" t="b">
        <v>0</v>
      </c>
      <c r="S514" s="4" t="s">
        <v>1486</v>
      </c>
      <c r="T514" s="2">
        <v>46007.7215277778</v>
      </c>
      <c r="U514" s="2">
        <v>46006.0</v>
      </c>
      <c r="V514" s="4">
        <v>50.0</v>
      </c>
      <c r="W514" s="4" t="s">
        <v>550</v>
      </c>
      <c r="X514" s="4">
        <v>2025.0</v>
      </c>
      <c r="Y514" s="4" t="s">
        <v>1518</v>
      </c>
      <c r="Z514" s="4"/>
      <c r="AA514" s="4" t="s">
        <v>558</v>
      </c>
      <c r="AB514" s="4" t="b">
        <v>0</v>
      </c>
      <c r="AC514" s="4" t="s">
        <v>536</v>
      </c>
      <c r="AD514" s="4" t="s">
        <v>537</v>
      </c>
    </row>
    <row r="515" ht="14.25" customHeight="1">
      <c r="A515" s="4">
        <v>8134535.0</v>
      </c>
      <c r="B515" s="2">
        <v>46007.5865162037</v>
      </c>
      <c r="C515" s="4">
        <v>7277373.0</v>
      </c>
      <c r="D515" s="4" t="s">
        <v>1143</v>
      </c>
      <c r="E515" s="2">
        <v>46007.7201388889</v>
      </c>
      <c r="F515" s="4">
        <v>0.05</v>
      </c>
      <c r="G515" s="4">
        <v>0.0</v>
      </c>
      <c r="H515" s="4" t="s">
        <v>1888</v>
      </c>
      <c r="I515" s="4" t="s">
        <v>1889</v>
      </c>
      <c r="J515" s="4" t="s">
        <v>1888</v>
      </c>
      <c r="K515" s="4" t="s">
        <v>1775</v>
      </c>
      <c r="L515" s="4" t="s">
        <v>1889</v>
      </c>
      <c r="M515" s="4" t="s">
        <v>2344</v>
      </c>
      <c r="N515" s="4"/>
      <c r="O515" s="4" t="s">
        <v>1483</v>
      </c>
      <c r="P515" s="4" t="s">
        <v>1845</v>
      </c>
      <c r="Q515" s="4" t="s">
        <v>2264</v>
      </c>
      <c r="R515" s="4" t="b">
        <v>0</v>
      </c>
      <c r="S515" s="4" t="s">
        <v>1486</v>
      </c>
      <c r="T515" s="2">
        <v>46007.7215277778</v>
      </c>
      <c r="U515" s="2">
        <v>46007.0</v>
      </c>
      <c r="V515" s="4">
        <v>50.0</v>
      </c>
      <c r="W515" s="4" t="s">
        <v>550</v>
      </c>
      <c r="X515" s="4">
        <v>2025.0</v>
      </c>
      <c r="Y515" s="4" t="s">
        <v>1518</v>
      </c>
      <c r="Z515" s="4"/>
      <c r="AA515" s="4" t="s">
        <v>558</v>
      </c>
      <c r="AB515" s="4" t="b">
        <v>0</v>
      </c>
      <c r="AC515" s="4" t="s">
        <v>536</v>
      </c>
      <c r="AD515" s="4" t="s">
        <v>537</v>
      </c>
    </row>
    <row r="516" ht="14.25" customHeight="1">
      <c r="A516" s="4">
        <v>8134599.0</v>
      </c>
      <c r="B516" s="2">
        <v>46007.5906018519</v>
      </c>
      <c r="C516" s="4">
        <v>7277373.0</v>
      </c>
      <c r="D516" s="4" t="s">
        <v>1143</v>
      </c>
      <c r="E516" s="2">
        <v>46007.7201388889</v>
      </c>
      <c r="F516" s="4">
        <v>0.05</v>
      </c>
      <c r="G516" s="4">
        <v>0.0</v>
      </c>
      <c r="H516" s="4" t="s">
        <v>1888</v>
      </c>
      <c r="I516" s="4" t="s">
        <v>1889</v>
      </c>
      <c r="J516" s="4" t="s">
        <v>1888</v>
      </c>
      <c r="K516" s="4" t="s">
        <v>1775</v>
      </c>
      <c r="L516" s="4" t="s">
        <v>1889</v>
      </c>
      <c r="M516" s="4" t="s">
        <v>2344</v>
      </c>
      <c r="N516" s="4"/>
      <c r="O516" s="4" t="s">
        <v>1483</v>
      </c>
      <c r="P516" s="4" t="s">
        <v>1845</v>
      </c>
      <c r="Q516" s="4" t="s">
        <v>2264</v>
      </c>
      <c r="R516" s="4" t="b">
        <v>0</v>
      </c>
      <c r="S516" s="4" t="s">
        <v>1486</v>
      </c>
      <c r="T516" s="2">
        <v>46007.7215277778</v>
      </c>
      <c r="U516" s="2">
        <v>46007.0</v>
      </c>
      <c r="V516" s="4">
        <v>50.0</v>
      </c>
      <c r="W516" s="4" t="s">
        <v>550</v>
      </c>
      <c r="X516" s="4">
        <v>2025.0</v>
      </c>
      <c r="Y516" s="4" t="s">
        <v>1518</v>
      </c>
      <c r="Z516" s="4"/>
      <c r="AA516" s="4" t="s">
        <v>558</v>
      </c>
      <c r="AB516" s="4" t="b">
        <v>0</v>
      </c>
      <c r="AC516" s="4" t="s">
        <v>536</v>
      </c>
      <c r="AD516" s="4" t="s">
        <v>537</v>
      </c>
    </row>
    <row r="517" ht="14.25" customHeight="1">
      <c r="A517" s="4">
        <v>8136343.0</v>
      </c>
      <c r="B517" s="2">
        <v>46007.7184143519</v>
      </c>
      <c r="C517" s="4">
        <v>7277373.0</v>
      </c>
      <c r="D517" s="4" t="s">
        <v>1143</v>
      </c>
      <c r="E517" s="2">
        <v>46007.7201388889</v>
      </c>
      <c r="F517" s="4">
        <v>0.4</v>
      </c>
      <c r="G517" s="4">
        <v>0.0</v>
      </c>
      <c r="H517" s="4" t="s">
        <v>1888</v>
      </c>
      <c r="I517" s="4" t="s">
        <v>1889</v>
      </c>
      <c r="J517" s="4" t="s">
        <v>1888</v>
      </c>
      <c r="K517" s="4" t="s">
        <v>1775</v>
      </c>
      <c r="L517" s="4" t="s">
        <v>1889</v>
      </c>
      <c r="M517" s="4" t="s">
        <v>2344</v>
      </c>
      <c r="N517" s="4"/>
      <c r="O517" s="4" t="s">
        <v>1483</v>
      </c>
      <c r="P517" s="4" t="s">
        <v>1845</v>
      </c>
      <c r="Q517" s="4" t="s">
        <v>2264</v>
      </c>
      <c r="R517" s="4" t="b">
        <v>0</v>
      </c>
      <c r="S517" s="4" t="s">
        <v>1486</v>
      </c>
      <c r="T517" s="2">
        <v>46007.7215277778</v>
      </c>
      <c r="U517" s="2">
        <v>46007.0</v>
      </c>
      <c r="V517" s="4">
        <v>50.0</v>
      </c>
      <c r="W517" s="4" t="s">
        <v>550</v>
      </c>
      <c r="X517" s="4">
        <v>2025.0</v>
      </c>
      <c r="Y517" s="4" t="s">
        <v>1518</v>
      </c>
      <c r="Z517" s="4"/>
      <c r="AA517" s="4" t="s">
        <v>558</v>
      </c>
      <c r="AB517" s="4" t="b">
        <v>0</v>
      </c>
      <c r="AC517" s="4" t="s">
        <v>536</v>
      </c>
      <c r="AD517" s="4" t="s">
        <v>537</v>
      </c>
    </row>
    <row r="518" ht="14.25" customHeight="1">
      <c r="A518" s="4">
        <v>8136408.0</v>
      </c>
      <c r="B518" s="2">
        <v>46007.7243865741</v>
      </c>
      <c r="C518" s="4">
        <v>7363111.0</v>
      </c>
      <c r="D518" s="4" t="s">
        <v>1144</v>
      </c>
      <c r="E518" s="2">
        <v>46007.73125</v>
      </c>
      <c r="F518" s="4">
        <v>1.0</v>
      </c>
      <c r="G518" s="4">
        <v>0.0</v>
      </c>
      <c r="H518" s="4" t="s">
        <v>1519</v>
      </c>
      <c r="I518" s="4" t="s">
        <v>1553</v>
      </c>
      <c r="J518" s="4" t="s">
        <v>1519</v>
      </c>
      <c r="K518" s="4" t="s">
        <v>1513</v>
      </c>
      <c r="L518" s="4" t="s">
        <v>1553</v>
      </c>
      <c r="M518" s="4" t="s">
        <v>1554</v>
      </c>
      <c r="N518" s="4" t="s">
        <v>540</v>
      </c>
      <c r="O518" s="4" t="s">
        <v>2354</v>
      </c>
      <c r="P518" s="4" t="s">
        <v>2355</v>
      </c>
      <c r="Q518" s="4" t="s">
        <v>2356</v>
      </c>
      <c r="R518" s="4" t="b">
        <v>0</v>
      </c>
      <c r="S518" s="4" t="s">
        <v>1486</v>
      </c>
      <c r="T518" s="2">
        <v>46007.7326388889</v>
      </c>
      <c r="U518" s="2">
        <v>46007.0</v>
      </c>
      <c r="V518" s="4">
        <v>50.0</v>
      </c>
      <c r="W518" s="4" t="s">
        <v>550</v>
      </c>
      <c r="X518" s="4">
        <v>2025.0</v>
      </c>
      <c r="Y518" s="4" t="s">
        <v>1518</v>
      </c>
      <c r="Z518" s="4" t="s">
        <v>557</v>
      </c>
      <c r="AA518" s="4" t="s">
        <v>558</v>
      </c>
      <c r="AB518" s="4" t="b">
        <v>0</v>
      </c>
      <c r="AC518" s="4" t="s">
        <v>536</v>
      </c>
      <c r="AD518" s="4" t="s">
        <v>537</v>
      </c>
    </row>
    <row r="519" ht="14.25" customHeight="1">
      <c r="A519" s="4">
        <v>8137237.0</v>
      </c>
      <c r="B519" s="2">
        <v>46007.8051851852</v>
      </c>
      <c r="C519" s="4">
        <v>7363938.0</v>
      </c>
      <c r="D519" s="4" t="s">
        <v>1145</v>
      </c>
      <c r="E519" s="2">
        <v>46007.8055555556</v>
      </c>
      <c r="F519" s="4">
        <v>1.0</v>
      </c>
      <c r="G519" s="4">
        <v>0.0</v>
      </c>
      <c r="H519" s="4"/>
      <c r="I519" s="4"/>
      <c r="J519" s="4" t="s">
        <v>539</v>
      </c>
      <c r="K519" s="4" t="s">
        <v>539</v>
      </c>
      <c r="L519" s="4" t="s">
        <v>1499</v>
      </c>
      <c r="M519" s="4" t="s">
        <v>1482</v>
      </c>
      <c r="N519" s="4"/>
      <c r="O519" s="4" t="s">
        <v>1500</v>
      </c>
      <c r="P519" s="4" t="s">
        <v>2035</v>
      </c>
      <c r="Q519" s="4" t="s">
        <v>2357</v>
      </c>
      <c r="R519" s="4" t="b">
        <v>0</v>
      </c>
      <c r="S519" s="4" t="s">
        <v>1486</v>
      </c>
      <c r="T519" s="2">
        <v>46007.8069444444</v>
      </c>
      <c r="U519" s="2">
        <v>46007.0</v>
      </c>
      <c r="V519" s="4">
        <v>50.0</v>
      </c>
      <c r="W519" s="4" t="s">
        <v>550</v>
      </c>
      <c r="X519" s="4">
        <v>2025.0</v>
      </c>
      <c r="Y519" s="4" t="s">
        <v>1502</v>
      </c>
      <c r="Z519" s="4" t="s">
        <v>557</v>
      </c>
      <c r="AA519" s="4" t="s">
        <v>558</v>
      </c>
      <c r="AB519" s="4" t="b">
        <v>0</v>
      </c>
      <c r="AC519" s="4" t="s">
        <v>536</v>
      </c>
      <c r="AD519" s="4" t="s">
        <v>537</v>
      </c>
    </row>
    <row r="520" ht="14.25" customHeight="1">
      <c r="A520" s="4">
        <v>8137505.0</v>
      </c>
      <c r="B520" s="2">
        <v>46007.8284259259</v>
      </c>
      <c r="C520" s="4">
        <v>7364206.0</v>
      </c>
      <c r="D520" s="4" t="s">
        <v>1147</v>
      </c>
      <c r="E520" s="2">
        <v>46007.8284722222</v>
      </c>
      <c r="F520" s="4">
        <v>0.0</v>
      </c>
      <c r="G520" s="4">
        <v>0.0</v>
      </c>
      <c r="H520" s="4"/>
      <c r="I520" s="4"/>
      <c r="J520" s="4"/>
      <c r="K520" s="4"/>
      <c r="L520" s="4"/>
      <c r="M520" s="4" t="s">
        <v>1482</v>
      </c>
      <c r="N520" s="4" t="s">
        <v>1483</v>
      </c>
      <c r="O520" s="4" t="s">
        <v>2358</v>
      </c>
      <c r="P520" s="4" t="s">
        <v>1635</v>
      </c>
      <c r="Q520" s="4" t="s">
        <v>2359</v>
      </c>
      <c r="R520" s="4" t="b">
        <v>1</v>
      </c>
      <c r="S520" s="4" t="s">
        <v>1486</v>
      </c>
      <c r="T520" s="2">
        <v>46007.8298611111</v>
      </c>
      <c r="U520" s="2">
        <v>46007.0</v>
      </c>
      <c r="V520" s="4">
        <v>50.0</v>
      </c>
      <c r="W520" s="4" t="s">
        <v>550</v>
      </c>
      <c r="X520" s="4">
        <v>2025.0</v>
      </c>
      <c r="Y520" s="4" t="s">
        <v>1540</v>
      </c>
      <c r="Z520" s="4"/>
      <c r="AA520" s="4" t="s">
        <v>1148</v>
      </c>
      <c r="AB520" s="4" t="b">
        <v>0</v>
      </c>
      <c r="AC520" s="4" t="s">
        <v>536</v>
      </c>
      <c r="AD520" s="4" t="s">
        <v>537</v>
      </c>
    </row>
    <row r="521" ht="14.25" customHeight="1">
      <c r="A521" s="4">
        <v>8137809.0</v>
      </c>
      <c r="B521" s="2">
        <v>46007.8597337963</v>
      </c>
      <c r="C521" s="4">
        <v>7364506.0</v>
      </c>
      <c r="D521" s="4" t="s">
        <v>1149</v>
      </c>
      <c r="E521" s="2">
        <v>46007.9020833333</v>
      </c>
      <c r="F521" s="4">
        <v>0.5</v>
      </c>
      <c r="G521" s="4">
        <v>0.0</v>
      </c>
      <c r="H521" s="4" t="s">
        <v>1519</v>
      </c>
      <c r="I521" s="4" t="s">
        <v>2171</v>
      </c>
      <c r="J521" s="4" t="s">
        <v>1519</v>
      </c>
      <c r="K521" s="4" t="s">
        <v>1513</v>
      </c>
      <c r="L521" s="4" t="s">
        <v>2171</v>
      </c>
      <c r="M521" s="4" t="s">
        <v>2360</v>
      </c>
      <c r="N521" s="4" t="s">
        <v>540</v>
      </c>
      <c r="O521" s="4" t="s">
        <v>2361</v>
      </c>
      <c r="P521" s="4" t="s">
        <v>1635</v>
      </c>
      <c r="Q521" s="4" t="s">
        <v>2362</v>
      </c>
      <c r="R521" s="4" t="b">
        <v>0</v>
      </c>
      <c r="S521" s="4" t="s">
        <v>1486</v>
      </c>
      <c r="T521" s="2">
        <v>46007.9034722222</v>
      </c>
      <c r="U521" s="2">
        <v>46007.0</v>
      </c>
      <c r="V521" s="4">
        <v>50.0</v>
      </c>
      <c r="W521" s="4" t="s">
        <v>550</v>
      </c>
      <c r="X521" s="4">
        <v>2025.0</v>
      </c>
      <c r="Y521" s="4" t="s">
        <v>1518</v>
      </c>
      <c r="Z521" s="4"/>
      <c r="AA521" s="4" t="s">
        <v>546</v>
      </c>
      <c r="AB521" s="4" t="b">
        <v>0</v>
      </c>
      <c r="AC521" s="4" t="s">
        <v>536</v>
      </c>
      <c r="AD521" s="4" t="s">
        <v>537</v>
      </c>
    </row>
    <row r="522" ht="14.25" customHeight="1">
      <c r="A522" s="4">
        <v>8138258.0</v>
      </c>
      <c r="B522" s="2">
        <v>46007.9008680556</v>
      </c>
      <c r="C522" s="4">
        <v>7364506.0</v>
      </c>
      <c r="D522" s="4" t="s">
        <v>1149</v>
      </c>
      <c r="E522" s="2">
        <v>46007.9020833333</v>
      </c>
      <c r="F522" s="4">
        <v>0.5</v>
      </c>
      <c r="G522" s="4">
        <v>0.0</v>
      </c>
      <c r="H522" s="4" t="s">
        <v>1519</v>
      </c>
      <c r="I522" s="4" t="s">
        <v>2171</v>
      </c>
      <c r="J522" s="4" t="s">
        <v>1519</v>
      </c>
      <c r="K522" s="4" t="s">
        <v>1513</v>
      </c>
      <c r="L522" s="4" t="s">
        <v>2171</v>
      </c>
      <c r="M522" s="4" t="s">
        <v>2360</v>
      </c>
      <c r="N522" s="4" t="s">
        <v>540</v>
      </c>
      <c r="O522" s="4" t="s">
        <v>2363</v>
      </c>
      <c r="P522" s="4" t="s">
        <v>1635</v>
      </c>
      <c r="Q522" s="4" t="s">
        <v>2362</v>
      </c>
      <c r="R522" s="4" t="b">
        <v>0</v>
      </c>
      <c r="S522" s="4" t="s">
        <v>1486</v>
      </c>
      <c r="T522" s="2">
        <v>46007.9034722222</v>
      </c>
      <c r="U522" s="2">
        <v>46007.0</v>
      </c>
      <c r="V522" s="4">
        <v>50.0</v>
      </c>
      <c r="W522" s="4" t="s">
        <v>550</v>
      </c>
      <c r="X522" s="4">
        <v>2025.0</v>
      </c>
      <c r="Y522" s="4" t="s">
        <v>1518</v>
      </c>
      <c r="Z522" s="4"/>
      <c r="AA522" s="4" t="s">
        <v>546</v>
      </c>
      <c r="AB522" s="4" t="b">
        <v>0</v>
      </c>
      <c r="AC522" s="4" t="s">
        <v>536</v>
      </c>
      <c r="AD522" s="4" t="s">
        <v>537</v>
      </c>
    </row>
    <row r="523" ht="14.25" customHeight="1">
      <c r="A523" s="4">
        <v>7589337.0</v>
      </c>
      <c r="B523" s="2">
        <v>45892.0025925926</v>
      </c>
      <c r="C523" s="4">
        <v>6829553.0</v>
      </c>
      <c r="D523" s="4" t="s">
        <v>1150</v>
      </c>
      <c r="E523" s="2">
        <v>46007.9979166667</v>
      </c>
      <c r="F523" s="4">
        <v>1.0</v>
      </c>
      <c r="G523" s="4">
        <v>0.0</v>
      </c>
      <c r="H523" s="4"/>
      <c r="I523" s="4"/>
      <c r="J523" s="4" t="s">
        <v>1480</v>
      </c>
      <c r="K523" s="4" t="s">
        <v>1480</v>
      </c>
      <c r="L523" s="4" t="s">
        <v>1481</v>
      </c>
      <c r="M523" s="4" t="s">
        <v>1482</v>
      </c>
      <c r="N523" s="4" t="s">
        <v>540</v>
      </c>
      <c r="O523" s="4" t="s">
        <v>1483</v>
      </c>
      <c r="P523" s="4" t="s">
        <v>2115</v>
      </c>
      <c r="Q523" s="4" t="s">
        <v>2364</v>
      </c>
      <c r="R523" s="4" t="b">
        <v>0</v>
      </c>
      <c r="S523" s="4" t="s">
        <v>1486</v>
      </c>
      <c r="T523" s="2">
        <v>46007.9993055556</v>
      </c>
      <c r="U523" s="2">
        <v>45892.0</v>
      </c>
      <c r="V523" s="4">
        <v>33.0</v>
      </c>
      <c r="W523" s="4" t="s">
        <v>1769</v>
      </c>
      <c r="X523" s="4">
        <v>2025.0</v>
      </c>
      <c r="Y523" s="4" t="s">
        <v>1487</v>
      </c>
      <c r="Z523" s="4" t="s">
        <v>557</v>
      </c>
      <c r="AA523" s="4" t="s">
        <v>558</v>
      </c>
      <c r="AB523" s="4" t="b">
        <v>0</v>
      </c>
      <c r="AC523" s="4" t="s">
        <v>536</v>
      </c>
      <c r="AD523" s="4" t="s">
        <v>537</v>
      </c>
    </row>
    <row r="524" ht="14.25" customHeight="1">
      <c r="A524" s="4">
        <v>8141266.0</v>
      </c>
      <c r="B524" s="2">
        <v>46008.1915625</v>
      </c>
      <c r="C524" s="4">
        <v>7367947.0</v>
      </c>
      <c r="D524" s="4" t="s">
        <v>1151</v>
      </c>
      <c r="E524" s="2">
        <v>46008.1916666667</v>
      </c>
      <c r="F524" s="4">
        <v>1.0</v>
      </c>
      <c r="G524" s="4">
        <v>0.0</v>
      </c>
      <c r="H524" s="4"/>
      <c r="I524" s="4"/>
      <c r="J524" s="4" t="s">
        <v>1480</v>
      </c>
      <c r="K524" s="4" t="s">
        <v>1480</v>
      </c>
      <c r="L524" s="4" t="s">
        <v>1481</v>
      </c>
      <c r="M524" s="4" t="s">
        <v>1482</v>
      </c>
      <c r="N524" s="4" t="s">
        <v>540</v>
      </c>
      <c r="O524" s="4" t="s">
        <v>2365</v>
      </c>
      <c r="P524" s="4" t="s">
        <v>1488</v>
      </c>
      <c r="Q524" s="4" t="s">
        <v>2366</v>
      </c>
      <c r="R524" s="4" t="b">
        <v>0</v>
      </c>
      <c r="S524" s="4" t="s">
        <v>1486</v>
      </c>
      <c r="T524" s="2">
        <v>46008.1930555556</v>
      </c>
      <c r="U524" s="2">
        <v>46008.0</v>
      </c>
      <c r="V524" s="4">
        <v>50.0</v>
      </c>
      <c r="W524" s="4" t="s">
        <v>550</v>
      </c>
      <c r="X524" s="4">
        <v>2025.0</v>
      </c>
      <c r="Y524" s="4" t="s">
        <v>1487</v>
      </c>
      <c r="Z524" s="4"/>
      <c r="AA524" s="4" t="s">
        <v>657</v>
      </c>
      <c r="AB524" s="4" t="b">
        <v>0</v>
      </c>
      <c r="AC524" s="4" t="s">
        <v>623</v>
      </c>
      <c r="AD524" s="4" t="s">
        <v>537</v>
      </c>
    </row>
    <row r="525" ht="14.25" customHeight="1">
      <c r="A525" s="4">
        <v>8105823.0</v>
      </c>
      <c r="B525" s="2">
        <v>46003.3408912037</v>
      </c>
      <c r="C525" s="4">
        <v>7332943.0</v>
      </c>
      <c r="D525" s="4" t="s">
        <v>1152</v>
      </c>
      <c r="E525" s="2">
        <v>46008.1951388889</v>
      </c>
      <c r="F525" s="4">
        <v>1.0</v>
      </c>
      <c r="G525" s="4">
        <v>0.0</v>
      </c>
      <c r="H525" s="4"/>
      <c r="I525" s="4"/>
      <c r="J525" s="4" t="s">
        <v>539</v>
      </c>
      <c r="K525" s="4" t="s">
        <v>539</v>
      </c>
      <c r="L525" s="4" t="s">
        <v>1499</v>
      </c>
      <c r="M525" s="4" t="s">
        <v>1482</v>
      </c>
      <c r="N525" s="4"/>
      <c r="O525" s="4" t="s">
        <v>2367</v>
      </c>
      <c r="P525" s="4" t="s">
        <v>1488</v>
      </c>
      <c r="Q525" s="4" t="s">
        <v>2368</v>
      </c>
      <c r="R525" s="4" t="b">
        <v>0</v>
      </c>
      <c r="S525" s="4" t="s">
        <v>1486</v>
      </c>
      <c r="T525" s="2">
        <v>46008.1965277778</v>
      </c>
      <c r="U525" s="2">
        <v>46003.0</v>
      </c>
      <c r="V525" s="4">
        <v>49.0</v>
      </c>
      <c r="W525" s="4" t="s">
        <v>550</v>
      </c>
      <c r="X525" s="4">
        <v>2025.0</v>
      </c>
      <c r="Y525" s="4" t="s">
        <v>1502</v>
      </c>
      <c r="Z525" s="4"/>
      <c r="AA525" s="4" t="s">
        <v>624</v>
      </c>
      <c r="AB525" s="4" t="b">
        <v>0</v>
      </c>
      <c r="AC525" s="4" t="s">
        <v>623</v>
      </c>
      <c r="AD525" s="4" t="s">
        <v>537</v>
      </c>
    </row>
    <row r="526" ht="14.25" customHeight="1">
      <c r="A526" s="4">
        <v>8142967.0</v>
      </c>
      <c r="B526" s="2">
        <v>46008.3409259259</v>
      </c>
      <c r="C526" s="4">
        <v>7369644.0</v>
      </c>
      <c r="D526" s="4" t="s">
        <v>1153</v>
      </c>
      <c r="E526" s="2">
        <v>46008.3416666667</v>
      </c>
      <c r="F526" s="4">
        <v>1.0</v>
      </c>
      <c r="G526" s="4">
        <v>0.0</v>
      </c>
      <c r="H526" s="4"/>
      <c r="I526" s="4"/>
      <c r="J526" s="4" t="s">
        <v>1480</v>
      </c>
      <c r="K526" s="4" t="s">
        <v>1480</v>
      </c>
      <c r="L526" s="4" t="s">
        <v>1481</v>
      </c>
      <c r="M526" s="4" t="s">
        <v>1482</v>
      </c>
      <c r="N526" s="4" t="s">
        <v>540</v>
      </c>
      <c r="O526" s="4" t="s">
        <v>1644</v>
      </c>
      <c r="P526" s="4" t="s">
        <v>1923</v>
      </c>
      <c r="Q526" s="4" t="s">
        <v>2369</v>
      </c>
      <c r="R526" s="4" t="b">
        <v>0</v>
      </c>
      <c r="S526" s="4" t="s">
        <v>1486</v>
      </c>
      <c r="T526" s="2">
        <v>46008.3430555556</v>
      </c>
      <c r="U526" s="2">
        <v>46008.0</v>
      </c>
      <c r="V526" s="4">
        <v>50.0</v>
      </c>
      <c r="W526" s="4" t="s">
        <v>550</v>
      </c>
      <c r="X526" s="4">
        <v>2025.0</v>
      </c>
      <c r="Y526" s="4" t="s">
        <v>1487</v>
      </c>
      <c r="Z526" s="4"/>
      <c r="AA526" s="4" t="s">
        <v>624</v>
      </c>
      <c r="AB526" s="4" t="b">
        <v>0</v>
      </c>
      <c r="AC526" s="4" t="s">
        <v>536</v>
      </c>
      <c r="AD526" s="4" t="s">
        <v>537</v>
      </c>
    </row>
    <row r="527" ht="14.25" customHeight="1">
      <c r="A527" s="4">
        <v>8134924.0</v>
      </c>
      <c r="B527" s="2">
        <v>46007.6150231482</v>
      </c>
      <c r="C527" s="4">
        <v>7361653.0</v>
      </c>
      <c r="D527" s="4" t="s">
        <v>1154</v>
      </c>
      <c r="E527" s="2">
        <v>46008.4076388889</v>
      </c>
      <c r="F527" s="4">
        <v>1.0</v>
      </c>
      <c r="G527" s="4">
        <v>0.0</v>
      </c>
      <c r="H527" s="4" t="s">
        <v>1519</v>
      </c>
      <c r="I527" s="4" t="s">
        <v>1533</v>
      </c>
      <c r="J527" s="4" t="s">
        <v>1519</v>
      </c>
      <c r="K527" s="4" t="s">
        <v>1513</v>
      </c>
      <c r="L527" s="4" t="s">
        <v>1533</v>
      </c>
      <c r="M527" s="4" t="s">
        <v>1741</v>
      </c>
      <c r="N527" s="4" t="s">
        <v>540</v>
      </c>
      <c r="O527" s="4" t="s">
        <v>2370</v>
      </c>
      <c r="P527" s="4" t="s">
        <v>1506</v>
      </c>
      <c r="Q527" s="4" t="s">
        <v>2371</v>
      </c>
      <c r="R527" s="4" t="b">
        <v>0</v>
      </c>
      <c r="S527" s="4" t="s">
        <v>1486</v>
      </c>
      <c r="T527" s="2">
        <v>46008.4090277778</v>
      </c>
      <c r="U527" s="2">
        <v>46007.0</v>
      </c>
      <c r="V527" s="4">
        <v>50.0</v>
      </c>
      <c r="W527" s="4" t="s">
        <v>550</v>
      </c>
      <c r="X527" s="4">
        <v>2025.0</v>
      </c>
      <c r="Y527" s="4" t="s">
        <v>1518</v>
      </c>
      <c r="Z527" s="4"/>
      <c r="AA527" s="4" t="s">
        <v>558</v>
      </c>
      <c r="AB527" s="4" t="b">
        <v>0</v>
      </c>
      <c r="AC527" s="4" t="s">
        <v>567</v>
      </c>
      <c r="AD527" s="4" t="s">
        <v>537</v>
      </c>
    </row>
    <row r="528" ht="14.25" customHeight="1">
      <c r="A528" s="4">
        <v>8143956.0</v>
      </c>
      <c r="B528" s="2">
        <v>46008.4172337963</v>
      </c>
      <c r="C528" s="4">
        <v>7370578.0</v>
      </c>
      <c r="D528" s="4" t="s">
        <v>1155</v>
      </c>
      <c r="E528" s="2">
        <v>46008.4229166667</v>
      </c>
      <c r="F528" s="4">
        <v>1.0</v>
      </c>
      <c r="G528" s="4">
        <v>0.0</v>
      </c>
      <c r="H528" s="4"/>
      <c r="I528" s="4"/>
      <c r="J528" s="4" t="s">
        <v>1480</v>
      </c>
      <c r="K528" s="4" t="s">
        <v>1480</v>
      </c>
      <c r="L528" s="4" t="s">
        <v>1481</v>
      </c>
      <c r="M528" s="4" t="s">
        <v>1482</v>
      </c>
      <c r="N528" s="4" t="s">
        <v>540</v>
      </c>
      <c r="O528" s="4" t="s">
        <v>1483</v>
      </c>
      <c r="P528" s="4" t="s">
        <v>1635</v>
      </c>
      <c r="Q528" s="4" t="s">
        <v>2372</v>
      </c>
      <c r="R528" s="4" t="b">
        <v>0</v>
      </c>
      <c r="S528" s="4" t="s">
        <v>1486</v>
      </c>
      <c r="T528" s="2">
        <v>46008.4243055556</v>
      </c>
      <c r="U528" s="2">
        <v>46008.0</v>
      </c>
      <c r="V528" s="4">
        <v>50.0</v>
      </c>
      <c r="W528" s="4" t="s">
        <v>550</v>
      </c>
      <c r="X528" s="4">
        <v>2025.0</v>
      </c>
      <c r="Y528" s="4" t="s">
        <v>1487</v>
      </c>
      <c r="Z528" s="4" t="s">
        <v>557</v>
      </c>
      <c r="AA528" s="4" t="s">
        <v>558</v>
      </c>
      <c r="AB528" s="4" t="b">
        <v>0</v>
      </c>
      <c r="AC528" s="4" t="s">
        <v>536</v>
      </c>
      <c r="AD528" s="4" t="s">
        <v>537</v>
      </c>
    </row>
    <row r="529" ht="14.25" customHeight="1">
      <c r="A529" s="4">
        <v>8144329.0</v>
      </c>
      <c r="B529" s="2">
        <v>46008.4508101852</v>
      </c>
      <c r="C529" s="4">
        <v>7370940.0</v>
      </c>
      <c r="D529" s="4" t="s">
        <v>1157</v>
      </c>
      <c r="E529" s="2">
        <v>46008.4513888889</v>
      </c>
      <c r="F529" s="4">
        <v>1.0</v>
      </c>
      <c r="G529" s="4">
        <v>0.0</v>
      </c>
      <c r="H529" s="4"/>
      <c r="I529" s="4"/>
      <c r="J529" s="4" t="s">
        <v>1526</v>
      </c>
      <c r="K529" s="4" t="s">
        <v>1527</v>
      </c>
      <c r="L529" s="4" t="s">
        <v>1528</v>
      </c>
      <c r="M529" s="4" t="s">
        <v>1482</v>
      </c>
      <c r="N529" s="4" t="s">
        <v>1529</v>
      </c>
      <c r="O529" s="4" t="s">
        <v>1530</v>
      </c>
      <c r="P529" s="4" t="s">
        <v>1484</v>
      </c>
      <c r="Q529" s="4" t="s">
        <v>2373</v>
      </c>
      <c r="R529" s="4" t="b">
        <v>0</v>
      </c>
      <c r="S529" s="4" t="s">
        <v>1486</v>
      </c>
      <c r="T529" s="2">
        <v>46008.4527777778</v>
      </c>
      <c r="U529" s="2">
        <v>46008.0</v>
      </c>
      <c r="V529" s="4">
        <v>50.0</v>
      </c>
      <c r="W529" s="4" t="s">
        <v>550</v>
      </c>
      <c r="X529" s="4">
        <v>2025.0</v>
      </c>
      <c r="Y529" s="4" t="s">
        <v>1532</v>
      </c>
      <c r="Z529" s="4" t="s">
        <v>557</v>
      </c>
      <c r="AA529" s="4" t="s">
        <v>558</v>
      </c>
      <c r="AB529" s="4" t="b">
        <v>0</v>
      </c>
      <c r="AC529" s="4" t="s">
        <v>536</v>
      </c>
      <c r="AD529" s="4" t="s">
        <v>537</v>
      </c>
    </row>
    <row r="530" ht="14.25" customHeight="1">
      <c r="A530" s="4">
        <v>8144375.0</v>
      </c>
      <c r="B530" s="2">
        <v>46008.4549421296</v>
      </c>
      <c r="C530" s="4">
        <v>7370986.0</v>
      </c>
      <c r="D530" s="4" t="s">
        <v>1158</v>
      </c>
      <c r="E530" s="2">
        <v>46008.4548611111</v>
      </c>
      <c r="F530" s="4">
        <v>1.0</v>
      </c>
      <c r="G530" s="4">
        <v>0.0</v>
      </c>
      <c r="H530" s="4"/>
      <c r="I530" s="4"/>
      <c r="J530" s="4" t="s">
        <v>1526</v>
      </c>
      <c r="K530" s="4" t="s">
        <v>1527</v>
      </c>
      <c r="L530" s="4" t="s">
        <v>1528</v>
      </c>
      <c r="M530" s="4" t="s">
        <v>1482</v>
      </c>
      <c r="N530" s="4" t="s">
        <v>1529</v>
      </c>
      <c r="O530" s="4" t="s">
        <v>1530</v>
      </c>
      <c r="P530" s="4" t="s">
        <v>1845</v>
      </c>
      <c r="Q530" s="4" t="s">
        <v>2374</v>
      </c>
      <c r="R530" s="4" t="b">
        <v>0</v>
      </c>
      <c r="S530" s="4" t="s">
        <v>1486</v>
      </c>
      <c r="T530" s="2">
        <v>46008.45625</v>
      </c>
      <c r="U530" s="2">
        <v>46008.0</v>
      </c>
      <c r="V530" s="4">
        <v>50.0</v>
      </c>
      <c r="W530" s="4" t="s">
        <v>550</v>
      </c>
      <c r="X530" s="4">
        <v>2025.0</v>
      </c>
      <c r="Y530" s="4" t="s">
        <v>1532</v>
      </c>
      <c r="Z530" s="4" t="s">
        <v>557</v>
      </c>
      <c r="AA530" s="4" t="s">
        <v>558</v>
      </c>
      <c r="AB530" s="4" t="b">
        <v>0</v>
      </c>
      <c r="AC530" s="4" t="s">
        <v>536</v>
      </c>
      <c r="AD530" s="4" t="s">
        <v>537</v>
      </c>
    </row>
    <row r="531" ht="14.25" customHeight="1">
      <c r="A531" s="4">
        <v>8144463.0</v>
      </c>
      <c r="B531" s="2">
        <v>46008.4611458333</v>
      </c>
      <c r="C531" s="4">
        <v>7371073.0</v>
      </c>
      <c r="D531" s="4" t="s">
        <v>1159</v>
      </c>
      <c r="E531" s="2">
        <v>46008.4611111111</v>
      </c>
      <c r="F531" s="4">
        <v>1.0</v>
      </c>
      <c r="G531" s="4">
        <v>0.0</v>
      </c>
      <c r="H531" s="4"/>
      <c r="I531" s="4"/>
      <c r="J531" s="4" t="s">
        <v>539</v>
      </c>
      <c r="K531" s="4" t="s">
        <v>539</v>
      </c>
      <c r="L531" s="4" t="s">
        <v>1499</v>
      </c>
      <c r="M531" s="4" t="s">
        <v>1482</v>
      </c>
      <c r="N531" s="4"/>
      <c r="O531" s="4" t="s">
        <v>1500</v>
      </c>
      <c r="P531" s="4" t="s">
        <v>1635</v>
      </c>
      <c r="Q531" s="4" t="s">
        <v>2375</v>
      </c>
      <c r="R531" s="4" t="b">
        <v>0</v>
      </c>
      <c r="S531" s="4" t="s">
        <v>1486</v>
      </c>
      <c r="T531" s="2">
        <v>46008.4625</v>
      </c>
      <c r="U531" s="2">
        <v>46008.0</v>
      </c>
      <c r="V531" s="4">
        <v>50.0</v>
      </c>
      <c r="W531" s="4" t="s">
        <v>550</v>
      </c>
      <c r="X531" s="4">
        <v>2025.0</v>
      </c>
      <c r="Y531" s="4" t="s">
        <v>1502</v>
      </c>
      <c r="Z531" s="4" t="s">
        <v>557</v>
      </c>
      <c r="AA531" s="4" t="s">
        <v>558</v>
      </c>
      <c r="AB531" s="4" t="b">
        <v>0</v>
      </c>
      <c r="AC531" s="4" t="s">
        <v>536</v>
      </c>
      <c r="AD531" s="4" t="s">
        <v>537</v>
      </c>
    </row>
    <row r="532" ht="14.25" customHeight="1">
      <c r="A532" s="4">
        <v>8144112.0</v>
      </c>
      <c r="B532" s="2">
        <v>46008.4296412037</v>
      </c>
      <c r="C532" s="4">
        <v>7370730.0</v>
      </c>
      <c r="D532" s="4" t="s">
        <v>1160</v>
      </c>
      <c r="E532" s="2">
        <v>46008.4694444444</v>
      </c>
      <c r="F532" s="4">
        <v>1.0</v>
      </c>
      <c r="G532" s="4">
        <v>0.0</v>
      </c>
      <c r="H532" s="4"/>
      <c r="I532" s="4"/>
      <c r="J532" s="4" t="s">
        <v>1480</v>
      </c>
      <c r="K532" s="4" t="s">
        <v>1480</v>
      </c>
      <c r="L532" s="4" t="s">
        <v>1481</v>
      </c>
      <c r="M532" s="4" t="s">
        <v>1482</v>
      </c>
      <c r="N532" s="4" t="s">
        <v>540</v>
      </c>
      <c r="O532" s="4" t="s">
        <v>1483</v>
      </c>
      <c r="P532" s="4" t="s">
        <v>1635</v>
      </c>
      <c r="Q532" s="4" t="s">
        <v>2376</v>
      </c>
      <c r="R532" s="4" t="b">
        <v>0</v>
      </c>
      <c r="S532" s="4" t="s">
        <v>1486</v>
      </c>
      <c r="T532" s="2">
        <v>46008.4708333333</v>
      </c>
      <c r="U532" s="2">
        <v>46008.0</v>
      </c>
      <c r="V532" s="4">
        <v>50.0</v>
      </c>
      <c r="W532" s="4" t="s">
        <v>550</v>
      </c>
      <c r="X532" s="4">
        <v>2025.0</v>
      </c>
      <c r="Y532" s="4" t="s">
        <v>1487</v>
      </c>
      <c r="Z532" s="4" t="s">
        <v>557</v>
      </c>
      <c r="AA532" s="4" t="s">
        <v>558</v>
      </c>
      <c r="AB532" s="4" t="b">
        <v>0</v>
      </c>
      <c r="AC532" s="4" t="s">
        <v>536</v>
      </c>
      <c r="AD532" s="4" t="s">
        <v>537</v>
      </c>
    </row>
    <row r="533" ht="14.25" customHeight="1">
      <c r="A533" s="4">
        <v>8143922.0</v>
      </c>
      <c r="B533" s="2">
        <v>46008.4149421296</v>
      </c>
      <c r="C533" s="4">
        <v>7370544.0</v>
      </c>
      <c r="D533" s="4" t="s">
        <v>1162</v>
      </c>
      <c r="E533" s="2">
        <v>46008.4708333333</v>
      </c>
      <c r="F533" s="4">
        <v>1.0</v>
      </c>
      <c r="G533" s="4">
        <v>0.0</v>
      </c>
      <c r="H533" s="4"/>
      <c r="I533" s="4"/>
      <c r="J533" s="4" t="s">
        <v>1480</v>
      </c>
      <c r="K533" s="4" t="s">
        <v>1480</v>
      </c>
      <c r="L533" s="4" t="s">
        <v>1901</v>
      </c>
      <c r="M533" s="4" t="s">
        <v>1482</v>
      </c>
      <c r="N533" s="4" t="s">
        <v>831</v>
      </c>
      <c r="O533" s="4" t="s">
        <v>1483</v>
      </c>
      <c r="P533" s="4" t="s">
        <v>1635</v>
      </c>
      <c r="Q533" s="4" t="s">
        <v>2377</v>
      </c>
      <c r="R533" s="4" t="b">
        <v>0</v>
      </c>
      <c r="S533" s="4" t="s">
        <v>1486</v>
      </c>
      <c r="T533" s="2">
        <v>46008.4722222222</v>
      </c>
      <c r="U533" s="2">
        <v>46008.0</v>
      </c>
      <c r="V533" s="4">
        <v>50.0</v>
      </c>
      <c r="W533" s="4" t="s">
        <v>550</v>
      </c>
      <c r="X533" s="4">
        <v>2025.0</v>
      </c>
      <c r="Y533" s="4" t="s">
        <v>1904</v>
      </c>
      <c r="Z533" s="4" t="s">
        <v>557</v>
      </c>
      <c r="AA533" s="4" t="s">
        <v>558</v>
      </c>
      <c r="AB533" s="4" t="b">
        <v>0</v>
      </c>
      <c r="AC533" s="4" t="s">
        <v>536</v>
      </c>
      <c r="AD533" s="4" t="s">
        <v>537</v>
      </c>
    </row>
    <row r="534" ht="14.25" customHeight="1">
      <c r="A534" s="4">
        <v>8144601.0</v>
      </c>
      <c r="B534" s="2">
        <v>46008.4729166667</v>
      </c>
      <c r="C534" s="4">
        <v>7371208.0</v>
      </c>
      <c r="D534" s="4" t="s">
        <v>1164</v>
      </c>
      <c r="E534" s="2">
        <v>46008.4784722222</v>
      </c>
      <c r="F534" s="4">
        <v>1.0</v>
      </c>
      <c r="G534" s="4">
        <v>0.0</v>
      </c>
      <c r="H534" s="4"/>
      <c r="I534" s="4"/>
      <c r="J534" s="4" t="s">
        <v>1480</v>
      </c>
      <c r="K534" s="4" t="s">
        <v>1480</v>
      </c>
      <c r="L534" s="4" t="s">
        <v>1511</v>
      </c>
      <c r="M534" s="4" t="s">
        <v>1482</v>
      </c>
      <c r="N534" s="4" t="s">
        <v>653</v>
      </c>
      <c r="O534" s="4" t="s">
        <v>1483</v>
      </c>
      <c r="P534" s="4" t="s">
        <v>1845</v>
      </c>
      <c r="Q534" s="4" t="s">
        <v>2378</v>
      </c>
      <c r="R534" s="4" t="b">
        <v>0</v>
      </c>
      <c r="S534" s="4" t="s">
        <v>1486</v>
      </c>
      <c r="T534" s="2">
        <v>46008.4798611111</v>
      </c>
      <c r="U534" s="2">
        <v>46008.0</v>
      </c>
      <c r="V534" s="4">
        <v>50.0</v>
      </c>
      <c r="W534" s="4" t="s">
        <v>550</v>
      </c>
      <c r="X534" s="4">
        <v>2025.0</v>
      </c>
      <c r="Y534" s="4" t="s">
        <v>1680</v>
      </c>
      <c r="Z534" s="4" t="s">
        <v>557</v>
      </c>
      <c r="AA534" s="4" t="s">
        <v>558</v>
      </c>
      <c r="AB534" s="4" t="b">
        <v>0</v>
      </c>
      <c r="AC534" s="4" t="s">
        <v>536</v>
      </c>
      <c r="AD534" s="4" t="s">
        <v>537</v>
      </c>
    </row>
    <row r="535" ht="14.25" customHeight="1">
      <c r="A535" s="4">
        <v>8145021.0</v>
      </c>
      <c r="B535" s="2">
        <v>46008.4986458333</v>
      </c>
      <c r="C535" s="4">
        <v>7371618.0</v>
      </c>
      <c r="D535" s="4" t="s">
        <v>1166</v>
      </c>
      <c r="E535" s="2">
        <v>46008.4993055556</v>
      </c>
      <c r="F535" s="4">
        <v>1.0</v>
      </c>
      <c r="G535" s="4">
        <v>0.0</v>
      </c>
      <c r="H535" s="4" t="s">
        <v>1519</v>
      </c>
      <c r="I535" s="4" t="s">
        <v>1553</v>
      </c>
      <c r="J535" s="4" t="s">
        <v>1519</v>
      </c>
      <c r="K535" s="4" t="s">
        <v>1513</v>
      </c>
      <c r="L535" s="4" t="s">
        <v>1553</v>
      </c>
      <c r="M535" s="4" t="s">
        <v>1862</v>
      </c>
      <c r="N535" s="4" t="s">
        <v>540</v>
      </c>
      <c r="O535" s="4" t="s">
        <v>2379</v>
      </c>
      <c r="P535" s="4" t="s">
        <v>1794</v>
      </c>
      <c r="Q535" s="4" t="s">
        <v>2380</v>
      </c>
      <c r="R535" s="4" t="b">
        <v>0</v>
      </c>
      <c r="S535" s="4" t="s">
        <v>1486</v>
      </c>
      <c r="T535" s="2">
        <v>46008.5006944444</v>
      </c>
      <c r="U535" s="2">
        <v>46008.0</v>
      </c>
      <c r="V535" s="4">
        <v>50.0</v>
      </c>
      <c r="W535" s="4" t="s">
        <v>550</v>
      </c>
      <c r="X535" s="4">
        <v>2025.0</v>
      </c>
      <c r="Y535" s="4" t="s">
        <v>1518</v>
      </c>
      <c r="Z535" s="4" t="s">
        <v>557</v>
      </c>
      <c r="AA535" s="4" t="s">
        <v>558</v>
      </c>
      <c r="AB535" s="4" t="b">
        <v>0</v>
      </c>
      <c r="AC535" s="4" t="s">
        <v>536</v>
      </c>
      <c r="AD535" s="4" t="s">
        <v>537</v>
      </c>
    </row>
    <row r="536" ht="14.25" customHeight="1">
      <c r="A536" s="4">
        <v>7809380.0</v>
      </c>
      <c r="B536" s="2">
        <v>45953.3696064815</v>
      </c>
      <c r="C536" s="4">
        <v>7044370.0</v>
      </c>
      <c r="D536" s="4" t="s">
        <v>1167</v>
      </c>
      <c r="E536" s="2">
        <v>46008.5125</v>
      </c>
      <c r="F536" s="4">
        <v>1.0</v>
      </c>
      <c r="G536" s="4">
        <v>0.0</v>
      </c>
      <c r="H536" s="4"/>
      <c r="I536" s="4"/>
      <c r="J536" s="4" t="s">
        <v>1480</v>
      </c>
      <c r="K536" s="4" t="s">
        <v>1480</v>
      </c>
      <c r="L536" s="4" t="s">
        <v>1481</v>
      </c>
      <c r="M536" s="4" t="s">
        <v>1482</v>
      </c>
      <c r="N536" s="4" t="s">
        <v>540</v>
      </c>
      <c r="O536" s="4" t="s">
        <v>1644</v>
      </c>
      <c r="P536" s="4" t="s">
        <v>1585</v>
      </c>
      <c r="Q536" s="4" t="s">
        <v>2381</v>
      </c>
      <c r="R536" s="4" t="b">
        <v>0</v>
      </c>
      <c r="S536" s="4" t="s">
        <v>1486</v>
      </c>
      <c r="T536" s="2">
        <v>46008.5138888889</v>
      </c>
      <c r="U536" s="2">
        <v>45953.0</v>
      </c>
      <c r="V536" s="4">
        <v>42.0</v>
      </c>
      <c r="W536" s="4" t="s">
        <v>1560</v>
      </c>
      <c r="X536" s="4">
        <v>2025.0</v>
      </c>
      <c r="Y536" s="4" t="s">
        <v>1487</v>
      </c>
      <c r="Z536" s="4" t="s">
        <v>1168</v>
      </c>
      <c r="AA536" s="4" t="s">
        <v>1170</v>
      </c>
      <c r="AB536" s="4" t="b">
        <v>0</v>
      </c>
      <c r="AC536" s="4" t="s">
        <v>536</v>
      </c>
      <c r="AD536" s="4" t="s">
        <v>537</v>
      </c>
    </row>
    <row r="537" ht="14.25" customHeight="1">
      <c r="A537" s="4">
        <v>8144843.0</v>
      </c>
      <c r="B537" s="2">
        <v>46008.48875</v>
      </c>
      <c r="C537" s="4">
        <v>7371443.0</v>
      </c>
      <c r="D537" s="4" t="s">
        <v>1171</v>
      </c>
      <c r="E537" s="2">
        <v>46008.5145833333</v>
      </c>
      <c r="F537" s="4">
        <v>1.0</v>
      </c>
      <c r="G537" s="4">
        <v>0.0</v>
      </c>
      <c r="H537" s="4"/>
      <c r="I537" s="4"/>
      <c r="J537" s="4" t="s">
        <v>539</v>
      </c>
      <c r="K537" s="4" t="s">
        <v>539</v>
      </c>
      <c r="L537" s="4" t="s">
        <v>1499</v>
      </c>
      <c r="M537" s="4" t="s">
        <v>1482</v>
      </c>
      <c r="N537" s="4"/>
      <c r="O537" s="4" t="s">
        <v>1483</v>
      </c>
      <c r="P537" s="4" t="s">
        <v>1635</v>
      </c>
      <c r="Q537" s="4" t="s">
        <v>2382</v>
      </c>
      <c r="R537" s="4" t="b">
        <v>0</v>
      </c>
      <c r="S537" s="4" t="s">
        <v>1486</v>
      </c>
      <c r="T537" s="2">
        <v>46008.5159722222</v>
      </c>
      <c r="U537" s="2">
        <v>46008.0</v>
      </c>
      <c r="V537" s="4">
        <v>50.0</v>
      </c>
      <c r="W537" s="4" t="s">
        <v>550</v>
      </c>
      <c r="X537" s="4">
        <v>2025.0</v>
      </c>
      <c r="Y537" s="4" t="s">
        <v>1502</v>
      </c>
      <c r="Z537" s="4" t="s">
        <v>557</v>
      </c>
      <c r="AA537" s="4" t="s">
        <v>558</v>
      </c>
      <c r="AB537" s="4" t="b">
        <v>0</v>
      </c>
      <c r="AC537" s="4" t="s">
        <v>536</v>
      </c>
      <c r="AD537" s="4" t="s">
        <v>537</v>
      </c>
    </row>
    <row r="538" ht="14.25" customHeight="1">
      <c r="A538" s="4">
        <v>8145360.0</v>
      </c>
      <c r="B538" s="2">
        <v>46008.5153009259</v>
      </c>
      <c r="C538" s="4">
        <v>7371953.0</v>
      </c>
      <c r="D538" s="4" t="s">
        <v>1172</v>
      </c>
      <c r="E538" s="2">
        <v>46008.5166666667</v>
      </c>
      <c r="F538" s="4">
        <v>1.0</v>
      </c>
      <c r="G538" s="4">
        <v>0.0</v>
      </c>
      <c r="H538" s="4"/>
      <c r="I538" s="4"/>
      <c r="J538" s="4" t="s">
        <v>1480</v>
      </c>
      <c r="K538" s="4" t="s">
        <v>1480</v>
      </c>
      <c r="L538" s="4" t="s">
        <v>1481</v>
      </c>
      <c r="M538" s="4" t="s">
        <v>1482</v>
      </c>
      <c r="N538" s="4" t="s">
        <v>540</v>
      </c>
      <c r="O538" s="4" t="s">
        <v>1483</v>
      </c>
      <c r="P538" s="4" t="s">
        <v>1635</v>
      </c>
      <c r="Q538" s="4" t="s">
        <v>2383</v>
      </c>
      <c r="R538" s="4" t="b">
        <v>0</v>
      </c>
      <c r="S538" s="4" t="s">
        <v>1486</v>
      </c>
      <c r="T538" s="2">
        <v>46008.5180555556</v>
      </c>
      <c r="U538" s="2">
        <v>46008.0</v>
      </c>
      <c r="V538" s="4">
        <v>50.0</v>
      </c>
      <c r="W538" s="4" t="s">
        <v>550</v>
      </c>
      <c r="X538" s="4">
        <v>2025.0</v>
      </c>
      <c r="Y538" s="4" t="s">
        <v>1487</v>
      </c>
      <c r="Z538" s="4" t="s">
        <v>604</v>
      </c>
      <c r="AA538" s="4" t="s">
        <v>605</v>
      </c>
      <c r="AB538" s="4" t="b">
        <v>0</v>
      </c>
      <c r="AC538" s="4" t="s">
        <v>536</v>
      </c>
      <c r="AD538" s="4" t="s">
        <v>537</v>
      </c>
    </row>
    <row r="539" ht="14.25" customHeight="1">
      <c r="A539" s="4">
        <v>8145793.0</v>
      </c>
      <c r="B539" s="2">
        <v>46008.5420949074</v>
      </c>
      <c r="C539" s="4">
        <v>7372371.0</v>
      </c>
      <c r="D539" s="4" t="s">
        <v>1173</v>
      </c>
      <c r="E539" s="2">
        <v>46008.5423611111</v>
      </c>
      <c r="F539" s="4">
        <v>1.0</v>
      </c>
      <c r="G539" s="4">
        <v>0.0</v>
      </c>
      <c r="H539" s="4"/>
      <c r="I539" s="4"/>
      <c r="J539" s="4" t="s">
        <v>539</v>
      </c>
      <c r="K539" s="4" t="s">
        <v>539</v>
      </c>
      <c r="L539" s="4" t="s">
        <v>1499</v>
      </c>
      <c r="M539" s="4" t="s">
        <v>1482</v>
      </c>
      <c r="N539" s="4"/>
      <c r="O539" s="4" t="s">
        <v>1644</v>
      </c>
      <c r="P539" s="4" t="s">
        <v>1488</v>
      </c>
      <c r="Q539" s="4" t="s">
        <v>1647</v>
      </c>
      <c r="R539" s="4" t="b">
        <v>0</v>
      </c>
      <c r="S539" s="4" t="s">
        <v>1486</v>
      </c>
      <c r="T539" s="2">
        <v>46008.6520833333</v>
      </c>
      <c r="U539" s="2">
        <v>46008.0</v>
      </c>
      <c r="V539" s="4">
        <v>50.0</v>
      </c>
      <c r="W539" s="4" t="s">
        <v>550</v>
      </c>
      <c r="X539" s="4">
        <v>2025.0</v>
      </c>
      <c r="Y539" s="4" t="s">
        <v>1502</v>
      </c>
      <c r="Z539" s="4" t="s">
        <v>541</v>
      </c>
      <c r="AA539" s="4" t="s">
        <v>546</v>
      </c>
      <c r="AB539" s="4" t="b">
        <v>1</v>
      </c>
      <c r="AC539" s="4" t="s">
        <v>623</v>
      </c>
      <c r="AD539" s="4" t="s">
        <v>537</v>
      </c>
    </row>
    <row r="540" ht="14.25" customHeight="1">
      <c r="A540" s="4">
        <v>8145815.0</v>
      </c>
      <c r="B540" s="2">
        <v>46008.543599537</v>
      </c>
      <c r="C540" s="4">
        <v>7372387.0</v>
      </c>
      <c r="D540" s="4" t="s">
        <v>1174</v>
      </c>
      <c r="E540" s="2">
        <v>46008.54375</v>
      </c>
      <c r="F540" s="4">
        <v>1.0</v>
      </c>
      <c r="G540" s="4">
        <v>0.0</v>
      </c>
      <c r="H540" s="4" t="s">
        <v>1519</v>
      </c>
      <c r="I540" s="4" t="s">
        <v>1858</v>
      </c>
      <c r="J540" s="4" t="s">
        <v>1519</v>
      </c>
      <c r="K540" s="4" t="s">
        <v>1513</v>
      </c>
      <c r="L540" s="4" t="s">
        <v>1858</v>
      </c>
      <c r="M540" s="4" t="s">
        <v>1482</v>
      </c>
      <c r="N540" s="4" t="s">
        <v>540</v>
      </c>
      <c r="O540" s="4" t="s">
        <v>2384</v>
      </c>
      <c r="P540" s="4" t="s">
        <v>1635</v>
      </c>
      <c r="Q540" s="4" t="s">
        <v>2385</v>
      </c>
      <c r="R540" s="4" t="b">
        <v>0</v>
      </c>
      <c r="S540" s="4" t="s">
        <v>1486</v>
      </c>
      <c r="T540" s="2">
        <v>46008.5555555556</v>
      </c>
      <c r="U540" s="2">
        <v>46008.0</v>
      </c>
      <c r="V540" s="4">
        <v>50.0</v>
      </c>
      <c r="W540" s="4" t="s">
        <v>550</v>
      </c>
      <c r="X540" s="4">
        <v>2025.0</v>
      </c>
      <c r="Y540" s="4" t="s">
        <v>1518</v>
      </c>
      <c r="Z540" s="4"/>
      <c r="AA540" s="4" t="s">
        <v>558</v>
      </c>
      <c r="AB540" s="4" t="b">
        <v>0</v>
      </c>
      <c r="AC540" s="4" t="s">
        <v>554</v>
      </c>
      <c r="AD540" s="4" t="s">
        <v>537</v>
      </c>
    </row>
    <row r="541" ht="14.25" customHeight="1">
      <c r="A541" s="4">
        <v>8145815.0</v>
      </c>
      <c r="B541" s="2">
        <v>46008.543599537</v>
      </c>
      <c r="C541" s="4">
        <v>7372387.0</v>
      </c>
      <c r="D541" s="4" t="s">
        <v>1175</v>
      </c>
      <c r="E541" s="2">
        <v>46008.5541666667</v>
      </c>
      <c r="F541" s="4">
        <v>0.4</v>
      </c>
      <c r="G541" s="4">
        <v>0.0</v>
      </c>
      <c r="H541" s="4" t="s">
        <v>1519</v>
      </c>
      <c r="I541" s="4" t="s">
        <v>1858</v>
      </c>
      <c r="J541" s="4" t="s">
        <v>1519</v>
      </c>
      <c r="K541" s="4" t="s">
        <v>1513</v>
      </c>
      <c r="L541" s="4" t="s">
        <v>1858</v>
      </c>
      <c r="M541" s="4" t="s">
        <v>1482</v>
      </c>
      <c r="N541" s="4" t="s">
        <v>540</v>
      </c>
      <c r="O541" s="4" t="s">
        <v>2384</v>
      </c>
      <c r="P541" s="4" t="s">
        <v>1635</v>
      </c>
      <c r="Q541" s="4" t="s">
        <v>2385</v>
      </c>
      <c r="R541" s="4" t="b">
        <v>0</v>
      </c>
      <c r="S541" s="4" t="s">
        <v>1486</v>
      </c>
      <c r="T541" s="2">
        <v>46008.5555555556</v>
      </c>
      <c r="U541" s="2">
        <v>46008.0</v>
      </c>
      <c r="V541" s="4">
        <v>50.0</v>
      </c>
      <c r="W541" s="4" t="s">
        <v>550</v>
      </c>
      <c r="X541" s="4">
        <v>2025.0</v>
      </c>
      <c r="Y541" s="4" t="s">
        <v>1518</v>
      </c>
      <c r="Z541" s="4"/>
      <c r="AA541" s="4" t="s">
        <v>558</v>
      </c>
      <c r="AB541" s="4" t="b">
        <v>1</v>
      </c>
      <c r="AC541" s="4" t="s">
        <v>567</v>
      </c>
      <c r="AD541" s="4" t="s">
        <v>537</v>
      </c>
    </row>
    <row r="542" ht="14.25" customHeight="1">
      <c r="A542" s="4">
        <v>8145844.0</v>
      </c>
      <c r="B542" s="2">
        <v>46008.5460069444</v>
      </c>
      <c r="C542" s="4">
        <v>7372387.0</v>
      </c>
      <c r="D542" s="4" t="s">
        <v>1175</v>
      </c>
      <c r="E542" s="2">
        <v>46008.5541666667</v>
      </c>
      <c r="F542" s="4">
        <v>0.2</v>
      </c>
      <c r="G542" s="4">
        <v>0.0</v>
      </c>
      <c r="H542" s="4" t="s">
        <v>1519</v>
      </c>
      <c r="I542" s="4" t="s">
        <v>1858</v>
      </c>
      <c r="J542" s="4" t="s">
        <v>1519</v>
      </c>
      <c r="K542" s="4" t="s">
        <v>1513</v>
      </c>
      <c r="L542" s="4" t="s">
        <v>1858</v>
      </c>
      <c r="M542" s="4" t="s">
        <v>1482</v>
      </c>
      <c r="N542" s="4" t="s">
        <v>540</v>
      </c>
      <c r="O542" s="4" t="s">
        <v>2384</v>
      </c>
      <c r="P542" s="4" t="s">
        <v>1635</v>
      </c>
      <c r="Q542" s="4" t="s">
        <v>2385</v>
      </c>
      <c r="R542" s="4" t="b">
        <v>0</v>
      </c>
      <c r="S542" s="4" t="s">
        <v>1486</v>
      </c>
      <c r="T542" s="2">
        <v>46008.5555555556</v>
      </c>
      <c r="U542" s="2">
        <v>46008.0</v>
      </c>
      <c r="V542" s="4">
        <v>50.0</v>
      </c>
      <c r="W542" s="4" t="s">
        <v>550</v>
      </c>
      <c r="X542" s="4">
        <v>2025.0</v>
      </c>
      <c r="Y542" s="4" t="s">
        <v>1518</v>
      </c>
      <c r="Z542" s="4"/>
      <c r="AA542" s="4" t="s">
        <v>558</v>
      </c>
      <c r="AB542" s="4" t="b">
        <v>1</v>
      </c>
      <c r="AC542" s="4" t="s">
        <v>567</v>
      </c>
      <c r="AD542" s="4" t="s">
        <v>537</v>
      </c>
    </row>
    <row r="543" ht="14.25" customHeight="1">
      <c r="A543" s="4">
        <v>8145928.0</v>
      </c>
      <c r="B543" s="2">
        <v>46008.5541203704</v>
      </c>
      <c r="C543" s="4">
        <v>7372387.0</v>
      </c>
      <c r="D543" s="4" t="s">
        <v>1175</v>
      </c>
      <c r="E543" s="2">
        <v>46008.5541666667</v>
      </c>
      <c r="F543" s="4">
        <v>0.4</v>
      </c>
      <c r="G543" s="4">
        <v>0.0</v>
      </c>
      <c r="H543" s="4" t="s">
        <v>1519</v>
      </c>
      <c r="I543" s="4" t="s">
        <v>1858</v>
      </c>
      <c r="J543" s="4" t="s">
        <v>1519</v>
      </c>
      <c r="K543" s="4" t="s">
        <v>1513</v>
      </c>
      <c r="L543" s="4" t="s">
        <v>1858</v>
      </c>
      <c r="M543" s="4" t="s">
        <v>1482</v>
      </c>
      <c r="N543" s="4" t="s">
        <v>540</v>
      </c>
      <c r="O543" s="4" t="s">
        <v>2384</v>
      </c>
      <c r="P543" s="4" t="s">
        <v>1635</v>
      </c>
      <c r="Q543" s="4" t="s">
        <v>2385</v>
      </c>
      <c r="R543" s="4" t="b">
        <v>0</v>
      </c>
      <c r="S543" s="4" t="s">
        <v>1486</v>
      </c>
      <c r="T543" s="2">
        <v>46008.5555555556</v>
      </c>
      <c r="U543" s="2">
        <v>46008.0</v>
      </c>
      <c r="V543" s="4">
        <v>50.0</v>
      </c>
      <c r="W543" s="4" t="s">
        <v>550</v>
      </c>
      <c r="X543" s="4">
        <v>2025.0</v>
      </c>
      <c r="Y543" s="4" t="s">
        <v>1518</v>
      </c>
      <c r="Z543" s="4"/>
      <c r="AA543" s="4" t="s">
        <v>558</v>
      </c>
      <c r="AB543" s="4" t="b">
        <v>1</v>
      </c>
      <c r="AC543" s="4" t="s">
        <v>567</v>
      </c>
      <c r="AD543" s="4" t="s">
        <v>537</v>
      </c>
    </row>
    <row r="544" ht="14.25" customHeight="1">
      <c r="A544" s="4">
        <v>8146295.0</v>
      </c>
      <c r="B544" s="2">
        <v>46008.5863541667</v>
      </c>
      <c r="C544" s="4">
        <v>7372832.0</v>
      </c>
      <c r="D544" s="4" t="s">
        <v>1176</v>
      </c>
      <c r="E544" s="2">
        <v>46008.5861111111</v>
      </c>
      <c r="F544" s="4">
        <v>1.0</v>
      </c>
      <c r="G544" s="4">
        <v>0.0</v>
      </c>
      <c r="H544" s="4"/>
      <c r="I544" s="4"/>
      <c r="J544" s="4" t="s">
        <v>1526</v>
      </c>
      <c r="K544" s="4" t="s">
        <v>1527</v>
      </c>
      <c r="L544" s="4" t="s">
        <v>1528</v>
      </c>
      <c r="M544" s="4" t="s">
        <v>1482</v>
      </c>
      <c r="N544" s="4" t="s">
        <v>1529</v>
      </c>
      <c r="O544" s="4" t="s">
        <v>1530</v>
      </c>
      <c r="P544" s="4" t="s">
        <v>1635</v>
      </c>
      <c r="Q544" s="4" t="s">
        <v>2386</v>
      </c>
      <c r="R544" s="4" t="b">
        <v>0</v>
      </c>
      <c r="S544" s="4" t="s">
        <v>1486</v>
      </c>
      <c r="T544" s="2">
        <v>46008.5875</v>
      </c>
      <c r="U544" s="2">
        <v>46008.0</v>
      </c>
      <c r="V544" s="4">
        <v>50.0</v>
      </c>
      <c r="W544" s="4" t="s">
        <v>550</v>
      </c>
      <c r="X544" s="4">
        <v>2025.0</v>
      </c>
      <c r="Y544" s="4" t="s">
        <v>1532</v>
      </c>
      <c r="Z544" s="4" t="s">
        <v>541</v>
      </c>
      <c r="AA544" s="4" t="s">
        <v>546</v>
      </c>
      <c r="AB544" s="4" t="b">
        <v>0</v>
      </c>
      <c r="AC544" s="4" t="s">
        <v>536</v>
      </c>
      <c r="AD544" s="4" t="s">
        <v>537</v>
      </c>
    </row>
    <row r="545" ht="14.25" customHeight="1">
      <c r="A545" s="4">
        <v>8146996.0</v>
      </c>
      <c r="B545" s="2">
        <v>46008.6286226852</v>
      </c>
      <c r="C545" s="4">
        <v>7373529.0</v>
      </c>
      <c r="D545" s="4" t="s">
        <v>1178</v>
      </c>
      <c r="E545" s="2">
        <v>46008.6305555556</v>
      </c>
      <c r="F545" s="4">
        <v>1.0</v>
      </c>
      <c r="G545" s="4">
        <v>0.0</v>
      </c>
      <c r="H545" s="4"/>
      <c r="I545" s="4"/>
      <c r="J545" s="4" t="s">
        <v>1480</v>
      </c>
      <c r="K545" s="4" t="s">
        <v>1480</v>
      </c>
      <c r="L545" s="4" t="s">
        <v>1481</v>
      </c>
      <c r="M545" s="4" t="s">
        <v>1482</v>
      </c>
      <c r="N545" s="4" t="s">
        <v>540</v>
      </c>
      <c r="O545" s="4" t="s">
        <v>2180</v>
      </c>
      <c r="P545" s="4" t="s">
        <v>1635</v>
      </c>
      <c r="Q545" s="4" t="s">
        <v>2387</v>
      </c>
      <c r="R545" s="4" t="b">
        <v>0</v>
      </c>
      <c r="S545" s="4" t="s">
        <v>1486</v>
      </c>
      <c r="T545" s="2">
        <v>46008.6319444444</v>
      </c>
      <c r="U545" s="2">
        <v>46008.0</v>
      </c>
      <c r="V545" s="4">
        <v>50.0</v>
      </c>
      <c r="W545" s="4" t="s">
        <v>550</v>
      </c>
      <c r="X545" s="4">
        <v>2025.0</v>
      </c>
      <c r="Y545" s="4" t="s">
        <v>1487</v>
      </c>
      <c r="Z545" s="4" t="s">
        <v>1179</v>
      </c>
      <c r="AA545" s="4" t="s">
        <v>1180</v>
      </c>
      <c r="AB545" s="4" t="b">
        <v>0</v>
      </c>
      <c r="AC545" s="4" t="s">
        <v>536</v>
      </c>
      <c r="AD545" s="4" t="s">
        <v>537</v>
      </c>
    </row>
    <row r="546" ht="14.25" customHeight="1">
      <c r="A546" s="4">
        <v>8147301.0</v>
      </c>
      <c r="B546" s="2">
        <v>46008.6496180556</v>
      </c>
      <c r="C546" s="4">
        <v>7373827.0</v>
      </c>
      <c r="D546" s="4" t="s">
        <v>1181</v>
      </c>
      <c r="E546" s="2">
        <v>46008.6576388889</v>
      </c>
      <c r="F546" s="4">
        <v>1.0</v>
      </c>
      <c r="G546" s="4">
        <v>0.0</v>
      </c>
      <c r="H546" s="4"/>
      <c r="I546" s="4"/>
      <c r="J546" s="4" t="s">
        <v>1480</v>
      </c>
      <c r="K546" s="4" t="s">
        <v>1480</v>
      </c>
      <c r="L546" s="4" t="s">
        <v>1481</v>
      </c>
      <c r="M546" s="4" t="s">
        <v>1482</v>
      </c>
      <c r="N546" s="4" t="s">
        <v>540</v>
      </c>
      <c r="O546" s="4" t="s">
        <v>1483</v>
      </c>
      <c r="P546" s="4" t="s">
        <v>1506</v>
      </c>
      <c r="Q546" s="4" t="s">
        <v>2388</v>
      </c>
      <c r="R546" s="4" t="b">
        <v>0</v>
      </c>
      <c r="S546" s="4" t="s">
        <v>1486</v>
      </c>
      <c r="T546" s="2">
        <v>46008.6590277778</v>
      </c>
      <c r="U546" s="2">
        <v>46008.0</v>
      </c>
      <c r="V546" s="4">
        <v>50.0</v>
      </c>
      <c r="W546" s="4" t="s">
        <v>550</v>
      </c>
      <c r="X546" s="4">
        <v>2025.0</v>
      </c>
      <c r="Y546" s="4" t="s">
        <v>1487</v>
      </c>
      <c r="Z546" s="4" t="s">
        <v>557</v>
      </c>
      <c r="AA546" s="4" t="s">
        <v>558</v>
      </c>
      <c r="AB546" s="4" t="b">
        <v>0</v>
      </c>
      <c r="AC546" s="4" t="s">
        <v>536</v>
      </c>
      <c r="AD546" s="4" t="s">
        <v>537</v>
      </c>
    </row>
    <row r="547" ht="14.25" customHeight="1">
      <c r="A547" s="4">
        <v>8147918.0</v>
      </c>
      <c r="B547" s="2">
        <v>46008.6879282407</v>
      </c>
      <c r="C547" s="4">
        <v>7374439.0</v>
      </c>
      <c r="D547" s="4" t="s">
        <v>1182</v>
      </c>
      <c r="E547" s="2">
        <v>46008.6916666667</v>
      </c>
      <c r="F547" s="4">
        <v>1.0</v>
      </c>
      <c r="G547" s="4">
        <v>0.0</v>
      </c>
      <c r="H547" s="4"/>
      <c r="I547" s="4"/>
      <c r="J547" s="4" t="s">
        <v>1480</v>
      </c>
      <c r="K547" s="4" t="s">
        <v>1480</v>
      </c>
      <c r="L547" s="4" t="s">
        <v>1511</v>
      </c>
      <c r="M547" s="4" t="s">
        <v>1482</v>
      </c>
      <c r="N547" s="4" t="s">
        <v>653</v>
      </c>
      <c r="O547" s="4" t="s">
        <v>1806</v>
      </c>
      <c r="P547" s="4" t="s">
        <v>1845</v>
      </c>
      <c r="Q547" s="4" t="s">
        <v>2389</v>
      </c>
      <c r="R547" s="4" t="b">
        <v>0</v>
      </c>
      <c r="S547" s="4" t="s">
        <v>1486</v>
      </c>
      <c r="T547" s="2">
        <v>46008.6930555556</v>
      </c>
      <c r="U547" s="2">
        <v>46008.0</v>
      </c>
      <c r="V547" s="4">
        <v>50.0</v>
      </c>
      <c r="W547" s="4" t="s">
        <v>550</v>
      </c>
      <c r="X547" s="4">
        <v>2025.0</v>
      </c>
      <c r="Y547" s="4" t="s">
        <v>1680</v>
      </c>
      <c r="Z547" s="4"/>
      <c r="AA547" s="4" t="s">
        <v>558</v>
      </c>
      <c r="AB547" s="4" t="b">
        <v>0</v>
      </c>
      <c r="AC547" s="4" t="s">
        <v>567</v>
      </c>
      <c r="AD547" s="4" t="s">
        <v>537</v>
      </c>
    </row>
    <row r="548" ht="14.25" customHeight="1">
      <c r="A548" s="4">
        <v>8147986.0</v>
      </c>
      <c r="B548" s="2">
        <v>46008.692025463</v>
      </c>
      <c r="C548" s="4">
        <v>7374507.0</v>
      </c>
      <c r="D548" s="4" t="s">
        <v>1183</v>
      </c>
      <c r="E548" s="2">
        <v>46008.69375</v>
      </c>
      <c r="F548" s="4">
        <v>1.0</v>
      </c>
      <c r="G548" s="4">
        <v>0.0</v>
      </c>
      <c r="H548" s="4"/>
      <c r="I548" s="4"/>
      <c r="J548" s="4" t="s">
        <v>1480</v>
      </c>
      <c r="K548" s="4" t="s">
        <v>1480</v>
      </c>
      <c r="L548" s="4" t="s">
        <v>1481</v>
      </c>
      <c r="M548" s="4" t="s">
        <v>1482</v>
      </c>
      <c r="N548" s="4" t="s">
        <v>540</v>
      </c>
      <c r="O548" s="4" t="s">
        <v>2390</v>
      </c>
      <c r="P548" s="4" t="s">
        <v>1794</v>
      </c>
      <c r="Q548" s="4" t="s">
        <v>2391</v>
      </c>
      <c r="R548" s="4" t="b">
        <v>0</v>
      </c>
      <c r="S548" s="4" t="s">
        <v>1486</v>
      </c>
      <c r="T548" s="2">
        <v>46008.6951388889</v>
      </c>
      <c r="U548" s="2">
        <v>46008.0</v>
      </c>
      <c r="V548" s="4">
        <v>50.0</v>
      </c>
      <c r="W548" s="4" t="s">
        <v>550</v>
      </c>
      <c r="X548" s="4">
        <v>2025.0</v>
      </c>
      <c r="Y548" s="4" t="s">
        <v>1487</v>
      </c>
      <c r="Z548" s="4" t="s">
        <v>557</v>
      </c>
      <c r="AA548" s="4" t="s">
        <v>558</v>
      </c>
      <c r="AB548" s="4" t="b">
        <v>0</v>
      </c>
      <c r="AC548" s="4" t="s">
        <v>536</v>
      </c>
      <c r="AD548" s="4" t="s">
        <v>537</v>
      </c>
    </row>
    <row r="549" ht="14.25" customHeight="1">
      <c r="A549" s="4">
        <v>8148691.0</v>
      </c>
      <c r="B549" s="2">
        <v>46008.7385416667</v>
      </c>
      <c r="C549" s="4">
        <v>7375196.0</v>
      </c>
      <c r="D549" s="4" t="s">
        <v>1185</v>
      </c>
      <c r="E549" s="2">
        <v>46008.7395833333</v>
      </c>
      <c r="F549" s="4">
        <v>1.0</v>
      </c>
      <c r="G549" s="4">
        <v>0.0</v>
      </c>
      <c r="H549" s="4"/>
      <c r="I549" s="4"/>
      <c r="J549" s="4" t="s">
        <v>539</v>
      </c>
      <c r="K549" s="4" t="s">
        <v>539</v>
      </c>
      <c r="L549" s="4" t="s">
        <v>1499</v>
      </c>
      <c r="M549" s="4" t="s">
        <v>1482</v>
      </c>
      <c r="N549" s="4"/>
      <c r="O549" s="4" t="s">
        <v>1483</v>
      </c>
      <c r="P549" s="4" t="s">
        <v>2392</v>
      </c>
      <c r="Q549" s="4" t="s">
        <v>2393</v>
      </c>
      <c r="R549" s="4" t="b">
        <v>0</v>
      </c>
      <c r="S549" s="4" t="s">
        <v>1486</v>
      </c>
      <c r="T549" s="2">
        <v>46008.7409722222</v>
      </c>
      <c r="U549" s="2">
        <v>46008.0</v>
      </c>
      <c r="V549" s="4">
        <v>50.0</v>
      </c>
      <c r="W549" s="4" t="s">
        <v>550</v>
      </c>
      <c r="X549" s="4">
        <v>2025.0</v>
      </c>
      <c r="Y549" s="4" t="s">
        <v>1502</v>
      </c>
      <c r="Z549" s="4" t="s">
        <v>541</v>
      </c>
      <c r="AA549" s="4" t="s">
        <v>546</v>
      </c>
      <c r="AB549" s="4" t="b">
        <v>0</v>
      </c>
      <c r="AC549" s="4" t="s">
        <v>536</v>
      </c>
      <c r="AD549" s="4" t="s">
        <v>537</v>
      </c>
    </row>
    <row r="550" ht="14.25" customHeight="1">
      <c r="A550" s="4">
        <v>8149181.0</v>
      </c>
      <c r="B550" s="2">
        <v>46008.7799074074</v>
      </c>
      <c r="C550" s="4">
        <v>7375678.0</v>
      </c>
      <c r="D550" s="4" t="s">
        <v>1186</v>
      </c>
      <c r="E550" s="2">
        <v>46008.78125</v>
      </c>
      <c r="F550" s="4">
        <v>1.0</v>
      </c>
      <c r="G550" s="4">
        <v>0.0</v>
      </c>
      <c r="H550" s="4" t="s">
        <v>1519</v>
      </c>
      <c r="I550" s="4" t="s">
        <v>2394</v>
      </c>
      <c r="J550" s="4" t="s">
        <v>1519</v>
      </c>
      <c r="K550" s="4" t="s">
        <v>1513</v>
      </c>
      <c r="L550" s="4" t="s">
        <v>2394</v>
      </c>
      <c r="M550" s="4" t="s">
        <v>1482</v>
      </c>
      <c r="N550" s="4" t="s">
        <v>1594</v>
      </c>
      <c r="O550" s="4" t="s">
        <v>2395</v>
      </c>
      <c r="P550" s="4" t="s">
        <v>2396</v>
      </c>
      <c r="Q550" s="4" t="s">
        <v>2397</v>
      </c>
      <c r="R550" s="4" t="b">
        <v>0</v>
      </c>
      <c r="S550" s="4" t="s">
        <v>1486</v>
      </c>
      <c r="T550" s="2">
        <v>46008.7826388889</v>
      </c>
      <c r="U550" s="2">
        <v>46008.0</v>
      </c>
      <c r="V550" s="4">
        <v>50.0</v>
      </c>
      <c r="W550" s="4" t="s">
        <v>550</v>
      </c>
      <c r="X550" s="4">
        <v>2025.0</v>
      </c>
      <c r="Y550" s="4" t="s">
        <v>1518</v>
      </c>
      <c r="Z550" s="4"/>
      <c r="AA550" s="4" t="s">
        <v>558</v>
      </c>
      <c r="AB550" s="4" t="b">
        <v>0</v>
      </c>
      <c r="AC550" s="4" t="s">
        <v>599</v>
      </c>
      <c r="AD550" s="4" t="s">
        <v>537</v>
      </c>
    </row>
    <row r="551" ht="14.25" customHeight="1">
      <c r="A551" s="4">
        <v>8149401.0</v>
      </c>
      <c r="B551" s="2">
        <v>46008.7956712963</v>
      </c>
      <c r="C551" s="4">
        <v>7375898.0</v>
      </c>
      <c r="D551" s="4" t="s">
        <v>1187</v>
      </c>
      <c r="E551" s="2">
        <v>46008.7965277778</v>
      </c>
      <c r="F551" s="4">
        <v>1.0</v>
      </c>
      <c r="G551" s="4">
        <v>0.0</v>
      </c>
      <c r="H551" s="4" t="s">
        <v>1519</v>
      </c>
      <c r="I551" s="4" t="s">
        <v>1717</v>
      </c>
      <c r="J551" s="4" t="s">
        <v>1519</v>
      </c>
      <c r="K551" s="4" t="s">
        <v>1513</v>
      </c>
      <c r="L551" s="4" t="s">
        <v>1717</v>
      </c>
      <c r="M551" s="4" t="s">
        <v>1482</v>
      </c>
      <c r="N551" s="4" t="s">
        <v>540</v>
      </c>
      <c r="O551" s="4" t="s">
        <v>2398</v>
      </c>
      <c r="P551" s="4" t="s">
        <v>2399</v>
      </c>
      <c r="Q551" s="4" t="s">
        <v>2400</v>
      </c>
      <c r="R551" s="4" t="b">
        <v>0</v>
      </c>
      <c r="S551" s="4" t="s">
        <v>1486</v>
      </c>
      <c r="T551" s="2">
        <v>46008.7979166667</v>
      </c>
      <c r="U551" s="2">
        <v>46008.0</v>
      </c>
      <c r="V551" s="4">
        <v>50.0</v>
      </c>
      <c r="W551" s="4" t="s">
        <v>550</v>
      </c>
      <c r="X551" s="4">
        <v>2025.0</v>
      </c>
      <c r="Y551" s="4" t="s">
        <v>1518</v>
      </c>
      <c r="Z551" s="4"/>
      <c r="AA551" s="4" t="s">
        <v>558</v>
      </c>
      <c r="AB551" s="4" t="b">
        <v>0</v>
      </c>
      <c r="AC551" s="4" t="s">
        <v>599</v>
      </c>
      <c r="AD551" s="4" t="s">
        <v>537</v>
      </c>
    </row>
    <row r="552" ht="14.25" customHeight="1">
      <c r="A552" s="4">
        <v>8149620.0</v>
      </c>
      <c r="B552" s="2">
        <v>46008.8129282407</v>
      </c>
      <c r="C552" s="4">
        <v>7376116.0</v>
      </c>
      <c r="D552" s="4" t="s">
        <v>1188</v>
      </c>
      <c r="E552" s="2">
        <v>46008.8152777778</v>
      </c>
      <c r="F552" s="4">
        <v>1.0</v>
      </c>
      <c r="G552" s="4">
        <v>0.0</v>
      </c>
      <c r="H552" s="4" t="s">
        <v>1519</v>
      </c>
      <c r="I552" s="4" t="s">
        <v>1533</v>
      </c>
      <c r="J552" s="4" t="s">
        <v>1519</v>
      </c>
      <c r="K552" s="4" t="s">
        <v>1513</v>
      </c>
      <c r="L552" s="4" t="s">
        <v>1533</v>
      </c>
      <c r="M552" s="4" t="s">
        <v>1534</v>
      </c>
      <c r="N552" s="4" t="s">
        <v>540</v>
      </c>
      <c r="O552" s="4" t="s">
        <v>2401</v>
      </c>
      <c r="P552" s="4" t="s">
        <v>1635</v>
      </c>
      <c r="Q552" s="4" t="s">
        <v>2402</v>
      </c>
      <c r="R552" s="4" t="b">
        <v>0</v>
      </c>
      <c r="S552" s="4" t="s">
        <v>1486</v>
      </c>
      <c r="T552" s="2">
        <v>46008.8166666667</v>
      </c>
      <c r="U552" s="2">
        <v>46008.0</v>
      </c>
      <c r="V552" s="4">
        <v>50.0</v>
      </c>
      <c r="W552" s="4" t="s">
        <v>550</v>
      </c>
      <c r="X552" s="4">
        <v>2025.0</v>
      </c>
      <c r="Y552" s="4" t="s">
        <v>1518</v>
      </c>
      <c r="Z552" s="4"/>
      <c r="AA552" s="4" t="s">
        <v>558</v>
      </c>
      <c r="AB552" s="4" t="b">
        <v>0</v>
      </c>
      <c r="AC552" s="4" t="s">
        <v>536</v>
      </c>
      <c r="AD552" s="4" t="s">
        <v>537</v>
      </c>
    </row>
    <row r="553" ht="14.25" customHeight="1">
      <c r="A553" s="4">
        <v>8150045.0</v>
      </c>
      <c r="B553" s="2">
        <v>46008.8458912037</v>
      </c>
      <c r="C553" s="4">
        <v>7376541.0</v>
      </c>
      <c r="D553" s="4" t="s">
        <v>1189</v>
      </c>
      <c r="E553" s="2">
        <v>46008.8472222222</v>
      </c>
      <c r="F553" s="4">
        <v>1.0</v>
      </c>
      <c r="G553" s="4">
        <v>0.0</v>
      </c>
      <c r="H553" s="4" t="s">
        <v>1519</v>
      </c>
      <c r="I553" s="4" t="s">
        <v>1553</v>
      </c>
      <c r="J553" s="4" t="s">
        <v>1519</v>
      </c>
      <c r="K553" s="4" t="s">
        <v>1513</v>
      </c>
      <c r="L553" s="4" t="s">
        <v>1553</v>
      </c>
      <c r="M553" s="4" t="s">
        <v>1554</v>
      </c>
      <c r="N553" s="4" t="s">
        <v>540</v>
      </c>
      <c r="O553" s="4" t="s">
        <v>2403</v>
      </c>
      <c r="P553" s="4" t="s">
        <v>1544</v>
      </c>
      <c r="Q553" s="4" t="s">
        <v>2404</v>
      </c>
      <c r="R553" s="4" t="b">
        <v>0</v>
      </c>
      <c r="S553" s="4" t="s">
        <v>1486</v>
      </c>
      <c r="T553" s="2">
        <v>46008.8486111111</v>
      </c>
      <c r="U553" s="2">
        <v>46008.0</v>
      </c>
      <c r="V553" s="4">
        <v>50.0</v>
      </c>
      <c r="W553" s="4" t="s">
        <v>550</v>
      </c>
      <c r="X553" s="4">
        <v>2025.0</v>
      </c>
      <c r="Y553" s="4" t="s">
        <v>1518</v>
      </c>
      <c r="Z553" s="4"/>
      <c r="AA553" s="4" t="s">
        <v>558</v>
      </c>
      <c r="AB553" s="4" t="b">
        <v>0</v>
      </c>
      <c r="AC553" s="4" t="s">
        <v>554</v>
      </c>
      <c r="AD553" s="4" t="s">
        <v>537</v>
      </c>
    </row>
    <row r="554" ht="14.25" customHeight="1">
      <c r="A554" s="4">
        <v>8150346.0</v>
      </c>
      <c r="B554" s="2">
        <v>46008.8694907407</v>
      </c>
      <c r="C554" s="4">
        <v>7376841.0</v>
      </c>
      <c r="D554" s="4" t="s">
        <v>1190</v>
      </c>
      <c r="E554" s="2">
        <v>46008.8701388889</v>
      </c>
      <c r="F554" s="4">
        <v>1.0</v>
      </c>
      <c r="G554" s="4">
        <v>0.0</v>
      </c>
      <c r="H554" s="4" t="s">
        <v>1519</v>
      </c>
      <c r="I554" s="4" t="s">
        <v>1717</v>
      </c>
      <c r="J554" s="4" t="s">
        <v>1519</v>
      </c>
      <c r="K554" s="4" t="s">
        <v>1513</v>
      </c>
      <c r="L554" s="4" t="s">
        <v>1717</v>
      </c>
      <c r="M554" s="4" t="s">
        <v>1482</v>
      </c>
      <c r="N554" s="4" t="s">
        <v>540</v>
      </c>
      <c r="O554" s="4" t="s">
        <v>2405</v>
      </c>
      <c r="P554" s="4" t="s">
        <v>2406</v>
      </c>
      <c r="Q554" s="4" t="s">
        <v>2407</v>
      </c>
      <c r="R554" s="4" t="b">
        <v>0</v>
      </c>
      <c r="S554" s="4" t="s">
        <v>1486</v>
      </c>
      <c r="T554" s="2">
        <v>46008.8715277778</v>
      </c>
      <c r="U554" s="2">
        <v>46008.0</v>
      </c>
      <c r="V554" s="4">
        <v>50.0</v>
      </c>
      <c r="W554" s="4" t="s">
        <v>550</v>
      </c>
      <c r="X554" s="4">
        <v>2025.0</v>
      </c>
      <c r="Y554" s="4" t="s">
        <v>1518</v>
      </c>
      <c r="Z554" s="4"/>
      <c r="AA554" s="4" t="s">
        <v>558</v>
      </c>
      <c r="AB554" s="4" t="b">
        <v>0</v>
      </c>
      <c r="AC554" s="4" t="s">
        <v>536</v>
      </c>
      <c r="AD554" s="4" t="s">
        <v>537</v>
      </c>
    </row>
    <row r="555" ht="14.25" customHeight="1">
      <c r="A555" s="4">
        <v>8150264.0</v>
      </c>
      <c r="B555" s="2">
        <v>46008.8624652778</v>
      </c>
      <c r="C555" s="4">
        <v>7376760.0</v>
      </c>
      <c r="D555" s="4" t="s">
        <v>1191</v>
      </c>
      <c r="E555" s="2">
        <v>46008.8708333333</v>
      </c>
      <c r="F555" s="4">
        <v>1.0</v>
      </c>
      <c r="G555" s="4">
        <v>0.0</v>
      </c>
      <c r="H555" s="4" t="s">
        <v>1519</v>
      </c>
      <c r="I555" s="4" t="s">
        <v>1533</v>
      </c>
      <c r="J555" s="4" t="s">
        <v>1519</v>
      </c>
      <c r="K555" s="4" t="s">
        <v>1513</v>
      </c>
      <c r="L555" s="4" t="s">
        <v>1533</v>
      </c>
      <c r="M555" s="4" t="s">
        <v>2408</v>
      </c>
      <c r="N555" s="4" t="s">
        <v>540</v>
      </c>
      <c r="O555" s="4" t="s">
        <v>2409</v>
      </c>
      <c r="P555" s="4" t="s">
        <v>1506</v>
      </c>
      <c r="Q555" s="4" t="s">
        <v>2410</v>
      </c>
      <c r="R555" s="4" t="b">
        <v>0</v>
      </c>
      <c r="S555" s="4" t="s">
        <v>1486</v>
      </c>
      <c r="T555" s="2">
        <v>46008.8722222222</v>
      </c>
      <c r="U555" s="2">
        <v>46008.0</v>
      </c>
      <c r="V555" s="4">
        <v>50.0</v>
      </c>
      <c r="W555" s="4" t="s">
        <v>550</v>
      </c>
      <c r="X555" s="4">
        <v>2025.0</v>
      </c>
      <c r="Y555" s="4" t="s">
        <v>1518</v>
      </c>
      <c r="Z555" s="4" t="s">
        <v>557</v>
      </c>
      <c r="AA555" s="4" t="s">
        <v>558</v>
      </c>
      <c r="AB555" s="4" t="b">
        <v>0</v>
      </c>
      <c r="AC555" s="4" t="s">
        <v>536</v>
      </c>
      <c r="AD555" s="4" t="s">
        <v>537</v>
      </c>
    </row>
    <row r="556" ht="14.25" customHeight="1">
      <c r="A556" s="4">
        <v>8150992.0</v>
      </c>
      <c r="B556" s="2">
        <v>46008.9229282407</v>
      </c>
      <c r="C556" s="4">
        <v>7377481.0</v>
      </c>
      <c r="D556" s="4" t="s">
        <v>1192</v>
      </c>
      <c r="E556" s="2">
        <v>46008.9229166667</v>
      </c>
      <c r="F556" s="4">
        <v>1.0</v>
      </c>
      <c r="G556" s="4">
        <v>0.0</v>
      </c>
      <c r="H556" s="4" t="s">
        <v>1519</v>
      </c>
      <c r="I556" s="4" t="s">
        <v>2411</v>
      </c>
      <c r="J556" s="4" t="s">
        <v>1519</v>
      </c>
      <c r="K556" s="4" t="s">
        <v>1513</v>
      </c>
      <c r="L556" s="4" t="s">
        <v>2411</v>
      </c>
      <c r="M556" s="4" t="s">
        <v>2412</v>
      </c>
      <c r="N556" s="4" t="s">
        <v>540</v>
      </c>
      <c r="O556" s="4" t="s">
        <v>2413</v>
      </c>
      <c r="P556" s="4" t="s">
        <v>1923</v>
      </c>
      <c r="Q556" s="4" t="s">
        <v>2414</v>
      </c>
      <c r="R556" s="4" t="b">
        <v>0</v>
      </c>
      <c r="S556" s="4" t="s">
        <v>1486</v>
      </c>
      <c r="T556" s="2">
        <v>46008.9243055556</v>
      </c>
      <c r="U556" s="2">
        <v>46008.0</v>
      </c>
      <c r="V556" s="4">
        <v>50.0</v>
      </c>
      <c r="W556" s="4" t="s">
        <v>550</v>
      </c>
      <c r="X556" s="4">
        <v>2025.0</v>
      </c>
      <c r="Y556" s="4" t="s">
        <v>1518</v>
      </c>
      <c r="Z556" s="4" t="s">
        <v>557</v>
      </c>
      <c r="AA556" s="4" t="s">
        <v>558</v>
      </c>
      <c r="AB556" s="4" t="b">
        <v>0</v>
      </c>
      <c r="AC556" s="4" t="s">
        <v>536</v>
      </c>
      <c r="AD556" s="4" t="s">
        <v>537</v>
      </c>
    </row>
    <row r="557" ht="14.25" customHeight="1">
      <c r="A557" s="4">
        <v>8152436.0</v>
      </c>
      <c r="B557" s="2">
        <v>46009.0419791667</v>
      </c>
      <c r="C557" s="4">
        <v>7378920.0</v>
      </c>
      <c r="D557" s="4" t="s">
        <v>1193</v>
      </c>
      <c r="E557" s="2">
        <v>46009.0423611111</v>
      </c>
      <c r="F557" s="4">
        <v>1.0</v>
      </c>
      <c r="G557" s="4">
        <v>0.0</v>
      </c>
      <c r="H557" s="4"/>
      <c r="I557" s="4"/>
      <c r="J557" s="4" t="s">
        <v>539</v>
      </c>
      <c r="K557" s="4" t="s">
        <v>539</v>
      </c>
      <c r="L557" s="4" t="s">
        <v>1499</v>
      </c>
      <c r="M557" s="4" t="s">
        <v>1482</v>
      </c>
      <c r="N557" s="4"/>
      <c r="O557" s="4" t="s">
        <v>2415</v>
      </c>
      <c r="P557" s="4" t="s">
        <v>1635</v>
      </c>
      <c r="Q557" s="4" t="s">
        <v>2416</v>
      </c>
      <c r="R557" s="4" t="b">
        <v>0</v>
      </c>
      <c r="S557" s="4" t="s">
        <v>1486</v>
      </c>
      <c r="T557" s="2">
        <v>46009.04375</v>
      </c>
      <c r="U557" s="2">
        <v>46009.0</v>
      </c>
      <c r="V557" s="4">
        <v>50.0</v>
      </c>
      <c r="W557" s="4" t="s">
        <v>550</v>
      </c>
      <c r="X557" s="4">
        <v>2025.0</v>
      </c>
      <c r="Y557" s="4" t="s">
        <v>1502</v>
      </c>
      <c r="Z557" s="4"/>
      <c r="AA557" s="4" t="s">
        <v>624</v>
      </c>
      <c r="AB557" s="4" t="b">
        <v>0</v>
      </c>
      <c r="AC557" s="4" t="s">
        <v>567</v>
      </c>
      <c r="AD557" s="4" t="s">
        <v>537</v>
      </c>
    </row>
    <row r="558" ht="14.25" customHeight="1">
      <c r="A558" s="4">
        <v>8155033.0</v>
      </c>
      <c r="B558" s="2">
        <v>46009.2828935185</v>
      </c>
      <c r="C558" s="4">
        <v>7381511.0</v>
      </c>
      <c r="D558" s="4" t="s">
        <v>1194</v>
      </c>
      <c r="E558" s="2">
        <v>46009.2826388889</v>
      </c>
      <c r="F558" s="4">
        <v>0.0</v>
      </c>
      <c r="G558" s="4">
        <v>0.0</v>
      </c>
      <c r="H558" s="4"/>
      <c r="I558" s="4"/>
      <c r="J558" s="4"/>
      <c r="K558" s="4"/>
      <c r="L558" s="4"/>
      <c r="M558" s="4" t="s">
        <v>1482</v>
      </c>
      <c r="N558" s="4" t="s">
        <v>2417</v>
      </c>
      <c r="O558" s="4" t="s">
        <v>1500</v>
      </c>
      <c r="P558" s="4" t="s">
        <v>1506</v>
      </c>
      <c r="Q558" s="4" t="s">
        <v>2418</v>
      </c>
      <c r="R558" s="4" t="b">
        <v>1</v>
      </c>
      <c r="S558" s="4" t="s">
        <v>1486</v>
      </c>
      <c r="T558" s="2">
        <v>46009.2840277778</v>
      </c>
      <c r="U558" s="2">
        <v>46009.0</v>
      </c>
      <c r="V558" s="4">
        <v>50.0</v>
      </c>
      <c r="W558" s="4" t="s">
        <v>550</v>
      </c>
      <c r="X558" s="4">
        <v>2025.0</v>
      </c>
      <c r="Y558" s="4" t="s">
        <v>1540</v>
      </c>
      <c r="Z558" s="4"/>
      <c r="AA558" s="4" t="s">
        <v>624</v>
      </c>
      <c r="AB558" s="4" t="b">
        <v>0</v>
      </c>
      <c r="AC558" s="4" t="s">
        <v>567</v>
      </c>
      <c r="AD558" s="4" t="s">
        <v>537</v>
      </c>
    </row>
    <row r="559" ht="14.25" customHeight="1">
      <c r="A559" s="4">
        <v>8155107.0</v>
      </c>
      <c r="B559" s="2">
        <v>46009.2908912037</v>
      </c>
      <c r="C559" s="4">
        <v>7381585.0</v>
      </c>
      <c r="D559" s="4" t="s">
        <v>1195</v>
      </c>
      <c r="E559" s="2">
        <v>46009.2916666667</v>
      </c>
      <c r="F559" s="4">
        <v>1.0</v>
      </c>
      <c r="G559" s="4">
        <v>0.0</v>
      </c>
      <c r="H559" s="4" t="s">
        <v>1888</v>
      </c>
      <c r="I559" s="4" t="s">
        <v>1889</v>
      </c>
      <c r="J559" s="4" t="s">
        <v>1888</v>
      </c>
      <c r="K559" s="4" t="s">
        <v>1775</v>
      </c>
      <c r="L559" s="4" t="s">
        <v>1889</v>
      </c>
      <c r="M559" s="4" t="s">
        <v>2419</v>
      </c>
      <c r="N559" s="4"/>
      <c r="O559" s="4" t="s">
        <v>1483</v>
      </c>
      <c r="P559" s="4" t="s">
        <v>1488</v>
      </c>
      <c r="Q559" s="4" t="s">
        <v>2382</v>
      </c>
      <c r="R559" s="4" t="b">
        <v>0</v>
      </c>
      <c r="S559" s="4" t="s">
        <v>1486</v>
      </c>
      <c r="T559" s="2">
        <v>46009.2930555556</v>
      </c>
      <c r="U559" s="2">
        <v>46009.0</v>
      </c>
      <c r="V559" s="4">
        <v>50.0</v>
      </c>
      <c r="W559" s="4" t="s">
        <v>550</v>
      </c>
      <c r="X559" s="4">
        <v>2025.0</v>
      </c>
      <c r="Y559" s="4" t="s">
        <v>1518</v>
      </c>
      <c r="Z559" s="4" t="s">
        <v>557</v>
      </c>
      <c r="AA559" s="4" t="s">
        <v>558</v>
      </c>
      <c r="AB559" s="4" t="b">
        <v>0</v>
      </c>
      <c r="AC559" s="4" t="s">
        <v>536</v>
      </c>
      <c r="AD559" s="4" t="s">
        <v>537</v>
      </c>
    </row>
    <row r="560" ht="14.25" customHeight="1">
      <c r="A560" s="4">
        <v>8098068.0</v>
      </c>
      <c r="B560" s="2">
        <v>46002.4034143519</v>
      </c>
      <c r="C560" s="4">
        <v>7325235.0</v>
      </c>
      <c r="D560" s="4" t="s">
        <v>1197</v>
      </c>
      <c r="E560" s="2">
        <v>46009.3097222222</v>
      </c>
      <c r="F560" s="4">
        <v>1.0</v>
      </c>
      <c r="G560" s="4">
        <v>0.0</v>
      </c>
      <c r="H560" s="4"/>
      <c r="I560" s="4"/>
      <c r="J560" s="4" t="s">
        <v>539</v>
      </c>
      <c r="K560" s="4" t="s">
        <v>539</v>
      </c>
      <c r="L560" s="4" t="s">
        <v>1499</v>
      </c>
      <c r="M560" s="4" t="s">
        <v>1482</v>
      </c>
      <c r="N560" s="4"/>
      <c r="O560" s="4" t="s">
        <v>1500</v>
      </c>
      <c r="P560" s="4" t="s">
        <v>1635</v>
      </c>
      <c r="Q560" s="4" t="s">
        <v>2037</v>
      </c>
      <c r="R560" s="4" t="b">
        <v>0</v>
      </c>
      <c r="S560" s="4" t="s">
        <v>1486</v>
      </c>
      <c r="T560" s="2">
        <v>46009.3111111111</v>
      </c>
      <c r="U560" s="2">
        <v>46002.0</v>
      </c>
      <c r="V560" s="4">
        <v>49.0</v>
      </c>
      <c r="W560" s="4" t="s">
        <v>550</v>
      </c>
      <c r="X560" s="4">
        <v>2025.0</v>
      </c>
      <c r="Y560" s="4" t="s">
        <v>1502</v>
      </c>
      <c r="Z560" s="4"/>
      <c r="AA560" s="4" t="s">
        <v>558</v>
      </c>
      <c r="AB560" s="4" t="b">
        <v>0</v>
      </c>
      <c r="AC560" s="4" t="s">
        <v>567</v>
      </c>
      <c r="AD560" s="4" t="s">
        <v>537</v>
      </c>
    </row>
    <row r="561" ht="14.25" customHeight="1">
      <c r="A561" s="4">
        <v>8155516.0</v>
      </c>
      <c r="B561" s="2">
        <v>46009.3276736111</v>
      </c>
      <c r="C561" s="4">
        <v>7381993.0</v>
      </c>
      <c r="D561" s="4" t="s">
        <v>1198</v>
      </c>
      <c r="E561" s="2">
        <v>46009.3277777778</v>
      </c>
      <c r="F561" s="4">
        <v>1.0</v>
      </c>
      <c r="G561" s="4">
        <v>0.0</v>
      </c>
      <c r="H561" s="4"/>
      <c r="I561" s="4"/>
      <c r="J561" s="4" t="s">
        <v>539</v>
      </c>
      <c r="K561" s="4" t="s">
        <v>539</v>
      </c>
      <c r="L561" s="4" t="s">
        <v>1499</v>
      </c>
      <c r="M561" s="4" t="s">
        <v>1482</v>
      </c>
      <c r="N561" s="4"/>
      <c r="O561" s="4" t="s">
        <v>1543</v>
      </c>
      <c r="P561" s="4" t="s">
        <v>1605</v>
      </c>
      <c r="Q561" s="4" t="s">
        <v>2420</v>
      </c>
      <c r="R561" s="4" t="b">
        <v>0</v>
      </c>
      <c r="S561" s="4" t="s">
        <v>1486</v>
      </c>
      <c r="T561" s="2">
        <v>46009.3291666667</v>
      </c>
      <c r="U561" s="2">
        <v>46009.0</v>
      </c>
      <c r="V561" s="4">
        <v>50.0</v>
      </c>
      <c r="W561" s="4" t="s">
        <v>550</v>
      </c>
      <c r="X561" s="4">
        <v>2025.0</v>
      </c>
      <c r="Y561" s="4" t="s">
        <v>1502</v>
      </c>
      <c r="Z561" s="4"/>
      <c r="AA561" s="4" t="s">
        <v>558</v>
      </c>
      <c r="AB561" s="4" t="b">
        <v>0</v>
      </c>
      <c r="AC561" s="4" t="s">
        <v>623</v>
      </c>
      <c r="AD561" s="4" t="s">
        <v>537</v>
      </c>
    </row>
    <row r="562" ht="14.25" customHeight="1">
      <c r="A562" s="4">
        <v>8151966.0</v>
      </c>
      <c r="B562" s="2">
        <v>46009.0062847222</v>
      </c>
      <c r="C562" s="4">
        <v>7378450.0</v>
      </c>
      <c r="D562" s="4" t="s">
        <v>1199</v>
      </c>
      <c r="E562" s="2">
        <v>46009.3368055556</v>
      </c>
      <c r="F562" s="4">
        <v>1.0</v>
      </c>
      <c r="G562" s="4">
        <v>0.0</v>
      </c>
      <c r="H562" s="4"/>
      <c r="I562" s="4"/>
      <c r="J562" s="4" t="s">
        <v>539</v>
      </c>
      <c r="K562" s="4" t="s">
        <v>539</v>
      </c>
      <c r="L562" s="4" t="s">
        <v>1499</v>
      </c>
      <c r="M562" s="4" t="s">
        <v>1482</v>
      </c>
      <c r="N562" s="4"/>
      <c r="O562" s="4" t="s">
        <v>1644</v>
      </c>
      <c r="P562" s="4" t="s">
        <v>1506</v>
      </c>
      <c r="Q562" s="4" t="s">
        <v>2421</v>
      </c>
      <c r="R562" s="4" t="b">
        <v>0</v>
      </c>
      <c r="S562" s="4" t="s">
        <v>1486</v>
      </c>
      <c r="T562" s="2">
        <v>46009.3381944444</v>
      </c>
      <c r="U562" s="2">
        <v>46009.0</v>
      </c>
      <c r="V562" s="4">
        <v>50.0</v>
      </c>
      <c r="W562" s="4" t="s">
        <v>550</v>
      </c>
      <c r="X562" s="4">
        <v>2025.0</v>
      </c>
      <c r="Y562" s="4" t="s">
        <v>1502</v>
      </c>
      <c r="Z562" s="4"/>
      <c r="AA562" s="4" t="s">
        <v>624</v>
      </c>
      <c r="AB562" s="4" t="b">
        <v>0</v>
      </c>
      <c r="AC562" s="4" t="s">
        <v>536</v>
      </c>
      <c r="AD562" s="4" t="s">
        <v>537</v>
      </c>
    </row>
    <row r="563" ht="14.25" customHeight="1">
      <c r="A563" s="4">
        <v>8155572.0</v>
      </c>
      <c r="B563" s="2">
        <v>46009.3322337963</v>
      </c>
      <c r="C563" s="4">
        <v>7382048.0</v>
      </c>
      <c r="D563" s="4" t="s">
        <v>1200</v>
      </c>
      <c r="E563" s="2">
        <v>46009.3402777778</v>
      </c>
      <c r="F563" s="4">
        <v>1.0</v>
      </c>
      <c r="G563" s="4">
        <v>0.0</v>
      </c>
      <c r="H563" s="4" t="s">
        <v>1519</v>
      </c>
      <c r="I563" s="4" t="s">
        <v>1781</v>
      </c>
      <c r="J563" s="4" t="s">
        <v>1519</v>
      </c>
      <c r="K563" s="4" t="s">
        <v>1513</v>
      </c>
      <c r="L563" s="4" t="s">
        <v>1781</v>
      </c>
      <c r="M563" s="4" t="s">
        <v>1692</v>
      </c>
      <c r="N563" s="4" t="s">
        <v>540</v>
      </c>
      <c r="O563" s="4" t="s">
        <v>2422</v>
      </c>
      <c r="P563" s="4" t="s">
        <v>2423</v>
      </c>
      <c r="Q563" s="4" t="s">
        <v>2424</v>
      </c>
      <c r="R563" s="4" t="b">
        <v>0</v>
      </c>
      <c r="S563" s="4" t="s">
        <v>1486</v>
      </c>
      <c r="T563" s="2">
        <v>46009.3416666667</v>
      </c>
      <c r="U563" s="2">
        <v>46009.0</v>
      </c>
      <c r="V563" s="4">
        <v>50.0</v>
      </c>
      <c r="W563" s="4" t="s">
        <v>550</v>
      </c>
      <c r="X563" s="4">
        <v>2025.0</v>
      </c>
      <c r="Y563" s="4" t="s">
        <v>1518</v>
      </c>
      <c r="Z563" s="4"/>
      <c r="AA563" s="4" t="s">
        <v>558</v>
      </c>
      <c r="AB563" s="4" t="b">
        <v>0</v>
      </c>
      <c r="AC563" s="4" t="s">
        <v>554</v>
      </c>
      <c r="AD563" s="4" t="s">
        <v>537</v>
      </c>
    </row>
    <row r="564" ht="14.25" customHeight="1">
      <c r="A564" s="4">
        <v>8148931.0</v>
      </c>
      <c r="B564" s="2">
        <v>46008.7591666667</v>
      </c>
      <c r="C564" s="4">
        <v>7375429.0</v>
      </c>
      <c r="D564" s="4" t="s">
        <v>1201</v>
      </c>
      <c r="E564" s="2">
        <v>46009.35625</v>
      </c>
      <c r="F564" s="4">
        <v>1.0</v>
      </c>
      <c r="G564" s="4">
        <v>0.0</v>
      </c>
      <c r="H564" s="4" t="s">
        <v>1519</v>
      </c>
      <c r="I564" s="4" t="s">
        <v>1533</v>
      </c>
      <c r="J564" s="4" t="s">
        <v>1519</v>
      </c>
      <c r="K564" s="4" t="s">
        <v>1513</v>
      </c>
      <c r="L564" s="4" t="s">
        <v>1533</v>
      </c>
      <c r="M564" s="4" t="s">
        <v>1741</v>
      </c>
      <c r="N564" s="4" t="s">
        <v>540</v>
      </c>
      <c r="O564" s="4" t="s">
        <v>2425</v>
      </c>
      <c r="P564" s="4" t="s">
        <v>1635</v>
      </c>
      <c r="Q564" s="4" t="s">
        <v>2426</v>
      </c>
      <c r="R564" s="4" t="b">
        <v>0</v>
      </c>
      <c r="S564" s="4" t="s">
        <v>1486</v>
      </c>
      <c r="T564" s="2">
        <v>46009.3576388889</v>
      </c>
      <c r="U564" s="2">
        <v>46008.0</v>
      </c>
      <c r="V564" s="4">
        <v>50.0</v>
      </c>
      <c r="W564" s="4" t="s">
        <v>550</v>
      </c>
      <c r="X564" s="4">
        <v>2025.0</v>
      </c>
      <c r="Y564" s="4" t="s">
        <v>1518</v>
      </c>
      <c r="Z564" s="4"/>
      <c r="AA564" s="4" t="s">
        <v>558</v>
      </c>
      <c r="AB564" s="4" t="b">
        <v>0</v>
      </c>
      <c r="AC564" s="4" t="s">
        <v>554</v>
      </c>
      <c r="AD564" s="4" t="s">
        <v>537</v>
      </c>
    </row>
    <row r="565" ht="14.25" customHeight="1">
      <c r="A565" s="4">
        <v>8154848.0</v>
      </c>
      <c r="B565" s="2">
        <v>46009.2651736111</v>
      </c>
      <c r="C565" s="4">
        <v>7381327.0</v>
      </c>
      <c r="D565" s="4" t="s">
        <v>1202</v>
      </c>
      <c r="E565" s="2">
        <v>46009.3666666667</v>
      </c>
      <c r="F565" s="4">
        <v>1.0</v>
      </c>
      <c r="G565" s="4">
        <v>0.0</v>
      </c>
      <c r="H565" s="4" t="s">
        <v>1519</v>
      </c>
      <c r="I565" s="4" t="s">
        <v>1553</v>
      </c>
      <c r="J565" s="4" t="s">
        <v>1519</v>
      </c>
      <c r="K565" s="4" t="s">
        <v>1513</v>
      </c>
      <c r="L565" s="4" t="s">
        <v>1553</v>
      </c>
      <c r="M565" s="4" t="s">
        <v>1862</v>
      </c>
      <c r="N565" s="4" t="s">
        <v>540</v>
      </c>
      <c r="O565" s="4" t="s">
        <v>2427</v>
      </c>
      <c r="P565" s="4" t="s">
        <v>1923</v>
      </c>
      <c r="Q565" s="4" t="s">
        <v>2428</v>
      </c>
      <c r="R565" s="4" t="b">
        <v>0</v>
      </c>
      <c r="S565" s="4" t="s">
        <v>1486</v>
      </c>
      <c r="T565" s="2">
        <v>46009.3680555556</v>
      </c>
      <c r="U565" s="2">
        <v>46009.0</v>
      </c>
      <c r="V565" s="4">
        <v>50.0</v>
      </c>
      <c r="W565" s="4" t="s">
        <v>550</v>
      </c>
      <c r="X565" s="4">
        <v>2025.0</v>
      </c>
      <c r="Y565" s="4" t="s">
        <v>1518</v>
      </c>
      <c r="Z565" s="4" t="s">
        <v>557</v>
      </c>
      <c r="AA565" s="4" t="s">
        <v>558</v>
      </c>
      <c r="AB565" s="4" t="b">
        <v>0</v>
      </c>
      <c r="AC565" s="4" t="s">
        <v>536</v>
      </c>
      <c r="AD565" s="4" t="s">
        <v>537</v>
      </c>
    </row>
    <row r="566" ht="14.25" customHeight="1">
      <c r="A566" s="4">
        <v>8156426.0</v>
      </c>
      <c r="B566" s="2">
        <v>46009.3821990741</v>
      </c>
      <c r="C566" s="4">
        <v>7382898.0</v>
      </c>
      <c r="D566" s="4" t="s">
        <v>1203</v>
      </c>
      <c r="E566" s="2">
        <v>46009.3826388889</v>
      </c>
      <c r="F566" s="4">
        <v>1.0</v>
      </c>
      <c r="G566" s="4">
        <v>0.0</v>
      </c>
      <c r="H566" s="4" t="s">
        <v>1519</v>
      </c>
      <c r="I566" s="4" t="s">
        <v>1781</v>
      </c>
      <c r="J566" s="4" t="s">
        <v>1519</v>
      </c>
      <c r="K566" s="4" t="s">
        <v>1513</v>
      </c>
      <c r="L566" s="4" t="s">
        <v>1781</v>
      </c>
      <c r="M566" s="4" t="s">
        <v>1692</v>
      </c>
      <c r="N566" s="4" t="s">
        <v>540</v>
      </c>
      <c r="O566" s="4" t="s">
        <v>2429</v>
      </c>
      <c r="P566" s="4" t="s">
        <v>1845</v>
      </c>
      <c r="Q566" s="4" t="s">
        <v>2430</v>
      </c>
      <c r="R566" s="4" t="b">
        <v>0</v>
      </c>
      <c r="S566" s="4" t="s">
        <v>1486</v>
      </c>
      <c r="T566" s="2">
        <v>46009.3840277778</v>
      </c>
      <c r="U566" s="2">
        <v>46009.0</v>
      </c>
      <c r="V566" s="4">
        <v>50.0</v>
      </c>
      <c r="W566" s="4" t="s">
        <v>550</v>
      </c>
      <c r="X566" s="4">
        <v>2025.0</v>
      </c>
      <c r="Y566" s="4" t="s">
        <v>1518</v>
      </c>
      <c r="Z566" s="4" t="s">
        <v>557</v>
      </c>
      <c r="AA566" s="4" t="s">
        <v>558</v>
      </c>
      <c r="AB566" s="4" t="b">
        <v>0</v>
      </c>
      <c r="AC566" s="4" t="s">
        <v>536</v>
      </c>
      <c r="AD566" s="4" t="s">
        <v>537</v>
      </c>
    </row>
    <row r="567" ht="14.25" customHeight="1">
      <c r="A567" s="4">
        <v>8147380.0</v>
      </c>
      <c r="B567" s="2">
        <v>46008.6554861111</v>
      </c>
      <c r="C567" s="4">
        <v>7373906.0</v>
      </c>
      <c r="D567" s="4" t="s">
        <v>1204</v>
      </c>
      <c r="E567" s="2">
        <v>46009.3868055556</v>
      </c>
      <c r="F567" s="4">
        <v>1.0</v>
      </c>
      <c r="G567" s="4">
        <v>0.0</v>
      </c>
      <c r="H567" s="4"/>
      <c r="I567" s="4"/>
      <c r="J567" s="4" t="s">
        <v>1480</v>
      </c>
      <c r="K567" s="4" t="s">
        <v>1480</v>
      </c>
      <c r="L567" s="4" t="s">
        <v>1481</v>
      </c>
      <c r="M567" s="4" t="s">
        <v>1482</v>
      </c>
      <c r="N567" s="4" t="s">
        <v>540</v>
      </c>
      <c r="O567" s="4" t="s">
        <v>1483</v>
      </c>
      <c r="P567" s="4" t="s">
        <v>1635</v>
      </c>
      <c r="Q567" s="4" t="s">
        <v>2431</v>
      </c>
      <c r="R567" s="4" t="b">
        <v>0</v>
      </c>
      <c r="S567" s="4" t="s">
        <v>1486</v>
      </c>
      <c r="T567" s="2">
        <v>46009.3881944444</v>
      </c>
      <c r="U567" s="2">
        <v>46008.0</v>
      </c>
      <c r="V567" s="4">
        <v>50.0</v>
      </c>
      <c r="W567" s="4" t="s">
        <v>550</v>
      </c>
      <c r="X567" s="4">
        <v>2025.0</v>
      </c>
      <c r="Y567" s="4" t="s">
        <v>1487</v>
      </c>
      <c r="Z567" s="4"/>
      <c r="AA567" s="4" t="s">
        <v>558</v>
      </c>
      <c r="AB567" s="4" t="b">
        <v>0</v>
      </c>
      <c r="AC567" s="4" t="s">
        <v>536</v>
      </c>
      <c r="AD567" s="4" t="s">
        <v>537</v>
      </c>
    </row>
    <row r="568" ht="14.25" customHeight="1">
      <c r="A568" s="4">
        <v>8003268.0</v>
      </c>
      <c r="B568" s="2">
        <v>45994.4646180556</v>
      </c>
      <c r="C568" s="4">
        <v>7230959.0</v>
      </c>
      <c r="D568" s="4" t="s">
        <v>1205</v>
      </c>
      <c r="E568" s="2">
        <v>46009.4194444444</v>
      </c>
      <c r="F568" s="4">
        <v>1.0</v>
      </c>
      <c r="G568" s="4">
        <v>0.0</v>
      </c>
      <c r="H568" s="4"/>
      <c r="I568" s="4"/>
      <c r="J568" s="4" t="s">
        <v>1480</v>
      </c>
      <c r="K568" s="4" t="s">
        <v>1480</v>
      </c>
      <c r="L568" s="4" t="s">
        <v>1481</v>
      </c>
      <c r="M568" s="4" t="s">
        <v>1482</v>
      </c>
      <c r="N568" s="4" t="s">
        <v>540</v>
      </c>
      <c r="O568" s="4" t="s">
        <v>1483</v>
      </c>
      <c r="P568" s="4" t="s">
        <v>1488</v>
      </c>
      <c r="Q568" s="4" t="s">
        <v>2432</v>
      </c>
      <c r="R568" s="4" t="b">
        <v>0</v>
      </c>
      <c r="S568" s="4" t="s">
        <v>1486</v>
      </c>
      <c r="T568" s="2">
        <v>46009.4208333333</v>
      </c>
      <c r="U568" s="2">
        <v>45994.0</v>
      </c>
      <c r="V568" s="4">
        <v>48.0</v>
      </c>
      <c r="W568" s="4" t="s">
        <v>550</v>
      </c>
      <c r="X568" s="4">
        <v>2025.0</v>
      </c>
      <c r="Y568" s="4" t="s">
        <v>1487</v>
      </c>
      <c r="Z568" s="4" t="s">
        <v>557</v>
      </c>
      <c r="AA568" s="4" t="s">
        <v>558</v>
      </c>
      <c r="AB568" s="4" t="b">
        <v>0</v>
      </c>
      <c r="AC568" s="4" t="s">
        <v>536</v>
      </c>
      <c r="AD568" s="4" t="s">
        <v>537</v>
      </c>
    </row>
    <row r="569" ht="14.25" customHeight="1">
      <c r="A569" s="4">
        <v>8156989.0</v>
      </c>
      <c r="B569" s="2">
        <v>46009.4116782407</v>
      </c>
      <c r="C569" s="4">
        <v>7383456.0</v>
      </c>
      <c r="D569" s="4" t="s">
        <v>1206</v>
      </c>
      <c r="E569" s="2">
        <v>46009.4277777778</v>
      </c>
      <c r="F569" s="4">
        <v>0.0</v>
      </c>
      <c r="G569" s="4">
        <v>0.0</v>
      </c>
      <c r="H569" s="4"/>
      <c r="I569" s="4"/>
      <c r="J569" s="4" t="s">
        <v>539</v>
      </c>
      <c r="K569" s="4" t="s">
        <v>539</v>
      </c>
      <c r="L569" s="4" t="s">
        <v>1499</v>
      </c>
      <c r="M569" s="4" t="s">
        <v>1482</v>
      </c>
      <c r="N569" s="4"/>
      <c r="O569" s="4" t="s">
        <v>1951</v>
      </c>
      <c r="P569" s="4" t="s">
        <v>1635</v>
      </c>
      <c r="Q569" s="4" t="s">
        <v>2433</v>
      </c>
      <c r="R569" s="4" t="b">
        <v>0</v>
      </c>
      <c r="S569" s="4" t="s">
        <v>1486</v>
      </c>
      <c r="T569" s="2">
        <v>46009.4291666667</v>
      </c>
      <c r="U569" s="2">
        <v>46009.0</v>
      </c>
      <c r="V569" s="4">
        <v>50.0</v>
      </c>
      <c r="W569" s="4" t="s">
        <v>550</v>
      </c>
      <c r="X569" s="4">
        <v>2025.0</v>
      </c>
      <c r="Y569" s="4" t="s">
        <v>1502</v>
      </c>
      <c r="Z569" s="4" t="s">
        <v>557</v>
      </c>
      <c r="AA569" s="4" t="s">
        <v>558</v>
      </c>
      <c r="AB569" s="4" t="b">
        <v>0</v>
      </c>
      <c r="AC569" s="4" t="s">
        <v>536</v>
      </c>
      <c r="AD569" s="4" t="s">
        <v>537</v>
      </c>
    </row>
    <row r="570" ht="14.25" customHeight="1">
      <c r="A570" s="4">
        <v>8174276.0</v>
      </c>
      <c r="B570" s="2">
        <v>46010.437337963</v>
      </c>
      <c r="C570" s="4">
        <v>7365397.0</v>
      </c>
      <c r="D570" s="4" t="s">
        <v>1267</v>
      </c>
      <c r="E570" s="2">
        <v>46010.9444444444</v>
      </c>
      <c r="F570" s="4">
        <v>0.5</v>
      </c>
      <c r="G570" s="4">
        <v>0.0</v>
      </c>
      <c r="H570" s="4" t="s">
        <v>1636</v>
      </c>
      <c r="I570" s="4" t="s">
        <v>1637</v>
      </c>
      <c r="J570" s="4" t="s">
        <v>1636</v>
      </c>
      <c r="K570" s="4" t="s">
        <v>1638</v>
      </c>
      <c r="L570" s="4" t="s">
        <v>1637</v>
      </c>
      <c r="M570" s="4" t="s">
        <v>1482</v>
      </c>
      <c r="N570" s="4"/>
      <c r="O570" s="4" t="s">
        <v>2434</v>
      </c>
      <c r="P570" s="4" t="s">
        <v>2435</v>
      </c>
      <c r="Q570" s="4" t="s">
        <v>2436</v>
      </c>
      <c r="R570" s="4" t="b">
        <v>0</v>
      </c>
      <c r="S570" s="4" t="s">
        <v>1486</v>
      </c>
      <c r="T570" s="2">
        <v>46010.9458333333</v>
      </c>
      <c r="U570" s="2">
        <v>46010.0</v>
      </c>
      <c r="V570" s="4">
        <v>50.0</v>
      </c>
      <c r="W570" s="4" t="s">
        <v>550</v>
      </c>
      <c r="X570" s="4">
        <v>2025.0</v>
      </c>
      <c r="Y570" s="4" t="s">
        <v>1518</v>
      </c>
      <c r="Z570" s="4"/>
      <c r="AA570" s="4" t="s">
        <v>558</v>
      </c>
      <c r="AB570" s="4" t="b">
        <v>0</v>
      </c>
      <c r="AC570" s="4" t="s">
        <v>536</v>
      </c>
      <c r="AD570" s="4" t="s">
        <v>537</v>
      </c>
    </row>
    <row r="571" ht="14.25" customHeight="1">
      <c r="A571" s="4">
        <v>8157802.0</v>
      </c>
      <c r="B571" s="2">
        <v>46009.4560300926</v>
      </c>
      <c r="C571" s="4">
        <v>7384235.0</v>
      </c>
      <c r="D571" s="4" t="s">
        <v>1207</v>
      </c>
      <c r="E571" s="2">
        <v>46009.45625</v>
      </c>
      <c r="F571" s="4">
        <v>1.0</v>
      </c>
      <c r="G571" s="4">
        <v>0.0</v>
      </c>
      <c r="H571" s="4"/>
      <c r="I571" s="4"/>
      <c r="J571" s="4" t="s">
        <v>1480</v>
      </c>
      <c r="K571" s="4" t="s">
        <v>1480</v>
      </c>
      <c r="L571" s="4" t="s">
        <v>1481</v>
      </c>
      <c r="M571" s="4" t="s">
        <v>1482</v>
      </c>
      <c r="N571" s="4" t="s">
        <v>540</v>
      </c>
      <c r="O571" s="4" t="s">
        <v>1842</v>
      </c>
      <c r="P571" s="4" t="s">
        <v>1923</v>
      </c>
      <c r="Q571" s="4" t="s">
        <v>2437</v>
      </c>
      <c r="R571" s="4" t="b">
        <v>0</v>
      </c>
      <c r="S571" s="4" t="s">
        <v>1486</v>
      </c>
      <c r="T571" s="2">
        <v>46009.4576388889</v>
      </c>
      <c r="U571" s="2">
        <v>46009.0</v>
      </c>
      <c r="V571" s="4">
        <v>50.0</v>
      </c>
      <c r="W571" s="4" t="s">
        <v>550</v>
      </c>
      <c r="X571" s="4">
        <v>2025.0</v>
      </c>
      <c r="Y571" s="4" t="s">
        <v>1487</v>
      </c>
      <c r="Z571" s="4"/>
      <c r="AA571" s="4" t="s">
        <v>786</v>
      </c>
      <c r="AB571" s="4" t="b">
        <v>0</v>
      </c>
      <c r="AC571" s="4" t="s">
        <v>599</v>
      </c>
      <c r="AD571" s="4" t="s">
        <v>537</v>
      </c>
    </row>
    <row r="572" ht="14.25" customHeight="1">
      <c r="A572" s="4">
        <v>8157873.0</v>
      </c>
      <c r="B572" s="2">
        <v>46009.4603240741</v>
      </c>
      <c r="C572" s="4">
        <v>7384299.0</v>
      </c>
      <c r="D572" s="4" t="s">
        <v>1208</v>
      </c>
      <c r="E572" s="2">
        <v>46009.4694444444</v>
      </c>
      <c r="F572" s="4">
        <v>1.0</v>
      </c>
      <c r="G572" s="4">
        <v>0.0</v>
      </c>
      <c r="H572" s="4"/>
      <c r="I572" s="4"/>
      <c r="J572" s="4" t="s">
        <v>1480</v>
      </c>
      <c r="K572" s="4" t="s">
        <v>1480</v>
      </c>
      <c r="L572" s="4" t="s">
        <v>1511</v>
      </c>
      <c r="M572" s="4" t="s">
        <v>1482</v>
      </c>
      <c r="N572" s="4" t="s">
        <v>653</v>
      </c>
      <c r="O572" s="4" t="s">
        <v>1483</v>
      </c>
      <c r="P572" s="4" t="s">
        <v>1845</v>
      </c>
      <c r="Q572" s="4" t="s">
        <v>2438</v>
      </c>
      <c r="R572" s="4" t="b">
        <v>0</v>
      </c>
      <c r="S572" s="4" t="s">
        <v>1486</v>
      </c>
      <c r="T572" s="2">
        <v>46009.4708333333</v>
      </c>
      <c r="U572" s="2">
        <v>46009.0</v>
      </c>
      <c r="V572" s="4">
        <v>50.0</v>
      </c>
      <c r="W572" s="4" t="s">
        <v>550</v>
      </c>
      <c r="X572" s="4">
        <v>2025.0</v>
      </c>
      <c r="Y572" s="4" t="s">
        <v>1680</v>
      </c>
      <c r="Z572" s="4" t="s">
        <v>557</v>
      </c>
      <c r="AA572" s="4" t="s">
        <v>558</v>
      </c>
      <c r="AB572" s="4" t="b">
        <v>0</v>
      </c>
      <c r="AC572" s="4" t="s">
        <v>536</v>
      </c>
      <c r="AD572" s="4" t="s">
        <v>537</v>
      </c>
    </row>
    <row r="573" ht="14.25" customHeight="1">
      <c r="A573" s="4">
        <v>8144989.0</v>
      </c>
      <c r="B573" s="2">
        <v>46008.4971412037</v>
      </c>
      <c r="C573" s="4">
        <v>7371588.0</v>
      </c>
      <c r="D573" s="4" t="s">
        <v>1210</v>
      </c>
      <c r="E573" s="2">
        <v>46009.4729166667</v>
      </c>
      <c r="F573" s="4">
        <v>1.0</v>
      </c>
      <c r="G573" s="4">
        <v>0.0</v>
      </c>
      <c r="H573" s="4"/>
      <c r="I573" s="4"/>
      <c r="J573" s="4" t="s">
        <v>1480</v>
      </c>
      <c r="K573" s="4" t="s">
        <v>1480</v>
      </c>
      <c r="L573" s="4" t="s">
        <v>1511</v>
      </c>
      <c r="M573" s="4" t="s">
        <v>1482</v>
      </c>
      <c r="N573" s="4" t="s">
        <v>653</v>
      </c>
      <c r="O573" s="4" t="s">
        <v>1483</v>
      </c>
      <c r="P573" s="4" t="s">
        <v>1845</v>
      </c>
      <c r="Q573" s="4" t="s">
        <v>2439</v>
      </c>
      <c r="R573" s="4" t="b">
        <v>0</v>
      </c>
      <c r="S573" s="4" t="s">
        <v>1486</v>
      </c>
      <c r="T573" s="2">
        <v>46009.4743055556</v>
      </c>
      <c r="U573" s="2">
        <v>46008.0</v>
      </c>
      <c r="V573" s="4">
        <v>50.0</v>
      </c>
      <c r="W573" s="4" t="s">
        <v>550</v>
      </c>
      <c r="X573" s="4">
        <v>2025.0</v>
      </c>
      <c r="Y573" s="4" t="s">
        <v>1680</v>
      </c>
      <c r="Z573" s="4" t="s">
        <v>557</v>
      </c>
      <c r="AA573" s="4" t="s">
        <v>558</v>
      </c>
      <c r="AB573" s="4" t="b">
        <v>0</v>
      </c>
      <c r="AC573" s="4" t="s">
        <v>536</v>
      </c>
      <c r="AD573" s="4" t="s">
        <v>537</v>
      </c>
    </row>
    <row r="574" ht="14.25" customHeight="1">
      <c r="A574" s="4">
        <v>8157529.0</v>
      </c>
      <c r="B574" s="2">
        <v>46009.4435300926</v>
      </c>
      <c r="C574" s="4">
        <v>7383991.0</v>
      </c>
      <c r="D574" s="4" t="s">
        <v>1211</v>
      </c>
      <c r="E574" s="2">
        <v>46009.4729166667</v>
      </c>
      <c r="F574" s="4">
        <v>1.0</v>
      </c>
      <c r="G574" s="4">
        <v>0.0</v>
      </c>
      <c r="H574" s="4"/>
      <c r="I574" s="4"/>
      <c r="J574" s="4" t="s">
        <v>539</v>
      </c>
      <c r="K574" s="4" t="s">
        <v>539</v>
      </c>
      <c r="L574" s="4" t="s">
        <v>1499</v>
      </c>
      <c r="M574" s="4" t="s">
        <v>1482</v>
      </c>
      <c r="N574" s="4"/>
      <c r="O574" s="4" t="s">
        <v>2440</v>
      </c>
      <c r="P574" s="4" t="s">
        <v>1845</v>
      </c>
      <c r="Q574" s="4" t="s">
        <v>2441</v>
      </c>
      <c r="R574" s="4" t="b">
        <v>0</v>
      </c>
      <c r="S574" s="4" t="s">
        <v>1486</v>
      </c>
      <c r="T574" s="2">
        <v>46009.4743055556</v>
      </c>
      <c r="U574" s="2">
        <v>46009.0</v>
      </c>
      <c r="V574" s="4">
        <v>50.0</v>
      </c>
      <c r="W574" s="4" t="s">
        <v>550</v>
      </c>
      <c r="X574" s="4">
        <v>2025.0</v>
      </c>
      <c r="Y574" s="4" t="s">
        <v>1502</v>
      </c>
      <c r="Z574" s="4"/>
      <c r="AA574" s="4" t="s">
        <v>558</v>
      </c>
      <c r="AB574" s="4" t="b">
        <v>0</v>
      </c>
      <c r="AC574" s="4" t="s">
        <v>536</v>
      </c>
      <c r="AD574" s="4" t="s">
        <v>537</v>
      </c>
    </row>
    <row r="575" ht="14.25" customHeight="1">
      <c r="A575" s="4">
        <v>8158423.0</v>
      </c>
      <c r="B575" s="2">
        <v>46009.487337963</v>
      </c>
      <c r="C575" s="4">
        <v>7384826.0</v>
      </c>
      <c r="D575" s="4" t="s">
        <v>1212</v>
      </c>
      <c r="E575" s="2">
        <v>46009.4888888889</v>
      </c>
      <c r="F575" s="4">
        <v>1.0</v>
      </c>
      <c r="G575" s="4">
        <v>0.0</v>
      </c>
      <c r="H575" s="4" t="s">
        <v>1519</v>
      </c>
      <c r="I575" s="4" t="s">
        <v>1781</v>
      </c>
      <c r="J575" s="4" t="s">
        <v>1519</v>
      </c>
      <c r="K575" s="4" t="s">
        <v>1513</v>
      </c>
      <c r="L575" s="4" t="s">
        <v>1781</v>
      </c>
      <c r="M575" s="4" t="s">
        <v>1692</v>
      </c>
      <c r="N575" s="4" t="s">
        <v>540</v>
      </c>
      <c r="O575" s="4" t="s">
        <v>2442</v>
      </c>
      <c r="P575" s="4" t="s">
        <v>1635</v>
      </c>
      <c r="Q575" s="4" t="s">
        <v>2443</v>
      </c>
      <c r="R575" s="4" t="b">
        <v>0</v>
      </c>
      <c r="S575" s="4" t="s">
        <v>1486</v>
      </c>
      <c r="T575" s="2">
        <v>46009.4902777778</v>
      </c>
      <c r="U575" s="2">
        <v>46009.0</v>
      </c>
      <c r="V575" s="4">
        <v>50.0</v>
      </c>
      <c r="W575" s="4" t="s">
        <v>550</v>
      </c>
      <c r="X575" s="4">
        <v>2025.0</v>
      </c>
      <c r="Y575" s="4" t="s">
        <v>1518</v>
      </c>
      <c r="Z575" s="4"/>
      <c r="AA575" s="4" t="s">
        <v>558</v>
      </c>
      <c r="AB575" s="4" t="b">
        <v>0</v>
      </c>
      <c r="AC575" s="4" t="s">
        <v>536</v>
      </c>
      <c r="AD575" s="4" t="s">
        <v>537</v>
      </c>
    </row>
    <row r="576" ht="14.25" customHeight="1">
      <c r="A576" s="4">
        <v>8158657.0</v>
      </c>
      <c r="B576" s="2">
        <v>46009.5025462963</v>
      </c>
      <c r="C576" s="4">
        <v>7385048.0</v>
      </c>
      <c r="D576" s="4" t="s">
        <v>1213</v>
      </c>
      <c r="E576" s="2">
        <v>46009.5027777778</v>
      </c>
      <c r="F576" s="4">
        <v>1.0</v>
      </c>
      <c r="G576" s="4">
        <v>0.0</v>
      </c>
      <c r="H576" s="4"/>
      <c r="I576" s="4"/>
      <c r="J576" s="4" t="s">
        <v>1480</v>
      </c>
      <c r="K576" s="4" t="s">
        <v>1480</v>
      </c>
      <c r="L576" s="4" t="s">
        <v>1481</v>
      </c>
      <c r="M576" s="4" t="s">
        <v>1482</v>
      </c>
      <c r="N576" s="4" t="s">
        <v>540</v>
      </c>
      <c r="O576" s="4" t="s">
        <v>1483</v>
      </c>
      <c r="P576" s="4" t="s">
        <v>1635</v>
      </c>
      <c r="Q576" s="4" t="s">
        <v>2444</v>
      </c>
      <c r="R576" s="4" t="b">
        <v>0</v>
      </c>
      <c r="S576" s="4" t="s">
        <v>1486</v>
      </c>
      <c r="T576" s="2">
        <v>46009.5041666667</v>
      </c>
      <c r="U576" s="2">
        <v>46009.0</v>
      </c>
      <c r="V576" s="4">
        <v>50.0</v>
      </c>
      <c r="W576" s="4" t="s">
        <v>550</v>
      </c>
      <c r="X576" s="4">
        <v>2025.0</v>
      </c>
      <c r="Y576" s="4" t="s">
        <v>1487</v>
      </c>
      <c r="Z576" s="4" t="s">
        <v>557</v>
      </c>
      <c r="AA576" s="4" t="s">
        <v>558</v>
      </c>
      <c r="AB576" s="4" t="b">
        <v>0</v>
      </c>
      <c r="AC576" s="4" t="s">
        <v>536</v>
      </c>
      <c r="AD576" s="4" t="s">
        <v>537</v>
      </c>
    </row>
    <row r="577" ht="14.25" customHeight="1">
      <c r="A577" s="4">
        <v>8158744.0</v>
      </c>
      <c r="B577" s="2">
        <v>46009.5075115741</v>
      </c>
      <c r="C577" s="4">
        <v>7385133.0</v>
      </c>
      <c r="D577" s="4" t="s">
        <v>1214</v>
      </c>
      <c r="E577" s="2">
        <v>46009.5138888889</v>
      </c>
      <c r="F577" s="4">
        <v>1.0</v>
      </c>
      <c r="G577" s="4">
        <v>0.0</v>
      </c>
      <c r="H577" s="4" t="s">
        <v>1519</v>
      </c>
      <c r="I577" s="4" t="s">
        <v>1781</v>
      </c>
      <c r="J577" s="4" t="s">
        <v>1519</v>
      </c>
      <c r="K577" s="4" t="s">
        <v>1513</v>
      </c>
      <c r="L577" s="4" t="s">
        <v>1781</v>
      </c>
      <c r="M577" s="4" t="s">
        <v>1692</v>
      </c>
      <c r="N577" s="4" t="s">
        <v>540</v>
      </c>
      <c r="O577" s="4" t="s">
        <v>2445</v>
      </c>
      <c r="P577" s="4" t="s">
        <v>1635</v>
      </c>
      <c r="Q577" s="4" t="s">
        <v>2446</v>
      </c>
      <c r="R577" s="4" t="b">
        <v>0</v>
      </c>
      <c r="S577" s="4" t="s">
        <v>1486</v>
      </c>
      <c r="T577" s="2">
        <v>46009.5152777778</v>
      </c>
      <c r="U577" s="2">
        <v>46009.0</v>
      </c>
      <c r="V577" s="4">
        <v>50.0</v>
      </c>
      <c r="W577" s="4" t="s">
        <v>550</v>
      </c>
      <c r="X577" s="4">
        <v>2025.0</v>
      </c>
      <c r="Y577" s="4" t="s">
        <v>1518</v>
      </c>
      <c r="Z577" s="4" t="s">
        <v>557</v>
      </c>
      <c r="AA577" s="4" t="s">
        <v>558</v>
      </c>
      <c r="AB577" s="4" t="b">
        <v>0</v>
      </c>
      <c r="AC577" s="4" t="s">
        <v>536</v>
      </c>
      <c r="AD577" s="4" t="s">
        <v>537</v>
      </c>
    </row>
    <row r="578" ht="14.25" customHeight="1">
      <c r="A578" s="4">
        <v>8159056.0</v>
      </c>
      <c r="B578" s="2">
        <v>46009.5240393519</v>
      </c>
      <c r="C578" s="4">
        <v>7385441.0</v>
      </c>
      <c r="D578" s="4" t="s">
        <v>1216</v>
      </c>
      <c r="E578" s="2">
        <v>46009.5236111111</v>
      </c>
      <c r="F578" s="4">
        <v>0.0</v>
      </c>
      <c r="G578" s="4">
        <v>0.0</v>
      </c>
      <c r="H578" s="4"/>
      <c r="I578" s="4"/>
      <c r="J578" s="4"/>
      <c r="K578" s="4"/>
      <c r="L578" s="4"/>
      <c r="M578" s="4" t="s">
        <v>1692</v>
      </c>
      <c r="N578" s="4" t="s">
        <v>2447</v>
      </c>
      <c r="O578" s="4" t="s">
        <v>1500</v>
      </c>
      <c r="P578" s="4" t="s">
        <v>1506</v>
      </c>
      <c r="Q578" s="4" t="s">
        <v>2448</v>
      </c>
      <c r="R578" s="4" t="b">
        <v>1</v>
      </c>
      <c r="S578" s="4" t="s">
        <v>1486</v>
      </c>
      <c r="T578" s="2">
        <v>46009.525</v>
      </c>
      <c r="U578" s="2">
        <v>46009.0</v>
      </c>
      <c r="V578" s="4">
        <v>50.0</v>
      </c>
      <c r="W578" s="4" t="s">
        <v>550</v>
      </c>
      <c r="X578" s="4">
        <v>2025.0</v>
      </c>
      <c r="Y578" s="4" t="s">
        <v>1540</v>
      </c>
      <c r="Z578" s="4" t="s">
        <v>557</v>
      </c>
      <c r="AA578" s="4" t="s">
        <v>558</v>
      </c>
      <c r="AB578" s="4" t="b">
        <v>0</v>
      </c>
      <c r="AC578" s="4" t="s">
        <v>623</v>
      </c>
      <c r="AD578" s="4" t="s">
        <v>537</v>
      </c>
    </row>
    <row r="579" ht="14.25" customHeight="1">
      <c r="A579" s="4">
        <v>8159205.0</v>
      </c>
      <c r="B579" s="2">
        <v>46009.5321527778</v>
      </c>
      <c r="C579" s="4">
        <v>7385590.0</v>
      </c>
      <c r="D579" s="4" t="s">
        <v>1217</v>
      </c>
      <c r="E579" s="2">
        <v>46009.5361111111</v>
      </c>
      <c r="F579" s="4">
        <v>1.0</v>
      </c>
      <c r="G579" s="4">
        <v>0.0</v>
      </c>
      <c r="H579" s="4" t="s">
        <v>1519</v>
      </c>
      <c r="I579" s="4" t="s">
        <v>1781</v>
      </c>
      <c r="J579" s="4" t="s">
        <v>1519</v>
      </c>
      <c r="K579" s="4" t="s">
        <v>1513</v>
      </c>
      <c r="L579" s="4" t="s">
        <v>1781</v>
      </c>
      <c r="M579" s="4" t="s">
        <v>1692</v>
      </c>
      <c r="N579" s="4" t="s">
        <v>540</v>
      </c>
      <c r="O579" s="4" t="s">
        <v>2449</v>
      </c>
      <c r="P579" s="4" t="s">
        <v>1635</v>
      </c>
      <c r="Q579" s="4" t="s">
        <v>2450</v>
      </c>
      <c r="R579" s="4" t="b">
        <v>0</v>
      </c>
      <c r="S579" s="4" t="s">
        <v>1486</v>
      </c>
      <c r="T579" s="2">
        <v>46009.5375</v>
      </c>
      <c r="U579" s="2">
        <v>46009.0</v>
      </c>
      <c r="V579" s="4">
        <v>50.0</v>
      </c>
      <c r="W579" s="4" t="s">
        <v>550</v>
      </c>
      <c r="X579" s="4">
        <v>2025.0</v>
      </c>
      <c r="Y579" s="4" t="s">
        <v>1518</v>
      </c>
      <c r="Z579" s="4"/>
      <c r="AA579" s="4" t="s">
        <v>558</v>
      </c>
      <c r="AB579" s="4" t="b">
        <v>0</v>
      </c>
      <c r="AC579" s="4" t="s">
        <v>536</v>
      </c>
      <c r="AD579" s="4" t="s">
        <v>537</v>
      </c>
    </row>
    <row r="580" ht="14.25" customHeight="1">
      <c r="A580" s="4">
        <v>7776034.0</v>
      </c>
      <c r="B580" s="2">
        <v>45946.6824537037</v>
      </c>
      <c r="C580" s="4">
        <v>7012143.0</v>
      </c>
      <c r="D580" s="4" t="s">
        <v>1218</v>
      </c>
      <c r="E580" s="2">
        <v>46009.5416666667</v>
      </c>
      <c r="F580" s="4">
        <v>1.0</v>
      </c>
      <c r="G580" s="4">
        <v>0.0</v>
      </c>
      <c r="H580" s="4"/>
      <c r="I580" s="4"/>
      <c r="J580" s="4" t="s">
        <v>1480</v>
      </c>
      <c r="K580" s="4" t="s">
        <v>1480</v>
      </c>
      <c r="L580" s="4" t="s">
        <v>1511</v>
      </c>
      <c r="M580" s="4" t="s">
        <v>1482</v>
      </c>
      <c r="N580" s="4" t="s">
        <v>653</v>
      </c>
      <c r="O580" s="4" t="s">
        <v>1483</v>
      </c>
      <c r="P580" s="4" t="s">
        <v>1727</v>
      </c>
      <c r="Q580" s="4" t="s">
        <v>2291</v>
      </c>
      <c r="R580" s="4" t="b">
        <v>0</v>
      </c>
      <c r="S580" s="4" t="s">
        <v>1486</v>
      </c>
      <c r="T580" s="2">
        <v>46009.5430555556</v>
      </c>
      <c r="U580" s="2">
        <v>45946.0</v>
      </c>
      <c r="V580" s="4">
        <v>41.0</v>
      </c>
      <c r="W580" s="4" t="s">
        <v>1560</v>
      </c>
      <c r="X580" s="4">
        <v>2025.0</v>
      </c>
      <c r="Y580" s="4" t="s">
        <v>1680</v>
      </c>
      <c r="Z580" s="4" t="s">
        <v>557</v>
      </c>
      <c r="AA580" s="4" t="s">
        <v>558</v>
      </c>
      <c r="AB580" s="4" t="b">
        <v>0</v>
      </c>
      <c r="AC580" s="4" t="s">
        <v>567</v>
      </c>
      <c r="AD580" s="4" t="s">
        <v>537</v>
      </c>
    </row>
    <row r="581" ht="14.25" customHeight="1">
      <c r="A581" s="4">
        <v>8065550.0</v>
      </c>
      <c r="B581" s="2">
        <v>46000.6102546296</v>
      </c>
      <c r="C581" s="4">
        <v>7292847.0</v>
      </c>
      <c r="D581" s="4" t="s">
        <v>1219</v>
      </c>
      <c r="E581" s="2">
        <v>46009.5875</v>
      </c>
      <c r="F581" s="4">
        <v>1.0</v>
      </c>
      <c r="G581" s="4">
        <v>0.0</v>
      </c>
      <c r="H581" s="4"/>
      <c r="I581" s="4"/>
      <c r="J581" s="4" t="s">
        <v>1480</v>
      </c>
      <c r="K581" s="4" t="s">
        <v>1480</v>
      </c>
      <c r="L581" s="4" t="s">
        <v>1481</v>
      </c>
      <c r="M581" s="4" t="s">
        <v>1482</v>
      </c>
      <c r="N581" s="4" t="s">
        <v>540</v>
      </c>
      <c r="O581" s="4" t="s">
        <v>1483</v>
      </c>
      <c r="P581" s="4" t="s">
        <v>1488</v>
      </c>
      <c r="Q581" s="4" t="s">
        <v>2012</v>
      </c>
      <c r="R581" s="4" t="b">
        <v>0</v>
      </c>
      <c r="S581" s="4" t="s">
        <v>1486</v>
      </c>
      <c r="T581" s="2">
        <v>46009.5888888889</v>
      </c>
      <c r="U581" s="2">
        <v>46000.0</v>
      </c>
      <c r="V581" s="4">
        <v>49.0</v>
      </c>
      <c r="W581" s="4" t="s">
        <v>550</v>
      </c>
      <c r="X581" s="4">
        <v>2025.0</v>
      </c>
      <c r="Y581" s="4" t="s">
        <v>1487</v>
      </c>
      <c r="Z581" s="4" t="s">
        <v>557</v>
      </c>
      <c r="AA581" s="4" t="s">
        <v>558</v>
      </c>
      <c r="AB581" s="4" t="b">
        <v>0</v>
      </c>
      <c r="AC581" s="4" t="s">
        <v>567</v>
      </c>
      <c r="AD581" s="4" t="s">
        <v>537</v>
      </c>
    </row>
    <row r="582" ht="14.25" customHeight="1">
      <c r="A582" s="4">
        <v>8160506.0</v>
      </c>
      <c r="B582" s="2">
        <v>46009.6045833333</v>
      </c>
      <c r="C582" s="4">
        <v>7386866.0</v>
      </c>
      <c r="D582" s="4" t="s">
        <v>1221</v>
      </c>
      <c r="E582" s="2">
        <v>46009.6055555556</v>
      </c>
      <c r="F582" s="4">
        <v>1.0</v>
      </c>
      <c r="G582" s="4">
        <v>0.0</v>
      </c>
      <c r="H582" s="4"/>
      <c r="I582" s="4"/>
      <c r="J582" s="4" t="s">
        <v>1480</v>
      </c>
      <c r="K582" s="4" t="s">
        <v>1480</v>
      </c>
      <c r="L582" s="4" t="s">
        <v>1481</v>
      </c>
      <c r="M582" s="4" t="s">
        <v>1482</v>
      </c>
      <c r="N582" s="4" t="s">
        <v>540</v>
      </c>
      <c r="O582" s="4" t="s">
        <v>1483</v>
      </c>
      <c r="P582" s="4" t="s">
        <v>1558</v>
      </c>
      <c r="Q582" s="4" t="s">
        <v>2451</v>
      </c>
      <c r="R582" s="4" t="b">
        <v>0</v>
      </c>
      <c r="S582" s="4" t="s">
        <v>1486</v>
      </c>
      <c r="T582" s="2">
        <v>46010.5527777778</v>
      </c>
      <c r="U582" s="2">
        <v>46009.0</v>
      </c>
      <c r="V582" s="4">
        <v>50.0</v>
      </c>
      <c r="W582" s="4" t="s">
        <v>550</v>
      </c>
      <c r="X582" s="4">
        <v>2025.0</v>
      </c>
      <c r="Y582" s="4" t="s">
        <v>1487</v>
      </c>
      <c r="Z582" s="4"/>
      <c r="AA582" s="4" t="s">
        <v>558</v>
      </c>
      <c r="AB582" s="4" t="b">
        <v>1</v>
      </c>
      <c r="AC582" s="4" t="s">
        <v>567</v>
      </c>
      <c r="AD582" s="4" t="s">
        <v>537</v>
      </c>
    </row>
    <row r="583" ht="14.25" customHeight="1">
      <c r="A583" s="4">
        <v>8146608.0</v>
      </c>
      <c r="B583" s="2">
        <v>46008.6040509259</v>
      </c>
      <c r="C583" s="4">
        <v>7373144.0</v>
      </c>
      <c r="D583" s="4" t="s">
        <v>1222</v>
      </c>
      <c r="E583" s="2">
        <v>46009.6159722222</v>
      </c>
      <c r="F583" s="4">
        <v>1.0</v>
      </c>
      <c r="G583" s="4">
        <v>0.0</v>
      </c>
      <c r="H583" s="4"/>
      <c r="I583" s="4"/>
      <c r="J583" s="4" t="s">
        <v>539</v>
      </c>
      <c r="K583" s="4" t="s">
        <v>539</v>
      </c>
      <c r="L583" s="4" t="s">
        <v>1499</v>
      </c>
      <c r="M583" s="4" t="s">
        <v>1482</v>
      </c>
      <c r="N583" s="4"/>
      <c r="O583" s="4" t="s">
        <v>1951</v>
      </c>
      <c r="P583" s="4" t="s">
        <v>1635</v>
      </c>
      <c r="Q583" s="4" t="s">
        <v>2452</v>
      </c>
      <c r="R583" s="4" t="b">
        <v>0</v>
      </c>
      <c r="S583" s="4" t="s">
        <v>1486</v>
      </c>
      <c r="T583" s="2">
        <v>46009.6173611111</v>
      </c>
      <c r="U583" s="2">
        <v>46008.0</v>
      </c>
      <c r="V583" s="4">
        <v>50.0</v>
      </c>
      <c r="W583" s="4" t="s">
        <v>550</v>
      </c>
      <c r="X583" s="4">
        <v>2025.0</v>
      </c>
      <c r="Y583" s="4" t="s">
        <v>1502</v>
      </c>
      <c r="Z583" s="4"/>
      <c r="AA583" s="4" t="s">
        <v>558</v>
      </c>
      <c r="AB583" s="4" t="b">
        <v>0</v>
      </c>
      <c r="AC583" s="4" t="s">
        <v>567</v>
      </c>
      <c r="AD583" s="4" t="s">
        <v>537</v>
      </c>
    </row>
    <row r="584" ht="14.25" customHeight="1">
      <c r="A584" s="4">
        <v>8160935.0</v>
      </c>
      <c r="B584" s="2">
        <v>46009.6279398148</v>
      </c>
      <c r="C584" s="4">
        <v>7387290.0</v>
      </c>
      <c r="D584" s="4" t="s">
        <v>1223</v>
      </c>
      <c r="E584" s="2">
        <v>46009.6305555556</v>
      </c>
      <c r="F584" s="4">
        <v>1.0</v>
      </c>
      <c r="G584" s="4">
        <v>0.0</v>
      </c>
      <c r="H584" s="4"/>
      <c r="I584" s="4"/>
      <c r="J584" s="4" t="s">
        <v>1480</v>
      </c>
      <c r="K584" s="4" t="s">
        <v>1480</v>
      </c>
      <c r="L584" s="4" t="s">
        <v>1481</v>
      </c>
      <c r="M584" s="4" t="s">
        <v>1482</v>
      </c>
      <c r="N584" s="4" t="s">
        <v>540</v>
      </c>
      <c r="O584" s="4" t="s">
        <v>2453</v>
      </c>
      <c r="P584" s="4" t="s">
        <v>1488</v>
      </c>
      <c r="Q584" s="4" t="s">
        <v>2454</v>
      </c>
      <c r="R584" s="4" t="b">
        <v>0</v>
      </c>
      <c r="S584" s="4" t="s">
        <v>1486</v>
      </c>
      <c r="T584" s="2">
        <v>46009.6319444444</v>
      </c>
      <c r="U584" s="2">
        <v>46009.0</v>
      </c>
      <c r="V584" s="4">
        <v>50.0</v>
      </c>
      <c r="W584" s="4" t="s">
        <v>550</v>
      </c>
      <c r="X584" s="4">
        <v>2025.0</v>
      </c>
      <c r="Y584" s="4" t="s">
        <v>1487</v>
      </c>
      <c r="Z584" s="4" t="s">
        <v>541</v>
      </c>
      <c r="AA584" s="4" t="s">
        <v>546</v>
      </c>
      <c r="AB584" s="4" t="b">
        <v>0</v>
      </c>
      <c r="AC584" s="4" t="s">
        <v>536</v>
      </c>
      <c r="AD584" s="4" t="s">
        <v>537</v>
      </c>
    </row>
    <row r="585" ht="14.25" customHeight="1">
      <c r="A585" s="4">
        <v>8160968.0</v>
      </c>
      <c r="B585" s="2">
        <v>46009.6301157407</v>
      </c>
      <c r="C585" s="4">
        <v>7387323.0</v>
      </c>
      <c r="D585" s="4" t="s">
        <v>1224</v>
      </c>
      <c r="E585" s="2">
        <v>46009.6319444444</v>
      </c>
      <c r="F585" s="4">
        <v>1.0</v>
      </c>
      <c r="G585" s="4">
        <v>0.0</v>
      </c>
      <c r="H585" s="4"/>
      <c r="I585" s="4"/>
      <c r="J585" s="4" t="s">
        <v>1526</v>
      </c>
      <c r="K585" s="4" t="s">
        <v>1527</v>
      </c>
      <c r="L585" s="4" t="s">
        <v>1528</v>
      </c>
      <c r="M585" s="4" t="s">
        <v>1482</v>
      </c>
      <c r="N585" s="4" t="s">
        <v>1529</v>
      </c>
      <c r="O585" s="4" t="s">
        <v>1530</v>
      </c>
      <c r="P585" s="4" t="s">
        <v>1635</v>
      </c>
      <c r="Q585" s="4" t="s">
        <v>2455</v>
      </c>
      <c r="R585" s="4" t="b">
        <v>0</v>
      </c>
      <c r="S585" s="4" t="s">
        <v>1486</v>
      </c>
      <c r="T585" s="2">
        <v>46009.6333333333</v>
      </c>
      <c r="U585" s="2">
        <v>46009.0</v>
      </c>
      <c r="V585" s="4">
        <v>50.0</v>
      </c>
      <c r="W585" s="4" t="s">
        <v>550</v>
      </c>
      <c r="X585" s="4">
        <v>2025.0</v>
      </c>
      <c r="Y585" s="4" t="s">
        <v>1532</v>
      </c>
      <c r="Z585" s="4" t="s">
        <v>557</v>
      </c>
      <c r="AA585" s="4" t="s">
        <v>558</v>
      </c>
      <c r="AB585" s="4" t="b">
        <v>0</v>
      </c>
      <c r="AC585" s="4" t="s">
        <v>536</v>
      </c>
      <c r="AD585" s="4" t="s">
        <v>537</v>
      </c>
    </row>
    <row r="586" ht="14.25" customHeight="1">
      <c r="A586" s="4">
        <v>8101272.0</v>
      </c>
      <c r="B586" s="2">
        <v>46002.6557986111</v>
      </c>
      <c r="C586" s="4">
        <v>7328427.0</v>
      </c>
      <c r="D586" s="4" t="s">
        <v>1225</v>
      </c>
      <c r="E586" s="2">
        <v>46009.7388888889</v>
      </c>
      <c r="F586" s="4">
        <v>1.0</v>
      </c>
      <c r="G586" s="4">
        <v>0.0</v>
      </c>
      <c r="H586" s="4"/>
      <c r="I586" s="4"/>
      <c r="J586" s="4" t="s">
        <v>1480</v>
      </c>
      <c r="K586" s="4" t="s">
        <v>1480</v>
      </c>
      <c r="L586" s="4" t="s">
        <v>1481</v>
      </c>
      <c r="M586" s="4" t="s">
        <v>1482</v>
      </c>
      <c r="N586" s="4" t="s">
        <v>540</v>
      </c>
      <c r="O586" s="4" t="s">
        <v>1483</v>
      </c>
      <c r="P586" s="4" t="s">
        <v>2003</v>
      </c>
      <c r="Q586" s="4" t="s">
        <v>2456</v>
      </c>
      <c r="R586" s="4" t="b">
        <v>0</v>
      </c>
      <c r="S586" s="4" t="s">
        <v>1486</v>
      </c>
      <c r="T586" s="2">
        <v>46009.7402777778</v>
      </c>
      <c r="U586" s="2">
        <v>46002.0</v>
      </c>
      <c r="V586" s="4">
        <v>49.0</v>
      </c>
      <c r="W586" s="4" t="s">
        <v>550</v>
      </c>
      <c r="X586" s="4">
        <v>2025.0</v>
      </c>
      <c r="Y586" s="4" t="s">
        <v>1487</v>
      </c>
      <c r="Z586" s="4" t="s">
        <v>557</v>
      </c>
      <c r="AA586" s="4" t="s">
        <v>558</v>
      </c>
      <c r="AB586" s="4" t="b">
        <v>0</v>
      </c>
      <c r="AC586" s="4" t="s">
        <v>536</v>
      </c>
      <c r="AD586" s="4" t="s">
        <v>537</v>
      </c>
    </row>
    <row r="587" ht="14.25" customHeight="1">
      <c r="A587" s="4">
        <v>8163714.0</v>
      </c>
      <c r="B587" s="2">
        <v>46009.7588194444</v>
      </c>
      <c r="C587" s="4">
        <v>7390045.0</v>
      </c>
      <c r="D587" s="4" t="s">
        <v>1226</v>
      </c>
      <c r="E587" s="2">
        <v>46009.7590277778</v>
      </c>
      <c r="F587" s="4">
        <v>1.0</v>
      </c>
      <c r="G587" s="4">
        <v>0.0</v>
      </c>
      <c r="H587" s="4" t="s">
        <v>1519</v>
      </c>
      <c r="I587" s="4" t="s">
        <v>1581</v>
      </c>
      <c r="J587" s="4" t="s">
        <v>1519</v>
      </c>
      <c r="K587" s="4" t="s">
        <v>1513</v>
      </c>
      <c r="L587" s="4" t="s">
        <v>1581</v>
      </c>
      <c r="M587" s="4" t="s">
        <v>1582</v>
      </c>
      <c r="N587" s="4"/>
      <c r="O587" s="4" t="s">
        <v>2457</v>
      </c>
      <c r="P587" s="4" t="s">
        <v>1635</v>
      </c>
      <c r="Q587" s="4" t="s">
        <v>2458</v>
      </c>
      <c r="R587" s="4" t="b">
        <v>0</v>
      </c>
      <c r="S587" s="4" t="s">
        <v>1486</v>
      </c>
      <c r="T587" s="2">
        <v>46009.7604166667</v>
      </c>
      <c r="U587" s="2">
        <v>46009.0</v>
      </c>
      <c r="V587" s="4">
        <v>50.0</v>
      </c>
      <c r="W587" s="4" t="s">
        <v>550</v>
      </c>
      <c r="X587" s="4">
        <v>2025.0</v>
      </c>
      <c r="Y587" s="4" t="s">
        <v>1518</v>
      </c>
      <c r="Z587" s="4"/>
      <c r="AA587" s="4" t="s">
        <v>558</v>
      </c>
      <c r="AB587" s="4" t="b">
        <v>0</v>
      </c>
      <c r="AC587" s="4" t="s">
        <v>554</v>
      </c>
      <c r="AD587" s="4" t="s">
        <v>537</v>
      </c>
    </row>
    <row r="588" ht="14.25" customHeight="1">
      <c r="A588" s="4">
        <v>8164521.0</v>
      </c>
      <c r="B588" s="2">
        <v>46009.8015625</v>
      </c>
      <c r="C588" s="4">
        <v>7390846.0</v>
      </c>
      <c r="D588" s="4" t="s">
        <v>1227</v>
      </c>
      <c r="E588" s="2">
        <v>46009.8041666667</v>
      </c>
      <c r="F588" s="4">
        <v>1.0</v>
      </c>
      <c r="G588" s="4">
        <v>0.0</v>
      </c>
      <c r="H588" s="4" t="s">
        <v>1519</v>
      </c>
      <c r="I588" s="4" t="s">
        <v>2459</v>
      </c>
      <c r="J588" s="4" t="s">
        <v>1519</v>
      </c>
      <c r="K588" s="4" t="s">
        <v>1513</v>
      </c>
      <c r="L588" s="4" t="s">
        <v>2459</v>
      </c>
      <c r="M588" s="4" t="s">
        <v>2460</v>
      </c>
      <c r="N588" s="4" t="s">
        <v>540</v>
      </c>
      <c r="O588" s="4" t="s">
        <v>2461</v>
      </c>
      <c r="P588" s="4" t="s">
        <v>1635</v>
      </c>
      <c r="Q588" s="4" t="s">
        <v>2462</v>
      </c>
      <c r="R588" s="4" t="b">
        <v>0</v>
      </c>
      <c r="S588" s="4" t="s">
        <v>1486</v>
      </c>
      <c r="T588" s="2">
        <v>46009.8055555556</v>
      </c>
      <c r="U588" s="2">
        <v>46009.0</v>
      </c>
      <c r="V588" s="4">
        <v>50.0</v>
      </c>
      <c r="W588" s="4" t="s">
        <v>550</v>
      </c>
      <c r="X588" s="4">
        <v>2025.0</v>
      </c>
      <c r="Y588" s="4" t="s">
        <v>1518</v>
      </c>
      <c r="Z588" s="4" t="s">
        <v>557</v>
      </c>
      <c r="AA588" s="4" t="s">
        <v>558</v>
      </c>
      <c r="AB588" s="4" t="b">
        <v>0</v>
      </c>
      <c r="AC588" s="4" t="s">
        <v>536</v>
      </c>
      <c r="AD588" s="4" t="s">
        <v>537</v>
      </c>
    </row>
    <row r="589" ht="14.25" customHeight="1">
      <c r="A589" s="4">
        <v>7941162.0</v>
      </c>
      <c r="B589" s="2">
        <v>45980.778599537</v>
      </c>
      <c r="C589" s="4">
        <v>7169826.0</v>
      </c>
      <c r="D589" s="4" t="s">
        <v>1228</v>
      </c>
      <c r="E589" s="2">
        <v>46009.825</v>
      </c>
      <c r="F589" s="4">
        <v>1.0</v>
      </c>
      <c r="G589" s="4">
        <v>0.0</v>
      </c>
      <c r="H589" s="4"/>
      <c r="I589" s="4"/>
      <c r="J589" s="4" t="s">
        <v>1480</v>
      </c>
      <c r="K589" s="4" t="s">
        <v>1480</v>
      </c>
      <c r="L589" s="4" t="s">
        <v>1481</v>
      </c>
      <c r="M589" s="4" t="s">
        <v>1482</v>
      </c>
      <c r="N589" s="4" t="s">
        <v>540</v>
      </c>
      <c r="O589" s="4" t="s">
        <v>1483</v>
      </c>
      <c r="P589" s="4" t="s">
        <v>1488</v>
      </c>
      <c r="Q589" s="4" t="s">
        <v>2463</v>
      </c>
      <c r="R589" s="4" t="b">
        <v>0</v>
      </c>
      <c r="S589" s="4" t="s">
        <v>1486</v>
      </c>
      <c r="T589" s="2">
        <v>46009.8263888889</v>
      </c>
      <c r="U589" s="2">
        <v>45980.0</v>
      </c>
      <c r="V589" s="4">
        <v>46.0</v>
      </c>
      <c r="W589" s="4" t="s">
        <v>545</v>
      </c>
      <c r="X589" s="4">
        <v>2025.0</v>
      </c>
      <c r="Y589" s="4" t="s">
        <v>1487</v>
      </c>
      <c r="Z589" s="4"/>
      <c r="AA589" s="4" t="s">
        <v>1229</v>
      </c>
      <c r="AB589" s="4" t="b">
        <v>0</v>
      </c>
      <c r="AC589" s="4" t="s">
        <v>536</v>
      </c>
      <c r="AD589" s="4" t="s">
        <v>537</v>
      </c>
    </row>
    <row r="590" ht="14.25" customHeight="1">
      <c r="A590" s="4">
        <v>8165644.0</v>
      </c>
      <c r="B590" s="2">
        <v>46009.8796875</v>
      </c>
      <c r="C590" s="4">
        <v>7391961.0</v>
      </c>
      <c r="D590" s="4" t="s">
        <v>1230</v>
      </c>
      <c r="E590" s="2">
        <v>46009.88125</v>
      </c>
      <c r="F590" s="4">
        <v>0.5</v>
      </c>
      <c r="G590" s="4">
        <v>0.0</v>
      </c>
      <c r="H590" s="4" t="s">
        <v>1620</v>
      </c>
      <c r="I590" s="4" t="s">
        <v>1622</v>
      </c>
      <c r="J590" s="4" t="s">
        <v>1620</v>
      </c>
      <c r="K590" s="4" t="s">
        <v>1513</v>
      </c>
      <c r="L590" s="4" t="s">
        <v>1622</v>
      </c>
      <c r="M590" s="4" t="s">
        <v>2464</v>
      </c>
      <c r="N590" s="4" t="s">
        <v>1623</v>
      </c>
      <c r="O590" s="4" t="s">
        <v>2465</v>
      </c>
      <c r="P590" s="4" t="s">
        <v>1845</v>
      </c>
      <c r="Q590" s="4" t="s">
        <v>2466</v>
      </c>
      <c r="R590" s="4" t="b">
        <v>0</v>
      </c>
      <c r="S590" s="4" t="s">
        <v>1486</v>
      </c>
      <c r="T590" s="2">
        <v>46009.8826388889</v>
      </c>
      <c r="U590" s="2">
        <v>46009.0</v>
      </c>
      <c r="V590" s="4">
        <v>50.0</v>
      </c>
      <c r="W590" s="4" t="s">
        <v>550</v>
      </c>
      <c r="X590" s="4">
        <v>2025.0</v>
      </c>
      <c r="Y590" s="4" t="s">
        <v>1518</v>
      </c>
      <c r="Z590" s="4" t="s">
        <v>557</v>
      </c>
      <c r="AA590" s="4" t="s">
        <v>558</v>
      </c>
      <c r="AB590" s="4" t="b">
        <v>0</v>
      </c>
      <c r="AC590" s="4" t="s">
        <v>536</v>
      </c>
      <c r="AD590" s="4" t="s">
        <v>537</v>
      </c>
    </row>
    <row r="591" ht="14.25" customHeight="1">
      <c r="A591" s="4">
        <v>8165649.0</v>
      </c>
      <c r="B591" s="2">
        <v>46009.8800462963</v>
      </c>
      <c r="C591" s="4">
        <v>7391961.0</v>
      </c>
      <c r="D591" s="4" t="s">
        <v>1230</v>
      </c>
      <c r="E591" s="2">
        <v>46009.88125</v>
      </c>
      <c r="F591" s="4">
        <v>0.5</v>
      </c>
      <c r="G591" s="4">
        <v>0.0</v>
      </c>
      <c r="H591" s="4" t="s">
        <v>1620</v>
      </c>
      <c r="I591" s="4" t="s">
        <v>1622</v>
      </c>
      <c r="J591" s="4" t="s">
        <v>1620</v>
      </c>
      <c r="K591" s="4" t="s">
        <v>1513</v>
      </c>
      <c r="L591" s="4" t="s">
        <v>1622</v>
      </c>
      <c r="M591" s="4" t="s">
        <v>2464</v>
      </c>
      <c r="N591" s="4" t="s">
        <v>1623</v>
      </c>
      <c r="O591" s="4" t="s">
        <v>2465</v>
      </c>
      <c r="P591" s="4" t="s">
        <v>1845</v>
      </c>
      <c r="Q591" s="4" t="s">
        <v>2466</v>
      </c>
      <c r="R591" s="4" t="b">
        <v>0</v>
      </c>
      <c r="S591" s="4" t="s">
        <v>1486</v>
      </c>
      <c r="T591" s="2">
        <v>46009.8826388889</v>
      </c>
      <c r="U591" s="2">
        <v>46009.0</v>
      </c>
      <c r="V591" s="4">
        <v>50.0</v>
      </c>
      <c r="W591" s="4" t="s">
        <v>550</v>
      </c>
      <c r="X591" s="4">
        <v>2025.0</v>
      </c>
      <c r="Y591" s="4" t="s">
        <v>1518</v>
      </c>
      <c r="Z591" s="4" t="s">
        <v>557</v>
      </c>
      <c r="AA591" s="4" t="s">
        <v>558</v>
      </c>
      <c r="AB591" s="4" t="b">
        <v>0</v>
      </c>
      <c r="AC591" s="4" t="s">
        <v>536</v>
      </c>
      <c r="AD591" s="4" t="s">
        <v>537</v>
      </c>
    </row>
    <row r="592" ht="14.25" customHeight="1">
      <c r="A592" s="4">
        <v>8168192.0</v>
      </c>
      <c r="B592" s="2">
        <v>46010.0564814815</v>
      </c>
      <c r="C592" s="4">
        <v>7394490.0</v>
      </c>
      <c r="D592" s="4" t="s">
        <v>1233</v>
      </c>
      <c r="E592" s="2">
        <v>46010.0576388889</v>
      </c>
      <c r="F592" s="4">
        <v>1.0</v>
      </c>
      <c r="G592" s="4">
        <v>0.0</v>
      </c>
      <c r="H592" s="4"/>
      <c r="I592" s="4"/>
      <c r="J592" s="4" t="s">
        <v>1480</v>
      </c>
      <c r="K592" s="4" t="s">
        <v>1480</v>
      </c>
      <c r="L592" s="4" t="s">
        <v>1481</v>
      </c>
      <c r="M592" s="4" t="s">
        <v>1482</v>
      </c>
      <c r="N592" s="4" t="s">
        <v>540</v>
      </c>
      <c r="O592" s="4" t="s">
        <v>1483</v>
      </c>
      <c r="P592" s="4" t="s">
        <v>1635</v>
      </c>
      <c r="Q592" s="4" t="s">
        <v>2467</v>
      </c>
      <c r="R592" s="4" t="b">
        <v>0</v>
      </c>
      <c r="S592" s="4" t="s">
        <v>1486</v>
      </c>
      <c r="T592" s="2">
        <v>46010.0590277778</v>
      </c>
      <c r="U592" s="2">
        <v>46010.0</v>
      </c>
      <c r="V592" s="4">
        <v>50.0</v>
      </c>
      <c r="W592" s="4" t="s">
        <v>550</v>
      </c>
      <c r="X592" s="4">
        <v>2025.0</v>
      </c>
      <c r="Y592" s="4" t="s">
        <v>1487</v>
      </c>
      <c r="Z592" s="4"/>
      <c r="AA592" s="4" t="s">
        <v>624</v>
      </c>
      <c r="AB592" s="4" t="b">
        <v>1</v>
      </c>
      <c r="AC592" s="4" t="s">
        <v>536</v>
      </c>
      <c r="AD592" s="4" t="s">
        <v>537</v>
      </c>
    </row>
    <row r="593" ht="14.25" customHeight="1">
      <c r="A593" s="4">
        <v>8168265.0</v>
      </c>
      <c r="B593" s="2">
        <v>46010.0643402778</v>
      </c>
      <c r="C593" s="4">
        <v>7394563.0</v>
      </c>
      <c r="D593" s="4" t="s">
        <v>1234</v>
      </c>
      <c r="E593" s="2">
        <v>46010.0645833333</v>
      </c>
      <c r="F593" s="4">
        <v>0.0</v>
      </c>
      <c r="G593" s="4">
        <v>0.0</v>
      </c>
      <c r="H593" s="4"/>
      <c r="I593" s="4"/>
      <c r="J593" s="4"/>
      <c r="K593" s="4"/>
      <c r="L593" s="4"/>
      <c r="M593" s="4" t="s">
        <v>1482</v>
      </c>
      <c r="N593" s="4" t="s">
        <v>1483</v>
      </c>
      <c r="O593" s="4" t="s">
        <v>2468</v>
      </c>
      <c r="P593" s="4" t="s">
        <v>1635</v>
      </c>
      <c r="Q593" s="4" t="s">
        <v>2469</v>
      </c>
      <c r="R593" s="4" t="b">
        <v>1</v>
      </c>
      <c r="S593" s="4" t="s">
        <v>1486</v>
      </c>
      <c r="T593" s="2">
        <v>46010.0659722222</v>
      </c>
      <c r="U593" s="2">
        <v>46010.0</v>
      </c>
      <c r="V593" s="4">
        <v>50.0</v>
      </c>
      <c r="W593" s="4" t="s">
        <v>550</v>
      </c>
      <c r="X593" s="4">
        <v>2025.0</v>
      </c>
      <c r="Y593" s="4" t="s">
        <v>1540</v>
      </c>
      <c r="Z593" s="4" t="s">
        <v>692</v>
      </c>
      <c r="AA593" s="4" t="s">
        <v>624</v>
      </c>
      <c r="AB593" s="4" t="b">
        <v>1</v>
      </c>
      <c r="AC593" s="4" t="s">
        <v>623</v>
      </c>
      <c r="AD593" s="4" t="s">
        <v>537</v>
      </c>
    </row>
    <row r="594" ht="14.25" customHeight="1">
      <c r="A594" s="4">
        <v>8168760.0</v>
      </c>
      <c r="B594" s="2">
        <v>46010.1011111111</v>
      </c>
      <c r="C594" s="4">
        <v>7395054.0</v>
      </c>
      <c r="D594" s="4" t="s">
        <v>1235</v>
      </c>
      <c r="E594" s="2">
        <v>46010.1020833333</v>
      </c>
      <c r="F594" s="4">
        <v>1.0</v>
      </c>
      <c r="G594" s="4">
        <v>0.0</v>
      </c>
      <c r="H594" s="4"/>
      <c r="I594" s="4"/>
      <c r="J594" s="4" t="s">
        <v>1480</v>
      </c>
      <c r="K594" s="4" t="s">
        <v>1480</v>
      </c>
      <c r="L594" s="4" t="s">
        <v>1481</v>
      </c>
      <c r="M594" s="4" t="s">
        <v>1482</v>
      </c>
      <c r="N594" s="4" t="s">
        <v>540</v>
      </c>
      <c r="O594" s="4" t="s">
        <v>2470</v>
      </c>
      <c r="P594" s="4" t="s">
        <v>1923</v>
      </c>
      <c r="Q594" s="4" t="s">
        <v>2471</v>
      </c>
      <c r="R594" s="4" t="b">
        <v>0</v>
      </c>
      <c r="S594" s="4" t="s">
        <v>1486</v>
      </c>
      <c r="T594" s="2">
        <v>46010.1034722222</v>
      </c>
      <c r="U594" s="2">
        <v>46010.0</v>
      </c>
      <c r="V594" s="4">
        <v>50.0</v>
      </c>
      <c r="W594" s="4" t="s">
        <v>550</v>
      </c>
      <c r="X594" s="4">
        <v>2025.0</v>
      </c>
      <c r="Y594" s="4" t="s">
        <v>1487</v>
      </c>
      <c r="Z594" s="4"/>
      <c r="AA594" s="4" t="s">
        <v>558</v>
      </c>
      <c r="AB594" s="4" t="b">
        <v>0</v>
      </c>
      <c r="AC594" s="4" t="s">
        <v>599</v>
      </c>
      <c r="AD594" s="4" t="s">
        <v>537</v>
      </c>
    </row>
    <row r="595" ht="14.25" customHeight="1">
      <c r="A595" s="4">
        <v>8169213.0</v>
      </c>
      <c r="B595" s="2">
        <v>46010.1443171296</v>
      </c>
      <c r="C595" s="4">
        <v>7395506.0</v>
      </c>
      <c r="D595" s="4" t="s">
        <v>1236</v>
      </c>
      <c r="E595" s="2">
        <v>46010.1444444444</v>
      </c>
      <c r="F595" s="4">
        <v>1.0</v>
      </c>
      <c r="G595" s="4">
        <v>0.0</v>
      </c>
      <c r="H595" s="4"/>
      <c r="I595" s="4"/>
      <c r="J595" s="4" t="s">
        <v>1480</v>
      </c>
      <c r="K595" s="4" t="s">
        <v>1480</v>
      </c>
      <c r="L595" s="4" t="s">
        <v>1481</v>
      </c>
      <c r="M595" s="4" t="s">
        <v>1482</v>
      </c>
      <c r="N595" s="4" t="s">
        <v>540</v>
      </c>
      <c r="O595" s="4" t="s">
        <v>1500</v>
      </c>
      <c r="P595" s="4" t="s">
        <v>1923</v>
      </c>
      <c r="Q595" s="4" t="s">
        <v>2472</v>
      </c>
      <c r="R595" s="4" t="b">
        <v>0</v>
      </c>
      <c r="S595" s="4" t="s">
        <v>1486</v>
      </c>
      <c r="T595" s="2">
        <v>46010.1458333333</v>
      </c>
      <c r="U595" s="2">
        <v>46010.0</v>
      </c>
      <c r="V595" s="4">
        <v>50.0</v>
      </c>
      <c r="W595" s="4" t="s">
        <v>550</v>
      </c>
      <c r="X595" s="4">
        <v>2025.0</v>
      </c>
      <c r="Y595" s="4" t="s">
        <v>1487</v>
      </c>
      <c r="Z595" s="4"/>
      <c r="AA595" s="4" t="s">
        <v>558</v>
      </c>
      <c r="AB595" s="4" t="b">
        <v>0</v>
      </c>
      <c r="AC595" s="4" t="s">
        <v>567</v>
      </c>
      <c r="AD595" s="4" t="s">
        <v>537</v>
      </c>
    </row>
    <row r="596" ht="14.25" customHeight="1">
      <c r="A596" s="4">
        <v>8066232.0</v>
      </c>
      <c r="B596" s="2">
        <v>46000.6420601852</v>
      </c>
      <c r="C596" s="4">
        <v>7293523.0</v>
      </c>
      <c r="D596" s="4" t="s">
        <v>1237</v>
      </c>
      <c r="E596" s="2">
        <v>46010.2666666667</v>
      </c>
      <c r="F596" s="4">
        <v>1.0</v>
      </c>
      <c r="G596" s="4">
        <v>0.0</v>
      </c>
      <c r="H596" s="4"/>
      <c r="I596" s="4"/>
      <c r="J596" s="4" t="s">
        <v>1480</v>
      </c>
      <c r="K596" s="4" t="s">
        <v>1480</v>
      </c>
      <c r="L596" s="4" t="s">
        <v>1481</v>
      </c>
      <c r="M596" s="4" t="s">
        <v>1482</v>
      </c>
      <c r="N596" s="4" t="s">
        <v>540</v>
      </c>
      <c r="O596" s="4" t="s">
        <v>1483</v>
      </c>
      <c r="P596" s="4" t="s">
        <v>1635</v>
      </c>
      <c r="Q596" s="4" t="s">
        <v>1941</v>
      </c>
      <c r="R596" s="4" t="b">
        <v>0</v>
      </c>
      <c r="S596" s="4" t="s">
        <v>1486</v>
      </c>
      <c r="T596" s="2">
        <v>46010.2680555556</v>
      </c>
      <c r="U596" s="2">
        <v>46000.0</v>
      </c>
      <c r="V596" s="4">
        <v>49.0</v>
      </c>
      <c r="W596" s="4" t="s">
        <v>550</v>
      </c>
      <c r="X596" s="4">
        <v>2025.0</v>
      </c>
      <c r="Y596" s="4" t="s">
        <v>1487</v>
      </c>
      <c r="Z596" s="4" t="s">
        <v>853</v>
      </c>
      <c r="AA596" s="4" t="s">
        <v>835</v>
      </c>
      <c r="AB596" s="4" t="b">
        <v>0</v>
      </c>
      <c r="AC596" s="4" t="s">
        <v>623</v>
      </c>
      <c r="AD596" s="4" t="s">
        <v>537</v>
      </c>
    </row>
    <row r="597" ht="14.25" customHeight="1">
      <c r="A597" s="4">
        <v>8172901.0</v>
      </c>
      <c r="B597" s="2">
        <v>46010.3546643518</v>
      </c>
      <c r="C597" s="4">
        <v>7399184.0</v>
      </c>
      <c r="D597" s="4" t="s">
        <v>1238</v>
      </c>
      <c r="E597" s="2">
        <v>46010.3555555556</v>
      </c>
      <c r="F597" s="4">
        <v>1.0</v>
      </c>
      <c r="G597" s="4">
        <v>0.0</v>
      </c>
      <c r="H597" s="4" t="s">
        <v>1519</v>
      </c>
      <c r="I597" s="4" t="s">
        <v>1717</v>
      </c>
      <c r="J597" s="4" t="s">
        <v>1519</v>
      </c>
      <c r="K597" s="4" t="s">
        <v>1513</v>
      </c>
      <c r="L597" s="4" t="s">
        <v>1717</v>
      </c>
      <c r="M597" s="4" t="s">
        <v>1482</v>
      </c>
      <c r="N597" s="4" t="s">
        <v>540</v>
      </c>
      <c r="O597" s="4" t="s">
        <v>2473</v>
      </c>
      <c r="P597" s="4" t="s">
        <v>1544</v>
      </c>
      <c r="Q597" s="4" t="s">
        <v>2474</v>
      </c>
      <c r="R597" s="4" t="b">
        <v>0</v>
      </c>
      <c r="S597" s="4" t="s">
        <v>1486</v>
      </c>
      <c r="T597" s="2">
        <v>46010.3569444444</v>
      </c>
      <c r="U597" s="2">
        <v>46010.0</v>
      </c>
      <c r="V597" s="4">
        <v>50.0</v>
      </c>
      <c r="W597" s="4" t="s">
        <v>550</v>
      </c>
      <c r="X597" s="4">
        <v>2025.0</v>
      </c>
      <c r="Y597" s="4" t="s">
        <v>1518</v>
      </c>
      <c r="Z597" s="4"/>
      <c r="AA597" s="4" t="s">
        <v>558</v>
      </c>
      <c r="AB597" s="4" t="b">
        <v>0</v>
      </c>
      <c r="AC597" s="4" t="s">
        <v>554</v>
      </c>
      <c r="AD597" s="4" t="s">
        <v>537</v>
      </c>
    </row>
    <row r="598" ht="14.25" customHeight="1">
      <c r="A598" s="4">
        <v>8174376.0</v>
      </c>
      <c r="B598" s="2">
        <v>46010.4456481481</v>
      </c>
      <c r="C598" s="4">
        <v>7400650.0</v>
      </c>
      <c r="D598" s="4" t="s">
        <v>1239</v>
      </c>
      <c r="E598" s="2">
        <v>46010.4465277778</v>
      </c>
      <c r="F598" s="4">
        <v>1.0</v>
      </c>
      <c r="G598" s="4">
        <v>0.0</v>
      </c>
      <c r="H598" s="4"/>
      <c r="I598" s="4"/>
      <c r="J598" s="4" t="s">
        <v>1526</v>
      </c>
      <c r="K598" s="4" t="s">
        <v>1527</v>
      </c>
      <c r="L598" s="4" t="s">
        <v>1528</v>
      </c>
      <c r="M598" s="4" t="s">
        <v>1482</v>
      </c>
      <c r="N598" s="4" t="s">
        <v>1529</v>
      </c>
      <c r="O598" s="4" t="s">
        <v>1530</v>
      </c>
      <c r="P598" s="4" t="s">
        <v>2475</v>
      </c>
      <c r="Q598" s="4" t="s">
        <v>2476</v>
      </c>
      <c r="R598" s="4" t="b">
        <v>0</v>
      </c>
      <c r="S598" s="4" t="s">
        <v>1486</v>
      </c>
      <c r="T598" s="2">
        <v>46010.4479166667</v>
      </c>
      <c r="U598" s="2">
        <v>46010.0</v>
      </c>
      <c r="V598" s="4">
        <v>50.0</v>
      </c>
      <c r="W598" s="4" t="s">
        <v>550</v>
      </c>
      <c r="X598" s="4">
        <v>2025.0</v>
      </c>
      <c r="Y598" s="4" t="s">
        <v>1532</v>
      </c>
      <c r="Z598" s="4" t="s">
        <v>557</v>
      </c>
      <c r="AA598" s="4" t="s">
        <v>558</v>
      </c>
      <c r="AB598" s="4" t="b">
        <v>0</v>
      </c>
      <c r="AC598" s="4" t="s">
        <v>536</v>
      </c>
      <c r="AD598" s="4" t="s">
        <v>537</v>
      </c>
    </row>
    <row r="599" ht="14.25" customHeight="1">
      <c r="A599" s="4">
        <v>7874753.0</v>
      </c>
      <c r="B599" s="2">
        <v>45967.6519791667</v>
      </c>
      <c r="C599" s="4">
        <v>7104534.0</v>
      </c>
      <c r="D599" s="4" t="s">
        <v>1240</v>
      </c>
      <c r="E599" s="2">
        <v>46010.4493055556</v>
      </c>
      <c r="F599" s="4">
        <v>0.5</v>
      </c>
      <c r="G599" s="4">
        <v>0.0</v>
      </c>
      <c r="H599" s="4"/>
      <c r="I599" s="4"/>
      <c r="J599" s="4" t="s">
        <v>1480</v>
      </c>
      <c r="K599" s="4" t="s">
        <v>1480</v>
      </c>
      <c r="L599" s="4" t="s">
        <v>1511</v>
      </c>
      <c r="M599" s="4" t="s">
        <v>1482</v>
      </c>
      <c r="N599" s="4" t="s">
        <v>653</v>
      </c>
      <c r="O599" s="4" t="s">
        <v>2477</v>
      </c>
      <c r="P599" s="4" t="s">
        <v>1496</v>
      </c>
      <c r="Q599" s="4" t="s">
        <v>2478</v>
      </c>
      <c r="R599" s="4" t="b">
        <v>0</v>
      </c>
      <c r="S599" s="4" t="s">
        <v>1486</v>
      </c>
      <c r="T599" s="2">
        <v>46010.4506944444</v>
      </c>
      <c r="U599" s="2">
        <v>45967.0</v>
      </c>
      <c r="V599" s="4">
        <v>44.0</v>
      </c>
      <c r="W599" s="4" t="s">
        <v>545</v>
      </c>
      <c r="X599" s="4">
        <v>2025.0</v>
      </c>
      <c r="Y599" s="4" t="s">
        <v>1680</v>
      </c>
      <c r="Z599" s="4" t="s">
        <v>557</v>
      </c>
      <c r="AA599" s="4" t="s">
        <v>558</v>
      </c>
      <c r="AB599" s="4" t="b">
        <v>0</v>
      </c>
      <c r="AC599" s="4" t="s">
        <v>567</v>
      </c>
      <c r="AD599" s="4" t="s">
        <v>537</v>
      </c>
    </row>
    <row r="600" ht="14.25" customHeight="1">
      <c r="A600" s="4">
        <v>8174258.0</v>
      </c>
      <c r="B600" s="2">
        <v>46010.4349305556</v>
      </c>
      <c r="C600" s="4">
        <v>7104534.0</v>
      </c>
      <c r="D600" s="4" t="s">
        <v>1240</v>
      </c>
      <c r="E600" s="2">
        <v>46010.4493055556</v>
      </c>
      <c r="F600" s="4">
        <v>0.5</v>
      </c>
      <c r="G600" s="4">
        <v>0.0</v>
      </c>
      <c r="H600" s="4" t="s">
        <v>1511</v>
      </c>
      <c r="I600" s="4" t="s">
        <v>1512</v>
      </c>
      <c r="J600" s="4" t="s">
        <v>1511</v>
      </c>
      <c r="K600" s="4" t="s">
        <v>1513</v>
      </c>
      <c r="L600" s="4" t="s">
        <v>1512</v>
      </c>
      <c r="M600" s="4" t="s">
        <v>2479</v>
      </c>
      <c r="N600" s="4" t="s">
        <v>653</v>
      </c>
      <c r="O600" s="4" t="s">
        <v>2480</v>
      </c>
      <c r="P600" s="4" t="s">
        <v>1845</v>
      </c>
      <c r="Q600" s="4" t="s">
        <v>2481</v>
      </c>
      <c r="R600" s="4" t="b">
        <v>0</v>
      </c>
      <c r="S600" s="4" t="s">
        <v>1486</v>
      </c>
      <c r="T600" s="2">
        <v>46010.4506944444</v>
      </c>
      <c r="U600" s="2">
        <v>46010.0</v>
      </c>
      <c r="V600" s="4">
        <v>50.0</v>
      </c>
      <c r="W600" s="4" t="s">
        <v>550</v>
      </c>
      <c r="X600" s="4">
        <v>2025.0</v>
      </c>
      <c r="Y600" s="4" t="s">
        <v>1518</v>
      </c>
      <c r="Z600" s="4" t="s">
        <v>557</v>
      </c>
      <c r="AA600" s="4" t="s">
        <v>558</v>
      </c>
      <c r="AB600" s="4" t="b">
        <v>0</v>
      </c>
      <c r="AC600" s="4" t="s">
        <v>567</v>
      </c>
      <c r="AD600" s="4" t="s">
        <v>537</v>
      </c>
    </row>
    <row r="601" ht="14.25" customHeight="1">
      <c r="A601" s="4">
        <v>8174441.0</v>
      </c>
      <c r="B601" s="2">
        <v>46010.4503240741</v>
      </c>
      <c r="C601" s="4">
        <v>7400714.0</v>
      </c>
      <c r="D601" s="4" t="s">
        <v>1241</v>
      </c>
      <c r="E601" s="2">
        <v>46010.4506944444</v>
      </c>
      <c r="F601" s="4">
        <v>1.0</v>
      </c>
      <c r="G601" s="4">
        <v>0.0</v>
      </c>
      <c r="H601" s="4"/>
      <c r="I601" s="4"/>
      <c r="J601" s="4" t="s">
        <v>1480</v>
      </c>
      <c r="K601" s="4" t="s">
        <v>1480</v>
      </c>
      <c r="L601" s="4" t="s">
        <v>1481</v>
      </c>
      <c r="M601" s="4" t="s">
        <v>1482</v>
      </c>
      <c r="N601" s="4" t="s">
        <v>540</v>
      </c>
      <c r="O601" s="4" t="s">
        <v>1483</v>
      </c>
      <c r="P601" s="4" t="s">
        <v>1635</v>
      </c>
      <c r="Q601" s="4" t="s">
        <v>2482</v>
      </c>
      <c r="R601" s="4" t="b">
        <v>0</v>
      </c>
      <c r="S601" s="4" t="s">
        <v>1486</v>
      </c>
      <c r="T601" s="2">
        <v>46010.4520833333</v>
      </c>
      <c r="U601" s="2">
        <v>46010.0</v>
      </c>
      <c r="V601" s="4">
        <v>50.0</v>
      </c>
      <c r="W601" s="4" t="s">
        <v>550</v>
      </c>
      <c r="X601" s="4">
        <v>2025.0</v>
      </c>
      <c r="Y601" s="4" t="s">
        <v>1487</v>
      </c>
      <c r="Z601" s="4"/>
      <c r="AA601" s="4" t="s">
        <v>558</v>
      </c>
      <c r="AB601" s="4" t="b">
        <v>0</v>
      </c>
      <c r="AC601" s="4" t="s">
        <v>554</v>
      </c>
      <c r="AD601" s="4" t="s">
        <v>537</v>
      </c>
    </row>
    <row r="602" ht="14.25" customHeight="1">
      <c r="A602" s="4">
        <v>8174655.0</v>
      </c>
      <c r="B602" s="2">
        <v>46010.4626967593</v>
      </c>
      <c r="C602" s="4">
        <v>7400927.0</v>
      </c>
      <c r="D602" s="4" t="s">
        <v>1242</v>
      </c>
      <c r="E602" s="2">
        <v>46010.4638888889</v>
      </c>
      <c r="F602" s="4">
        <v>1.0</v>
      </c>
      <c r="G602" s="4">
        <v>0.0</v>
      </c>
      <c r="H602" s="4"/>
      <c r="I602" s="4"/>
      <c r="J602" s="4" t="s">
        <v>1480</v>
      </c>
      <c r="K602" s="4" t="s">
        <v>1480</v>
      </c>
      <c r="L602" s="4" t="s">
        <v>1481</v>
      </c>
      <c r="M602" s="4" t="s">
        <v>1482</v>
      </c>
      <c r="N602" s="4" t="s">
        <v>540</v>
      </c>
      <c r="O602" s="4" t="s">
        <v>1483</v>
      </c>
      <c r="P602" s="4" t="s">
        <v>1635</v>
      </c>
      <c r="Q602" s="4" t="s">
        <v>2483</v>
      </c>
      <c r="R602" s="4" t="b">
        <v>0</v>
      </c>
      <c r="S602" s="4" t="s">
        <v>1486</v>
      </c>
      <c r="T602" s="2">
        <v>46010.4652777778</v>
      </c>
      <c r="U602" s="2">
        <v>46010.0</v>
      </c>
      <c r="V602" s="4">
        <v>50.0</v>
      </c>
      <c r="W602" s="4" t="s">
        <v>550</v>
      </c>
      <c r="X602" s="4">
        <v>2025.0</v>
      </c>
      <c r="Y602" s="4" t="s">
        <v>1487</v>
      </c>
      <c r="Z602" s="4" t="s">
        <v>557</v>
      </c>
      <c r="AA602" s="4" t="s">
        <v>558</v>
      </c>
      <c r="AB602" s="4" t="b">
        <v>0</v>
      </c>
      <c r="AC602" s="4" t="s">
        <v>536</v>
      </c>
      <c r="AD602" s="4" t="s">
        <v>537</v>
      </c>
    </row>
    <row r="603" ht="14.25" customHeight="1">
      <c r="A603" s="4">
        <v>8132326.0</v>
      </c>
      <c r="B603" s="2">
        <v>46007.4112384259</v>
      </c>
      <c r="C603" s="4">
        <v>7359092.0</v>
      </c>
      <c r="D603" s="4" t="s">
        <v>1243</v>
      </c>
      <c r="E603" s="2">
        <v>46010.46875</v>
      </c>
      <c r="F603" s="4">
        <v>1.0</v>
      </c>
      <c r="G603" s="4">
        <v>0.0</v>
      </c>
      <c r="H603" s="4"/>
      <c r="I603" s="4"/>
      <c r="J603" s="4" t="s">
        <v>1480</v>
      </c>
      <c r="K603" s="4" t="s">
        <v>1480</v>
      </c>
      <c r="L603" s="4" t="s">
        <v>1481</v>
      </c>
      <c r="M603" s="4" t="s">
        <v>1482</v>
      </c>
      <c r="N603" s="4" t="s">
        <v>540</v>
      </c>
      <c r="O603" s="4" t="s">
        <v>1483</v>
      </c>
      <c r="P603" s="4" t="s">
        <v>1635</v>
      </c>
      <c r="Q603" s="4" t="s">
        <v>2484</v>
      </c>
      <c r="R603" s="4" t="b">
        <v>0</v>
      </c>
      <c r="S603" s="4" t="s">
        <v>1486</v>
      </c>
      <c r="T603" s="2">
        <v>46010.4701388889</v>
      </c>
      <c r="U603" s="2">
        <v>46007.0</v>
      </c>
      <c r="V603" s="4">
        <v>50.0</v>
      </c>
      <c r="W603" s="4" t="s">
        <v>550</v>
      </c>
      <c r="X603" s="4">
        <v>2025.0</v>
      </c>
      <c r="Y603" s="4" t="s">
        <v>1487</v>
      </c>
      <c r="Z603" s="4" t="s">
        <v>557</v>
      </c>
      <c r="AA603" s="4" t="s">
        <v>558</v>
      </c>
      <c r="AB603" s="4" t="b">
        <v>0</v>
      </c>
      <c r="AC603" s="4" t="s">
        <v>567</v>
      </c>
      <c r="AD603" s="4" t="s">
        <v>537</v>
      </c>
    </row>
    <row r="604" ht="14.25" customHeight="1">
      <c r="A604" s="4">
        <v>8175231.0</v>
      </c>
      <c r="B604" s="2">
        <v>46010.4919675926</v>
      </c>
      <c r="C604" s="4">
        <v>7401497.0</v>
      </c>
      <c r="D604" s="4" t="s">
        <v>1246</v>
      </c>
      <c r="E604" s="2">
        <v>46010.4923611111</v>
      </c>
      <c r="F604" s="4">
        <v>1.0</v>
      </c>
      <c r="G604" s="4">
        <v>0.0</v>
      </c>
      <c r="H604" s="4" t="s">
        <v>1620</v>
      </c>
      <c r="I604" s="4" t="s">
        <v>2485</v>
      </c>
      <c r="J604" s="4" t="s">
        <v>1620</v>
      </c>
      <c r="K604" s="4" t="s">
        <v>1513</v>
      </c>
      <c r="L604" s="4" t="s">
        <v>2485</v>
      </c>
      <c r="M604" s="4" t="s">
        <v>2486</v>
      </c>
      <c r="N604" s="4" t="s">
        <v>1623</v>
      </c>
      <c r="O604" s="4" t="s">
        <v>2487</v>
      </c>
      <c r="P604" s="4" t="s">
        <v>2003</v>
      </c>
      <c r="Q604" s="4" t="s">
        <v>2488</v>
      </c>
      <c r="R604" s="4" t="b">
        <v>0</v>
      </c>
      <c r="S604" s="4" t="s">
        <v>1486</v>
      </c>
      <c r="T604" s="2">
        <v>46010.49375</v>
      </c>
      <c r="U604" s="2">
        <v>46010.0</v>
      </c>
      <c r="V604" s="4">
        <v>50.0</v>
      </c>
      <c r="W604" s="4" t="s">
        <v>550</v>
      </c>
      <c r="X604" s="4">
        <v>2025.0</v>
      </c>
      <c r="Y604" s="4" t="s">
        <v>1518</v>
      </c>
      <c r="Z604" s="4" t="s">
        <v>557</v>
      </c>
      <c r="AA604" s="4" t="s">
        <v>558</v>
      </c>
      <c r="AB604" s="4" t="b">
        <v>0</v>
      </c>
      <c r="AC604" s="4" t="s">
        <v>536</v>
      </c>
      <c r="AD604" s="4" t="s">
        <v>537</v>
      </c>
    </row>
    <row r="605" ht="14.25" customHeight="1">
      <c r="A605" s="4">
        <v>8107216.0</v>
      </c>
      <c r="B605" s="2">
        <v>46003.5145601852</v>
      </c>
      <c r="C605" s="4">
        <v>7334314.0</v>
      </c>
      <c r="D605" s="4" t="s">
        <v>1248</v>
      </c>
      <c r="E605" s="2">
        <v>46010.5</v>
      </c>
      <c r="F605" s="4">
        <v>1.0</v>
      </c>
      <c r="G605" s="4">
        <v>0.0</v>
      </c>
      <c r="H605" s="4" t="s">
        <v>1519</v>
      </c>
      <c r="I605" s="4" t="s">
        <v>1781</v>
      </c>
      <c r="J605" s="4" t="s">
        <v>1519</v>
      </c>
      <c r="K605" s="4" t="s">
        <v>1513</v>
      </c>
      <c r="L605" s="4" t="s">
        <v>1781</v>
      </c>
      <c r="M605" s="4" t="s">
        <v>1692</v>
      </c>
      <c r="N605" s="4" t="s">
        <v>540</v>
      </c>
      <c r="O605" s="4" t="s">
        <v>2489</v>
      </c>
      <c r="P605" s="4" t="s">
        <v>2490</v>
      </c>
      <c r="Q605" s="4" t="s">
        <v>2491</v>
      </c>
      <c r="R605" s="4" t="b">
        <v>0</v>
      </c>
      <c r="S605" s="4" t="s">
        <v>1486</v>
      </c>
      <c r="T605" s="2">
        <v>46010.5270833333</v>
      </c>
      <c r="U605" s="2">
        <v>46003.0</v>
      </c>
      <c r="V605" s="4">
        <v>49.0</v>
      </c>
      <c r="W605" s="4" t="s">
        <v>550</v>
      </c>
      <c r="X605" s="4">
        <v>2025.0</v>
      </c>
      <c r="Y605" s="4" t="s">
        <v>1518</v>
      </c>
      <c r="Z605" s="4"/>
      <c r="AA605" s="4" t="s">
        <v>558</v>
      </c>
      <c r="AB605" s="4" t="b">
        <v>1</v>
      </c>
      <c r="AC605" s="4" t="s">
        <v>536</v>
      </c>
      <c r="AD605" s="4" t="s">
        <v>537</v>
      </c>
    </row>
    <row r="606" ht="14.25" customHeight="1">
      <c r="A606" s="4">
        <v>8175516.0</v>
      </c>
      <c r="B606" s="2">
        <v>46010.5055208333</v>
      </c>
      <c r="C606" s="4">
        <v>7401779.0</v>
      </c>
      <c r="D606" s="4" t="s">
        <v>1249</v>
      </c>
      <c r="E606" s="2">
        <v>46010.5069444444</v>
      </c>
      <c r="F606" s="4">
        <v>1.0</v>
      </c>
      <c r="G606" s="4">
        <v>0.0</v>
      </c>
      <c r="H606" s="4"/>
      <c r="I606" s="4"/>
      <c r="J606" s="4" t="s">
        <v>1526</v>
      </c>
      <c r="K606" s="4" t="s">
        <v>1527</v>
      </c>
      <c r="L606" s="4" t="s">
        <v>1528</v>
      </c>
      <c r="M606" s="4" t="s">
        <v>1482</v>
      </c>
      <c r="N606" s="4" t="s">
        <v>1529</v>
      </c>
      <c r="O606" s="4" t="s">
        <v>1530</v>
      </c>
      <c r="P606" s="4" t="s">
        <v>2392</v>
      </c>
      <c r="Q606" s="4" t="s">
        <v>2492</v>
      </c>
      <c r="R606" s="4" t="b">
        <v>0</v>
      </c>
      <c r="S606" s="4" t="s">
        <v>1486</v>
      </c>
      <c r="T606" s="2">
        <v>46010.5083333333</v>
      </c>
      <c r="U606" s="2">
        <v>46010.0</v>
      </c>
      <c r="V606" s="4">
        <v>50.0</v>
      </c>
      <c r="W606" s="4" t="s">
        <v>550</v>
      </c>
      <c r="X606" s="4">
        <v>2025.0</v>
      </c>
      <c r="Y606" s="4" t="s">
        <v>1532</v>
      </c>
      <c r="Z606" s="4" t="s">
        <v>541</v>
      </c>
      <c r="AA606" s="4" t="s">
        <v>558</v>
      </c>
      <c r="AB606" s="4" t="b">
        <v>0</v>
      </c>
      <c r="AC606" s="4" t="s">
        <v>536</v>
      </c>
      <c r="AD606" s="4" t="s">
        <v>537</v>
      </c>
    </row>
    <row r="607" ht="14.25" customHeight="1">
      <c r="A607" s="4">
        <v>8175548.0</v>
      </c>
      <c r="B607" s="2">
        <v>46010.5072569444</v>
      </c>
      <c r="C607" s="4">
        <v>7401811.0</v>
      </c>
      <c r="D607" s="4" t="s">
        <v>1250</v>
      </c>
      <c r="E607" s="2">
        <v>46010.5159722222</v>
      </c>
      <c r="F607" s="4">
        <v>1.0</v>
      </c>
      <c r="G607" s="4">
        <v>0.0</v>
      </c>
      <c r="H607" s="4"/>
      <c r="I607" s="4"/>
      <c r="J607" s="4" t="s">
        <v>1526</v>
      </c>
      <c r="K607" s="4" t="s">
        <v>1527</v>
      </c>
      <c r="L607" s="4" t="s">
        <v>1528</v>
      </c>
      <c r="M607" s="4" t="s">
        <v>1482</v>
      </c>
      <c r="N607" s="4" t="s">
        <v>1529</v>
      </c>
      <c r="O607" s="4" t="s">
        <v>2493</v>
      </c>
      <c r="P607" s="4" t="s">
        <v>1635</v>
      </c>
      <c r="Q607" s="4" t="s">
        <v>2494</v>
      </c>
      <c r="R607" s="4" t="b">
        <v>0</v>
      </c>
      <c r="S607" s="4" t="s">
        <v>1486</v>
      </c>
      <c r="T607" s="2">
        <v>46010.5173611111</v>
      </c>
      <c r="U607" s="2">
        <v>46010.0</v>
      </c>
      <c r="V607" s="4">
        <v>50.0</v>
      </c>
      <c r="W607" s="4" t="s">
        <v>550</v>
      </c>
      <c r="X607" s="4">
        <v>2025.0</v>
      </c>
      <c r="Y607" s="4" t="s">
        <v>1532</v>
      </c>
      <c r="Z607" s="4" t="s">
        <v>557</v>
      </c>
      <c r="AA607" s="4" t="s">
        <v>558</v>
      </c>
      <c r="AB607" s="4" t="b">
        <v>0</v>
      </c>
      <c r="AC607" s="4" t="s">
        <v>536</v>
      </c>
      <c r="AD607" s="4" t="s">
        <v>537</v>
      </c>
    </row>
    <row r="608" ht="14.25" customHeight="1">
      <c r="A608" s="4">
        <v>8107216.0</v>
      </c>
      <c r="B608" s="2">
        <v>46003.5145601852</v>
      </c>
      <c r="C608" s="4">
        <v>7334314.0</v>
      </c>
      <c r="D608" s="4" t="s">
        <v>1251</v>
      </c>
      <c r="E608" s="2">
        <v>46010.5256944444</v>
      </c>
      <c r="F608" s="4">
        <v>1.0</v>
      </c>
      <c r="G608" s="4">
        <v>0.0</v>
      </c>
      <c r="H608" s="4" t="s">
        <v>1519</v>
      </c>
      <c r="I608" s="4" t="s">
        <v>1781</v>
      </c>
      <c r="J608" s="4" t="s">
        <v>1519</v>
      </c>
      <c r="K608" s="4" t="s">
        <v>1513</v>
      </c>
      <c r="L608" s="4" t="s">
        <v>1781</v>
      </c>
      <c r="M608" s="4" t="s">
        <v>1692</v>
      </c>
      <c r="N608" s="4" t="s">
        <v>540</v>
      </c>
      <c r="O608" s="4" t="s">
        <v>2489</v>
      </c>
      <c r="P608" s="4" t="s">
        <v>2490</v>
      </c>
      <c r="Q608" s="4" t="s">
        <v>2491</v>
      </c>
      <c r="R608" s="4" t="b">
        <v>0</v>
      </c>
      <c r="S608" s="4" t="s">
        <v>1486</v>
      </c>
      <c r="T608" s="2">
        <v>46010.5270833333</v>
      </c>
      <c r="U608" s="2">
        <v>46003.0</v>
      </c>
      <c r="V608" s="4">
        <v>49.0</v>
      </c>
      <c r="W608" s="4" t="s">
        <v>550</v>
      </c>
      <c r="X608" s="4">
        <v>2025.0</v>
      </c>
      <c r="Y608" s="4" t="s">
        <v>1518</v>
      </c>
      <c r="Z608" s="4" t="s">
        <v>557</v>
      </c>
      <c r="AA608" s="4" t="s">
        <v>558</v>
      </c>
      <c r="AB608" s="4" t="b">
        <v>0</v>
      </c>
      <c r="AC608" s="4" t="s">
        <v>623</v>
      </c>
      <c r="AD608" s="4" t="s">
        <v>537</v>
      </c>
    </row>
    <row r="609" ht="14.25" customHeight="1">
      <c r="A609" s="4">
        <v>8175983.0</v>
      </c>
      <c r="B609" s="2">
        <v>46010.5313425926</v>
      </c>
      <c r="C609" s="4">
        <v>7402242.0</v>
      </c>
      <c r="D609" s="4" t="s">
        <v>1252</v>
      </c>
      <c r="E609" s="2">
        <v>46010.5319444444</v>
      </c>
      <c r="F609" s="4">
        <v>1.0</v>
      </c>
      <c r="G609" s="4">
        <v>0.0</v>
      </c>
      <c r="H609" s="4"/>
      <c r="I609" s="4"/>
      <c r="J609" s="4" t="s">
        <v>539</v>
      </c>
      <c r="K609" s="4" t="s">
        <v>539</v>
      </c>
      <c r="L609" s="4" t="s">
        <v>1499</v>
      </c>
      <c r="M609" s="4" t="s">
        <v>1482</v>
      </c>
      <c r="N609" s="4"/>
      <c r="O609" s="4" t="s">
        <v>1483</v>
      </c>
      <c r="P609" s="4" t="s">
        <v>1506</v>
      </c>
      <c r="Q609" s="4" t="s">
        <v>2495</v>
      </c>
      <c r="R609" s="4" t="b">
        <v>0</v>
      </c>
      <c r="S609" s="4" t="s">
        <v>1486</v>
      </c>
      <c r="T609" s="2">
        <v>46010.5333333333</v>
      </c>
      <c r="U609" s="2">
        <v>46010.0</v>
      </c>
      <c r="V609" s="4">
        <v>50.0</v>
      </c>
      <c r="W609" s="4" t="s">
        <v>550</v>
      </c>
      <c r="X609" s="4">
        <v>2025.0</v>
      </c>
      <c r="Y609" s="4" t="s">
        <v>1502</v>
      </c>
      <c r="Z609" s="4" t="s">
        <v>557</v>
      </c>
      <c r="AA609" s="4" t="s">
        <v>558</v>
      </c>
      <c r="AB609" s="4" t="b">
        <v>0</v>
      </c>
      <c r="AC609" s="4" t="s">
        <v>536</v>
      </c>
      <c r="AD609" s="4" t="s">
        <v>537</v>
      </c>
    </row>
    <row r="610" ht="14.25" customHeight="1">
      <c r="A610" s="4">
        <v>8160506.0</v>
      </c>
      <c r="B610" s="2">
        <v>46009.6045833333</v>
      </c>
      <c r="C610" s="4">
        <v>7386866.0</v>
      </c>
      <c r="D610" s="4" t="s">
        <v>1254</v>
      </c>
      <c r="E610" s="2">
        <v>46010.5513888889</v>
      </c>
      <c r="F610" s="4">
        <v>1.0</v>
      </c>
      <c r="G610" s="4">
        <v>0.0</v>
      </c>
      <c r="H610" s="4"/>
      <c r="I610" s="4"/>
      <c r="J610" s="4" t="s">
        <v>1480</v>
      </c>
      <c r="K610" s="4" t="s">
        <v>1480</v>
      </c>
      <c r="L610" s="4" t="s">
        <v>1481</v>
      </c>
      <c r="M610" s="4" t="s">
        <v>1482</v>
      </c>
      <c r="N610" s="4" t="s">
        <v>540</v>
      </c>
      <c r="O610" s="4" t="s">
        <v>1483</v>
      </c>
      <c r="P610" s="4" t="s">
        <v>1558</v>
      </c>
      <c r="Q610" s="4" t="s">
        <v>2451</v>
      </c>
      <c r="R610" s="4" t="b">
        <v>0</v>
      </c>
      <c r="S610" s="4" t="s">
        <v>1486</v>
      </c>
      <c r="T610" s="2">
        <v>46010.5527777778</v>
      </c>
      <c r="U610" s="2">
        <v>46009.0</v>
      </c>
      <c r="V610" s="4">
        <v>50.0</v>
      </c>
      <c r="W610" s="4" t="s">
        <v>550</v>
      </c>
      <c r="X610" s="4">
        <v>2025.0</v>
      </c>
      <c r="Y610" s="4" t="s">
        <v>1487</v>
      </c>
      <c r="Z610" s="4" t="s">
        <v>557</v>
      </c>
      <c r="AA610" s="4" t="s">
        <v>558</v>
      </c>
      <c r="AB610" s="4" t="b">
        <v>0</v>
      </c>
      <c r="AC610" s="4" t="s">
        <v>567</v>
      </c>
      <c r="AD610" s="4" t="s">
        <v>537</v>
      </c>
    </row>
    <row r="611" ht="14.25" customHeight="1">
      <c r="A611" s="4">
        <v>8176297.0</v>
      </c>
      <c r="B611" s="2">
        <v>46010.5525115741</v>
      </c>
      <c r="C611" s="4">
        <v>7402549.0</v>
      </c>
      <c r="D611" s="4" t="s">
        <v>1255</v>
      </c>
      <c r="E611" s="2">
        <v>46010.5534722222</v>
      </c>
      <c r="F611" s="4">
        <v>1.0</v>
      </c>
      <c r="G611" s="4">
        <v>0.0</v>
      </c>
      <c r="H611" s="4" t="s">
        <v>1519</v>
      </c>
      <c r="I611" s="4" t="s">
        <v>1781</v>
      </c>
      <c r="J611" s="4" t="s">
        <v>1519</v>
      </c>
      <c r="K611" s="4" t="s">
        <v>1513</v>
      </c>
      <c r="L611" s="4" t="s">
        <v>1781</v>
      </c>
      <c r="M611" s="4" t="s">
        <v>1692</v>
      </c>
      <c r="N611" s="4" t="s">
        <v>540</v>
      </c>
      <c r="O611" s="4" t="s">
        <v>2496</v>
      </c>
      <c r="P611" s="4" t="s">
        <v>1645</v>
      </c>
      <c r="Q611" s="4" t="s">
        <v>2497</v>
      </c>
      <c r="R611" s="4" t="b">
        <v>0</v>
      </c>
      <c r="S611" s="4" t="s">
        <v>1486</v>
      </c>
      <c r="T611" s="2">
        <v>46010.5548611111</v>
      </c>
      <c r="U611" s="2">
        <v>46010.0</v>
      </c>
      <c r="V611" s="4">
        <v>50.0</v>
      </c>
      <c r="W611" s="4" t="s">
        <v>550</v>
      </c>
      <c r="X611" s="4">
        <v>2025.0</v>
      </c>
      <c r="Y611" s="4" t="s">
        <v>1518</v>
      </c>
      <c r="Z611" s="4" t="s">
        <v>557</v>
      </c>
      <c r="AA611" s="4" t="s">
        <v>558</v>
      </c>
      <c r="AB611" s="4" t="b">
        <v>0</v>
      </c>
      <c r="AC611" s="4" t="s">
        <v>536</v>
      </c>
      <c r="AD611" s="4" t="s">
        <v>537</v>
      </c>
    </row>
    <row r="612" ht="14.25" customHeight="1">
      <c r="A612" s="4">
        <v>7963745.0</v>
      </c>
      <c r="B612" s="2">
        <v>45985.7569328704</v>
      </c>
      <c r="C612" s="4">
        <v>7192064.0</v>
      </c>
      <c r="D612" s="4" t="s">
        <v>1256</v>
      </c>
      <c r="E612" s="2">
        <v>46010.6076388889</v>
      </c>
      <c r="F612" s="4">
        <v>1.0</v>
      </c>
      <c r="G612" s="4">
        <v>0.0</v>
      </c>
      <c r="H612" s="4"/>
      <c r="I612" s="4"/>
      <c r="J612" s="4" t="s">
        <v>1480</v>
      </c>
      <c r="K612" s="4" t="s">
        <v>1480</v>
      </c>
      <c r="L612" s="4" t="s">
        <v>1511</v>
      </c>
      <c r="M612" s="4" t="s">
        <v>1482</v>
      </c>
      <c r="N612" s="4" t="s">
        <v>653</v>
      </c>
      <c r="O612" s="4" t="s">
        <v>2498</v>
      </c>
      <c r="P612" s="4" t="s">
        <v>1845</v>
      </c>
      <c r="Q612" s="4" t="s">
        <v>2499</v>
      </c>
      <c r="R612" s="4" t="b">
        <v>0</v>
      </c>
      <c r="S612" s="4" t="s">
        <v>1486</v>
      </c>
      <c r="T612" s="2">
        <v>46021.8791666667</v>
      </c>
      <c r="U612" s="2">
        <v>45985.0</v>
      </c>
      <c r="V612" s="4">
        <v>47.0</v>
      </c>
      <c r="W612" s="4" t="s">
        <v>545</v>
      </c>
      <c r="X612" s="4">
        <v>2025.0</v>
      </c>
      <c r="Y612" s="4" t="s">
        <v>1680</v>
      </c>
      <c r="Z612" s="4"/>
      <c r="AA612" s="4" t="s">
        <v>558</v>
      </c>
      <c r="AB612" s="4" t="b">
        <v>1</v>
      </c>
      <c r="AC612" s="4" t="s">
        <v>536</v>
      </c>
      <c r="AD612" s="4" t="s">
        <v>537</v>
      </c>
    </row>
    <row r="613" ht="14.25" customHeight="1">
      <c r="A613" s="4">
        <v>8177258.0</v>
      </c>
      <c r="B613" s="2">
        <v>46010.6102777778</v>
      </c>
      <c r="C613" s="4">
        <v>7403507.0</v>
      </c>
      <c r="D613" s="4" t="s">
        <v>1257</v>
      </c>
      <c r="E613" s="2">
        <v>46010.6125</v>
      </c>
      <c r="F613" s="4">
        <v>0.5</v>
      </c>
      <c r="G613" s="4">
        <v>0.0</v>
      </c>
      <c r="H613" s="4" t="s">
        <v>1519</v>
      </c>
      <c r="I613" s="4" t="s">
        <v>1553</v>
      </c>
      <c r="J613" s="4" t="s">
        <v>1519</v>
      </c>
      <c r="K613" s="4" t="s">
        <v>1513</v>
      </c>
      <c r="L613" s="4" t="s">
        <v>1553</v>
      </c>
      <c r="M613" s="4" t="s">
        <v>2500</v>
      </c>
      <c r="N613" s="4" t="s">
        <v>540</v>
      </c>
      <c r="O613" s="4" t="s">
        <v>2501</v>
      </c>
      <c r="P613" s="4" t="s">
        <v>1635</v>
      </c>
      <c r="Q613" s="4" t="s">
        <v>2502</v>
      </c>
      <c r="R613" s="4" t="b">
        <v>0</v>
      </c>
      <c r="S613" s="4" t="s">
        <v>1486</v>
      </c>
      <c r="T613" s="2">
        <v>46010.6138888889</v>
      </c>
      <c r="U613" s="2">
        <v>46010.0</v>
      </c>
      <c r="V613" s="4">
        <v>50.0</v>
      </c>
      <c r="W613" s="4" t="s">
        <v>550</v>
      </c>
      <c r="X613" s="4">
        <v>2025.0</v>
      </c>
      <c r="Y613" s="4" t="s">
        <v>1518</v>
      </c>
      <c r="Z613" s="4"/>
      <c r="AA613" s="4" t="s">
        <v>558</v>
      </c>
      <c r="AB613" s="4" t="b">
        <v>0</v>
      </c>
      <c r="AC613" s="4" t="s">
        <v>554</v>
      </c>
      <c r="AD613" s="4" t="s">
        <v>537</v>
      </c>
    </row>
    <row r="614" ht="14.25" customHeight="1">
      <c r="A614" s="4">
        <v>8177302.0</v>
      </c>
      <c r="B614" s="2">
        <v>46010.6121527778</v>
      </c>
      <c r="C614" s="4">
        <v>7403507.0</v>
      </c>
      <c r="D614" s="4" t="s">
        <v>1257</v>
      </c>
      <c r="E614" s="2">
        <v>46010.6125</v>
      </c>
      <c r="F614" s="4">
        <v>0.5</v>
      </c>
      <c r="G614" s="4">
        <v>0.0</v>
      </c>
      <c r="H614" s="4" t="s">
        <v>1519</v>
      </c>
      <c r="I614" s="4" t="s">
        <v>1533</v>
      </c>
      <c r="J614" s="4" t="s">
        <v>1519</v>
      </c>
      <c r="K614" s="4" t="s">
        <v>1513</v>
      </c>
      <c r="L614" s="4" t="s">
        <v>1533</v>
      </c>
      <c r="M614" s="4" t="s">
        <v>1582</v>
      </c>
      <c r="N614" s="4" t="s">
        <v>540</v>
      </c>
      <c r="O614" s="4" t="s">
        <v>2503</v>
      </c>
      <c r="P614" s="4" t="s">
        <v>1635</v>
      </c>
      <c r="Q614" s="4" t="s">
        <v>2502</v>
      </c>
      <c r="R614" s="4" t="b">
        <v>0</v>
      </c>
      <c r="S614" s="4" t="s">
        <v>1486</v>
      </c>
      <c r="T614" s="2">
        <v>46010.6138888889</v>
      </c>
      <c r="U614" s="2">
        <v>46010.0</v>
      </c>
      <c r="V614" s="4">
        <v>50.0</v>
      </c>
      <c r="W614" s="4" t="s">
        <v>550</v>
      </c>
      <c r="X614" s="4">
        <v>2025.0</v>
      </c>
      <c r="Y614" s="4" t="s">
        <v>1518</v>
      </c>
      <c r="Z614" s="4"/>
      <c r="AA614" s="4" t="s">
        <v>558</v>
      </c>
      <c r="AB614" s="4" t="b">
        <v>0</v>
      </c>
      <c r="AC614" s="4" t="s">
        <v>554</v>
      </c>
      <c r="AD614" s="4" t="s">
        <v>537</v>
      </c>
    </row>
    <row r="615" ht="14.25" customHeight="1">
      <c r="A615" s="4">
        <v>8177582.0</v>
      </c>
      <c r="B615" s="2">
        <v>46010.6265277778</v>
      </c>
      <c r="C615" s="4">
        <v>7403824.0</v>
      </c>
      <c r="D615" s="4" t="s">
        <v>1258</v>
      </c>
      <c r="E615" s="2">
        <v>46010.6263888889</v>
      </c>
      <c r="F615" s="4">
        <v>1.0</v>
      </c>
      <c r="G615" s="4">
        <v>0.0</v>
      </c>
      <c r="H615" s="4"/>
      <c r="I615" s="4"/>
      <c r="J615" s="4" t="s">
        <v>1526</v>
      </c>
      <c r="K615" s="4" t="s">
        <v>1527</v>
      </c>
      <c r="L615" s="4" t="s">
        <v>1528</v>
      </c>
      <c r="M615" s="4" t="s">
        <v>1482</v>
      </c>
      <c r="N615" s="4" t="s">
        <v>1529</v>
      </c>
      <c r="O615" s="4" t="s">
        <v>1530</v>
      </c>
      <c r="P615" s="4" t="s">
        <v>1845</v>
      </c>
      <c r="Q615" s="4" t="s">
        <v>2504</v>
      </c>
      <c r="R615" s="4" t="b">
        <v>0</v>
      </c>
      <c r="S615" s="4" t="s">
        <v>1486</v>
      </c>
      <c r="T615" s="2">
        <v>46010.6277777778</v>
      </c>
      <c r="U615" s="2">
        <v>46010.0</v>
      </c>
      <c r="V615" s="4">
        <v>50.0</v>
      </c>
      <c r="W615" s="4" t="s">
        <v>550</v>
      </c>
      <c r="X615" s="4">
        <v>2025.0</v>
      </c>
      <c r="Y615" s="4" t="s">
        <v>1532</v>
      </c>
      <c r="Z615" s="4" t="s">
        <v>557</v>
      </c>
      <c r="AA615" s="4" t="s">
        <v>558</v>
      </c>
      <c r="AB615" s="4" t="b">
        <v>0</v>
      </c>
      <c r="AC615" s="4" t="s">
        <v>536</v>
      </c>
      <c r="AD615" s="4" t="s">
        <v>537</v>
      </c>
    </row>
    <row r="616" ht="14.25" customHeight="1">
      <c r="A616" s="4">
        <v>8177734.0</v>
      </c>
      <c r="B616" s="2">
        <v>46010.6366203704</v>
      </c>
      <c r="C616" s="4">
        <v>7403975.0</v>
      </c>
      <c r="D616" s="4" t="s">
        <v>1259</v>
      </c>
      <c r="E616" s="2">
        <v>46010.6368055556</v>
      </c>
      <c r="F616" s="4">
        <v>1.0</v>
      </c>
      <c r="G616" s="4">
        <v>0.0</v>
      </c>
      <c r="H616" s="4"/>
      <c r="I616" s="4"/>
      <c r="J616" s="4" t="s">
        <v>1480</v>
      </c>
      <c r="K616" s="4" t="s">
        <v>1480</v>
      </c>
      <c r="L616" s="4" t="s">
        <v>1481</v>
      </c>
      <c r="M616" s="4" t="s">
        <v>1482</v>
      </c>
      <c r="N616" s="4" t="s">
        <v>540</v>
      </c>
      <c r="O616" s="4" t="s">
        <v>2505</v>
      </c>
      <c r="P616" s="4" t="s">
        <v>2003</v>
      </c>
      <c r="Q616" s="4" t="s">
        <v>2506</v>
      </c>
      <c r="R616" s="4" t="b">
        <v>0</v>
      </c>
      <c r="S616" s="4" t="s">
        <v>1486</v>
      </c>
      <c r="T616" s="2">
        <v>46010.6381944444</v>
      </c>
      <c r="U616" s="2">
        <v>46010.0</v>
      </c>
      <c r="V616" s="4">
        <v>50.0</v>
      </c>
      <c r="W616" s="4" t="s">
        <v>550</v>
      </c>
      <c r="X616" s="4">
        <v>2025.0</v>
      </c>
      <c r="Y616" s="4" t="s">
        <v>1487</v>
      </c>
      <c r="Z616" s="4" t="s">
        <v>557</v>
      </c>
      <c r="AA616" s="4" t="s">
        <v>558</v>
      </c>
      <c r="AB616" s="4" t="b">
        <v>0</v>
      </c>
      <c r="AC616" s="4" t="s">
        <v>536</v>
      </c>
      <c r="AD616" s="4" t="s">
        <v>537</v>
      </c>
    </row>
    <row r="617" ht="14.25" customHeight="1">
      <c r="A617" s="4">
        <v>8177809.0</v>
      </c>
      <c r="B617" s="2">
        <v>46010.6443287037</v>
      </c>
      <c r="C617" s="4">
        <v>7404050.0</v>
      </c>
      <c r="D617" s="4" t="s">
        <v>1261</v>
      </c>
      <c r="E617" s="2">
        <v>46010.6472222222</v>
      </c>
      <c r="F617" s="4">
        <v>1.0</v>
      </c>
      <c r="G617" s="4">
        <v>0.0</v>
      </c>
      <c r="H617" s="4"/>
      <c r="I617" s="4"/>
      <c r="J617" s="4" t="s">
        <v>1480</v>
      </c>
      <c r="K617" s="4" t="s">
        <v>1480</v>
      </c>
      <c r="L617" s="4" t="s">
        <v>1561</v>
      </c>
      <c r="M617" s="4" t="s">
        <v>1482</v>
      </c>
      <c r="N617" s="4" t="s">
        <v>588</v>
      </c>
      <c r="O617" s="4" t="s">
        <v>2507</v>
      </c>
      <c r="P617" s="4" t="s">
        <v>2003</v>
      </c>
      <c r="Q617" s="4" t="s">
        <v>2508</v>
      </c>
      <c r="R617" s="4" t="b">
        <v>0</v>
      </c>
      <c r="S617" s="4" t="s">
        <v>1486</v>
      </c>
      <c r="T617" s="2">
        <v>46010.6486111111</v>
      </c>
      <c r="U617" s="2">
        <v>46010.0</v>
      </c>
      <c r="V617" s="4">
        <v>50.0</v>
      </c>
      <c r="W617" s="4" t="s">
        <v>550</v>
      </c>
      <c r="X617" s="4">
        <v>2025.0</v>
      </c>
      <c r="Y617" s="4" t="s">
        <v>1564</v>
      </c>
      <c r="Z617" s="4"/>
      <c r="AA617" s="4" t="s">
        <v>558</v>
      </c>
      <c r="AB617" s="4" t="b">
        <v>1</v>
      </c>
      <c r="AC617" s="4" t="s">
        <v>536</v>
      </c>
      <c r="AD617" s="4" t="s">
        <v>537</v>
      </c>
    </row>
    <row r="618" ht="14.25" customHeight="1">
      <c r="A618" s="4">
        <v>8177826.0</v>
      </c>
      <c r="B618" s="2">
        <v>46010.6452314815</v>
      </c>
      <c r="C618" s="4">
        <v>7404067.0</v>
      </c>
      <c r="D618" s="4" t="s">
        <v>1262</v>
      </c>
      <c r="E618" s="2">
        <v>46010.65</v>
      </c>
      <c r="F618" s="4">
        <v>1.0</v>
      </c>
      <c r="G618" s="4">
        <v>0.0</v>
      </c>
      <c r="H618" s="4"/>
      <c r="I618" s="4"/>
      <c r="J618" s="4" t="s">
        <v>1480</v>
      </c>
      <c r="K618" s="4" t="s">
        <v>1480</v>
      </c>
      <c r="L618" s="4" t="s">
        <v>1481</v>
      </c>
      <c r="M618" s="4" t="s">
        <v>1482</v>
      </c>
      <c r="N618" s="4" t="s">
        <v>540</v>
      </c>
      <c r="O618" s="4" t="s">
        <v>1500</v>
      </c>
      <c r="P618" s="4" t="s">
        <v>1845</v>
      </c>
      <c r="Q618" s="4" t="s">
        <v>2509</v>
      </c>
      <c r="R618" s="4" t="b">
        <v>0</v>
      </c>
      <c r="S618" s="4" t="s">
        <v>1486</v>
      </c>
      <c r="T618" s="2">
        <v>46010.6513888889</v>
      </c>
      <c r="U618" s="2">
        <v>46010.0</v>
      </c>
      <c r="V618" s="4">
        <v>50.0</v>
      </c>
      <c r="W618" s="4" t="s">
        <v>550</v>
      </c>
      <c r="X618" s="4">
        <v>2025.0</v>
      </c>
      <c r="Y618" s="4" t="s">
        <v>1487</v>
      </c>
      <c r="Z618" s="4"/>
      <c r="AA618" s="4" t="s">
        <v>558</v>
      </c>
      <c r="AB618" s="4" t="b">
        <v>0</v>
      </c>
      <c r="AC618" s="4" t="s">
        <v>599</v>
      </c>
      <c r="AD618" s="4" t="s">
        <v>537</v>
      </c>
    </row>
    <row r="619" ht="14.25" customHeight="1">
      <c r="A619" s="4">
        <v>8177977.0</v>
      </c>
      <c r="B619" s="2">
        <v>46010.654837963</v>
      </c>
      <c r="C619" s="4">
        <v>7404218.0</v>
      </c>
      <c r="D619" s="4" t="s">
        <v>1263</v>
      </c>
      <c r="E619" s="2">
        <v>46010.6590277778</v>
      </c>
      <c r="F619" s="4">
        <v>1.0</v>
      </c>
      <c r="G619" s="4">
        <v>0.0</v>
      </c>
      <c r="H619" s="4" t="s">
        <v>1519</v>
      </c>
      <c r="I619" s="4" t="s">
        <v>1691</v>
      </c>
      <c r="J619" s="4" t="s">
        <v>1519</v>
      </c>
      <c r="K619" s="4" t="s">
        <v>1513</v>
      </c>
      <c r="L619" s="4" t="s">
        <v>1691</v>
      </c>
      <c r="M619" s="4" t="s">
        <v>1692</v>
      </c>
      <c r="N619" s="4" t="s">
        <v>540</v>
      </c>
      <c r="O619" s="4" t="s">
        <v>2510</v>
      </c>
      <c r="P619" s="4" t="s">
        <v>1923</v>
      </c>
      <c r="Q619" s="4" t="s">
        <v>2511</v>
      </c>
      <c r="R619" s="4" t="b">
        <v>0</v>
      </c>
      <c r="S619" s="4" t="s">
        <v>1486</v>
      </c>
      <c r="T619" s="2">
        <v>46010.6604166667</v>
      </c>
      <c r="U619" s="2">
        <v>46010.0</v>
      </c>
      <c r="V619" s="4">
        <v>50.0</v>
      </c>
      <c r="W619" s="4" t="s">
        <v>550</v>
      </c>
      <c r="X619" s="4">
        <v>2025.0</v>
      </c>
      <c r="Y619" s="4" t="s">
        <v>1518</v>
      </c>
      <c r="Z619" s="4" t="s">
        <v>541</v>
      </c>
      <c r="AA619" s="4" t="s">
        <v>546</v>
      </c>
      <c r="AB619" s="4" t="b">
        <v>0</v>
      </c>
      <c r="AC619" s="4" t="s">
        <v>536</v>
      </c>
      <c r="AD619" s="4" t="s">
        <v>537</v>
      </c>
    </row>
    <row r="620" ht="14.25" customHeight="1">
      <c r="A620" s="4">
        <v>8179507.0</v>
      </c>
      <c r="B620" s="2">
        <v>46010.7547106482</v>
      </c>
      <c r="C620" s="4">
        <v>7405733.0</v>
      </c>
      <c r="D620" s="4" t="s">
        <v>1264</v>
      </c>
      <c r="E620" s="2">
        <v>46010.7555555556</v>
      </c>
      <c r="F620" s="4">
        <v>1.0</v>
      </c>
      <c r="G620" s="4">
        <v>0.0</v>
      </c>
      <c r="H620" s="4"/>
      <c r="I620" s="4"/>
      <c r="J620" s="4" t="s">
        <v>1526</v>
      </c>
      <c r="K620" s="4" t="s">
        <v>1527</v>
      </c>
      <c r="L620" s="4" t="s">
        <v>1528</v>
      </c>
      <c r="M620" s="4" t="s">
        <v>1482</v>
      </c>
      <c r="N620" s="4" t="s">
        <v>1529</v>
      </c>
      <c r="O620" s="4" t="s">
        <v>1530</v>
      </c>
      <c r="P620" s="4" t="s">
        <v>1635</v>
      </c>
      <c r="Q620" s="4" t="s">
        <v>2512</v>
      </c>
      <c r="R620" s="4" t="b">
        <v>0</v>
      </c>
      <c r="S620" s="4" t="s">
        <v>1486</v>
      </c>
      <c r="T620" s="2">
        <v>46010.7569444444</v>
      </c>
      <c r="U620" s="2">
        <v>46010.0</v>
      </c>
      <c r="V620" s="4">
        <v>50.0</v>
      </c>
      <c r="W620" s="4" t="s">
        <v>550</v>
      </c>
      <c r="X620" s="4">
        <v>2025.0</v>
      </c>
      <c r="Y620" s="4" t="s">
        <v>1532</v>
      </c>
      <c r="Z620" s="4" t="s">
        <v>541</v>
      </c>
      <c r="AA620" s="4" t="s">
        <v>546</v>
      </c>
      <c r="AB620" s="4" t="b">
        <v>0</v>
      </c>
      <c r="AC620" s="4" t="s">
        <v>536</v>
      </c>
      <c r="AD620" s="4" t="s">
        <v>537</v>
      </c>
    </row>
    <row r="621" ht="14.25" customHeight="1">
      <c r="A621" s="4">
        <v>8180503.0</v>
      </c>
      <c r="B621" s="2">
        <v>46010.8498611111</v>
      </c>
      <c r="C621" s="4">
        <v>7406728.0</v>
      </c>
      <c r="D621" s="4" t="s">
        <v>1265</v>
      </c>
      <c r="E621" s="2">
        <v>46010.8527777778</v>
      </c>
      <c r="F621" s="4">
        <v>0.4</v>
      </c>
      <c r="G621" s="4">
        <v>0.0</v>
      </c>
      <c r="H621" s="4" t="s">
        <v>1519</v>
      </c>
      <c r="I621" s="4" t="s">
        <v>1781</v>
      </c>
      <c r="J621" s="4" t="s">
        <v>1519</v>
      </c>
      <c r="K621" s="4" t="s">
        <v>1513</v>
      </c>
      <c r="L621" s="4" t="s">
        <v>1781</v>
      </c>
      <c r="M621" s="4" t="s">
        <v>1692</v>
      </c>
      <c r="N621" s="4" t="s">
        <v>540</v>
      </c>
      <c r="O621" s="4" t="s">
        <v>2513</v>
      </c>
      <c r="P621" s="4" t="s">
        <v>2514</v>
      </c>
      <c r="Q621" s="4" t="s">
        <v>2515</v>
      </c>
      <c r="R621" s="4" t="b">
        <v>0</v>
      </c>
      <c r="S621" s="4" t="s">
        <v>1486</v>
      </c>
      <c r="T621" s="2">
        <v>46010.8541666667</v>
      </c>
      <c r="U621" s="2">
        <v>46010.0</v>
      </c>
      <c r="V621" s="4">
        <v>50.0</v>
      </c>
      <c r="W621" s="4" t="s">
        <v>550</v>
      </c>
      <c r="X621" s="4">
        <v>2025.0</v>
      </c>
      <c r="Y621" s="4" t="s">
        <v>1518</v>
      </c>
      <c r="Z621" s="4"/>
      <c r="AA621" s="4" t="s">
        <v>558</v>
      </c>
      <c r="AB621" s="4" t="b">
        <v>0</v>
      </c>
      <c r="AC621" s="4" t="s">
        <v>536</v>
      </c>
      <c r="AD621" s="4" t="s">
        <v>537</v>
      </c>
    </row>
    <row r="622" ht="14.25" customHeight="1">
      <c r="A622" s="4">
        <v>8180518.0</v>
      </c>
      <c r="B622" s="2">
        <v>46010.8507291667</v>
      </c>
      <c r="C622" s="4">
        <v>7406728.0</v>
      </c>
      <c r="D622" s="4" t="s">
        <v>1265</v>
      </c>
      <c r="E622" s="2">
        <v>46010.8527777778</v>
      </c>
      <c r="F622" s="4">
        <v>0.2</v>
      </c>
      <c r="G622" s="4">
        <v>0.0</v>
      </c>
      <c r="H622" s="4" t="s">
        <v>1519</v>
      </c>
      <c r="I622" s="4" t="s">
        <v>1781</v>
      </c>
      <c r="J622" s="4" t="s">
        <v>1519</v>
      </c>
      <c r="K622" s="4" t="s">
        <v>1513</v>
      </c>
      <c r="L622" s="4" t="s">
        <v>1781</v>
      </c>
      <c r="M622" s="4" t="s">
        <v>1692</v>
      </c>
      <c r="N622" s="4" t="s">
        <v>540</v>
      </c>
      <c r="O622" s="4" t="s">
        <v>2513</v>
      </c>
      <c r="P622" s="4" t="s">
        <v>2514</v>
      </c>
      <c r="Q622" s="4" t="s">
        <v>2515</v>
      </c>
      <c r="R622" s="4" t="b">
        <v>0</v>
      </c>
      <c r="S622" s="4" t="s">
        <v>1486</v>
      </c>
      <c r="T622" s="2">
        <v>46010.8541666667</v>
      </c>
      <c r="U622" s="2">
        <v>46010.0</v>
      </c>
      <c r="V622" s="4">
        <v>50.0</v>
      </c>
      <c r="W622" s="4" t="s">
        <v>550</v>
      </c>
      <c r="X622" s="4">
        <v>2025.0</v>
      </c>
      <c r="Y622" s="4" t="s">
        <v>1518</v>
      </c>
      <c r="Z622" s="4"/>
      <c r="AA622" s="4" t="s">
        <v>558</v>
      </c>
      <c r="AB622" s="4" t="b">
        <v>0</v>
      </c>
      <c r="AC622" s="4" t="s">
        <v>536</v>
      </c>
      <c r="AD622" s="4" t="s">
        <v>537</v>
      </c>
    </row>
    <row r="623" ht="14.25" customHeight="1">
      <c r="A623" s="4">
        <v>8180545.0</v>
      </c>
      <c r="B623" s="2">
        <v>46010.8530555556</v>
      </c>
      <c r="C623" s="4">
        <v>7406728.0</v>
      </c>
      <c r="D623" s="4" t="s">
        <v>1265</v>
      </c>
      <c r="E623" s="2">
        <v>46010.8527777778</v>
      </c>
      <c r="F623" s="4">
        <v>0.4</v>
      </c>
      <c r="G623" s="4">
        <v>0.0</v>
      </c>
      <c r="H623" s="4" t="s">
        <v>1519</v>
      </c>
      <c r="I623" s="4" t="s">
        <v>1781</v>
      </c>
      <c r="J623" s="4" t="s">
        <v>1519</v>
      </c>
      <c r="K623" s="4" t="s">
        <v>1513</v>
      </c>
      <c r="L623" s="4" t="s">
        <v>1781</v>
      </c>
      <c r="M623" s="4" t="s">
        <v>1692</v>
      </c>
      <c r="N623" s="4" t="s">
        <v>540</v>
      </c>
      <c r="O623" s="4" t="s">
        <v>2516</v>
      </c>
      <c r="P623" s="4" t="s">
        <v>2514</v>
      </c>
      <c r="Q623" s="4" t="s">
        <v>2515</v>
      </c>
      <c r="R623" s="4" t="b">
        <v>0</v>
      </c>
      <c r="S623" s="4" t="s">
        <v>1486</v>
      </c>
      <c r="T623" s="2">
        <v>46010.8541666667</v>
      </c>
      <c r="U623" s="2">
        <v>46010.0</v>
      </c>
      <c r="V623" s="4">
        <v>50.0</v>
      </c>
      <c r="W623" s="4" t="s">
        <v>550</v>
      </c>
      <c r="X623" s="4">
        <v>2025.0</v>
      </c>
      <c r="Y623" s="4" t="s">
        <v>1518</v>
      </c>
      <c r="Z623" s="4"/>
      <c r="AA623" s="4" t="s">
        <v>558</v>
      </c>
      <c r="AB623" s="4" t="b">
        <v>0</v>
      </c>
      <c r="AC623" s="4" t="s">
        <v>536</v>
      </c>
      <c r="AD623" s="4" t="s">
        <v>537</v>
      </c>
    </row>
    <row r="624" ht="14.25" customHeight="1">
      <c r="A624" s="4">
        <v>8181456.0</v>
      </c>
      <c r="B624" s="2">
        <v>46010.9088657407</v>
      </c>
      <c r="C624" s="4">
        <v>7407677.0</v>
      </c>
      <c r="D624" s="4" t="s">
        <v>1266</v>
      </c>
      <c r="E624" s="2">
        <v>46010.9104166667</v>
      </c>
      <c r="F624" s="4">
        <v>1.0</v>
      </c>
      <c r="G624" s="4">
        <v>0.0</v>
      </c>
      <c r="H624" s="4" t="s">
        <v>1519</v>
      </c>
      <c r="I624" s="4" t="s">
        <v>1858</v>
      </c>
      <c r="J624" s="4" t="s">
        <v>1519</v>
      </c>
      <c r="K624" s="4" t="s">
        <v>1513</v>
      </c>
      <c r="L624" s="4" t="s">
        <v>1858</v>
      </c>
      <c r="M624" s="4" t="s">
        <v>1482</v>
      </c>
      <c r="N624" s="4" t="s">
        <v>540</v>
      </c>
      <c r="O624" s="4" t="s">
        <v>2517</v>
      </c>
      <c r="P624" s="4" t="s">
        <v>1923</v>
      </c>
      <c r="Q624" s="4" t="s">
        <v>2518</v>
      </c>
      <c r="R624" s="4" t="b">
        <v>0</v>
      </c>
      <c r="S624" s="4" t="s">
        <v>1486</v>
      </c>
      <c r="T624" s="2">
        <v>46012.6638888889</v>
      </c>
      <c r="U624" s="2">
        <v>46010.0</v>
      </c>
      <c r="V624" s="4">
        <v>50.0</v>
      </c>
      <c r="W624" s="4" t="s">
        <v>550</v>
      </c>
      <c r="X624" s="4">
        <v>2025.0</v>
      </c>
      <c r="Y624" s="4" t="s">
        <v>1518</v>
      </c>
      <c r="Z624" s="4"/>
      <c r="AA624" s="4" t="s">
        <v>558</v>
      </c>
      <c r="AB624" s="4" t="b">
        <v>1</v>
      </c>
      <c r="AC624" s="4" t="s">
        <v>554</v>
      </c>
      <c r="AD624" s="4" t="s">
        <v>537</v>
      </c>
    </row>
    <row r="625" ht="14.25" customHeight="1">
      <c r="A625" s="4">
        <v>8138710.0</v>
      </c>
      <c r="B625" s="2">
        <v>46007.9472800926</v>
      </c>
      <c r="C625" s="4">
        <v>7365397.0</v>
      </c>
      <c r="D625" s="4" t="s">
        <v>1267</v>
      </c>
      <c r="E625" s="2">
        <v>46010.9444444444</v>
      </c>
      <c r="F625" s="4">
        <v>0.0</v>
      </c>
      <c r="G625" s="4">
        <v>0.0</v>
      </c>
      <c r="H625" s="4"/>
      <c r="I625" s="4"/>
      <c r="J625" s="4" t="s">
        <v>539</v>
      </c>
      <c r="K625" s="4" t="s">
        <v>539</v>
      </c>
      <c r="L625" s="4" t="s">
        <v>1499</v>
      </c>
      <c r="M625" s="4" t="s">
        <v>1482</v>
      </c>
      <c r="N625" s="4"/>
      <c r="O625" s="4" t="s">
        <v>1483</v>
      </c>
      <c r="P625" s="4" t="s">
        <v>2435</v>
      </c>
      <c r="Q625" s="4" t="s">
        <v>2436</v>
      </c>
      <c r="R625" s="4" t="b">
        <v>0</v>
      </c>
      <c r="S625" s="4" t="s">
        <v>1486</v>
      </c>
      <c r="T625" s="2">
        <v>46010.9458333333</v>
      </c>
      <c r="U625" s="2">
        <v>46007.0</v>
      </c>
      <c r="V625" s="4">
        <v>50.0</v>
      </c>
      <c r="W625" s="4" t="s">
        <v>550</v>
      </c>
      <c r="X625" s="4">
        <v>2025.0</v>
      </c>
      <c r="Y625" s="4" t="s">
        <v>1502</v>
      </c>
      <c r="Z625" s="4"/>
      <c r="AA625" s="4" t="s">
        <v>558</v>
      </c>
      <c r="AB625" s="4" t="b">
        <v>0</v>
      </c>
      <c r="AC625" s="4" t="s">
        <v>536</v>
      </c>
      <c r="AD625" s="4" t="s">
        <v>537</v>
      </c>
    </row>
    <row r="626" ht="14.25" customHeight="1">
      <c r="A626" s="4">
        <v>8175347.0</v>
      </c>
      <c r="B626" s="2">
        <v>46010.4976273148</v>
      </c>
      <c r="C626" s="4">
        <v>7365397.0</v>
      </c>
      <c r="D626" s="4" t="s">
        <v>1267</v>
      </c>
      <c r="E626" s="2">
        <v>46010.9444444444</v>
      </c>
      <c r="F626" s="4">
        <v>0.5</v>
      </c>
      <c r="G626" s="4">
        <v>0.0</v>
      </c>
      <c r="H626" s="4" t="s">
        <v>1636</v>
      </c>
      <c r="I626" s="4" t="s">
        <v>1637</v>
      </c>
      <c r="J626" s="4" t="s">
        <v>1636</v>
      </c>
      <c r="K626" s="4" t="s">
        <v>1638</v>
      </c>
      <c r="L626" s="4" t="s">
        <v>1637</v>
      </c>
      <c r="M626" s="4" t="s">
        <v>1482</v>
      </c>
      <c r="N626" s="4"/>
      <c r="O626" s="4" t="s">
        <v>2434</v>
      </c>
      <c r="P626" s="4" t="s">
        <v>2435</v>
      </c>
      <c r="Q626" s="4" t="s">
        <v>2436</v>
      </c>
      <c r="R626" s="4" t="b">
        <v>0</v>
      </c>
      <c r="S626" s="4" t="s">
        <v>1486</v>
      </c>
      <c r="T626" s="2">
        <v>46010.9458333333</v>
      </c>
      <c r="U626" s="2">
        <v>46010.0</v>
      </c>
      <c r="V626" s="4">
        <v>50.0</v>
      </c>
      <c r="W626" s="4" t="s">
        <v>550</v>
      </c>
      <c r="X626" s="4">
        <v>2025.0</v>
      </c>
      <c r="Y626" s="4" t="s">
        <v>1518</v>
      </c>
      <c r="Z626" s="4"/>
      <c r="AA626" s="4" t="s">
        <v>558</v>
      </c>
      <c r="AB626" s="4" t="b">
        <v>0</v>
      </c>
      <c r="AC626" s="4" t="s">
        <v>536</v>
      </c>
      <c r="AD626" s="4" t="s">
        <v>537</v>
      </c>
    </row>
    <row r="627" ht="14.25" customHeight="1">
      <c r="A627" s="4">
        <v>8247571.0</v>
      </c>
      <c r="B627" s="2">
        <v>46014.8350347222</v>
      </c>
      <c r="C627" s="4">
        <v>7473585.0</v>
      </c>
      <c r="D627" s="4" t="s">
        <v>1338</v>
      </c>
      <c r="E627" s="2">
        <v>46014.8375</v>
      </c>
      <c r="F627" s="4">
        <v>1.0</v>
      </c>
      <c r="G627" s="4">
        <v>0.0</v>
      </c>
      <c r="H627" s="4" t="s">
        <v>1636</v>
      </c>
      <c r="I627" s="4" t="s">
        <v>1637</v>
      </c>
      <c r="J627" s="4" t="s">
        <v>1636</v>
      </c>
      <c r="K627" s="4" t="s">
        <v>1638</v>
      </c>
      <c r="L627" s="4" t="s">
        <v>1637</v>
      </c>
      <c r="M627" s="4" t="s">
        <v>1482</v>
      </c>
      <c r="N627" s="4"/>
      <c r="O627" s="4" t="s">
        <v>2519</v>
      </c>
      <c r="P627" s="4" t="s">
        <v>1488</v>
      </c>
      <c r="Q627" s="4" t="s">
        <v>2520</v>
      </c>
      <c r="R627" s="4" t="b">
        <v>0</v>
      </c>
      <c r="S627" s="4" t="s">
        <v>1486</v>
      </c>
      <c r="T627" s="2">
        <v>46014.8388888889</v>
      </c>
      <c r="U627" s="2">
        <v>46014.0</v>
      </c>
      <c r="V627" s="4">
        <v>51.0</v>
      </c>
      <c r="W627" s="4" t="s">
        <v>550</v>
      </c>
      <c r="X627" s="4">
        <v>2025.0</v>
      </c>
      <c r="Y627" s="4" t="s">
        <v>1518</v>
      </c>
      <c r="Z627" s="4" t="s">
        <v>557</v>
      </c>
      <c r="AA627" s="4" t="s">
        <v>558</v>
      </c>
      <c r="AB627" s="4" t="b">
        <v>0</v>
      </c>
      <c r="AC627" s="4" t="s">
        <v>536</v>
      </c>
      <c r="AD627" s="4" t="s">
        <v>537</v>
      </c>
    </row>
    <row r="628" ht="14.25" customHeight="1">
      <c r="A628" s="4">
        <v>8181964.0</v>
      </c>
      <c r="B628" s="2">
        <v>46010.9462962963</v>
      </c>
      <c r="C628" s="4">
        <v>7408184.0</v>
      </c>
      <c r="D628" s="4" t="s">
        <v>1268</v>
      </c>
      <c r="E628" s="2">
        <v>46010.9465277778</v>
      </c>
      <c r="F628" s="4">
        <v>1.0</v>
      </c>
      <c r="G628" s="4">
        <v>0.0</v>
      </c>
      <c r="H628" s="4" t="s">
        <v>1511</v>
      </c>
      <c r="I628" s="4" t="s">
        <v>1648</v>
      </c>
      <c r="J628" s="4" t="s">
        <v>1511</v>
      </c>
      <c r="K628" s="4" t="s">
        <v>1513</v>
      </c>
      <c r="L628" s="4" t="s">
        <v>1648</v>
      </c>
      <c r="M628" s="4" t="s">
        <v>1649</v>
      </c>
      <c r="N628" s="4" t="s">
        <v>2521</v>
      </c>
      <c r="O628" s="4" t="s">
        <v>2522</v>
      </c>
      <c r="P628" s="4" t="s">
        <v>2406</v>
      </c>
      <c r="Q628" s="4" t="s">
        <v>2523</v>
      </c>
      <c r="R628" s="4" t="b">
        <v>0</v>
      </c>
      <c r="S628" s="4" t="s">
        <v>1486</v>
      </c>
      <c r="T628" s="2">
        <v>46010.9479166667</v>
      </c>
      <c r="U628" s="2">
        <v>46010.0</v>
      </c>
      <c r="V628" s="4">
        <v>50.0</v>
      </c>
      <c r="W628" s="4" t="s">
        <v>550</v>
      </c>
      <c r="X628" s="4">
        <v>2025.0</v>
      </c>
      <c r="Y628" s="4" t="s">
        <v>1518</v>
      </c>
      <c r="Z628" s="4"/>
      <c r="AA628" s="4" t="s">
        <v>558</v>
      </c>
      <c r="AB628" s="4" t="b">
        <v>0</v>
      </c>
      <c r="AC628" s="4" t="s">
        <v>536</v>
      </c>
      <c r="AD628" s="4" t="s">
        <v>537</v>
      </c>
    </row>
    <row r="629" ht="14.25" customHeight="1">
      <c r="A629" s="4">
        <v>8183201.0</v>
      </c>
      <c r="B629" s="2">
        <v>46011.0311111111</v>
      </c>
      <c r="C629" s="4">
        <v>7409418.0</v>
      </c>
      <c r="D629" s="4" t="s">
        <v>1269</v>
      </c>
      <c r="E629" s="2">
        <v>46011.03125</v>
      </c>
      <c r="F629" s="4">
        <v>1.0</v>
      </c>
      <c r="G629" s="4">
        <v>0.0</v>
      </c>
      <c r="H629" s="4"/>
      <c r="I629" s="4"/>
      <c r="J629" s="4" t="s">
        <v>1480</v>
      </c>
      <c r="K629" s="4" t="s">
        <v>1480</v>
      </c>
      <c r="L629" s="4" t="s">
        <v>1481</v>
      </c>
      <c r="M629" s="4" t="s">
        <v>1482</v>
      </c>
      <c r="N629" s="4" t="s">
        <v>540</v>
      </c>
      <c r="O629" s="4" t="s">
        <v>1842</v>
      </c>
      <c r="P629" s="4" t="s">
        <v>1923</v>
      </c>
      <c r="Q629" s="4" t="s">
        <v>2524</v>
      </c>
      <c r="R629" s="4" t="b">
        <v>0</v>
      </c>
      <c r="S629" s="4" t="s">
        <v>1486</v>
      </c>
      <c r="T629" s="2">
        <v>46011.0326388889</v>
      </c>
      <c r="U629" s="2">
        <v>46011.0</v>
      </c>
      <c r="V629" s="4">
        <v>50.0</v>
      </c>
      <c r="W629" s="4" t="s">
        <v>550</v>
      </c>
      <c r="X629" s="4">
        <v>2025.0</v>
      </c>
      <c r="Y629" s="4" t="s">
        <v>1487</v>
      </c>
      <c r="Z629" s="4"/>
      <c r="AA629" s="4" t="s">
        <v>786</v>
      </c>
      <c r="AB629" s="4" t="b">
        <v>0</v>
      </c>
      <c r="AC629" s="4" t="s">
        <v>599</v>
      </c>
      <c r="AD629" s="4" t="s">
        <v>537</v>
      </c>
    </row>
    <row r="630" ht="14.25" customHeight="1">
      <c r="A630" s="4">
        <v>8184665.0</v>
      </c>
      <c r="B630" s="2">
        <v>46011.1032291667</v>
      </c>
      <c r="C630" s="4">
        <v>7410879.0</v>
      </c>
      <c r="D630" s="4" t="s">
        <v>1270</v>
      </c>
      <c r="E630" s="2">
        <v>46011.1069444444</v>
      </c>
      <c r="F630" s="4">
        <v>0.0</v>
      </c>
      <c r="G630" s="4">
        <v>0.0</v>
      </c>
      <c r="H630" s="4"/>
      <c r="I630" s="4"/>
      <c r="J630" s="4"/>
      <c r="K630" s="4"/>
      <c r="L630" s="4"/>
      <c r="M630" s="4" t="s">
        <v>1482</v>
      </c>
      <c r="N630" s="4" t="s">
        <v>2257</v>
      </c>
      <c r="O630" s="4" t="s">
        <v>2525</v>
      </c>
      <c r="P630" s="4" t="s">
        <v>1635</v>
      </c>
      <c r="Q630" s="4" t="s">
        <v>2526</v>
      </c>
      <c r="R630" s="4" t="b">
        <v>1</v>
      </c>
      <c r="S630" s="4" t="s">
        <v>1486</v>
      </c>
      <c r="T630" s="2">
        <v>46011.1097222222</v>
      </c>
      <c r="U630" s="2">
        <v>46011.0</v>
      </c>
      <c r="V630" s="4">
        <v>50.0</v>
      </c>
      <c r="W630" s="4" t="s">
        <v>550</v>
      </c>
      <c r="X630" s="4">
        <v>2025.0</v>
      </c>
      <c r="Y630" s="4" t="s">
        <v>1540</v>
      </c>
      <c r="Z630" s="4"/>
      <c r="AA630" s="4" t="s">
        <v>624</v>
      </c>
      <c r="AB630" s="4" t="b">
        <v>1</v>
      </c>
      <c r="AC630" s="4" t="s">
        <v>599</v>
      </c>
      <c r="AD630" s="4" t="s">
        <v>537</v>
      </c>
    </row>
    <row r="631" ht="14.25" customHeight="1">
      <c r="A631" s="4">
        <v>8184665.0</v>
      </c>
      <c r="B631" s="2">
        <v>46011.1032291667</v>
      </c>
      <c r="C631" s="4">
        <v>7410879.0</v>
      </c>
      <c r="D631" s="4" t="s">
        <v>1271</v>
      </c>
      <c r="E631" s="2">
        <v>46011.1083333333</v>
      </c>
      <c r="F631" s="4">
        <v>0.0</v>
      </c>
      <c r="G631" s="4">
        <v>0.0</v>
      </c>
      <c r="H631" s="4"/>
      <c r="I631" s="4"/>
      <c r="J631" s="4"/>
      <c r="K631" s="4"/>
      <c r="L631" s="4"/>
      <c r="M631" s="4" t="s">
        <v>1482</v>
      </c>
      <c r="N631" s="4" t="s">
        <v>2257</v>
      </c>
      <c r="O631" s="4" t="s">
        <v>2525</v>
      </c>
      <c r="P631" s="4" t="s">
        <v>1635</v>
      </c>
      <c r="Q631" s="4" t="s">
        <v>2526</v>
      </c>
      <c r="R631" s="4" t="b">
        <v>1</v>
      </c>
      <c r="S631" s="4" t="s">
        <v>1486</v>
      </c>
      <c r="T631" s="2">
        <v>46011.1097222222</v>
      </c>
      <c r="U631" s="2">
        <v>46011.0</v>
      </c>
      <c r="V631" s="4">
        <v>50.0</v>
      </c>
      <c r="W631" s="4" t="s">
        <v>550</v>
      </c>
      <c r="X631" s="4">
        <v>2025.0</v>
      </c>
      <c r="Y631" s="4" t="s">
        <v>1540</v>
      </c>
      <c r="Z631" s="4"/>
      <c r="AA631" s="4" t="s">
        <v>624</v>
      </c>
      <c r="AB631" s="4" t="b">
        <v>0</v>
      </c>
      <c r="AC631" s="4" t="s">
        <v>599</v>
      </c>
      <c r="AD631" s="4" t="s">
        <v>537</v>
      </c>
    </row>
    <row r="632" ht="14.25" customHeight="1">
      <c r="A632" s="4">
        <v>8187994.0</v>
      </c>
      <c r="B632" s="2">
        <v>46011.2954398148</v>
      </c>
      <c r="C632" s="4">
        <v>7414207.0</v>
      </c>
      <c r="D632" s="4" t="s">
        <v>1272</v>
      </c>
      <c r="E632" s="2">
        <v>46011.2986111111</v>
      </c>
      <c r="F632" s="4">
        <v>0.5</v>
      </c>
      <c r="G632" s="4">
        <v>0.0</v>
      </c>
      <c r="H632" s="4" t="s">
        <v>1519</v>
      </c>
      <c r="I632" s="4" t="s">
        <v>1553</v>
      </c>
      <c r="J632" s="4" t="s">
        <v>1519</v>
      </c>
      <c r="K632" s="4" t="s">
        <v>1513</v>
      </c>
      <c r="L632" s="4" t="s">
        <v>1553</v>
      </c>
      <c r="M632" s="4" t="s">
        <v>1862</v>
      </c>
      <c r="N632" s="4" t="s">
        <v>540</v>
      </c>
      <c r="O632" s="4" t="s">
        <v>2527</v>
      </c>
      <c r="P632" s="4" t="s">
        <v>2528</v>
      </c>
      <c r="Q632" s="4" t="s">
        <v>2529</v>
      </c>
      <c r="R632" s="4" t="b">
        <v>0</v>
      </c>
      <c r="S632" s="4" t="s">
        <v>1486</v>
      </c>
      <c r="T632" s="2">
        <v>46011.3</v>
      </c>
      <c r="U632" s="2">
        <v>46011.0</v>
      </c>
      <c r="V632" s="4">
        <v>50.0</v>
      </c>
      <c r="W632" s="4" t="s">
        <v>550</v>
      </c>
      <c r="X632" s="4">
        <v>2025.0</v>
      </c>
      <c r="Y632" s="4" t="s">
        <v>1518</v>
      </c>
      <c r="Z632" s="4" t="s">
        <v>557</v>
      </c>
      <c r="AA632" s="4" t="s">
        <v>558</v>
      </c>
      <c r="AB632" s="4" t="b">
        <v>0</v>
      </c>
      <c r="AC632" s="4" t="s">
        <v>536</v>
      </c>
      <c r="AD632" s="4" t="s">
        <v>537</v>
      </c>
    </row>
    <row r="633" ht="14.25" customHeight="1">
      <c r="A633" s="4">
        <v>8187997.0</v>
      </c>
      <c r="B633" s="2">
        <v>46011.2955092593</v>
      </c>
      <c r="C633" s="4">
        <v>7414207.0</v>
      </c>
      <c r="D633" s="4" t="s">
        <v>1272</v>
      </c>
      <c r="E633" s="2">
        <v>46011.2986111111</v>
      </c>
      <c r="F633" s="4">
        <v>0.5</v>
      </c>
      <c r="G633" s="4">
        <v>0.0</v>
      </c>
      <c r="H633" s="4" t="s">
        <v>1519</v>
      </c>
      <c r="I633" s="4" t="s">
        <v>2530</v>
      </c>
      <c r="J633" s="4" t="s">
        <v>1519</v>
      </c>
      <c r="K633" s="4" t="s">
        <v>1513</v>
      </c>
      <c r="L633" s="4" t="s">
        <v>2530</v>
      </c>
      <c r="M633" s="4" t="s">
        <v>1862</v>
      </c>
      <c r="N633" s="4" t="s">
        <v>540</v>
      </c>
      <c r="O633" s="4" t="s">
        <v>2531</v>
      </c>
      <c r="P633" s="4" t="s">
        <v>2528</v>
      </c>
      <c r="Q633" s="4" t="s">
        <v>2529</v>
      </c>
      <c r="R633" s="4" t="b">
        <v>0</v>
      </c>
      <c r="S633" s="4" t="s">
        <v>1486</v>
      </c>
      <c r="T633" s="2">
        <v>46011.3</v>
      </c>
      <c r="U633" s="2">
        <v>46011.0</v>
      </c>
      <c r="V633" s="4">
        <v>50.0</v>
      </c>
      <c r="W633" s="4" t="s">
        <v>550</v>
      </c>
      <c r="X633" s="4">
        <v>2025.0</v>
      </c>
      <c r="Y633" s="4" t="s">
        <v>1518</v>
      </c>
      <c r="Z633" s="4" t="s">
        <v>557</v>
      </c>
      <c r="AA633" s="4" t="s">
        <v>558</v>
      </c>
      <c r="AB633" s="4" t="b">
        <v>0</v>
      </c>
      <c r="AC633" s="4" t="s">
        <v>536</v>
      </c>
      <c r="AD633" s="4" t="s">
        <v>537</v>
      </c>
    </row>
    <row r="634" ht="14.25" customHeight="1">
      <c r="A634" s="4">
        <v>8188552.0</v>
      </c>
      <c r="B634" s="2">
        <v>46011.3339236111</v>
      </c>
      <c r="C634" s="4">
        <v>7414762.0</v>
      </c>
      <c r="D634" s="4" t="s">
        <v>1273</v>
      </c>
      <c r="E634" s="2">
        <v>46011.3472222222</v>
      </c>
      <c r="F634" s="4">
        <v>1.0</v>
      </c>
      <c r="G634" s="4">
        <v>0.0</v>
      </c>
      <c r="H634" s="4"/>
      <c r="I634" s="4"/>
      <c r="J634" s="4" t="s">
        <v>1480</v>
      </c>
      <c r="K634" s="4" t="s">
        <v>1480</v>
      </c>
      <c r="L634" s="4" t="s">
        <v>1481</v>
      </c>
      <c r="M634" s="4" t="s">
        <v>1482</v>
      </c>
      <c r="N634" s="4" t="s">
        <v>540</v>
      </c>
      <c r="O634" s="4" t="s">
        <v>2390</v>
      </c>
      <c r="P634" s="4" t="s">
        <v>1635</v>
      </c>
      <c r="Q634" s="4" t="s">
        <v>2532</v>
      </c>
      <c r="R634" s="4" t="b">
        <v>0</v>
      </c>
      <c r="S634" s="4" t="s">
        <v>1486</v>
      </c>
      <c r="T634" s="2">
        <v>46011.3486111111</v>
      </c>
      <c r="U634" s="2">
        <v>46011.0</v>
      </c>
      <c r="V634" s="4">
        <v>50.0</v>
      </c>
      <c r="W634" s="4" t="s">
        <v>550</v>
      </c>
      <c r="X634" s="4">
        <v>2025.0</v>
      </c>
      <c r="Y634" s="4" t="s">
        <v>1487</v>
      </c>
      <c r="Z634" s="4" t="s">
        <v>557</v>
      </c>
      <c r="AA634" s="4" t="s">
        <v>558</v>
      </c>
      <c r="AB634" s="4" t="b">
        <v>0</v>
      </c>
      <c r="AC634" s="4" t="s">
        <v>536</v>
      </c>
      <c r="AD634" s="4" t="s">
        <v>537</v>
      </c>
    </row>
    <row r="635" ht="14.25" customHeight="1">
      <c r="A635" s="4">
        <v>8188912.0</v>
      </c>
      <c r="B635" s="2">
        <v>46011.3528935185</v>
      </c>
      <c r="C635" s="4">
        <v>7415120.0</v>
      </c>
      <c r="D635" s="4" t="s">
        <v>1274</v>
      </c>
      <c r="E635" s="2">
        <v>46011.3541666667</v>
      </c>
      <c r="F635" s="4">
        <v>1.0</v>
      </c>
      <c r="G635" s="4">
        <v>0.0</v>
      </c>
      <c r="H635" s="4"/>
      <c r="I635" s="4"/>
      <c r="J635" s="4" t="s">
        <v>539</v>
      </c>
      <c r="K635" s="4" t="s">
        <v>539</v>
      </c>
      <c r="L635" s="4" t="s">
        <v>1499</v>
      </c>
      <c r="M635" s="4" t="s">
        <v>1482</v>
      </c>
      <c r="N635" s="4"/>
      <c r="O635" s="4" t="s">
        <v>1483</v>
      </c>
      <c r="P635" s="4" t="s">
        <v>1794</v>
      </c>
      <c r="Q635" s="4" t="s">
        <v>2533</v>
      </c>
      <c r="R635" s="4" t="b">
        <v>0</v>
      </c>
      <c r="S635" s="4" t="s">
        <v>1486</v>
      </c>
      <c r="T635" s="2">
        <v>46011.3555555556</v>
      </c>
      <c r="U635" s="2">
        <v>46011.0</v>
      </c>
      <c r="V635" s="4">
        <v>50.0</v>
      </c>
      <c r="W635" s="4" t="s">
        <v>550</v>
      </c>
      <c r="X635" s="4">
        <v>2025.0</v>
      </c>
      <c r="Y635" s="4" t="s">
        <v>1502</v>
      </c>
      <c r="Z635" s="4"/>
      <c r="AA635" s="4" t="s">
        <v>558</v>
      </c>
      <c r="AB635" s="4" t="b">
        <v>0</v>
      </c>
      <c r="AC635" s="4" t="s">
        <v>536</v>
      </c>
      <c r="AD635" s="4" t="s">
        <v>537</v>
      </c>
    </row>
    <row r="636" ht="14.25" customHeight="1">
      <c r="A636" s="4">
        <v>8190394.0</v>
      </c>
      <c r="B636" s="2">
        <v>46011.4527199074</v>
      </c>
      <c r="C636" s="4">
        <v>7416598.0</v>
      </c>
      <c r="D636" s="4" t="s">
        <v>1275</v>
      </c>
      <c r="E636" s="2">
        <v>46011.4555555556</v>
      </c>
      <c r="F636" s="4">
        <v>1.0</v>
      </c>
      <c r="G636" s="4">
        <v>0.0</v>
      </c>
      <c r="H636" s="4"/>
      <c r="I636" s="4"/>
      <c r="J636" s="4" t="s">
        <v>1480</v>
      </c>
      <c r="K636" s="4" t="s">
        <v>1480</v>
      </c>
      <c r="L636" s="4" t="s">
        <v>1481</v>
      </c>
      <c r="M636" s="4" t="s">
        <v>1482</v>
      </c>
      <c r="N636" s="4" t="s">
        <v>540</v>
      </c>
      <c r="O636" s="4" t="s">
        <v>1483</v>
      </c>
      <c r="P636" s="4" t="s">
        <v>2534</v>
      </c>
      <c r="Q636" s="4" t="s">
        <v>2535</v>
      </c>
      <c r="R636" s="4" t="b">
        <v>0</v>
      </c>
      <c r="S636" s="4" t="s">
        <v>1486</v>
      </c>
      <c r="T636" s="2">
        <v>46011.4569444444</v>
      </c>
      <c r="U636" s="2">
        <v>46011.0</v>
      </c>
      <c r="V636" s="4">
        <v>50.0</v>
      </c>
      <c r="W636" s="4" t="s">
        <v>550</v>
      </c>
      <c r="X636" s="4">
        <v>2025.0</v>
      </c>
      <c r="Y636" s="4" t="s">
        <v>1487</v>
      </c>
      <c r="Z636" s="4" t="s">
        <v>557</v>
      </c>
      <c r="AA636" s="4" t="s">
        <v>558</v>
      </c>
      <c r="AB636" s="4" t="b">
        <v>0</v>
      </c>
      <c r="AC636" s="4" t="s">
        <v>536</v>
      </c>
      <c r="AD636" s="4" t="s">
        <v>537</v>
      </c>
    </row>
    <row r="637" ht="14.25" customHeight="1">
      <c r="A637" s="4">
        <v>8190615.0</v>
      </c>
      <c r="B637" s="2">
        <v>46011.4916898148</v>
      </c>
      <c r="C637" s="4">
        <v>7416818.0</v>
      </c>
      <c r="D637" s="4" t="s">
        <v>1276</v>
      </c>
      <c r="E637" s="2">
        <v>46011.5027777778</v>
      </c>
      <c r="F637" s="4">
        <v>1.0</v>
      </c>
      <c r="G637" s="4">
        <v>0.0</v>
      </c>
      <c r="H637" s="4" t="s">
        <v>1519</v>
      </c>
      <c r="I637" s="4" t="s">
        <v>1581</v>
      </c>
      <c r="J637" s="4" t="s">
        <v>1519</v>
      </c>
      <c r="K637" s="4" t="s">
        <v>1513</v>
      </c>
      <c r="L637" s="4" t="s">
        <v>1581</v>
      </c>
      <c r="M637" s="4" t="s">
        <v>2536</v>
      </c>
      <c r="N637" s="4" t="s">
        <v>540</v>
      </c>
      <c r="O637" s="4" t="s">
        <v>2537</v>
      </c>
      <c r="P637" s="4" t="s">
        <v>1635</v>
      </c>
      <c r="Q637" s="4" t="s">
        <v>2538</v>
      </c>
      <c r="R637" s="4" t="b">
        <v>0</v>
      </c>
      <c r="S637" s="4" t="s">
        <v>1486</v>
      </c>
      <c r="T637" s="2">
        <v>46011.5041666667</v>
      </c>
      <c r="U637" s="2">
        <v>46011.0</v>
      </c>
      <c r="V637" s="4">
        <v>50.0</v>
      </c>
      <c r="W637" s="4" t="s">
        <v>550</v>
      </c>
      <c r="X637" s="4">
        <v>2025.0</v>
      </c>
      <c r="Y637" s="4" t="s">
        <v>1518</v>
      </c>
      <c r="Z637" s="4"/>
      <c r="AA637" s="4" t="s">
        <v>558</v>
      </c>
      <c r="AB637" s="4" t="b">
        <v>0</v>
      </c>
      <c r="AC637" s="4" t="s">
        <v>536</v>
      </c>
      <c r="AD637" s="4" t="s">
        <v>537</v>
      </c>
    </row>
    <row r="638" ht="14.25" customHeight="1">
      <c r="A638" s="4">
        <v>8190711.0</v>
      </c>
      <c r="B638" s="2">
        <v>46011.5141898148</v>
      </c>
      <c r="C638" s="4">
        <v>7416913.0</v>
      </c>
      <c r="D638" s="4" t="s">
        <v>1277</v>
      </c>
      <c r="E638" s="2">
        <v>46011.5159722222</v>
      </c>
      <c r="F638" s="4">
        <v>0.0</v>
      </c>
      <c r="G638" s="4">
        <v>0.0</v>
      </c>
      <c r="H638" s="4"/>
      <c r="I638" s="4"/>
      <c r="J638" s="4"/>
      <c r="K638" s="4"/>
      <c r="L638" s="4"/>
      <c r="M638" s="4" t="s">
        <v>1482</v>
      </c>
      <c r="N638" s="4" t="s">
        <v>2539</v>
      </c>
      <c r="O638" s="4" t="s">
        <v>2540</v>
      </c>
      <c r="P638" s="4" t="s">
        <v>2541</v>
      </c>
      <c r="Q638" s="4" t="s">
        <v>2542</v>
      </c>
      <c r="R638" s="4" t="b">
        <v>1</v>
      </c>
      <c r="S638" s="4" t="s">
        <v>1486</v>
      </c>
      <c r="T638" s="2">
        <v>46011.5173611111</v>
      </c>
      <c r="U638" s="2">
        <v>46011.0</v>
      </c>
      <c r="V638" s="4">
        <v>50.0</v>
      </c>
      <c r="W638" s="4" t="s">
        <v>550</v>
      </c>
      <c r="X638" s="4">
        <v>2025.0</v>
      </c>
      <c r="Y638" s="4" t="s">
        <v>1540</v>
      </c>
      <c r="Z638" s="4"/>
      <c r="AA638" s="4" t="s">
        <v>835</v>
      </c>
      <c r="AB638" s="4" t="b">
        <v>0</v>
      </c>
      <c r="AC638" s="4" t="s">
        <v>599</v>
      </c>
      <c r="AD638" s="4" t="s">
        <v>537</v>
      </c>
    </row>
    <row r="639" ht="14.25" customHeight="1">
      <c r="A639" s="4">
        <v>8192450.0</v>
      </c>
      <c r="B639" s="2">
        <v>46011.6690046296</v>
      </c>
      <c r="C639" s="4">
        <v>7418642.0</v>
      </c>
      <c r="D639" s="4" t="s">
        <v>1278</v>
      </c>
      <c r="E639" s="2">
        <v>46011.6694444444</v>
      </c>
      <c r="F639" s="4">
        <v>1.0</v>
      </c>
      <c r="G639" s="4">
        <v>0.0</v>
      </c>
      <c r="H639" s="4"/>
      <c r="I639" s="4"/>
      <c r="J639" s="4" t="s">
        <v>539</v>
      </c>
      <c r="K639" s="4" t="s">
        <v>539</v>
      </c>
      <c r="L639" s="4" t="s">
        <v>1499</v>
      </c>
      <c r="M639" s="4" t="s">
        <v>1482</v>
      </c>
      <c r="N639" s="4"/>
      <c r="O639" s="4" t="s">
        <v>1598</v>
      </c>
      <c r="P639" s="4" t="s">
        <v>1635</v>
      </c>
      <c r="Q639" s="4" t="s">
        <v>2543</v>
      </c>
      <c r="R639" s="4" t="b">
        <v>0</v>
      </c>
      <c r="S639" s="4" t="s">
        <v>1486</v>
      </c>
      <c r="T639" s="2">
        <v>46011.6708333333</v>
      </c>
      <c r="U639" s="2">
        <v>46011.0</v>
      </c>
      <c r="V639" s="4">
        <v>50.0</v>
      </c>
      <c r="W639" s="4" t="s">
        <v>550</v>
      </c>
      <c r="X639" s="4">
        <v>2025.0</v>
      </c>
      <c r="Y639" s="4" t="s">
        <v>1502</v>
      </c>
      <c r="Z639" s="4"/>
      <c r="AA639" s="4" t="s">
        <v>1279</v>
      </c>
      <c r="AB639" s="4" t="b">
        <v>0</v>
      </c>
      <c r="AC639" s="4" t="s">
        <v>567</v>
      </c>
      <c r="AD639" s="4" t="s">
        <v>537</v>
      </c>
    </row>
    <row r="640" ht="14.25" customHeight="1">
      <c r="A640" s="4">
        <v>8192459.0</v>
      </c>
      <c r="B640" s="2">
        <v>46011.6696875</v>
      </c>
      <c r="C640" s="4">
        <v>7418651.0</v>
      </c>
      <c r="D640" s="4" t="s">
        <v>1280</v>
      </c>
      <c r="E640" s="2">
        <v>46011.6701388889</v>
      </c>
      <c r="F640" s="4">
        <v>1.0</v>
      </c>
      <c r="G640" s="4">
        <v>0.0</v>
      </c>
      <c r="H640" s="4" t="s">
        <v>1519</v>
      </c>
      <c r="I640" s="4" t="s">
        <v>1781</v>
      </c>
      <c r="J640" s="4" t="s">
        <v>1519</v>
      </c>
      <c r="K640" s="4" t="s">
        <v>1513</v>
      </c>
      <c r="L640" s="4" t="s">
        <v>1781</v>
      </c>
      <c r="M640" s="4" t="s">
        <v>1692</v>
      </c>
      <c r="N640" s="4" t="s">
        <v>540</v>
      </c>
      <c r="O640" s="4" t="s">
        <v>2544</v>
      </c>
      <c r="P640" s="4" t="s">
        <v>1635</v>
      </c>
      <c r="Q640" s="4" t="s">
        <v>2545</v>
      </c>
      <c r="R640" s="4" t="b">
        <v>0</v>
      </c>
      <c r="S640" s="4" t="s">
        <v>1486</v>
      </c>
      <c r="T640" s="2">
        <v>46011.6715277778</v>
      </c>
      <c r="U640" s="2">
        <v>46011.0</v>
      </c>
      <c r="V640" s="4">
        <v>50.0</v>
      </c>
      <c r="W640" s="4" t="s">
        <v>550</v>
      </c>
      <c r="X640" s="4">
        <v>2025.0</v>
      </c>
      <c r="Y640" s="4" t="s">
        <v>1518</v>
      </c>
      <c r="Z640" s="4"/>
      <c r="AA640" s="4" t="s">
        <v>558</v>
      </c>
      <c r="AB640" s="4" t="b">
        <v>0</v>
      </c>
      <c r="AC640" s="4" t="s">
        <v>567</v>
      </c>
      <c r="AD640" s="4" t="s">
        <v>537</v>
      </c>
    </row>
    <row r="641" ht="14.25" customHeight="1">
      <c r="A641" s="4">
        <v>8192553.0</v>
      </c>
      <c r="B641" s="2">
        <v>46011.6734722222</v>
      </c>
      <c r="C641" s="4">
        <v>7418745.0</v>
      </c>
      <c r="D641" s="4" t="s">
        <v>1281</v>
      </c>
      <c r="E641" s="2">
        <v>46011.6743055556</v>
      </c>
      <c r="F641" s="4">
        <v>1.0</v>
      </c>
      <c r="G641" s="4">
        <v>0.0</v>
      </c>
      <c r="H641" s="4" t="s">
        <v>1519</v>
      </c>
      <c r="I641" s="4" t="s">
        <v>1781</v>
      </c>
      <c r="J641" s="4" t="s">
        <v>1519</v>
      </c>
      <c r="K641" s="4" t="s">
        <v>1513</v>
      </c>
      <c r="L641" s="4" t="s">
        <v>1781</v>
      </c>
      <c r="M641" s="4" t="s">
        <v>1692</v>
      </c>
      <c r="N641" s="4" t="s">
        <v>540</v>
      </c>
      <c r="O641" s="4" t="s">
        <v>2546</v>
      </c>
      <c r="P641" s="4" t="s">
        <v>1645</v>
      </c>
      <c r="Q641" s="4" t="s">
        <v>2547</v>
      </c>
      <c r="R641" s="4" t="b">
        <v>0</v>
      </c>
      <c r="S641" s="4" t="s">
        <v>1486</v>
      </c>
      <c r="T641" s="2">
        <v>46011.6756944444</v>
      </c>
      <c r="U641" s="2">
        <v>46011.0</v>
      </c>
      <c r="V641" s="4">
        <v>50.0</v>
      </c>
      <c r="W641" s="4" t="s">
        <v>550</v>
      </c>
      <c r="X641" s="4">
        <v>2025.0</v>
      </c>
      <c r="Y641" s="4" t="s">
        <v>1518</v>
      </c>
      <c r="Z641" s="4" t="s">
        <v>557</v>
      </c>
      <c r="AA641" s="4" t="s">
        <v>558</v>
      </c>
      <c r="AB641" s="4" t="b">
        <v>0</v>
      </c>
      <c r="AC641" s="4" t="s">
        <v>536</v>
      </c>
      <c r="AD641" s="4" t="s">
        <v>537</v>
      </c>
    </row>
    <row r="642" ht="14.25" customHeight="1">
      <c r="A642" s="4">
        <v>8192765.0</v>
      </c>
      <c r="B642" s="2">
        <v>46011.6841319444</v>
      </c>
      <c r="C642" s="4">
        <v>7418956.0</v>
      </c>
      <c r="D642" s="4" t="s">
        <v>1282</v>
      </c>
      <c r="E642" s="2">
        <v>46011.6847222222</v>
      </c>
      <c r="F642" s="4">
        <v>1.0</v>
      </c>
      <c r="G642" s="4">
        <v>0.0</v>
      </c>
      <c r="H642" s="4" t="s">
        <v>1519</v>
      </c>
      <c r="I642" s="4" t="s">
        <v>1553</v>
      </c>
      <c r="J642" s="4" t="s">
        <v>1519</v>
      </c>
      <c r="K642" s="4" t="s">
        <v>1513</v>
      </c>
      <c r="L642" s="4" t="s">
        <v>1553</v>
      </c>
      <c r="M642" s="4" t="s">
        <v>2500</v>
      </c>
      <c r="N642" s="4" t="s">
        <v>540</v>
      </c>
      <c r="O642" s="4" t="s">
        <v>2548</v>
      </c>
      <c r="P642" s="4" t="s">
        <v>1635</v>
      </c>
      <c r="Q642" s="4" t="s">
        <v>2549</v>
      </c>
      <c r="R642" s="4" t="b">
        <v>0</v>
      </c>
      <c r="S642" s="4" t="s">
        <v>1486</v>
      </c>
      <c r="T642" s="2">
        <v>46011.6861111111</v>
      </c>
      <c r="U642" s="2">
        <v>46011.0</v>
      </c>
      <c r="V642" s="4">
        <v>50.0</v>
      </c>
      <c r="W642" s="4" t="s">
        <v>550</v>
      </c>
      <c r="X642" s="4">
        <v>2025.0</v>
      </c>
      <c r="Y642" s="4" t="s">
        <v>1518</v>
      </c>
      <c r="Z642" s="4"/>
      <c r="AA642" s="4" t="s">
        <v>558</v>
      </c>
      <c r="AB642" s="4" t="b">
        <v>0</v>
      </c>
      <c r="AC642" s="4" t="s">
        <v>567</v>
      </c>
      <c r="AD642" s="4" t="s">
        <v>537</v>
      </c>
    </row>
    <row r="643" ht="14.25" customHeight="1">
      <c r="A643" s="4">
        <v>8192848.0</v>
      </c>
      <c r="B643" s="2">
        <v>46011.6866435185</v>
      </c>
      <c r="C643" s="4">
        <v>7419039.0</v>
      </c>
      <c r="D643" s="4" t="s">
        <v>1283</v>
      </c>
      <c r="E643" s="2">
        <v>46011.6868055556</v>
      </c>
      <c r="F643" s="4">
        <v>1.0</v>
      </c>
      <c r="G643" s="4">
        <v>0.0</v>
      </c>
      <c r="H643" s="4" t="s">
        <v>1888</v>
      </c>
      <c r="I643" s="4" t="s">
        <v>1889</v>
      </c>
      <c r="J643" s="4" t="s">
        <v>1888</v>
      </c>
      <c r="K643" s="4" t="s">
        <v>1775</v>
      </c>
      <c r="L643" s="4" t="s">
        <v>1889</v>
      </c>
      <c r="M643" s="4" t="s">
        <v>1893</v>
      </c>
      <c r="N643" s="4"/>
      <c r="O643" s="4" t="s">
        <v>1483</v>
      </c>
      <c r="P643" s="4" t="s">
        <v>1635</v>
      </c>
      <c r="Q643" s="4" t="s">
        <v>1892</v>
      </c>
      <c r="R643" s="4" t="b">
        <v>0</v>
      </c>
      <c r="S643" s="4" t="s">
        <v>1486</v>
      </c>
      <c r="T643" s="2">
        <v>46011.6881944444</v>
      </c>
      <c r="U643" s="2">
        <v>46011.0</v>
      </c>
      <c r="V643" s="4">
        <v>50.0</v>
      </c>
      <c r="W643" s="4" t="s">
        <v>550</v>
      </c>
      <c r="X643" s="4">
        <v>2025.0</v>
      </c>
      <c r="Y643" s="4" t="s">
        <v>1518</v>
      </c>
      <c r="Z643" s="4" t="s">
        <v>557</v>
      </c>
      <c r="AA643" s="4" t="s">
        <v>558</v>
      </c>
      <c r="AB643" s="4" t="b">
        <v>0</v>
      </c>
      <c r="AC643" s="4" t="s">
        <v>567</v>
      </c>
      <c r="AD643" s="4" t="s">
        <v>537</v>
      </c>
    </row>
    <row r="644" ht="14.25" customHeight="1">
      <c r="A644" s="4">
        <v>8192194.0</v>
      </c>
      <c r="B644" s="2">
        <v>46011.6525694444</v>
      </c>
      <c r="C644" s="4">
        <v>7418388.0</v>
      </c>
      <c r="D644" s="4" t="s">
        <v>1284</v>
      </c>
      <c r="E644" s="2">
        <v>46011.70625</v>
      </c>
      <c r="F644" s="4">
        <v>0.0</v>
      </c>
      <c r="G644" s="4">
        <v>0.0</v>
      </c>
      <c r="H644" s="4"/>
      <c r="I644" s="4"/>
      <c r="J644" s="4"/>
      <c r="K644" s="4"/>
      <c r="L644" s="4"/>
      <c r="M644" s="4" t="s">
        <v>1482</v>
      </c>
      <c r="N644" s="4" t="s">
        <v>1483</v>
      </c>
      <c r="O644" s="4" t="s">
        <v>2550</v>
      </c>
      <c r="P644" s="4" t="s">
        <v>1506</v>
      </c>
      <c r="Q644" s="4" t="s">
        <v>2551</v>
      </c>
      <c r="R644" s="4" t="b">
        <v>1</v>
      </c>
      <c r="S644" s="4" t="s">
        <v>1486</v>
      </c>
      <c r="T644" s="2">
        <v>46011.7076388889</v>
      </c>
      <c r="U644" s="2">
        <v>46011.0</v>
      </c>
      <c r="V644" s="4">
        <v>50.0</v>
      </c>
      <c r="W644" s="4" t="s">
        <v>550</v>
      </c>
      <c r="X644" s="4">
        <v>2025.0</v>
      </c>
      <c r="Y644" s="4" t="s">
        <v>1540</v>
      </c>
      <c r="Z644" s="4" t="s">
        <v>557</v>
      </c>
      <c r="AA644" s="4" t="s">
        <v>558</v>
      </c>
      <c r="AB644" s="4" t="b">
        <v>0</v>
      </c>
      <c r="AC644" s="4" t="s">
        <v>536</v>
      </c>
      <c r="AD644" s="4" t="s">
        <v>537</v>
      </c>
    </row>
    <row r="645" ht="14.25" customHeight="1">
      <c r="A645" s="4">
        <v>8193392.0</v>
      </c>
      <c r="B645" s="2">
        <v>46011.7105208333</v>
      </c>
      <c r="C645" s="4">
        <v>7419583.0</v>
      </c>
      <c r="D645" s="4" t="s">
        <v>1286</v>
      </c>
      <c r="E645" s="2">
        <v>46011.7111111111</v>
      </c>
      <c r="F645" s="4">
        <v>1.0</v>
      </c>
      <c r="G645" s="4">
        <v>0.0</v>
      </c>
      <c r="H645" s="4"/>
      <c r="I645" s="4"/>
      <c r="J645" s="4" t="s">
        <v>1480</v>
      </c>
      <c r="K645" s="4" t="s">
        <v>1480</v>
      </c>
      <c r="L645" s="4" t="s">
        <v>1481</v>
      </c>
      <c r="M645" s="4" t="s">
        <v>1482</v>
      </c>
      <c r="N645" s="4" t="s">
        <v>540</v>
      </c>
      <c r="O645" s="4" t="s">
        <v>1483</v>
      </c>
      <c r="P645" s="4" t="s">
        <v>1635</v>
      </c>
      <c r="Q645" s="4" t="s">
        <v>2072</v>
      </c>
      <c r="R645" s="4" t="b">
        <v>0</v>
      </c>
      <c r="S645" s="4" t="s">
        <v>1486</v>
      </c>
      <c r="T645" s="2">
        <v>46011.7125</v>
      </c>
      <c r="U645" s="2">
        <v>46011.0</v>
      </c>
      <c r="V645" s="4">
        <v>50.0</v>
      </c>
      <c r="W645" s="4" t="s">
        <v>550</v>
      </c>
      <c r="X645" s="4">
        <v>2025.0</v>
      </c>
      <c r="Y645" s="4" t="s">
        <v>1487</v>
      </c>
      <c r="Z645" s="4" t="s">
        <v>557</v>
      </c>
      <c r="AA645" s="4" t="s">
        <v>558</v>
      </c>
      <c r="AB645" s="4" t="b">
        <v>0</v>
      </c>
      <c r="AC645" s="4" t="s">
        <v>567</v>
      </c>
      <c r="AD645" s="4" t="s">
        <v>537</v>
      </c>
    </row>
    <row r="646" ht="14.25" customHeight="1">
      <c r="A646" s="4">
        <v>8193565.0</v>
      </c>
      <c r="B646" s="2">
        <v>46011.7201967593</v>
      </c>
      <c r="C646" s="4">
        <v>7419756.0</v>
      </c>
      <c r="D646" s="4" t="s">
        <v>1287</v>
      </c>
      <c r="E646" s="2">
        <v>46011.7201388889</v>
      </c>
      <c r="F646" s="4">
        <v>1.0</v>
      </c>
      <c r="G646" s="4">
        <v>0.0</v>
      </c>
      <c r="H646" s="4" t="s">
        <v>1519</v>
      </c>
      <c r="I646" s="4" t="s">
        <v>2552</v>
      </c>
      <c r="J646" s="4" t="s">
        <v>1519</v>
      </c>
      <c r="K646" s="4" t="s">
        <v>1513</v>
      </c>
      <c r="L646" s="4" t="s">
        <v>2552</v>
      </c>
      <c r="M646" s="4" t="s">
        <v>2172</v>
      </c>
      <c r="N646" s="4" t="s">
        <v>540</v>
      </c>
      <c r="O646" s="4" t="s">
        <v>2553</v>
      </c>
      <c r="P646" s="4" t="s">
        <v>1645</v>
      </c>
      <c r="Q646" s="4" t="s">
        <v>2554</v>
      </c>
      <c r="R646" s="4" t="b">
        <v>0</v>
      </c>
      <c r="S646" s="4" t="s">
        <v>1486</v>
      </c>
      <c r="T646" s="2">
        <v>46011.7215277778</v>
      </c>
      <c r="U646" s="2">
        <v>46011.0</v>
      </c>
      <c r="V646" s="4">
        <v>50.0</v>
      </c>
      <c r="W646" s="4" t="s">
        <v>550</v>
      </c>
      <c r="X646" s="4">
        <v>2025.0</v>
      </c>
      <c r="Y646" s="4" t="s">
        <v>1518</v>
      </c>
      <c r="Z646" s="4" t="s">
        <v>557</v>
      </c>
      <c r="AA646" s="4" t="s">
        <v>558</v>
      </c>
      <c r="AB646" s="4" t="b">
        <v>0</v>
      </c>
      <c r="AC646" s="4" t="s">
        <v>536</v>
      </c>
      <c r="AD646" s="4" t="s">
        <v>537</v>
      </c>
    </row>
    <row r="647" ht="14.25" customHeight="1">
      <c r="A647" s="4">
        <v>8088901.0</v>
      </c>
      <c r="B647" s="2">
        <v>46001.8058101852</v>
      </c>
      <c r="C647" s="4">
        <v>7316090.0</v>
      </c>
      <c r="D647" s="4" t="s">
        <v>1288</v>
      </c>
      <c r="E647" s="2">
        <v>46011.78125</v>
      </c>
      <c r="F647" s="4">
        <v>1.0</v>
      </c>
      <c r="G647" s="4">
        <v>0.0</v>
      </c>
      <c r="H647" s="4"/>
      <c r="I647" s="4"/>
      <c r="J647" s="4" t="s">
        <v>1480</v>
      </c>
      <c r="K647" s="4" t="s">
        <v>1480</v>
      </c>
      <c r="L647" s="4" t="s">
        <v>1481</v>
      </c>
      <c r="M647" s="4" t="s">
        <v>1482</v>
      </c>
      <c r="N647" s="4" t="s">
        <v>540</v>
      </c>
      <c r="O647" s="4" t="s">
        <v>2191</v>
      </c>
      <c r="P647" s="4" t="s">
        <v>2555</v>
      </c>
      <c r="Q647" s="4" t="s">
        <v>2556</v>
      </c>
      <c r="R647" s="4" t="b">
        <v>0</v>
      </c>
      <c r="S647" s="4" t="s">
        <v>1486</v>
      </c>
      <c r="T647" s="2">
        <v>46011.7826388889</v>
      </c>
      <c r="U647" s="2">
        <v>46001.0</v>
      </c>
      <c r="V647" s="4">
        <v>49.0</v>
      </c>
      <c r="W647" s="4" t="s">
        <v>550</v>
      </c>
      <c r="X647" s="4">
        <v>2025.0</v>
      </c>
      <c r="Y647" s="4" t="s">
        <v>1487</v>
      </c>
      <c r="Z647" s="4"/>
      <c r="AA647" s="4" t="s">
        <v>558</v>
      </c>
      <c r="AB647" s="4" t="b">
        <v>0</v>
      </c>
      <c r="AC647" s="4" t="s">
        <v>599</v>
      </c>
      <c r="AD647" s="4" t="s">
        <v>537</v>
      </c>
    </row>
    <row r="648" ht="14.25" customHeight="1">
      <c r="A648" s="4">
        <v>8194232.0</v>
      </c>
      <c r="B648" s="2">
        <v>46011.801875</v>
      </c>
      <c r="C648" s="4">
        <v>7420421.0</v>
      </c>
      <c r="D648" s="4" t="s">
        <v>1289</v>
      </c>
      <c r="E648" s="2">
        <v>46011.8027777778</v>
      </c>
      <c r="F648" s="4">
        <v>1.0</v>
      </c>
      <c r="G648" s="4">
        <v>0.0</v>
      </c>
      <c r="H648" s="4" t="s">
        <v>1519</v>
      </c>
      <c r="I648" s="4" t="s">
        <v>2411</v>
      </c>
      <c r="J648" s="4" t="s">
        <v>1519</v>
      </c>
      <c r="K648" s="4" t="s">
        <v>1513</v>
      </c>
      <c r="L648" s="4" t="s">
        <v>2411</v>
      </c>
      <c r="M648" s="4" t="s">
        <v>2557</v>
      </c>
      <c r="N648" s="4" t="s">
        <v>540</v>
      </c>
      <c r="O648" s="4" t="s">
        <v>2558</v>
      </c>
      <c r="P648" s="4" t="s">
        <v>2559</v>
      </c>
      <c r="Q648" s="4" t="s">
        <v>2560</v>
      </c>
      <c r="R648" s="4" t="b">
        <v>0</v>
      </c>
      <c r="S648" s="4" t="s">
        <v>1486</v>
      </c>
      <c r="T648" s="2">
        <v>46011.8041666667</v>
      </c>
      <c r="U648" s="2">
        <v>46011.0</v>
      </c>
      <c r="V648" s="4">
        <v>50.0</v>
      </c>
      <c r="W648" s="4" t="s">
        <v>550</v>
      </c>
      <c r="X648" s="4">
        <v>2025.0</v>
      </c>
      <c r="Y648" s="4" t="s">
        <v>1518</v>
      </c>
      <c r="Z648" s="4" t="s">
        <v>557</v>
      </c>
      <c r="AA648" s="4" t="s">
        <v>558</v>
      </c>
      <c r="AB648" s="4" t="b">
        <v>0</v>
      </c>
      <c r="AC648" s="4" t="s">
        <v>536</v>
      </c>
      <c r="AD648" s="4" t="s">
        <v>537</v>
      </c>
    </row>
    <row r="649" ht="14.25" customHeight="1">
      <c r="A649" s="4">
        <v>8198861.0</v>
      </c>
      <c r="B649" s="2">
        <v>46012.0497569444</v>
      </c>
      <c r="C649" s="4">
        <v>7425042.0</v>
      </c>
      <c r="D649" s="4" t="s">
        <v>1290</v>
      </c>
      <c r="E649" s="2">
        <v>46012.0527777778</v>
      </c>
      <c r="F649" s="4">
        <v>0.5</v>
      </c>
      <c r="G649" s="4">
        <v>0.0</v>
      </c>
      <c r="H649" s="4" t="s">
        <v>1519</v>
      </c>
      <c r="I649" s="4" t="s">
        <v>1781</v>
      </c>
      <c r="J649" s="4" t="s">
        <v>1519</v>
      </c>
      <c r="K649" s="4" t="s">
        <v>1513</v>
      </c>
      <c r="L649" s="4" t="s">
        <v>1781</v>
      </c>
      <c r="M649" s="4" t="s">
        <v>1692</v>
      </c>
      <c r="N649" s="4" t="s">
        <v>540</v>
      </c>
      <c r="O649" s="4" t="s">
        <v>2561</v>
      </c>
      <c r="P649" s="4" t="s">
        <v>1923</v>
      </c>
      <c r="Q649" s="4" t="s">
        <v>2562</v>
      </c>
      <c r="R649" s="4" t="b">
        <v>0</v>
      </c>
      <c r="S649" s="4" t="s">
        <v>1486</v>
      </c>
      <c r="T649" s="2">
        <v>46012.0541666667</v>
      </c>
      <c r="U649" s="2">
        <v>46012.0</v>
      </c>
      <c r="V649" s="4">
        <v>50.0</v>
      </c>
      <c r="W649" s="4" t="s">
        <v>550</v>
      </c>
      <c r="X649" s="4">
        <v>2025.0</v>
      </c>
      <c r="Y649" s="4" t="s">
        <v>1518</v>
      </c>
      <c r="Z649" s="4"/>
      <c r="AA649" s="4" t="s">
        <v>558</v>
      </c>
      <c r="AB649" s="4" t="b">
        <v>0</v>
      </c>
      <c r="AC649" s="4" t="s">
        <v>536</v>
      </c>
      <c r="AD649" s="4" t="s">
        <v>537</v>
      </c>
    </row>
    <row r="650" ht="14.25" customHeight="1">
      <c r="A650" s="4">
        <v>8198878.0</v>
      </c>
      <c r="B650" s="2">
        <v>46012.0506828704</v>
      </c>
      <c r="C650" s="4">
        <v>7425042.0</v>
      </c>
      <c r="D650" s="4" t="s">
        <v>1290</v>
      </c>
      <c r="E650" s="2">
        <v>46012.0527777778</v>
      </c>
      <c r="F650" s="4">
        <v>0.5</v>
      </c>
      <c r="G650" s="4">
        <v>0.0</v>
      </c>
      <c r="H650" s="4" t="s">
        <v>1519</v>
      </c>
      <c r="I650" s="4" t="s">
        <v>2563</v>
      </c>
      <c r="J650" s="4" t="s">
        <v>1519</v>
      </c>
      <c r="K650" s="4" t="s">
        <v>1513</v>
      </c>
      <c r="L650" s="4" t="s">
        <v>2563</v>
      </c>
      <c r="M650" s="4" t="s">
        <v>1692</v>
      </c>
      <c r="N650" s="4" t="s">
        <v>540</v>
      </c>
      <c r="O650" s="4" t="s">
        <v>2564</v>
      </c>
      <c r="P650" s="4" t="s">
        <v>1923</v>
      </c>
      <c r="Q650" s="4" t="s">
        <v>2562</v>
      </c>
      <c r="R650" s="4" t="b">
        <v>0</v>
      </c>
      <c r="S650" s="4" t="s">
        <v>1486</v>
      </c>
      <c r="T650" s="2">
        <v>46012.0541666667</v>
      </c>
      <c r="U650" s="2">
        <v>46012.0</v>
      </c>
      <c r="V650" s="4">
        <v>50.0</v>
      </c>
      <c r="W650" s="4" t="s">
        <v>550</v>
      </c>
      <c r="X650" s="4">
        <v>2025.0</v>
      </c>
      <c r="Y650" s="4" t="s">
        <v>1518</v>
      </c>
      <c r="Z650" s="4"/>
      <c r="AA650" s="4" t="s">
        <v>558</v>
      </c>
      <c r="AB650" s="4" t="b">
        <v>0</v>
      </c>
      <c r="AC650" s="4" t="s">
        <v>536</v>
      </c>
      <c r="AD650" s="4" t="s">
        <v>537</v>
      </c>
    </row>
    <row r="651" ht="14.25" customHeight="1">
      <c r="A651" s="4">
        <v>8166386.0</v>
      </c>
      <c r="B651" s="2">
        <v>46009.9204513889</v>
      </c>
      <c r="C651" s="4">
        <v>7392695.0</v>
      </c>
      <c r="D651" s="4" t="s">
        <v>1291</v>
      </c>
      <c r="E651" s="2">
        <v>46012.1861111111</v>
      </c>
      <c r="F651" s="4">
        <v>1.0</v>
      </c>
      <c r="G651" s="4">
        <v>0.0</v>
      </c>
      <c r="H651" s="4"/>
      <c r="I651" s="4"/>
      <c r="J651" s="4" t="s">
        <v>1480</v>
      </c>
      <c r="K651" s="4" t="s">
        <v>1480</v>
      </c>
      <c r="L651" s="4" t="s">
        <v>1901</v>
      </c>
      <c r="M651" s="4" t="s">
        <v>1482</v>
      </c>
      <c r="N651" s="4" t="s">
        <v>831</v>
      </c>
      <c r="O651" s="4" t="s">
        <v>1483</v>
      </c>
      <c r="P651" s="4" t="s">
        <v>1635</v>
      </c>
      <c r="Q651" s="4" t="s">
        <v>2565</v>
      </c>
      <c r="R651" s="4" t="b">
        <v>0</v>
      </c>
      <c r="S651" s="4" t="s">
        <v>1486</v>
      </c>
      <c r="T651" s="2">
        <v>46012.1875</v>
      </c>
      <c r="U651" s="2">
        <v>46009.0</v>
      </c>
      <c r="V651" s="4">
        <v>50.0</v>
      </c>
      <c r="W651" s="4" t="s">
        <v>550</v>
      </c>
      <c r="X651" s="4">
        <v>2025.0</v>
      </c>
      <c r="Y651" s="4" t="s">
        <v>1904</v>
      </c>
      <c r="Z651" s="4" t="s">
        <v>557</v>
      </c>
      <c r="AA651" s="4" t="s">
        <v>558</v>
      </c>
      <c r="AB651" s="4" t="b">
        <v>0</v>
      </c>
      <c r="AC651" s="4" t="s">
        <v>536</v>
      </c>
      <c r="AD651" s="4" t="s">
        <v>537</v>
      </c>
    </row>
    <row r="652" ht="14.25" customHeight="1">
      <c r="A652" s="4">
        <v>8181456.0</v>
      </c>
      <c r="B652" s="2">
        <v>46010.9088657407</v>
      </c>
      <c r="C652" s="4">
        <v>7407677.0</v>
      </c>
      <c r="D652" s="4" t="s">
        <v>1293</v>
      </c>
      <c r="E652" s="2">
        <v>46012.6625</v>
      </c>
      <c r="F652" s="4">
        <v>0.5</v>
      </c>
      <c r="G652" s="4">
        <v>0.0</v>
      </c>
      <c r="H652" s="4" t="s">
        <v>1519</v>
      </c>
      <c r="I652" s="4" t="s">
        <v>1858</v>
      </c>
      <c r="J652" s="4" t="s">
        <v>1519</v>
      </c>
      <c r="K652" s="4" t="s">
        <v>1513</v>
      </c>
      <c r="L652" s="4" t="s">
        <v>1858</v>
      </c>
      <c r="M652" s="4" t="s">
        <v>1482</v>
      </c>
      <c r="N652" s="4" t="s">
        <v>540</v>
      </c>
      <c r="O652" s="4" t="s">
        <v>2517</v>
      </c>
      <c r="P652" s="4" t="s">
        <v>1923</v>
      </c>
      <c r="Q652" s="4" t="s">
        <v>2518</v>
      </c>
      <c r="R652" s="4" t="b">
        <v>0</v>
      </c>
      <c r="S652" s="4" t="s">
        <v>1486</v>
      </c>
      <c r="T652" s="2">
        <v>46012.6638888889</v>
      </c>
      <c r="U652" s="2">
        <v>46010.0</v>
      </c>
      <c r="V652" s="4">
        <v>50.0</v>
      </c>
      <c r="W652" s="4" t="s">
        <v>550</v>
      </c>
      <c r="X652" s="4">
        <v>2025.0</v>
      </c>
      <c r="Y652" s="4" t="s">
        <v>1518</v>
      </c>
      <c r="Z652" s="4"/>
      <c r="AA652" s="4" t="s">
        <v>558</v>
      </c>
      <c r="AB652" s="4" t="b">
        <v>0</v>
      </c>
      <c r="AC652" s="4" t="s">
        <v>623</v>
      </c>
      <c r="AD652" s="4" t="s">
        <v>537</v>
      </c>
    </row>
    <row r="653" ht="14.25" customHeight="1">
      <c r="A653" s="4">
        <v>8211705.0</v>
      </c>
      <c r="B653" s="2">
        <v>46012.6612152778</v>
      </c>
      <c r="C653" s="4">
        <v>7407677.0</v>
      </c>
      <c r="D653" s="4" t="s">
        <v>1293</v>
      </c>
      <c r="E653" s="2">
        <v>46012.6625</v>
      </c>
      <c r="F653" s="4">
        <v>0.5</v>
      </c>
      <c r="G653" s="4">
        <v>0.0</v>
      </c>
      <c r="H653" s="4" t="s">
        <v>1519</v>
      </c>
      <c r="I653" s="4" t="s">
        <v>1858</v>
      </c>
      <c r="J653" s="4" t="s">
        <v>1519</v>
      </c>
      <c r="K653" s="4" t="s">
        <v>1513</v>
      </c>
      <c r="L653" s="4" t="s">
        <v>1858</v>
      </c>
      <c r="M653" s="4" t="s">
        <v>1482</v>
      </c>
      <c r="N653" s="4" t="s">
        <v>540</v>
      </c>
      <c r="O653" s="4" t="s">
        <v>2566</v>
      </c>
      <c r="P653" s="4" t="s">
        <v>1923</v>
      </c>
      <c r="Q653" s="4" t="s">
        <v>2518</v>
      </c>
      <c r="R653" s="4" t="b">
        <v>0</v>
      </c>
      <c r="S653" s="4" t="s">
        <v>1486</v>
      </c>
      <c r="T653" s="2">
        <v>46012.6638888889</v>
      </c>
      <c r="U653" s="2">
        <v>46012.0</v>
      </c>
      <c r="V653" s="4">
        <v>50.0</v>
      </c>
      <c r="W653" s="4" t="s">
        <v>550</v>
      </c>
      <c r="X653" s="4">
        <v>2025.0</v>
      </c>
      <c r="Y653" s="4" t="s">
        <v>1518</v>
      </c>
      <c r="Z653" s="4"/>
      <c r="AA653" s="4" t="s">
        <v>558</v>
      </c>
      <c r="AB653" s="4" t="b">
        <v>0</v>
      </c>
      <c r="AC653" s="4" t="s">
        <v>623</v>
      </c>
      <c r="AD653" s="4" t="s">
        <v>537</v>
      </c>
    </row>
    <row r="654" ht="14.25" customHeight="1">
      <c r="A654" s="4">
        <v>8220912.0</v>
      </c>
      <c r="B654" s="2">
        <v>46012.9630208333</v>
      </c>
      <c r="C654" s="4">
        <v>7447047.0</v>
      </c>
      <c r="D654" s="4" t="s">
        <v>1294</v>
      </c>
      <c r="E654" s="2">
        <v>46012.9638888889</v>
      </c>
      <c r="F654" s="4">
        <v>1.0</v>
      </c>
      <c r="G654" s="4">
        <v>0.0</v>
      </c>
      <c r="H654" s="4" t="s">
        <v>1519</v>
      </c>
      <c r="I654" s="4" t="s">
        <v>1553</v>
      </c>
      <c r="J654" s="4" t="s">
        <v>1519</v>
      </c>
      <c r="K654" s="4" t="s">
        <v>1513</v>
      </c>
      <c r="L654" s="4" t="s">
        <v>1553</v>
      </c>
      <c r="M654" s="4" t="s">
        <v>2567</v>
      </c>
      <c r="N654" s="4" t="s">
        <v>540</v>
      </c>
      <c r="O654" s="4" t="s">
        <v>2568</v>
      </c>
      <c r="P654" s="4" t="s">
        <v>2569</v>
      </c>
      <c r="Q654" s="4" t="s">
        <v>2570</v>
      </c>
      <c r="R654" s="4" t="b">
        <v>0</v>
      </c>
      <c r="S654" s="4" t="s">
        <v>1486</v>
      </c>
      <c r="T654" s="2">
        <v>46015.5881944444</v>
      </c>
      <c r="U654" s="2">
        <v>46012.0</v>
      </c>
      <c r="V654" s="4">
        <v>50.0</v>
      </c>
      <c r="W654" s="4" t="s">
        <v>550</v>
      </c>
      <c r="X654" s="4">
        <v>2025.0</v>
      </c>
      <c r="Y654" s="4" t="s">
        <v>1518</v>
      </c>
      <c r="Z654" s="4" t="s">
        <v>557</v>
      </c>
      <c r="AA654" s="4" t="s">
        <v>558</v>
      </c>
      <c r="AB654" s="4" t="b">
        <v>0</v>
      </c>
      <c r="AC654" s="4" t="s">
        <v>536</v>
      </c>
      <c r="AD654" s="4" t="s">
        <v>537</v>
      </c>
    </row>
    <row r="655" ht="14.25" customHeight="1">
      <c r="A655" s="4">
        <v>8224444.0</v>
      </c>
      <c r="B655" s="2">
        <v>46013.0770717593</v>
      </c>
      <c r="C655" s="4">
        <v>7450566.0</v>
      </c>
      <c r="D655" s="4" t="s">
        <v>1296</v>
      </c>
      <c r="E655" s="2">
        <v>46013.0777777778</v>
      </c>
      <c r="F655" s="4">
        <v>1.0</v>
      </c>
      <c r="G655" s="4">
        <v>0.0</v>
      </c>
      <c r="H655" s="4"/>
      <c r="I655" s="4"/>
      <c r="J655" s="4" t="s">
        <v>539</v>
      </c>
      <c r="K655" s="4" t="s">
        <v>539</v>
      </c>
      <c r="L655" s="4" t="s">
        <v>1499</v>
      </c>
      <c r="M655" s="4" t="s">
        <v>1482</v>
      </c>
      <c r="N655" s="4"/>
      <c r="O655" s="4" t="s">
        <v>1483</v>
      </c>
      <c r="P655" s="4" t="s">
        <v>1845</v>
      </c>
      <c r="Q655" s="4" t="s">
        <v>2571</v>
      </c>
      <c r="R655" s="4" t="b">
        <v>0</v>
      </c>
      <c r="S655" s="4" t="s">
        <v>1486</v>
      </c>
      <c r="T655" s="2">
        <v>46013.0791666667</v>
      </c>
      <c r="U655" s="2">
        <v>46013.0</v>
      </c>
      <c r="V655" s="4">
        <v>51.0</v>
      </c>
      <c r="W655" s="4" t="s">
        <v>550</v>
      </c>
      <c r="X655" s="4">
        <v>2025.0</v>
      </c>
      <c r="Y655" s="4" t="s">
        <v>1502</v>
      </c>
      <c r="Z655" s="4" t="s">
        <v>557</v>
      </c>
      <c r="AA655" s="4" t="s">
        <v>558</v>
      </c>
      <c r="AB655" s="4" t="b">
        <v>0</v>
      </c>
      <c r="AC655" s="4" t="s">
        <v>536</v>
      </c>
      <c r="AD655" s="4" t="s">
        <v>537</v>
      </c>
    </row>
    <row r="656" ht="14.25" customHeight="1">
      <c r="A656" s="4">
        <v>8228288.0</v>
      </c>
      <c r="B656" s="2">
        <v>46013.3395833333</v>
      </c>
      <c r="C656" s="4">
        <v>7454404.0</v>
      </c>
      <c r="D656" s="4" t="s">
        <v>1298</v>
      </c>
      <c r="E656" s="2">
        <v>46013.3416666667</v>
      </c>
      <c r="F656" s="4">
        <v>1.0</v>
      </c>
      <c r="G656" s="4">
        <v>0.0</v>
      </c>
      <c r="H656" s="4" t="s">
        <v>1511</v>
      </c>
      <c r="I656" s="4" t="s">
        <v>2572</v>
      </c>
      <c r="J656" s="4" t="s">
        <v>1511</v>
      </c>
      <c r="K656" s="4" t="s">
        <v>1513</v>
      </c>
      <c r="L656" s="4" t="s">
        <v>2572</v>
      </c>
      <c r="M656" s="4" t="s">
        <v>2573</v>
      </c>
      <c r="N656" s="4" t="s">
        <v>653</v>
      </c>
      <c r="O656" s="4" t="s">
        <v>2574</v>
      </c>
      <c r="P656" s="4" t="s">
        <v>1845</v>
      </c>
      <c r="Q656" s="4" t="s">
        <v>2575</v>
      </c>
      <c r="R656" s="4" t="b">
        <v>0</v>
      </c>
      <c r="S656" s="4" t="s">
        <v>1486</v>
      </c>
      <c r="T656" s="2">
        <v>46013.3430555556</v>
      </c>
      <c r="U656" s="2">
        <v>46013.0</v>
      </c>
      <c r="V656" s="4">
        <v>51.0</v>
      </c>
      <c r="W656" s="4" t="s">
        <v>550</v>
      </c>
      <c r="X656" s="4">
        <v>2025.0</v>
      </c>
      <c r="Y656" s="4" t="s">
        <v>1518</v>
      </c>
      <c r="Z656" s="4"/>
      <c r="AA656" s="4" t="s">
        <v>558</v>
      </c>
      <c r="AB656" s="4" t="b">
        <v>0</v>
      </c>
      <c r="AC656" s="4" t="s">
        <v>567</v>
      </c>
      <c r="AD656" s="4" t="s">
        <v>537</v>
      </c>
    </row>
    <row r="657" ht="14.25" customHeight="1">
      <c r="A657" s="4">
        <v>8230474.0</v>
      </c>
      <c r="B657" s="2">
        <v>46013.438287037</v>
      </c>
      <c r="C657" s="4">
        <v>7456580.0</v>
      </c>
      <c r="D657" s="4" t="s">
        <v>1299</v>
      </c>
      <c r="E657" s="2">
        <v>46013.4388888889</v>
      </c>
      <c r="F657" s="4">
        <v>1.0</v>
      </c>
      <c r="G657" s="4">
        <v>0.0</v>
      </c>
      <c r="H657" s="4" t="s">
        <v>2576</v>
      </c>
      <c r="I657" s="4" t="s">
        <v>2577</v>
      </c>
      <c r="J657" s="4" t="s">
        <v>2576</v>
      </c>
      <c r="K657" s="4" t="s">
        <v>1567</v>
      </c>
      <c r="L657" s="4" t="s">
        <v>2577</v>
      </c>
      <c r="M657" s="4" t="s">
        <v>2578</v>
      </c>
      <c r="N657" s="4"/>
      <c r="O657" s="4" t="s">
        <v>2579</v>
      </c>
      <c r="P657" s="4" t="s">
        <v>1605</v>
      </c>
      <c r="Q657" s="4" t="s">
        <v>2580</v>
      </c>
      <c r="R657" s="4" t="b">
        <v>0</v>
      </c>
      <c r="S657" s="4" t="s">
        <v>1486</v>
      </c>
      <c r="T657" s="2">
        <v>46013.4402777778</v>
      </c>
      <c r="U657" s="2">
        <v>46013.0</v>
      </c>
      <c r="V657" s="4">
        <v>51.0</v>
      </c>
      <c r="W657" s="4" t="s">
        <v>550</v>
      </c>
      <c r="X657" s="4">
        <v>2025.0</v>
      </c>
      <c r="Y657" s="4" t="s">
        <v>1518</v>
      </c>
      <c r="Z657" s="4"/>
      <c r="AA657" s="4" t="s">
        <v>558</v>
      </c>
      <c r="AB657" s="4" t="b">
        <v>0</v>
      </c>
      <c r="AC657" s="4" t="s">
        <v>554</v>
      </c>
      <c r="AD657" s="4" t="s">
        <v>537</v>
      </c>
    </row>
    <row r="658" ht="14.25" customHeight="1">
      <c r="A658" s="4">
        <v>8174512.0</v>
      </c>
      <c r="B658" s="2">
        <v>46010.4537962963</v>
      </c>
      <c r="C658" s="4">
        <v>7400785.0</v>
      </c>
      <c r="D658" s="4" t="s">
        <v>1300</v>
      </c>
      <c r="E658" s="2">
        <v>46013.4729166667</v>
      </c>
      <c r="F658" s="4">
        <v>1.0</v>
      </c>
      <c r="G658" s="4">
        <v>0.0</v>
      </c>
      <c r="H658" s="4"/>
      <c r="I658" s="4"/>
      <c r="J658" s="4" t="s">
        <v>539</v>
      </c>
      <c r="K658" s="4" t="s">
        <v>539</v>
      </c>
      <c r="L658" s="4" t="s">
        <v>1499</v>
      </c>
      <c r="M658" s="4" t="s">
        <v>1482</v>
      </c>
      <c r="N658" s="4"/>
      <c r="O658" s="4" t="s">
        <v>1483</v>
      </c>
      <c r="P658" s="4" t="s">
        <v>1845</v>
      </c>
      <c r="Q658" s="4" t="s">
        <v>2581</v>
      </c>
      <c r="R658" s="4" t="b">
        <v>0</v>
      </c>
      <c r="S658" s="4" t="s">
        <v>1486</v>
      </c>
      <c r="T658" s="2">
        <v>46013.4743055556</v>
      </c>
      <c r="U658" s="2">
        <v>46010.0</v>
      </c>
      <c r="V658" s="4">
        <v>50.0</v>
      </c>
      <c r="W658" s="4" t="s">
        <v>550</v>
      </c>
      <c r="X658" s="4">
        <v>2025.0</v>
      </c>
      <c r="Y658" s="4" t="s">
        <v>1502</v>
      </c>
      <c r="Z658" s="4" t="s">
        <v>557</v>
      </c>
      <c r="AA658" s="4" t="s">
        <v>558</v>
      </c>
      <c r="AB658" s="4" t="b">
        <v>0</v>
      </c>
      <c r="AC658" s="4" t="s">
        <v>536</v>
      </c>
      <c r="AD658" s="4" t="s">
        <v>537</v>
      </c>
    </row>
    <row r="659" ht="14.25" customHeight="1">
      <c r="A659" s="4">
        <v>8231040.0</v>
      </c>
      <c r="B659" s="2">
        <v>46013.4841550926</v>
      </c>
      <c r="C659" s="4">
        <v>7457140.0</v>
      </c>
      <c r="D659" s="4" t="s">
        <v>1301</v>
      </c>
      <c r="E659" s="2">
        <v>46013.4847222222</v>
      </c>
      <c r="F659" s="4">
        <v>1.0</v>
      </c>
      <c r="G659" s="4">
        <v>0.0</v>
      </c>
      <c r="H659" s="4" t="s">
        <v>1519</v>
      </c>
      <c r="I659" s="4" t="s">
        <v>1781</v>
      </c>
      <c r="J659" s="4" t="s">
        <v>1519</v>
      </c>
      <c r="K659" s="4" t="s">
        <v>1513</v>
      </c>
      <c r="L659" s="4" t="s">
        <v>1781</v>
      </c>
      <c r="M659" s="4" t="s">
        <v>1692</v>
      </c>
      <c r="N659" s="4" t="s">
        <v>540</v>
      </c>
      <c r="O659" s="4" t="s">
        <v>2582</v>
      </c>
      <c r="P659" s="4" t="s">
        <v>1635</v>
      </c>
      <c r="Q659" s="4" t="s">
        <v>2583</v>
      </c>
      <c r="R659" s="4" t="b">
        <v>0</v>
      </c>
      <c r="S659" s="4" t="s">
        <v>1486</v>
      </c>
      <c r="T659" s="2">
        <v>46013.4861111111</v>
      </c>
      <c r="U659" s="2">
        <v>46013.0</v>
      </c>
      <c r="V659" s="4">
        <v>51.0</v>
      </c>
      <c r="W659" s="4" t="s">
        <v>550</v>
      </c>
      <c r="X659" s="4">
        <v>2025.0</v>
      </c>
      <c r="Y659" s="4" t="s">
        <v>1518</v>
      </c>
      <c r="Z659" s="4"/>
      <c r="AA659" s="4" t="s">
        <v>558</v>
      </c>
      <c r="AB659" s="4" t="b">
        <v>0</v>
      </c>
      <c r="AC659" s="4" t="s">
        <v>554</v>
      </c>
      <c r="AD659" s="4" t="s">
        <v>537</v>
      </c>
    </row>
    <row r="660" ht="14.25" customHeight="1">
      <c r="A660" s="4">
        <v>7685880.0</v>
      </c>
      <c r="B660" s="2">
        <v>45922.52125</v>
      </c>
      <c r="C660" s="4">
        <v>6923940.0</v>
      </c>
      <c r="D660" s="4" t="s">
        <v>1302</v>
      </c>
      <c r="E660" s="2">
        <v>46013.5048611111</v>
      </c>
      <c r="F660" s="4">
        <v>0.0</v>
      </c>
      <c r="G660" s="4">
        <v>0.0</v>
      </c>
      <c r="H660" s="4"/>
      <c r="I660" s="4"/>
      <c r="J660" s="4" t="s">
        <v>539</v>
      </c>
      <c r="K660" s="4" t="s">
        <v>539</v>
      </c>
      <c r="L660" s="4" t="s">
        <v>1499</v>
      </c>
      <c r="M660" s="4" t="s">
        <v>1482</v>
      </c>
      <c r="N660" s="4"/>
      <c r="O660" s="4" t="s">
        <v>1483</v>
      </c>
      <c r="P660" s="4" t="s">
        <v>2584</v>
      </c>
      <c r="Q660" s="4" t="s">
        <v>2585</v>
      </c>
      <c r="R660" s="4" t="b">
        <v>0</v>
      </c>
      <c r="S660" s="4" t="s">
        <v>1486</v>
      </c>
      <c r="T660" s="2">
        <v>46013.50625</v>
      </c>
      <c r="U660" s="2">
        <v>45922.0</v>
      </c>
      <c r="V660" s="4">
        <v>38.0</v>
      </c>
      <c r="W660" s="4" t="s">
        <v>1946</v>
      </c>
      <c r="X660" s="4">
        <v>2025.0</v>
      </c>
      <c r="Y660" s="4" t="s">
        <v>1502</v>
      </c>
      <c r="Z660" s="4" t="s">
        <v>557</v>
      </c>
      <c r="AA660" s="4" t="s">
        <v>558</v>
      </c>
      <c r="AB660" s="4" t="b">
        <v>0</v>
      </c>
      <c r="AC660" s="4" t="s">
        <v>567</v>
      </c>
      <c r="AD660" s="4" t="s">
        <v>537</v>
      </c>
    </row>
    <row r="661" ht="14.25" customHeight="1">
      <c r="A661" s="4">
        <v>8231231.0</v>
      </c>
      <c r="B661" s="2">
        <v>46013.5021180556</v>
      </c>
      <c r="C661" s="4">
        <v>6923940.0</v>
      </c>
      <c r="D661" s="4" t="s">
        <v>1302</v>
      </c>
      <c r="E661" s="2">
        <v>46013.5048611111</v>
      </c>
      <c r="F661" s="4">
        <v>1.0</v>
      </c>
      <c r="G661" s="4">
        <v>0.0</v>
      </c>
      <c r="H661" s="4" t="s">
        <v>1888</v>
      </c>
      <c r="I661" s="4" t="s">
        <v>1889</v>
      </c>
      <c r="J661" s="4" t="s">
        <v>1888</v>
      </c>
      <c r="K661" s="4" t="s">
        <v>1775</v>
      </c>
      <c r="L661" s="4" t="s">
        <v>1889</v>
      </c>
      <c r="M661" s="4" t="s">
        <v>2586</v>
      </c>
      <c r="N661" s="4"/>
      <c r="O661" s="4" t="s">
        <v>2587</v>
      </c>
      <c r="P661" s="4" t="s">
        <v>1635</v>
      </c>
      <c r="Q661" s="4" t="s">
        <v>2588</v>
      </c>
      <c r="R661" s="4" t="b">
        <v>0</v>
      </c>
      <c r="S661" s="4" t="s">
        <v>1486</v>
      </c>
      <c r="T661" s="2">
        <v>46013.50625</v>
      </c>
      <c r="U661" s="2">
        <v>46013.0</v>
      </c>
      <c r="V661" s="4">
        <v>51.0</v>
      </c>
      <c r="W661" s="4" t="s">
        <v>550</v>
      </c>
      <c r="X661" s="4">
        <v>2025.0</v>
      </c>
      <c r="Y661" s="4" t="s">
        <v>1518</v>
      </c>
      <c r="Z661" s="4" t="s">
        <v>557</v>
      </c>
      <c r="AA661" s="4" t="s">
        <v>558</v>
      </c>
      <c r="AB661" s="4" t="b">
        <v>0</v>
      </c>
      <c r="AC661" s="4" t="s">
        <v>567</v>
      </c>
      <c r="AD661" s="4" t="s">
        <v>537</v>
      </c>
    </row>
    <row r="662" ht="14.25" customHeight="1">
      <c r="A662" s="4">
        <v>8231294.0</v>
      </c>
      <c r="B662" s="2">
        <v>46013.5111226852</v>
      </c>
      <c r="C662" s="4">
        <v>7457386.0</v>
      </c>
      <c r="D662" s="4" t="s">
        <v>1305</v>
      </c>
      <c r="E662" s="2">
        <v>46013.5145833333</v>
      </c>
      <c r="F662" s="4">
        <v>1.0</v>
      </c>
      <c r="G662" s="4">
        <v>0.0</v>
      </c>
      <c r="H662" s="4"/>
      <c r="I662" s="4"/>
      <c r="J662" s="4" t="s">
        <v>1526</v>
      </c>
      <c r="K662" s="4" t="s">
        <v>1527</v>
      </c>
      <c r="L662" s="4" t="s">
        <v>1528</v>
      </c>
      <c r="M662" s="4" t="s">
        <v>1482</v>
      </c>
      <c r="N662" s="4" t="s">
        <v>1529</v>
      </c>
      <c r="O662" s="4" t="s">
        <v>2589</v>
      </c>
      <c r="P662" s="4" t="s">
        <v>1506</v>
      </c>
      <c r="Q662" s="4" t="s">
        <v>2590</v>
      </c>
      <c r="R662" s="4" t="b">
        <v>0</v>
      </c>
      <c r="S662" s="4" t="s">
        <v>1486</v>
      </c>
      <c r="T662" s="2">
        <v>46013.5159722222</v>
      </c>
      <c r="U662" s="2">
        <v>46013.0</v>
      </c>
      <c r="V662" s="4">
        <v>51.0</v>
      </c>
      <c r="W662" s="4" t="s">
        <v>550</v>
      </c>
      <c r="X662" s="4">
        <v>2025.0</v>
      </c>
      <c r="Y662" s="4" t="s">
        <v>1532</v>
      </c>
      <c r="Z662" s="4" t="s">
        <v>541</v>
      </c>
      <c r="AA662" s="4" t="s">
        <v>546</v>
      </c>
      <c r="AB662" s="4" t="b">
        <v>0</v>
      </c>
      <c r="AC662" s="4" t="s">
        <v>536</v>
      </c>
      <c r="AD662" s="4" t="s">
        <v>537</v>
      </c>
    </row>
    <row r="663" ht="14.25" customHeight="1">
      <c r="A663" s="4">
        <v>8231303.0</v>
      </c>
      <c r="B663" s="2">
        <v>46013.5123263889</v>
      </c>
      <c r="C663" s="4">
        <v>7457395.0</v>
      </c>
      <c r="D663" s="4" t="s">
        <v>1307</v>
      </c>
      <c r="E663" s="2">
        <v>46013.5152777778</v>
      </c>
      <c r="F663" s="4">
        <v>1.0</v>
      </c>
      <c r="G663" s="4">
        <v>0.0</v>
      </c>
      <c r="H663" s="4" t="s">
        <v>1519</v>
      </c>
      <c r="I663" s="4" t="s">
        <v>1781</v>
      </c>
      <c r="J663" s="4" t="s">
        <v>1519</v>
      </c>
      <c r="K663" s="4" t="s">
        <v>1513</v>
      </c>
      <c r="L663" s="4" t="s">
        <v>1781</v>
      </c>
      <c r="M663" s="4" t="s">
        <v>1692</v>
      </c>
      <c r="N663" s="4" t="s">
        <v>540</v>
      </c>
      <c r="O663" s="4" t="s">
        <v>2591</v>
      </c>
      <c r="P663" s="4" t="s">
        <v>1845</v>
      </c>
      <c r="Q663" s="4" t="s">
        <v>2592</v>
      </c>
      <c r="R663" s="4" t="b">
        <v>0</v>
      </c>
      <c r="S663" s="4" t="s">
        <v>1486</v>
      </c>
      <c r="T663" s="2">
        <v>46013.5166666667</v>
      </c>
      <c r="U663" s="2">
        <v>46013.0</v>
      </c>
      <c r="V663" s="4">
        <v>51.0</v>
      </c>
      <c r="W663" s="4" t="s">
        <v>550</v>
      </c>
      <c r="X663" s="4">
        <v>2025.0</v>
      </c>
      <c r="Y663" s="4" t="s">
        <v>1518</v>
      </c>
      <c r="Z663" s="4"/>
      <c r="AA663" s="4" t="s">
        <v>558</v>
      </c>
      <c r="AB663" s="4" t="b">
        <v>0</v>
      </c>
      <c r="AC663" s="4" t="s">
        <v>554</v>
      </c>
      <c r="AD663" s="4" t="s">
        <v>537</v>
      </c>
    </row>
    <row r="664" ht="14.25" customHeight="1">
      <c r="A664" s="4">
        <v>8231433.0</v>
      </c>
      <c r="B664" s="2">
        <v>46013.5311342593</v>
      </c>
      <c r="C664" s="4">
        <v>7457523.0</v>
      </c>
      <c r="D664" s="4" t="s">
        <v>1308</v>
      </c>
      <c r="E664" s="2">
        <v>46013.5319444444</v>
      </c>
      <c r="F664" s="4">
        <v>1.0</v>
      </c>
      <c r="G664" s="4">
        <v>0.0</v>
      </c>
      <c r="H664" s="4"/>
      <c r="I664" s="4"/>
      <c r="J664" s="4" t="s">
        <v>1480</v>
      </c>
      <c r="K664" s="4" t="s">
        <v>1480</v>
      </c>
      <c r="L664" s="4" t="s">
        <v>1481</v>
      </c>
      <c r="M664" s="4" t="s">
        <v>1482</v>
      </c>
      <c r="N664" s="4" t="s">
        <v>540</v>
      </c>
      <c r="O664" s="4" t="s">
        <v>1483</v>
      </c>
      <c r="P664" s="4" t="s">
        <v>1635</v>
      </c>
      <c r="Q664" s="4" t="s">
        <v>2593</v>
      </c>
      <c r="R664" s="4" t="b">
        <v>0</v>
      </c>
      <c r="S664" s="4" t="s">
        <v>1486</v>
      </c>
      <c r="T664" s="2">
        <v>46013.5333333333</v>
      </c>
      <c r="U664" s="2">
        <v>46013.0</v>
      </c>
      <c r="V664" s="4">
        <v>51.0</v>
      </c>
      <c r="W664" s="4" t="s">
        <v>550</v>
      </c>
      <c r="X664" s="4">
        <v>2025.0</v>
      </c>
      <c r="Y664" s="4" t="s">
        <v>1487</v>
      </c>
      <c r="Z664" s="4"/>
      <c r="AA664" s="4" t="s">
        <v>624</v>
      </c>
      <c r="AB664" s="4" t="b">
        <v>0</v>
      </c>
      <c r="AC664" s="4" t="s">
        <v>536</v>
      </c>
      <c r="AD664" s="4" t="s">
        <v>537</v>
      </c>
    </row>
    <row r="665" ht="14.25" customHeight="1">
      <c r="A665" s="4">
        <v>8231505.0</v>
      </c>
      <c r="B665" s="2">
        <v>46013.5405902778</v>
      </c>
      <c r="C665" s="4">
        <v>7457595.0</v>
      </c>
      <c r="D665" s="4" t="s">
        <v>1309</v>
      </c>
      <c r="E665" s="2">
        <v>46013.5444444444</v>
      </c>
      <c r="F665" s="4">
        <v>0.5</v>
      </c>
      <c r="G665" s="4">
        <v>0.0</v>
      </c>
      <c r="H665" s="4"/>
      <c r="I665" s="4"/>
      <c r="J665" s="4" t="s">
        <v>1480</v>
      </c>
      <c r="K665" s="4" t="s">
        <v>1480</v>
      </c>
      <c r="L665" s="4" t="s">
        <v>1481</v>
      </c>
      <c r="M665" s="4" t="s">
        <v>1482</v>
      </c>
      <c r="N665" s="4" t="s">
        <v>540</v>
      </c>
      <c r="O665" s="4" t="s">
        <v>1951</v>
      </c>
      <c r="P665" s="4" t="s">
        <v>2263</v>
      </c>
      <c r="Q665" s="4" t="s">
        <v>2594</v>
      </c>
      <c r="R665" s="4" t="b">
        <v>0</v>
      </c>
      <c r="S665" s="4" t="s">
        <v>1486</v>
      </c>
      <c r="T665" s="2">
        <v>46013.5458333333</v>
      </c>
      <c r="U665" s="2">
        <v>46013.0</v>
      </c>
      <c r="V665" s="4">
        <v>51.0</v>
      </c>
      <c r="W665" s="4" t="s">
        <v>550</v>
      </c>
      <c r="X665" s="4">
        <v>2025.0</v>
      </c>
      <c r="Y665" s="4" t="s">
        <v>1487</v>
      </c>
      <c r="Z665" s="4" t="s">
        <v>557</v>
      </c>
      <c r="AA665" s="4" t="s">
        <v>558</v>
      </c>
      <c r="AB665" s="4" t="b">
        <v>0</v>
      </c>
      <c r="AC665" s="4" t="s">
        <v>536</v>
      </c>
      <c r="AD665" s="4" t="s">
        <v>537</v>
      </c>
    </row>
    <row r="666" ht="14.25" customHeight="1">
      <c r="A666" s="4">
        <v>8231575.0</v>
      </c>
      <c r="B666" s="2">
        <v>46013.5444097222</v>
      </c>
      <c r="C666" s="4">
        <v>7457595.0</v>
      </c>
      <c r="D666" s="4" t="s">
        <v>1309</v>
      </c>
      <c r="E666" s="2">
        <v>46013.5444444444</v>
      </c>
      <c r="F666" s="4">
        <v>0.5</v>
      </c>
      <c r="G666" s="4">
        <v>0.0</v>
      </c>
      <c r="H666" s="4" t="s">
        <v>1526</v>
      </c>
      <c r="I666" s="4" t="s">
        <v>2155</v>
      </c>
      <c r="J666" s="4" t="s">
        <v>1526</v>
      </c>
      <c r="K666" s="4" t="s">
        <v>1527</v>
      </c>
      <c r="L666" s="4" t="s">
        <v>2155</v>
      </c>
      <c r="M666" s="4" t="s">
        <v>2156</v>
      </c>
      <c r="N666" s="4" t="s">
        <v>2157</v>
      </c>
      <c r="O666" s="4" t="s">
        <v>2158</v>
      </c>
      <c r="P666" s="4" t="s">
        <v>2263</v>
      </c>
      <c r="Q666" s="4" t="s">
        <v>2595</v>
      </c>
      <c r="R666" s="4" t="b">
        <v>0</v>
      </c>
      <c r="S666" s="4" t="s">
        <v>1486</v>
      </c>
      <c r="T666" s="2">
        <v>46013.5458333333</v>
      </c>
      <c r="U666" s="2">
        <v>46013.0</v>
      </c>
      <c r="V666" s="4">
        <v>51.0</v>
      </c>
      <c r="W666" s="4" t="s">
        <v>550</v>
      </c>
      <c r="X666" s="4">
        <v>2025.0</v>
      </c>
      <c r="Y666" s="4" t="s">
        <v>1518</v>
      </c>
      <c r="Z666" s="4" t="s">
        <v>557</v>
      </c>
      <c r="AA666" s="4" t="s">
        <v>558</v>
      </c>
      <c r="AB666" s="4" t="b">
        <v>0</v>
      </c>
      <c r="AC666" s="4" t="s">
        <v>536</v>
      </c>
      <c r="AD666" s="4" t="s">
        <v>537</v>
      </c>
    </row>
    <row r="667" ht="14.25" customHeight="1">
      <c r="A667" s="4">
        <v>7619371.0</v>
      </c>
      <c r="B667" s="2">
        <v>45903.1035300926</v>
      </c>
      <c r="C667" s="4">
        <v>6858904.0</v>
      </c>
      <c r="D667" s="4" t="s">
        <v>1310</v>
      </c>
      <c r="E667" s="2">
        <v>46013.6645833333</v>
      </c>
      <c r="F667" s="4">
        <v>1.0</v>
      </c>
      <c r="G667" s="4">
        <v>0.0</v>
      </c>
      <c r="H667" s="4" t="s">
        <v>1519</v>
      </c>
      <c r="I667" s="4" t="s">
        <v>1533</v>
      </c>
      <c r="J667" s="4" t="s">
        <v>1519</v>
      </c>
      <c r="K667" s="4" t="s">
        <v>1513</v>
      </c>
      <c r="L667" s="4" t="s">
        <v>1533</v>
      </c>
      <c r="M667" s="4" t="s">
        <v>2408</v>
      </c>
      <c r="N667" s="4" t="s">
        <v>540</v>
      </c>
      <c r="O667" s="4" t="s">
        <v>2596</v>
      </c>
      <c r="P667" s="4" t="s">
        <v>2115</v>
      </c>
      <c r="Q667" s="4" t="s">
        <v>2597</v>
      </c>
      <c r="R667" s="4" t="b">
        <v>0</v>
      </c>
      <c r="S667" s="4" t="s">
        <v>1486</v>
      </c>
      <c r="T667" s="2">
        <v>46013.6659722222</v>
      </c>
      <c r="U667" s="2">
        <v>45903.0</v>
      </c>
      <c r="V667" s="4">
        <v>35.0</v>
      </c>
      <c r="W667" s="4" t="s">
        <v>1946</v>
      </c>
      <c r="X667" s="4">
        <v>2025.0</v>
      </c>
      <c r="Y667" s="4" t="s">
        <v>1518</v>
      </c>
      <c r="Z667" s="4" t="s">
        <v>557</v>
      </c>
      <c r="AA667" s="4" t="s">
        <v>558</v>
      </c>
      <c r="AB667" s="4" t="b">
        <v>0</v>
      </c>
      <c r="AC667" s="4" t="s">
        <v>536</v>
      </c>
      <c r="AD667" s="4" t="s">
        <v>537</v>
      </c>
    </row>
    <row r="668" ht="14.25" customHeight="1">
      <c r="A668" s="4">
        <v>8235605.0</v>
      </c>
      <c r="B668" s="2">
        <v>46013.7269328704</v>
      </c>
      <c r="C668" s="4">
        <v>7461684.0</v>
      </c>
      <c r="D668" s="4" t="s">
        <v>1312</v>
      </c>
      <c r="E668" s="2">
        <v>46013.7277777778</v>
      </c>
      <c r="F668" s="4">
        <v>1.0</v>
      </c>
      <c r="G668" s="4">
        <v>0.0</v>
      </c>
      <c r="H668" s="4"/>
      <c r="I668" s="4"/>
      <c r="J668" s="4" t="s">
        <v>1480</v>
      </c>
      <c r="K668" s="4" t="s">
        <v>1480</v>
      </c>
      <c r="L668" s="4" t="s">
        <v>1511</v>
      </c>
      <c r="M668" s="4" t="s">
        <v>1482</v>
      </c>
      <c r="N668" s="4" t="s">
        <v>653</v>
      </c>
      <c r="O668" s="4" t="s">
        <v>1557</v>
      </c>
      <c r="P668" s="4" t="s">
        <v>1845</v>
      </c>
      <c r="Q668" s="4" t="s">
        <v>2598</v>
      </c>
      <c r="R668" s="4" t="b">
        <v>0</v>
      </c>
      <c r="S668" s="4" t="s">
        <v>1486</v>
      </c>
      <c r="T668" s="2">
        <v>46013.7291666667</v>
      </c>
      <c r="U668" s="2">
        <v>46013.0</v>
      </c>
      <c r="V668" s="4">
        <v>51.0</v>
      </c>
      <c r="W668" s="4" t="s">
        <v>550</v>
      </c>
      <c r="X668" s="4">
        <v>2025.0</v>
      </c>
      <c r="Y668" s="4" t="s">
        <v>1680</v>
      </c>
      <c r="Z668" s="4"/>
      <c r="AA668" s="4" t="s">
        <v>558</v>
      </c>
      <c r="AB668" s="4" t="b">
        <v>0</v>
      </c>
      <c r="AC668" s="4" t="s">
        <v>599</v>
      </c>
      <c r="AD668" s="4" t="s">
        <v>537</v>
      </c>
    </row>
    <row r="669" ht="14.25" customHeight="1">
      <c r="A669" s="4">
        <v>8235592.0</v>
      </c>
      <c r="B669" s="2">
        <v>46013.7255208333</v>
      </c>
      <c r="C669" s="4">
        <v>7461671.0</v>
      </c>
      <c r="D669" s="4" t="s">
        <v>1313</v>
      </c>
      <c r="E669" s="2">
        <v>46013.7291666667</v>
      </c>
      <c r="F669" s="4">
        <v>1.0</v>
      </c>
      <c r="G669" s="4">
        <v>0.0</v>
      </c>
      <c r="H669" s="4" t="s">
        <v>1519</v>
      </c>
      <c r="I669" s="4" t="s">
        <v>1661</v>
      </c>
      <c r="J669" s="4" t="s">
        <v>1519</v>
      </c>
      <c r="K669" s="4" t="s">
        <v>1513</v>
      </c>
      <c r="L669" s="4" t="s">
        <v>1661</v>
      </c>
      <c r="M669" s="4" t="s">
        <v>1662</v>
      </c>
      <c r="N669" s="4" t="s">
        <v>540</v>
      </c>
      <c r="O669" s="4" t="s">
        <v>2599</v>
      </c>
      <c r="P669" s="4" t="s">
        <v>1605</v>
      </c>
      <c r="Q669" s="4" t="s">
        <v>2600</v>
      </c>
      <c r="R669" s="4" t="b">
        <v>0</v>
      </c>
      <c r="S669" s="4" t="s">
        <v>1486</v>
      </c>
      <c r="T669" s="2">
        <v>46013.7305555556</v>
      </c>
      <c r="U669" s="2">
        <v>46013.0</v>
      </c>
      <c r="V669" s="4">
        <v>51.0</v>
      </c>
      <c r="W669" s="4" t="s">
        <v>550</v>
      </c>
      <c r="X669" s="4">
        <v>2025.0</v>
      </c>
      <c r="Y669" s="4" t="s">
        <v>1518</v>
      </c>
      <c r="Z669" s="4" t="s">
        <v>557</v>
      </c>
      <c r="AA669" s="4" t="s">
        <v>558</v>
      </c>
      <c r="AB669" s="4" t="b">
        <v>0</v>
      </c>
      <c r="AC669" s="4" t="s">
        <v>536</v>
      </c>
      <c r="AD669" s="4" t="s">
        <v>537</v>
      </c>
    </row>
    <row r="670" ht="14.25" customHeight="1">
      <c r="A670" s="4">
        <v>8011824.0</v>
      </c>
      <c r="B670" s="2">
        <v>45995.757974537</v>
      </c>
      <c r="C670" s="4">
        <v>7239387.0</v>
      </c>
      <c r="D670" s="4" t="s">
        <v>1314</v>
      </c>
      <c r="E670" s="2">
        <v>46013.7402777778</v>
      </c>
      <c r="F670" s="4">
        <v>1.0</v>
      </c>
      <c r="G670" s="4">
        <v>0.0</v>
      </c>
      <c r="H670" s="4"/>
      <c r="I670" s="4"/>
      <c r="J670" s="4" t="s">
        <v>1480</v>
      </c>
      <c r="K670" s="4" t="s">
        <v>1480</v>
      </c>
      <c r="L670" s="4" t="s">
        <v>1481</v>
      </c>
      <c r="M670" s="4" t="s">
        <v>1482</v>
      </c>
      <c r="N670" s="4" t="s">
        <v>540</v>
      </c>
      <c r="O670" s="4" t="s">
        <v>1483</v>
      </c>
      <c r="P670" s="4" t="s">
        <v>1488</v>
      </c>
      <c r="Q670" s="4" t="s">
        <v>2601</v>
      </c>
      <c r="R670" s="4" t="b">
        <v>0</v>
      </c>
      <c r="S670" s="4" t="s">
        <v>1486</v>
      </c>
      <c r="T670" s="2">
        <v>46013.7416666667</v>
      </c>
      <c r="U670" s="2">
        <v>45995.0</v>
      </c>
      <c r="V670" s="4">
        <v>48.0</v>
      </c>
      <c r="W670" s="4" t="s">
        <v>550</v>
      </c>
      <c r="X670" s="4">
        <v>2025.0</v>
      </c>
      <c r="Y670" s="4" t="s">
        <v>1487</v>
      </c>
      <c r="Z670" s="4"/>
      <c r="AA670" s="4" t="s">
        <v>558</v>
      </c>
      <c r="AB670" s="4" t="b">
        <v>0</v>
      </c>
      <c r="AC670" s="4" t="s">
        <v>567</v>
      </c>
      <c r="AD670" s="4" t="s">
        <v>537</v>
      </c>
    </row>
    <row r="671" ht="14.25" customHeight="1">
      <c r="A671" s="4">
        <v>8235996.0</v>
      </c>
      <c r="B671" s="2">
        <v>46013.7423032407</v>
      </c>
      <c r="C671" s="4">
        <v>7462073.0</v>
      </c>
      <c r="D671" s="4" t="s">
        <v>1315</v>
      </c>
      <c r="E671" s="2">
        <v>46013.74375</v>
      </c>
      <c r="F671" s="4">
        <v>1.0</v>
      </c>
      <c r="G671" s="4">
        <v>0.0</v>
      </c>
      <c r="H671" s="4" t="s">
        <v>1519</v>
      </c>
      <c r="I671" s="4" t="s">
        <v>2602</v>
      </c>
      <c r="J671" s="4" t="s">
        <v>1519</v>
      </c>
      <c r="K671" s="4" t="s">
        <v>1513</v>
      </c>
      <c r="L671" s="4" t="s">
        <v>2602</v>
      </c>
      <c r="M671" s="4" t="s">
        <v>2603</v>
      </c>
      <c r="N671" s="4" t="s">
        <v>540</v>
      </c>
      <c r="O671" s="4" t="s">
        <v>2604</v>
      </c>
      <c r="P671" s="4" t="s">
        <v>1852</v>
      </c>
      <c r="Q671" s="4" t="s">
        <v>2605</v>
      </c>
      <c r="R671" s="4" t="b">
        <v>0</v>
      </c>
      <c r="S671" s="4" t="s">
        <v>1486</v>
      </c>
      <c r="T671" s="2">
        <v>46013.7451388889</v>
      </c>
      <c r="U671" s="2">
        <v>46013.0</v>
      </c>
      <c r="V671" s="4">
        <v>51.0</v>
      </c>
      <c r="W671" s="4" t="s">
        <v>550</v>
      </c>
      <c r="X671" s="4">
        <v>2025.0</v>
      </c>
      <c r="Y671" s="4" t="s">
        <v>1518</v>
      </c>
      <c r="Z671" s="4"/>
      <c r="AA671" s="4" t="s">
        <v>546</v>
      </c>
      <c r="AB671" s="4" t="b">
        <v>0</v>
      </c>
      <c r="AC671" s="4" t="s">
        <v>554</v>
      </c>
      <c r="AD671" s="4" t="s">
        <v>537</v>
      </c>
    </row>
    <row r="672" ht="14.25" customHeight="1">
      <c r="A672" s="4">
        <v>8236942.0</v>
      </c>
      <c r="B672" s="2">
        <v>46013.7996064815</v>
      </c>
      <c r="C672" s="4">
        <v>7463015.0</v>
      </c>
      <c r="D672" s="4" t="s">
        <v>1316</v>
      </c>
      <c r="E672" s="2">
        <v>46013.8020833333</v>
      </c>
      <c r="F672" s="4">
        <v>1.0</v>
      </c>
      <c r="G672" s="4">
        <v>0.0</v>
      </c>
      <c r="H672" s="4" t="s">
        <v>1519</v>
      </c>
      <c r="I672" s="4" t="s">
        <v>2411</v>
      </c>
      <c r="J672" s="4" t="s">
        <v>1519</v>
      </c>
      <c r="K672" s="4" t="s">
        <v>1513</v>
      </c>
      <c r="L672" s="4" t="s">
        <v>2411</v>
      </c>
      <c r="M672" s="4" t="s">
        <v>2606</v>
      </c>
      <c r="N672" s="4" t="s">
        <v>540</v>
      </c>
      <c r="O672" s="4" t="s">
        <v>2607</v>
      </c>
      <c r="P672" s="4" t="s">
        <v>2608</v>
      </c>
      <c r="Q672" s="4" t="s">
        <v>2609</v>
      </c>
      <c r="R672" s="4" t="b">
        <v>0</v>
      </c>
      <c r="S672" s="4" t="s">
        <v>1486</v>
      </c>
      <c r="T672" s="2">
        <v>46013.8034722222</v>
      </c>
      <c r="U672" s="2">
        <v>46013.0</v>
      </c>
      <c r="V672" s="4">
        <v>51.0</v>
      </c>
      <c r="W672" s="4" t="s">
        <v>550</v>
      </c>
      <c r="X672" s="4">
        <v>2025.0</v>
      </c>
      <c r="Y672" s="4" t="s">
        <v>1518</v>
      </c>
      <c r="Z672" s="4"/>
      <c r="AA672" s="4" t="s">
        <v>558</v>
      </c>
      <c r="AB672" s="4" t="b">
        <v>0</v>
      </c>
      <c r="AC672" s="4" t="s">
        <v>554</v>
      </c>
      <c r="AD672" s="4" t="s">
        <v>537</v>
      </c>
    </row>
    <row r="673" ht="14.25" customHeight="1">
      <c r="A673" s="4">
        <v>8237388.0</v>
      </c>
      <c r="B673" s="2">
        <v>46013.8683449074</v>
      </c>
      <c r="C673" s="4">
        <v>7463459.0</v>
      </c>
      <c r="D673" s="4" t="s">
        <v>1317</v>
      </c>
      <c r="E673" s="2">
        <v>46013.86875</v>
      </c>
      <c r="F673" s="4">
        <v>1.0</v>
      </c>
      <c r="G673" s="4">
        <v>0.0</v>
      </c>
      <c r="H673" s="4"/>
      <c r="I673" s="4"/>
      <c r="J673" s="4" t="s">
        <v>1526</v>
      </c>
      <c r="K673" s="4" t="s">
        <v>1527</v>
      </c>
      <c r="L673" s="4" t="s">
        <v>1528</v>
      </c>
      <c r="M673" s="4" t="s">
        <v>1482</v>
      </c>
      <c r="N673" s="4" t="s">
        <v>1529</v>
      </c>
      <c r="O673" s="4" t="s">
        <v>1530</v>
      </c>
      <c r="P673" s="4" t="s">
        <v>1845</v>
      </c>
      <c r="Q673" s="4" t="s">
        <v>2610</v>
      </c>
      <c r="R673" s="4" t="b">
        <v>0</v>
      </c>
      <c r="S673" s="4" t="s">
        <v>1486</v>
      </c>
      <c r="T673" s="2">
        <v>46013.8701388889</v>
      </c>
      <c r="U673" s="2">
        <v>46013.0</v>
      </c>
      <c r="V673" s="4">
        <v>51.0</v>
      </c>
      <c r="W673" s="4" t="s">
        <v>550</v>
      </c>
      <c r="X673" s="4">
        <v>2025.0</v>
      </c>
      <c r="Y673" s="4" t="s">
        <v>1532</v>
      </c>
      <c r="Z673" s="4" t="s">
        <v>541</v>
      </c>
      <c r="AA673" s="4" t="s">
        <v>546</v>
      </c>
      <c r="AB673" s="4" t="b">
        <v>0</v>
      </c>
      <c r="AC673" s="4" t="s">
        <v>536</v>
      </c>
      <c r="AD673" s="4" t="s">
        <v>537</v>
      </c>
    </row>
    <row r="674" ht="14.25" customHeight="1">
      <c r="A674" s="4">
        <v>8237966.0</v>
      </c>
      <c r="B674" s="2">
        <v>46013.9660532407</v>
      </c>
      <c r="C674" s="4">
        <v>7464033.0</v>
      </c>
      <c r="D674" s="4" t="s">
        <v>1318</v>
      </c>
      <c r="E674" s="2">
        <v>46013.9666666667</v>
      </c>
      <c r="F674" s="4">
        <v>1.0</v>
      </c>
      <c r="G674" s="4">
        <v>0.0</v>
      </c>
      <c r="H674" s="4"/>
      <c r="I674" s="4"/>
      <c r="J674" s="4" t="s">
        <v>1480</v>
      </c>
      <c r="K674" s="4" t="s">
        <v>1480</v>
      </c>
      <c r="L674" s="4" t="s">
        <v>1481</v>
      </c>
      <c r="M674" s="4" t="s">
        <v>1482</v>
      </c>
      <c r="N674" s="4" t="s">
        <v>540</v>
      </c>
      <c r="O674" s="4" t="s">
        <v>2057</v>
      </c>
      <c r="P674" s="4" t="s">
        <v>1923</v>
      </c>
      <c r="Q674" s="4" t="s">
        <v>2611</v>
      </c>
      <c r="R674" s="4" t="b">
        <v>0</v>
      </c>
      <c r="S674" s="4" t="s">
        <v>1486</v>
      </c>
      <c r="T674" s="2">
        <v>46013.9680555556</v>
      </c>
      <c r="U674" s="2">
        <v>46013.0</v>
      </c>
      <c r="V674" s="4">
        <v>51.0</v>
      </c>
      <c r="W674" s="4" t="s">
        <v>550</v>
      </c>
      <c r="X674" s="4">
        <v>2025.0</v>
      </c>
      <c r="Y674" s="4" t="s">
        <v>1487</v>
      </c>
      <c r="Z674" s="4" t="s">
        <v>557</v>
      </c>
      <c r="AA674" s="4" t="s">
        <v>558</v>
      </c>
      <c r="AB674" s="4" t="b">
        <v>0</v>
      </c>
      <c r="AC674" s="4" t="s">
        <v>536</v>
      </c>
      <c r="AD674" s="4" t="s">
        <v>537</v>
      </c>
    </row>
    <row r="675" ht="14.25" customHeight="1">
      <c r="A675" s="4">
        <v>8238385.0</v>
      </c>
      <c r="B675" s="2">
        <v>46014.0100578704</v>
      </c>
      <c r="C675" s="4">
        <v>7464452.0</v>
      </c>
      <c r="D675" s="4" t="s">
        <v>1319</v>
      </c>
      <c r="E675" s="2">
        <v>46014.0118055556</v>
      </c>
      <c r="F675" s="4">
        <v>1.0</v>
      </c>
      <c r="G675" s="4">
        <v>0.0</v>
      </c>
      <c r="H675" s="4" t="s">
        <v>1511</v>
      </c>
      <c r="I675" s="4" t="s">
        <v>2085</v>
      </c>
      <c r="J675" s="4" t="s">
        <v>1511</v>
      </c>
      <c r="K675" s="4" t="s">
        <v>1513</v>
      </c>
      <c r="L675" s="4" t="s">
        <v>2085</v>
      </c>
      <c r="M675" s="4" t="s">
        <v>2165</v>
      </c>
      <c r="N675" s="4" t="s">
        <v>653</v>
      </c>
      <c r="O675" s="4" t="s">
        <v>2612</v>
      </c>
      <c r="P675" s="4" t="s">
        <v>1845</v>
      </c>
      <c r="Q675" s="4" t="s">
        <v>2613</v>
      </c>
      <c r="R675" s="4" t="b">
        <v>0</v>
      </c>
      <c r="S675" s="4" t="s">
        <v>1486</v>
      </c>
      <c r="T675" s="2">
        <v>46014.0131944444</v>
      </c>
      <c r="U675" s="2">
        <v>46014.0</v>
      </c>
      <c r="V675" s="4">
        <v>51.0</v>
      </c>
      <c r="W675" s="4" t="s">
        <v>550</v>
      </c>
      <c r="X675" s="4">
        <v>2025.0</v>
      </c>
      <c r="Y675" s="4" t="s">
        <v>1518</v>
      </c>
      <c r="Z675" s="4" t="s">
        <v>557</v>
      </c>
      <c r="AA675" s="4" t="s">
        <v>558</v>
      </c>
      <c r="AB675" s="4" t="b">
        <v>0</v>
      </c>
      <c r="AC675" s="4" t="s">
        <v>536</v>
      </c>
      <c r="AD675" s="4" t="s">
        <v>537</v>
      </c>
    </row>
    <row r="676" ht="14.25" customHeight="1">
      <c r="A676" s="4">
        <v>8238618.0</v>
      </c>
      <c r="B676" s="2">
        <v>46014.0457523148</v>
      </c>
      <c r="C676" s="4">
        <v>7464685.0</v>
      </c>
      <c r="D676" s="4" t="s">
        <v>1321</v>
      </c>
      <c r="E676" s="2">
        <v>46014.0493055556</v>
      </c>
      <c r="F676" s="4">
        <v>1.0</v>
      </c>
      <c r="G676" s="4">
        <v>0.0</v>
      </c>
      <c r="H676" s="4" t="s">
        <v>1519</v>
      </c>
      <c r="I676" s="4" t="s">
        <v>1553</v>
      </c>
      <c r="J676" s="4" t="s">
        <v>1519</v>
      </c>
      <c r="K676" s="4" t="s">
        <v>1513</v>
      </c>
      <c r="L676" s="4" t="s">
        <v>1553</v>
      </c>
      <c r="M676" s="4" t="s">
        <v>1862</v>
      </c>
      <c r="N676" s="4" t="s">
        <v>540</v>
      </c>
      <c r="O676" s="4" t="s">
        <v>2614</v>
      </c>
      <c r="P676" s="4" t="s">
        <v>2615</v>
      </c>
      <c r="Q676" s="4" t="s">
        <v>2616</v>
      </c>
      <c r="R676" s="4" t="b">
        <v>0</v>
      </c>
      <c r="S676" s="4" t="s">
        <v>1486</v>
      </c>
      <c r="T676" s="2">
        <v>46014.0506944444</v>
      </c>
      <c r="U676" s="2">
        <v>46014.0</v>
      </c>
      <c r="V676" s="4">
        <v>51.0</v>
      </c>
      <c r="W676" s="4" t="s">
        <v>550</v>
      </c>
      <c r="X676" s="4">
        <v>2025.0</v>
      </c>
      <c r="Y676" s="4" t="s">
        <v>1518</v>
      </c>
      <c r="Z676" s="4"/>
      <c r="AA676" s="4" t="s">
        <v>558</v>
      </c>
      <c r="AB676" s="4" t="b">
        <v>0</v>
      </c>
      <c r="AC676" s="4" t="s">
        <v>536</v>
      </c>
      <c r="AD676" s="4" t="s">
        <v>537</v>
      </c>
    </row>
    <row r="677" ht="14.25" customHeight="1">
      <c r="A677" s="4">
        <v>8238647.0</v>
      </c>
      <c r="B677" s="2">
        <v>46014.0502777778</v>
      </c>
      <c r="C677" s="4">
        <v>7464714.0</v>
      </c>
      <c r="D677" s="4" t="s">
        <v>1322</v>
      </c>
      <c r="E677" s="2">
        <v>46014.05</v>
      </c>
      <c r="F677" s="4">
        <v>1.0</v>
      </c>
      <c r="G677" s="4">
        <v>0.0</v>
      </c>
      <c r="H677" s="4"/>
      <c r="I677" s="4"/>
      <c r="J677" s="4" t="s">
        <v>1526</v>
      </c>
      <c r="K677" s="4" t="s">
        <v>1527</v>
      </c>
      <c r="L677" s="4" t="s">
        <v>1528</v>
      </c>
      <c r="M677" s="4" t="s">
        <v>1482</v>
      </c>
      <c r="N677" s="4" t="s">
        <v>1529</v>
      </c>
      <c r="O677" s="4" t="s">
        <v>1530</v>
      </c>
      <c r="P677" s="4" t="s">
        <v>1635</v>
      </c>
      <c r="Q677" s="4" t="s">
        <v>2617</v>
      </c>
      <c r="R677" s="4" t="b">
        <v>0</v>
      </c>
      <c r="S677" s="4" t="s">
        <v>1486</v>
      </c>
      <c r="T677" s="2">
        <v>46014.0513888889</v>
      </c>
      <c r="U677" s="2">
        <v>46014.0</v>
      </c>
      <c r="V677" s="4">
        <v>51.0</v>
      </c>
      <c r="W677" s="4" t="s">
        <v>550</v>
      </c>
      <c r="X677" s="4">
        <v>2025.0</v>
      </c>
      <c r="Y677" s="4" t="s">
        <v>1532</v>
      </c>
      <c r="Z677" s="4" t="s">
        <v>557</v>
      </c>
      <c r="AA677" s="4" t="s">
        <v>558</v>
      </c>
      <c r="AB677" s="4" t="b">
        <v>0</v>
      </c>
      <c r="AC677" s="4" t="s">
        <v>536</v>
      </c>
      <c r="AD677" s="4" t="s">
        <v>537</v>
      </c>
    </row>
    <row r="678" ht="14.25" customHeight="1">
      <c r="A678" s="4">
        <v>8240009.0</v>
      </c>
      <c r="B678" s="2">
        <v>46014.229375</v>
      </c>
      <c r="C678" s="4">
        <v>7466069.0</v>
      </c>
      <c r="D678" s="4" t="s">
        <v>1323</v>
      </c>
      <c r="E678" s="2">
        <v>46014.2402777778</v>
      </c>
      <c r="F678" s="4">
        <v>1.0</v>
      </c>
      <c r="G678" s="4">
        <v>0.0</v>
      </c>
      <c r="H678" s="4"/>
      <c r="I678" s="4"/>
      <c r="J678" s="4" t="s">
        <v>1480</v>
      </c>
      <c r="K678" s="4" t="s">
        <v>1480</v>
      </c>
      <c r="L678" s="4" t="s">
        <v>1481</v>
      </c>
      <c r="M678" s="4" t="s">
        <v>1482</v>
      </c>
      <c r="N678" s="4" t="s">
        <v>540</v>
      </c>
      <c r="O678" s="4" t="s">
        <v>2618</v>
      </c>
      <c r="P678" s="4" t="s">
        <v>2528</v>
      </c>
      <c r="Q678" s="4" t="s">
        <v>2619</v>
      </c>
      <c r="R678" s="4" t="b">
        <v>0</v>
      </c>
      <c r="S678" s="4" t="s">
        <v>1486</v>
      </c>
      <c r="T678" s="2">
        <v>46014.2416666667</v>
      </c>
      <c r="U678" s="2">
        <v>46014.0</v>
      </c>
      <c r="V678" s="4">
        <v>51.0</v>
      </c>
      <c r="W678" s="4" t="s">
        <v>550</v>
      </c>
      <c r="X678" s="4">
        <v>2025.0</v>
      </c>
      <c r="Y678" s="4" t="s">
        <v>1487</v>
      </c>
      <c r="Z678" s="4"/>
      <c r="AA678" s="4" t="s">
        <v>558</v>
      </c>
      <c r="AB678" s="4" t="b">
        <v>0</v>
      </c>
      <c r="AC678" s="4" t="s">
        <v>623</v>
      </c>
      <c r="AD678" s="4" t="s">
        <v>537</v>
      </c>
    </row>
    <row r="679" ht="14.25" customHeight="1">
      <c r="A679" s="4">
        <v>8240168.0</v>
      </c>
      <c r="B679" s="2">
        <v>46014.2706365741</v>
      </c>
      <c r="C679" s="4">
        <v>7466227.0</v>
      </c>
      <c r="D679" s="4" t="s">
        <v>1324</v>
      </c>
      <c r="E679" s="2">
        <v>46014.3319444444</v>
      </c>
      <c r="F679" s="4">
        <v>1.0</v>
      </c>
      <c r="G679" s="4">
        <v>0.0</v>
      </c>
      <c r="H679" s="4"/>
      <c r="I679" s="4"/>
      <c r="J679" s="4" t="s">
        <v>1480</v>
      </c>
      <c r="K679" s="4" t="s">
        <v>1480</v>
      </c>
      <c r="L679" s="4" t="s">
        <v>1481</v>
      </c>
      <c r="M679" s="4" t="s">
        <v>1482</v>
      </c>
      <c r="N679" s="4" t="s">
        <v>540</v>
      </c>
      <c r="O679" s="4" t="s">
        <v>1483</v>
      </c>
      <c r="P679" s="4" t="s">
        <v>2003</v>
      </c>
      <c r="Q679" s="4" t="s">
        <v>2620</v>
      </c>
      <c r="R679" s="4" t="b">
        <v>0</v>
      </c>
      <c r="S679" s="4" t="s">
        <v>1486</v>
      </c>
      <c r="T679" s="2">
        <v>46014.3333333333</v>
      </c>
      <c r="U679" s="2">
        <v>46014.0</v>
      </c>
      <c r="V679" s="4">
        <v>51.0</v>
      </c>
      <c r="W679" s="4" t="s">
        <v>550</v>
      </c>
      <c r="X679" s="4">
        <v>2025.0</v>
      </c>
      <c r="Y679" s="4" t="s">
        <v>1487</v>
      </c>
      <c r="Z679" s="4" t="s">
        <v>557</v>
      </c>
      <c r="AA679" s="4" t="s">
        <v>558</v>
      </c>
      <c r="AB679" s="4" t="b">
        <v>0</v>
      </c>
      <c r="AC679" s="4" t="s">
        <v>536</v>
      </c>
      <c r="AD679" s="4" t="s">
        <v>537</v>
      </c>
    </row>
    <row r="680" ht="14.25" customHeight="1">
      <c r="A680" s="4">
        <v>8240751.0</v>
      </c>
      <c r="B680" s="2">
        <v>46014.3537268518</v>
      </c>
      <c r="C680" s="4">
        <v>7466806.0</v>
      </c>
      <c r="D680" s="4" t="s">
        <v>1325</v>
      </c>
      <c r="E680" s="2">
        <v>46014.3541666667</v>
      </c>
      <c r="F680" s="4">
        <v>1.0</v>
      </c>
      <c r="G680" s="4">
        <v>0.0</v>
      </c>
      <c r="H680" s="4"/>
      <c r="I680" s="4"/>
      <c r="J680" s="4" t="s">
        <v>1526</v>
      </c>
      <c r="K680" s="4" t="s">
        <v>1527</v>
      </c>
      <c r="L680" s="4" t="s">
        <v>1528</v>
      </c>
      <c r="M680" s="4" t="s">
        <v>1482</v>
      </c>
      <c r="N680" s="4" t="s">
        <v>1529</v>
      </c>
      <c r="O680" s="4" t="s">
        <v>1530</v>
      </c>
      <c r="P680" s="4" t="s">
        <v>2621</v>
      </c>
      <c r="Q680" s="4" t="s">
        <v>2622</v>
      </c>
      <c r="R680" s="4" t="b">
        <v>0</v>
      </c>
      <c r="S680" s="4" t="s">
        <v>1486</v>
      </c>
      <c r="T680" s="2">
        <v>46014.3555555556</v>
      </c>
      <c r="U680" s="2">
        <v>46014.0</v>
      </c>
      <c r="V680" s="4">
        <v>51.0</v>
      </c>
      <c r="W680" s="4" t="s">
        <v>550</v>
      </c>
      <c r="X680" s="4">
        <v>2025.0</v>
      </c>
      <c r="Y680" s="4" t="s">
        <v>1532</v>
      </c>
      <c r="Z680" s="4" t="s">
        <v>826</v>
      </c>
      <c r="AA680" s="4" t="s">
        <v>828</v>
      </c>
      <c r="AB680" s="4" t="b">
        <v>0</v>
      </c>
      <c r="AC680" s="4" t="s">
        <v>536</v>
      </c>
      <c r="AD680" s="4" t="s">
        <v>537</v>
      </c>
    </row>
    <row r="681" ht="14.25" customHeight="1">
      <c r="A681" s="4">
        <v>8241043.0</v>
      </c>
      <c r="B681" s="2">
        <v>46014.3835069444</v>
      </c>
      <c r="C681" s="4">
        <v>7467094.0</v>
      </c>
      <c r="D681" s="4" t="s">
        <v>1327</v>
      </c>
      <c r="E681" s="2">
        <v>46014.3840277778</v>
      </c>
      <c r="F681" s="4">
        <v>1.0</v>
      </c>
      <c r="G681" s="4">
        <v>0.0</v>
      </c>
      <c r="H681" s="4"/>
      <c r="I681" s="4"/>
      <c r="J681" s="4" t="s">
        <v>1526</v>
      </c>
      <c r="K681" s="4" t="s">
        <v>1527</v>
      </c>
      <c r="L681" s="4" t="s">
        <v>1528</v>
      </c>
      <c r="M681" s="4" t="s">
        <v>1482</v>
      </c>
      <c r="N681" s="4" t="s">
        <v>1529</v>
      </c>
      <c r="O681" s="4" t="s">
        <v>1530</v>
      </c>
      <c r="P681" s="4" t="s">
        <v>1484</v>
      </c>
      <c r="Q681" s="4" t="s">
        <v>2623</v>
      </c>
      <c r="R681" s="4" t="b">
        <v>0</v>
      </c>
      <c r="S681" s="4" t="s">
        <v>1486</v>
      </c>
      <c r="T681" s="2">
        <v>46014.3854166667</v>
      </c>
      <c r="U681" s="2">
        <v>46014.0</v>
      </c>
      <c r="V681" s="4">
        <v>51.0</v>
      </c>
      <c r="W681" s="4" t="s">
        <v>550</v>
      </c>
      <c r="X681" s="4">
        <v>2025.0</v>
      </c>
      <c r="Y681" s="4" t="s">
        <v>1532</v>
      </c>
      <c r="Z681" s="4" t="s">
        <v>541</v>
      </c>
      <c r="AA681" s="4" t="s">
        <v>546</v>
      </c>
      <c r="AB681" s="4" t="b">
        <v>0</v>
      </c>
      <c r="AC681" s="4" t="s">
        <v>536</v>
      </c>
      <c r="AD681" s="4" t="s">
        <v>537</v>
      </c>
    </row>
    <row r="682" ht="14.25" customHeight="1">
      <c r="A682" s="4">
        <v>8241541.0</v>
      </c>
      <c r="B682" s="2">
        <v>46014.4305671296</v>
      </c>
      <c r="C682" s="4">
        <v>7467584.0</v>
      </c>
      <c r="D682" s="4" t="s">
        <v>1329</v>
      </c>
      <c r="E682" s="2">
        <v>46014.4402777778</v>
      </c>
      <c r="F682" s="4">
        <v>1.0</v>
      </c>
      <c r="G682" s="4">
        <v>0.0</v>
      </c>
      <c r="H682" s="4"/>
      <c r="I682" s="4"/>
      <c r="J682" s="4" t="s">
        <v>1526</v>
      </c>
      <c r="K682" s="4" t="s">
        <v>1527</v>
      </c>
      <c r="L682" s="4" t="s">
        <v>1528</v>
      </c>
      <c r="M682" s="4" t="s">
        <v>1482</v>
      </c>
      <c r="N682" s="4" t="s">
        <v>1529</v>
      </c>
      <c r="O682" s="4" t="s">
        <v>1530</v>
      </c>
      <c r="P682" s="4" t="s">
        <v>1635</v>
      </c>
      <c r="Q682" s="4" t="s">
        <v>2624</v>
      </c>
      <c r="R682" s="4" t="b">
        <v>0</v>
      </c>
      <c r="S682" s="4" t="s">
        <v>1486</v>
      </c>
      <c r="T682" s="2">
        <v>46014.4416666667</v>
      </c>
      <c r="U682" s="2">
        <v>46014.0</v>
      </c>
      <c r="V682" s="4">
        <v>51.0</v>
      </c>
      <c r="W682" s="4" t="s">
        <v>550</v>
      </c>
      <c r="X682" s="4">
        <v>2025.0</v>
      </c>
      <c r="Y682" s="4" t="s">
        <v>1532</v>
      </c>
      <c r="Z682" s="4" t="s">
        <v>557</v>
      </c>
      <c r="AA682" s="4" t="s">
        <v>558</v>
      </c>
      <c r="AB682" s="4" t="b">
        <v>0</v>
      </c>
      <c r="AC682" s="4" t="s">
        <v>536</v>
      </c>
      <c r="AD682" s="4" t="s">
        <v>537</v>
      </c>
    </row>
    <row r="683" ht="14.25" customHeight="1">
      <c r="A683" s="4">
        <v>8241648.0</v>
      </c>
      <c r="B683" s="2">
        <v>46014.4403703704</v>
      </c>
      <c r="C683" s="4">
        <v>7467688.0</v>
      </c>
      <c r="D683" s="4" t="s">
        <v>1331</v>
      </c>
      <c r="E683" s="2">
        <v>46014.4416666667</v>
      </c>
      <c r="F683" s="4">
        <v>1.0</v>
      </c>
      <c r="G683" s="4">
        <v>0.0</v>
      </c>
      <c r="H683" s="4"/>
      <c r="I683" s="4"/>
      <c r="J683" s="4" t="s">
        <v>1480</v>
      </c>
      <c r="K683" s="4" t="s">
        <v>1480</v>
      </c>
      <c r="L683" s="4" t="s">
        <v>1481</v>
      </c>
      <c r="M683" s="4" t="s">
        <v>1482</v>
      </c>
      <c r="N683" s="4" t="s">
        <v>540</v>
      </c>
      <c r="O683" s="4" t="s">
        <v>2228</v>
      </c>
      <c r="P683" s="4" t="s">
        <v>2392</v>
      </c>
      <c r="Q683" s="4" t="s">
        <v>2625</v>
      </c>
      <c r="R683" s="4" t="b">
        <v>0</v>
      </c>
      <c r="S683" s="4" t="s">
        <v>1486</v>
      </c>
      <c r="T683" s="2">
        <v>46014.4430555556</v>
      </c>
      <c r="U683" s="2">
        <v>46014.0</v>
      </c>
      <c r="V683" s="4">
        <v>51.0</v>
      </c>
      <c r="W683" s="4" t="s">
        <v>550</v>
      </c>
      <c r="X683" s="4">
        <v>2025.0</v>
      </c>
      <c r="Y683" s="4" t="s">
        <v>1487</v>
      </c>
      <c r="Z683" s="4"/>
      <c r="AA683" s="4" t="s">
        <v>546</v>
      </c>
      <c r="AB683" s="4" t="b">
        <v>0</v>
      </c>
      <c r="AC683" s="4" t="s">
        <v>554</v>
      </c>
      <c r="AD683" s="4" t="s">
        <v>537</v>
      </c>
    </row>
    <row r="684" ht="14.25" customHeight="1">
      <c r="A684" s="4">
        <v>8241736.0</v>
      </c>
      <c r="B684" s="2">
        <v>46014.4482291667</v>
      </c>
      <c r="C684" s="4">
        <v>7467776.0</v>
      </c>
      <c r="D684" s="4" t="s">
        <v>1332</v>
      </c>
      <c r="E684" s="2">
        <v>46014.45</v>
      </c>
      <c r="F684" s="4">
        <v>1.0</v>
      </c>
      <c r="G684" s="4">
        <v>0.0</v>
      </c>
      <c r="H684" s="4" t="s">
        <v>1519</v>
      </c>
      <c r="I684" s="4" t="s">
        <v>1553</v>
      </c>
      <c r="J684" s="4" t="s">
        <v>1519</v>
      </c>
      <c r="K684" s="4" t="s">
        <v>1513</v>
      </c>
      <c r="L684" s="4" t="s">
        <v>1553</v>
      </c>
      <c r="M684" s="4" t="s">
        <v>1871</v>
      </c>
      <c r="N684" s="4" t="s">
        <v>540</v>
      </c>
      <c r="O684" s="4" t="s">
        <v>2626</v>
      </c>
      <c r="P684" s="4" t="s">
        <v>1544</v>
      </c>
      <c r="Q684" s="4" t="s">
        <v>2627</v>
      </c>
      <c r="R684" s="4" t="b">
        <v>0</v>
      </c>
      <c r="S684" s="4" t="s">
        <v>1486</v>
      </c>
      <c r="T684" s="2">
        <v>46014.4513888889</v>
      </c>
      <c r="U684" s="2">
        <v>46014.0</v>
      </c>
      <c r="V684" s="4">
        <v>51.0</v>
      </c>
      <c r="W684" s="4" t="s">
        <v>550</v>
      </c>
      <c r="X684" s="4">
        <v>2025.0</v>
      </c>
      <c r="Y684" s="4" t="s">
        <v>1518</v>
      </c>
      <c r="Z684" s="4" t="s">
        <v>557</v>
      </c>
      <c r="AA684" s="4" t="s">
        <v>558</v>
      </c>
      <c r="AB684" s="4" t="b">
        <v>0</v>
      </c>
      <c r="AC684" s="4" t="s">
        <v>536</v>
      </c>
      <c r="AD684" s="4" t="s">
        <v>537</v>
      </c>
    </row>
    <row r="685" ht="14.25" customHeight="1">
      <c r="A685" s="4">
        <v>8242028.0</v>
      </c>
      <c r="B685" s="2">
        <v>46014.4797222222</v>
      </c>
      <c r="C685" s="4">
        <v>7468068.0</v>
      </c>
      <c r="D685" s="4" t="s">
        <v>1333</v>
      </c>
      <c r="E685" s="2">
        <v>46014.48125</v>
      </c>
      <c r="F685" s="4">
        <v>1.0</v>
      </c>
      <c r="G685" s="4">
        <v>0.0</v>
      </c>
      <c r="H685" s="4"/>
      <c r="I685" s="4"/>
      <c r="J685" s="4" t="s">
        <v>1480</v>
      </c>
      <c r="K685" s="4" t="s">
        <v>1480</v>
      </c>
      <c r="L685" s="4" t="s">
        <v>1481</v>
      </c>
      <c r="M685" s="4" t="s">
        <v>1482</v>
      </c>
      <c r="N685" s="4" t="s">
        <v>540</v>
      </c>
      <c r="O685" s="4" t="s">
        <v>1483</v>
      </c>
      <c r="P685" s="4" t="s">
        <v>1794</v>
      </c>
      <c r="Q685" s="4" t="s">
        <v>2628</v>
      </c>
      <c r="R685" s="4" t="b">
        <v>0</v>
      </c>
      <c r="S685" s="4" t="s">
        <v>1486</v>
      </c>
      <c r="T685" s="2">
        <v>46014.4826388889</v>
      </c>
      <c r="U685" s="2">
        <v>46014.0</v>
      </c>
      <c r="V685" s="4">
        <v>51.0</v>
      </c>
      <c r="W685" s="4" t="s">
        <v>550</v>
      </c>
      <c r="X685" s="4">
        <v>2025.0</v>
      </c>
      <c r="Y685" s="4" t="s">
        <v>1487</v>
      </c>
      <c r="Z685" s="4" t="s">
        <v>557</v>
      </c>
      <c r="AA685" s="4" t="s">
        <v>558</v>
      </c>
      <c r="AB685" s="4" t="b">
        <v>0</v>
      </c>
      <c r="AC685" s="4" t="s">
        <v>536</v>
      </c>
      <c r="AD685" s="4" t="s">
        <v>537</v>
      </c>
    </row>
    <row r="686" ht="14.25" customHeight="1">
      <c r="A686" s="4">
        <v>8242520.0</v>
      </c>
      <c r="B686" s="2">
        <v>46014.5164930556</v>
      </c>
      <c r="C686" s="4">
        <v>7468556.0</v>
      </c>
      <c r="D686" s="4" t="s">
        <v>1334</v>
      </c>
      <c r="E686" s="2">
        <v>46014.5180555556</v>
      </c>
      <c r="F686" s="4">
        <v>1.0</v>
      </c>
      <c r="G686" s="4">
        <v>0.0</v>
      </c>
      <c r="H686" s="4"/>
      <c r="I686" s="4"/>
      <c r="J686" s="4" t="s">
        <v>1480</v>
      </c>
      <c r="K686" s="4" t="s">
        <v>1480</v>
      </c>
      <c r="L686" s="4" t="s">
        <v>1481</v>
      </c>
      <c r="M686" s="4" t="s">
        <v>1482</v>
      </c>
      <c r="N686" s="4" t="s">
        <v>540</v>
      </c>
      <c r="O686" s="4" t="s">
        <v>1483</v>
      </c>
      <c r="P686" s="4" t="s">
        <v>1852</v>
      </c>
      <c r="Q686" s="4" t="s">
        <v>2629</v>
      </c>
      <c r="R686" s="4" t="b">
        <v>0</v>
      </c>
      <c r="S686" s="4" t="s">
        <v>1486</v>
      </c>
      <c r="T686" s="2">
        <v>46014.5194444444</v>
      </c>
      <c r="U686" s="2">
        <v>46014.0</v>
      </c>
      <c r="V686" s="4">
        <v>51.0</v>
      </c>
      <c r="W686" s="4" t="s">
        <v>550</v>
      </c>
      <c r="X686" s="4">
        <v>2025.0</v>
      </c>
      <c r="Y686" s="4" t="s">
        <v>1487</v>
      </c>
      <c r="Z686" s="4"/>
      <c r="AA686" s="4" t="s">
        <v>558</v>
      </c>
      <c r="AB686" s="4" t="b">
        <v>0</v>
      </c>
      <c r="AC686" s="4" t="s">
        <v>536</v>
      </c>
      <c r="AD686" s="4" t="s">
        <v>537</v>
      </c>
    </row>
    <row r="687" ht="14.25" customHeight="1">
      <c r="A687" s="4">
        <v>8240778.0</v>
      </c>
      <c r="B687" s="2">
        <v>46014.3567361111</v>
      </c>
      <c r="C687" s="4">
        <v>7466833.0</v>
      </c>
      <c r="D687" s="4" t="s">
        <v>1335</v>
      </c>
      <c r="E687" s="2">
        <v>46014.5368055556</v>
      </c>
      <c r="F687" s="4">
        <v>1.0</v>
      </c>
      <c r="G687" s="4">
        <v>0.0</v>
      </c>
      <c r="H687" s="4"/>
      <c r="I687" s="4"/>
      <c r="J687" s="4" t="s">
        <v>539</v>
      </c>
      <c r="K687" s="4" t="s">
        <v>539</v>
      </c>
      <c r="L687" s="4" t="s">
        <v>1499</v>
      </c>
      <c r="M687" s="4" t="s">
        <v>1482</v>
      </c>
      <c r="N687" s="4"/>
      <c r="O687" s="4" t="s">
        <v>2630</v>
      </c>
      <c r="P687" s="4" t="s">
        <v>1635</v>
      </c>
      <c r="Q687" s="4" t="s">
        <v>2631</v>
      </c>
      <c r="R687" s="4" t="b">
        <v>0</v>
      </c>
      <c r="S687" s="4" t="s">
        <v>1486</v>
      </c>
      <c r="T687" s="2">
        <v>46014.5381944444</v>
      </c>
      <c r="U687" s="2">
        <v>46014.0</v>
      </c>
      <c r="V687" s="4">
        <v>51.0</v>
      </c>
      <c r="W687" s="4" t="s">
        <v>550</v>
      </c>
      <c r="X687" s="4">
        <v>2025.0</v>
      </c>
      <c r="Y687" s="4" t="s">
        <v>1502</v>
      </c>
      <c r="Z687" s="4" t="s">
        <v>557</v>
      </c>
      <c r="AA687" s="4" t="s">
        <v>558</v>
      </c>
      <c r="AB687" s="4" t="b">
        <v>0</v>
      </c>
      <c r="AC687" s="4" t="s">
        <v>536</v>
      </c>
      <c r="AD687" s="4" t="s">
        <v>537</v>
      </c>
    </row>
    <row r="688" ht="14.25" customHeight="1">
      <c r="A688" s="4">
        <v>8242982.0</v>
      </c>
      <c r="B688" s="2">
        <v>46014.5545023148</v>
      </c>
      <c r="C688" s="4">
        <v>7469016.0</v>
      </c>
      <c r="D688" s="4" t="s">
        <v>1336</v>
      </c>
      <c r="E688" s="2">
        <v>46014.5548611111</v>
      </c>
      <c r="F688" s="4">
        <v>1.0</v>
      </c>
      <c r="G688" s="4">
        <v>0.0</v>
      </c>
      <c r="H688" s="4"/>
      <c r="I688" s="4"/>
      <c r="J688" s="4" t="s">
        <v>1480</v>
      </c>
      <c r="K688" s="4" t="s">
        <v>1480</v>
      </c>
      <c r="L688" s="4" t="s">
        <v>1481</v>
      </c>
      <c r="M688" s="4" t="s">
        <v>1482</v>
      </c>
      <c r="N688" s="4" t="s">
        <v>540</v>
      </c>
      <c r="O688" s="4" t="s">
        <v>2632</v>
      </c>
      <c r="P688" s="4" t="s">
        <v>1923</v>
      </c>
      <c r="Q688" s="4" t="s">
        <v>2633</v>
      </c>
      <c r="R688" s="4" t="b">
        <v>0</v>
      </c>
      <c r="S688" s="4" t="s">
        <v>1486</v>
      </c>
      <c r="T688" s="2">
        <v>46014.55625</v>
      </c>
      <c r="U688" s="2">
        <v>46014.0</v>
      </c>
      <c r="V688" s="4">
        <v>51.0</v>
      </c>
      <c r="W688" s="4" t="s">
        <v>550</v>
      </c>
      <c r="X688" s="4">
        <v>2025.0</v>
      </c>
      <c r="Y688" s="4" t="s">
        <v>1487</v>
      </c>
      <c r="Z688" s="4"/>
      <c r="AA688" s="4" t="s">
        <v>594</v>
      </c>
      <c r="AB688" s="4" t="b">
        <v>0</v>
      </c>
      <c r="AC688" s="4" t="s">
        <v>567</v>
      </c>
      <c r="AD688" s="4" t="s">
        <v>537</v>
      </c>
    </row>
    <row r="689" ht="14.25" customHeight="1">
      <c r="A689" s="4">
        <v>8244623.0</v>
      </c>
      <c r="B689" s="2">
        <v>46014.6613425926</v>
      </c>
      <c r="C689" s="4">
        <v>7470645.0</v>
      </c>
      <c r="D689" s="4" t="s">
        <v>1337</v>
      </c>
      <c r="E689" s="2">
        <v>46014.7222222222</v>
      </c>
      <c r="F689" s="4">
        <v>1.0</v>
      </c>
      <c r="G689" s="4">
        <v>0.0</v>
      </c>
      <c r="H689" s="4"/>
      <c r="I689" s="4"/>
      <c r="J689" s="4" t="s">
        <v>539</v>
      </c>
      <c r="K689" s="4" t="s">
        <v>539</v>
      </c>
      <c r="L689" s="4" t="s">
        <v>1499</v>
      </c>
      <c r="M689" s="4" t="s">
        <v>1482</v>
      </c>
      <c r="N689" s="4"/>
      <c r="O689" s="4" t="s">
        <v>1483</v>
      </c>
      <c r="P689" s="4" t="s">
        <v>2392</v>
      </c>
      <c r="Q689" s="4" t="s">
        <v>2634</v>
      </c>
      <c r="R689" s="4" t="b">
        <v>0</v>
      </c>
      <c r="S689" s="4" t="s">
        <v>1486</v>
      </c>
      <c r="T689" s="2">
        <v>46014.7236111111</v>
      </c>
      <c r="U689" s="2">
        <v>46014.0</v>
      </c>
      <c r="V689" s="4">
        <v>51.0</v>
      </c>
      <c r="W689" s="4" t="s">
        <v>550</v>
      </c>
      <c r="X689" s="4">
        <v>2025.0</v>
      </c>
      <c r="Y689" s="4" t="s">
        <v>1502</v>
      </c>
      <c r="Z689" s="4"/>
      <c r="AA689" s="4" t="s">
        <v>1019</v>
      </c>
      <c r="AB689" s="4" t="b">
        <v>0</v>
      </c>
      <c r="AC689" s="4" t="s">
        <v>536</v>
      </c>
      <c r="AD689" s="4" t="s">
        <v>537</v>
      </c>
    </row>
    <row r="690" ht="14.25" customHeight="1">
      <c r="A690" s="4">
        <v>8157244.0</v>
      </c>
      <c r="B690" s="2">
        <v>46009.4274421296</v>
      </c>
      <c r="C690" s="4">
        <v>7383456.0</v>
      </c>
      <c r="D690" s="4" t="s">
        <v>1206</v>
      </c>
      <c r="E690" s="2">
        <v>46009.4277777778</v>
      </c>
      <c r="F690" s="4">
        <v>1.0</v>
      </c>
      <c r="G690" s="4">
        <v>0.0</v>
      </c>
      <c r="H690" s="4" t="s">
        <v>2635</v>
      </c>
      <c r="I690" s="4" t="s">
        <v>2155</v>
      </c>
      <c r="J690" s="4" t="s">
        <v>2635</v>
      </c>
      <c r="K690" s="4" t="s">
        <v>1638</v>
      </c>
      <c r="L690" s="4" t="s">
        <v>2155</v>
      </c>
      <c r="M690" s="4" t="s">
        <v>2156</v>
      </c>
      <c r="N690" s="4" t="s">
        <v>2157</v>
      </c>
      <c r="O690" s="4" t="s">
        <v>2636</v>
      </c>
      <c r="P690" s="4" t="s">
        <v>1635</v>
      </c>
      <c r="Q690" s="4" t="s">
        <v>2637</v>
      </c>
      <c r="R690" s="4" t="b">
        <v>0</v>
      </c>
      <c r="S690" s="4" t="s">
        <v>1486</v>
      </c>
      <c r="T690" s="2">
        <v>46009.4291666667</v>
      </c>
      <c r="U690" s="2">
        <v>46009.0</v>
      </c>
      <c r="V690" s="4">
        <v>50.0</v>
      </c>
      <c r="W690" s="4" t="s">
        <v>550</v>
      </c>
      <c r="X690" s="4">
        <v>2025.0</v>
      </c>
      <c r="Y690" s="4" t="s">
        <v>1518</v>
      </c>
      <c r="Z690" s="4" t="s">
        <v>557</v>
      </c>
      <c r="AA690" s="4" t="s">
        <v>558</v>
      </c>
      <c r="AB690" s="4" t="b">
        <v>0</v>
      </c>
      <c r="AC690" s="4" t="s">
        <v>536</v>
      </c>
      <c r="AD690" s="4" t="s">
        <v>537</v>
      </c>
    </row>
    <row r="691" ht="14.25" customHeight="1">
      <c r="A691" s="4">
        <v>8249744.0</v>
      </c>
      <c r="B691" s="2">
        <v>46015.0144675926</v>
      </c>
      <c r="C691" s="4">
        <v>7475754.0</v>
      </c>
      <c r="D691" s="4" t="s">
        <v>1339</v>
      </c>
      <c r="E691" s="2">
        <v>46015.0145833333</v>
      </c>
      <c r="F691" s="4">
        <v>1.0</v>
      </c>
      <c r="G691" s="4">
        <v>0.0</v>
      </c>
      <c r="H691" s="4" t="s">
        <v>1519</v>
      </c>
      <c r="I691" s="4" t="s">
        <v>2638</v>
      </c>
      <c r="J691" s="4" t="s">
        <v>1519</v>
      </c>
      <c r="K691" s="4" t="s">
        <v>1513</v>
      </c>
      <c r="L691" s="4" t="s">
        <v>2638</v>
      </c>
      <c r="M691" s="4" t="s">
        <v>2603</v>
      </c>
      <c r="N691" s="4" t="s">
        <v>540</v>
      </c>
      <c r="O691" s="4" t="s">
        <v>2639</v>
      </c>
      <c r="P691" s="4" t="s">
        <v>1635</v>
      </c>
      <c r="Q691" s="4" t="s">
        <v>2640</v>
      </c>
      <c r="R691" s="4" t="b">
        <v>0</v>
      </c>
      <c r="S691" s="4" t="s">
        <v>1486</v>
      </c>
      <c r="T691" s="2">
        <v>46015.0159722222</v>
      </c>
      <c r="U691" s="2">
        <v>46015.0</v>
      </c>
      <c r="V691" s="4">
        <v>51.0</v>
      </c>
      <c r="W691" s="4" t="s">
        <v>550</v>
      </c>
      <c r="X691" s="4">
        <v>2025.0</v>
      </c>
      <c r="Y691" s="4" t="s">
        <v>1518</v>
      </c>
      <c r="Z691" s="4"/>
      <c r="AA691" s="4" t="s">
        <v>546</v>
      </c>
      <c r="AB691" s="4" t="b">
        <v>0</v>
      </c>
      <c r="AC691" s="4" t="s">
        <v>536</v>
      </c>
      <c r="AD691" s="4" t="s">
        <v>537</v>
      </c>
    </row>
    <row r="692" ht="14.25" customHeight="1">
      <c r="A692" s="4">
        <v>8251618.0</v>
      </c>
      <c r="B692" s="2">
        <v>46015.1370833333</v>
      </c>
      <c r="C692" s="4">
        <v>7477627.0</v>
      </c>
      <c r="D692" s="4" t="s">
        <v>1340</v>
      </c>
      <c r="E692" s="2">
        <v>46015.2395833333</v>
      </c>
      <c r="F692" s="4">
        <v>1.0</v>
      </c>
      <c r="G692" s="4">
        <v>0.0</v>
      </c>
      <c r="H692" s="4"/>
      <c r="I692" s="4"/>
      <c r="J692" s="4" t="s">
        <v>1480</v>
      </c>
      <c r="K692" s="4" t="s">
        <v>1480</v>
      </c>
      <c r="L692" s="4" t="s">
        <v>1481</v>
      </c>
      <c r="M692" s="4" t="s">
        <v>1482</v>
      </c>
      <c r="N692" s="4" t="s">
        <v>540</v>
      </c>
      <c r="O692" s="4" t="s">
        <v>2641</v>
      </c>
      <c r="P692" s="4" t="s">
        <v>1635</v>
      </c>
      <c r="Q692" s="4" t="s">
        <v>2642</v>
      </c>
      <c r="R692" s="4" t="b">
        <v>0</v>
      </c>
      <c r="S692" s="4" t="s">
        <v>1486</v>
      </c>
      <c r="T692" s="2">
        <v>46015.2409722222</v>
      </c>
      <c r="U692" s="2">
        <v>46015.0</v>
      </c>
      <c r="V692" s="4">
        <v>51.0</v>
      </c>
      <c r="W692" s="4" t="s">
        <v>550</v>
      </c>
      <c r="X692" s="4">
        <v>2025.0</v>
      </c>
      <c r="Y692" s="4" t="s">
        <v>1487</v>
      </c>
      <c r="Z692" s="4"/>
      <c r="AA692" s="4" t="s">
        <v>655</v>
      </c>
      <c r="AB692" s="4" t="b">
        <v>0</v>
      </c>
      <c r="AC692" s="4" t="s">
        <v>554</v>
      </c>
      <c r="AD692" s="4" t="s">
        <v>537</v>
      </c>
    </row>
    <row r="693" ht="14.25" customHeight="1">
      <c r="A693" s="4">
        <v>8255000.0</v>
      </c>
      <c r="B693" s="2">
        <v>46015.2815277778</v>
      </c>
      <c r="C693" s="4">
        <v>7481009.0</v>
      </c>
      <c r="D693" s="4" t="s">
        <v>1341</v>
      </c>
      <c r="E693" s="2">
        <v>46015.2826388889</v>
      </c>
      <c r="F693" s="4">
        <v>1.0</v>
      </c>
      <c r="G693" s="4">
        <v>0.0</v>
      </c>
      <c r="H693" s="4"/>
      <c r="I693" s="4"/>
      <c r="J693" s="4" t="s">
        <v>1480</v>
      </c>
      <c r="K693" s="4" t="s">
        <v>1480</v>
      </c>
      <c r="L693" s="4" t="s">
        <v>1481</v>
      </c>
      <c r="M693" s="4" t="s">
        <v>1482</v>
      </c>
      <c r="N693" s="4" t="s">
        <v>1342</v>
      </c>
      <c r="O693" s="4" t="s">
        <v>1644</v>
      </c>
      <c r="P693" s="4" t="s">
        <v>1923</v>
      </c>
      <c r="Q693" s="4" t="s">
        <v>2643</v>
      </c>
      <c r="R693" s="4" t="b">
        <v>0</v>
      </c>
      <c r="S693" s="4" t="s">
        <v>1486</v>
      </c>
      <c r="T693" s="2">
        <v>46015.2840277778</v>
      </c>
      <c r="U693" s="2">
        <v>46015.0</v>
      </c>
      <c r="V693" s="4">
        <v>51.0</v>
      </c>
      <c r="W693" s="4" t="s">
        <v>550</v>
      </c>
      <c r="X693" s="4">
        <v>2025.0</v>
      </c>
      <c r="Y693" s="4" t="s">
        <v>1487</v>
      </c>
      <c r="Z693" s="4"/>
      <c r="AA693" s="4" t="s">
        <v>624</v>
      </c>
      <c r="AB693" s="4" t="b">
        <v>0</v>
      </c>
      <c r="AC693" s="4" t="s">
        <v>554</v>
      </c>
      <c r="AD693" s="4" t="s">
        <v>537</v>
      </c>
    </row>
    <row r="694" ht="14.25" customHeight="1">
      <c r="A694" s="4">
        <v>8257338.0</v>
      </c>
      <c r="B694" s="2">
        <v>46015.3920833333</v>
      </c>
      <c r="C694" s="4">
        <v>7483343.0</v>
      </c>
      <c r="D694" s="4" t="s">
        <v>1343</v>
      </c>
      <c r="E694" s="2">
        <v>46015.3986111111</v>
      </c>
      <c r="F694" s="4">
        <v>1.0</v>
      </c>
      <c r="G694" s="4">
        <v>0.0</v>
      </c>
      <c r="H694" s="4" t="s">
        <v>1519</v>
      </c>
      <c r="I694" s="4" t="s">
        <v>2459</v>
      </c>
      <c r="J694" s="4" t="s">
        <v>1519</v>
      </c>
      <c r="K694" s="4" t="s">
        <v>1513</v>
      </c>
      <c r="L694" s="4" t="s">
        <v>2459</v>
      </c>
      <c r="M694" s="4" t="s">
        <v>2460</v>
      </c>
      <c r="N694" s="4"/>
      <c r="O694" s="4" t="s">
        <v>2644</v>
      </c>
      <c r="P694" s="4" t="s">
        <v>1635</v>
      </c>
      <c r="Q694" s="4" t="s">
        <v>2645</v>
      </c>
      <c r="R694" s="4" t="b">
        <v>0</v>
      </c>
      <c r="S694" s="4" t="s">
        <v>1486</v>
      </c>
      <c r="T694" s="2">
        <v>46015.4</v>
      </c>
      <c r="U694" s="2">
        <v>46015.0</v>
      </c>
      <c r="V694" s="4">
        <v>51.0</v>
      </c>
      <c r="W694" s="4" t="s">
        <v>550</v>
      </c>
      <c r="X694" s="4">
        <v>2025.0</v>
      </c>
      <c r="Y694" s="4" t="s">
        <v>1518</v>
      </c>
      <c r="Z694" s="4"/>
      <c r="AA694" s="4" t="s">
        <v>558</v>
      </c>
      <c r="AB694" s="4" t="b">
        <v>0</v>
      </c>
      <c r="AC694" s="4" t="s">
        <v>536</v>
      </c>
      <c r="AD694" s="4" t="s">
        <v>537</v>
      </c>
    </row>
    <row r="695" ht="14.25" customHeight="1">
      <c r="A695" s="4">
        <v>7714067.0</v>
      </c>
      <c r="B695" s="2">
        <v>45929.5150115741</v>
      </c>
      <c r="C695" s="4">
        <v>6951325.0</v>
      </c>
      <c r="D695" s="4" t="s">
        <v>1344</v>
      </c>
      <c r="E695" s="2">
        <v>46015.4256944444</v>
      </c>
      <c r="F695" s="4">
        <v>0.5</v>
      </c>
      <c r="G695" s="4">
        <v>0.0</v>
      </c>
      <c r="H695" s="4" t="s">
        <v>1519</v>
      </c>
      <c r="I695" s="4" t="s">
        <v>1717</v>
      </c>
      <c r="J695" s="4" t="s">
        <v>1519</v>
      </c>
      <c r="K695" s="4" t="s">
        <v>1513</v>
      </c>
      <c r="L695" s="4" t="s">
        <v>1717</v>
      </c>
      <c r="M695" s="4" t="s">
        <v>1482</v>
      </c>
      <c r="N695" s="4" t="s">
        <v>540</v>
      </c>
      <c r="O695" s="4" t="s">
        <v>2646</v>
      </c>
      <c r="P695" s="4" t="s">
        <v>2584</v>
      </c>
      <c r="Q695" s="4" t="s">
        <v>2647</v>
      </c>
      <c r="R695" s="4" t="b">
        <v>0</v>
      </c>
      <c r="S695" s="4" t="s">
        <v>1486</v>
      </c>
      <c r="T695" s="2">
        <v>46015.4270833333</v>
      </c>
      <c r="U695" s="2">
        <v>45929.0</v>
      </c>
      <c r="V695" s="4">
        <v>39.0</v>
      </c>
      <c r="W695" s="4" t="s">
        <v>1946</v>
      </c>
      <c r="X695" s="4">
        <v>2025.0</v>
      </c>
      <c r="Y695" s="4" t="s">
        <v>1518</v>
      </c>
      <c r="Z695" s="4" t="s">
        <v>557</v>
      </c>
      <c r="AA695" s="4" t="s">
        <v>558</v>
      </c>
      <c r="AB695" s="4" t="b">
        <v>0</v>
      </c>
      <c r="AC695" s="4" t="s">
        <v>536</v>
      </c>
      <c r="AD695" s="4" t="s">
        <v>537</v>
      </c>
    </row>
    <row r="696" ht="14.25" customHeight="1">
      <c r="A696" s="4">
        <v>7714078.0</v>
      </c>
      <c r="B696" s="2">
        <v>45929.5161689815</v>
      </c>
      <c r="C696" s="4">
        <v>6951325.0</v>
      </c>
      <c r="D696" s="4" t="s">
        <v>1344</v>
      </c>
      <c r="E696" s="2">
        <v>46015.4256944444</v>
      </c>
      <c r="F696" s="4">
        <v>0.5</v>
      </c>
      <c r="G696" s="4">
        <v>0.0</v>
      </c>
      <c r="H696" s="4" t="s">
        <v>1519</v>
      </c>
      <c r="I696" s="4" t="s">
        <v>1717</v>
      </c>
      <c r="J696" s="4" t="s">
        <v>1519</v>
      </c>
      <c r="K696" s="4" t="s">
        <v>1513</v>
      </c>
      <c r="L696" s="4" t="s">
        <v>1717</v>
      </c>
      <c r="M696" s="4" t="s">
        <v>1482</v>
      </c>
      <c r="N696" s="4" t="s">
        <v>540</v>
      </c>
      <c r="O696" s="4" t="s">
        <v>2646</v>
      </c>
      <c r="P696" s="4" t="s">
        <v>2584</v>
      </c>
      <c r="Q696" s="4" t="s">
        <v>2647</v>
      </c>
      <c r="R696" s="4" t="b">
        <v>0</v>
      </c>
      <c r="S696" s="4" t="s">
        <v>1486</v>
      </c>
      <c r="T696" s="2">
        <v>46015.4270833333</v>
      </c>
      <c r="U696" s="2">
        <v>45929.0</v>
      </c>
      <c r="V696" s="4">
        <v>39.0</v>
      </c>
      <c r="W696" s="4" t="s">
        <v>1946</v>
      </c>
      <c r="X696" s="4">
        <v>2025.0</v>
      </c>
      <c r="Y696" s="4" t="s">
        <v>1518</v>
      </c>
      <c r="Z696" s="4" t="s">
        <v>557</v>
      </c>
      <c r="AA696" s="4" t="s">
        <v>558</v>
      </c>
      <c r="AB696" s="4" t="b">
        <v>0</v>
      </c>
      <c r="AC696" s="4" t="s">
        <v>536</v>
      </c>
      <c r="AD696" s="4" t="s">
        <v>537</v>
      </c>
    </row>
    <row r="697" ht="14.25" customHeight="1">
      <c r="A697" s="4">
        <v>8258298.0</v>
      </c>
      <c r="B697" s="2">
        <v>46015.4761574074</v>
      </c>
      <c r="C697" s="4">
        <v>7484300.0</v>
      </c>
      <c r="D697" s="4" t="s">
        <v>1345</v>
      </c>
      <c r="E697" s="2">
        <v>46015.4868055556</v>
      </c>
      <c r="F697" s="4">
        <v>1.0</v>
      </c>
      <c r="G697" s="4">
        <v>0.0</v>
      </c>
      <c r="H697" s="4"/>
      <c r="I697" s="4"/>
      <c r="J697" s="4" t="s">
        <v>1480</v>
      </c>
      <c r="K697" s="4" t="s">
        <v>1480</v>
      </c>
      <c r="L697" s="4" t="s">
        <v>1481</v>
      </c>
      <c r="M697" s="4" t="s">
        <v>1482</v>
      </c>
      <c r="N697" s="4" t="s">
        <v>540</v>
      </c>
      <c r="O697" s="4" t="s">
        <v>1483</v>
      </c>
      <c r="P697" s="4" t="s">
        <v>2035</v>
      </c>
      <c r="Q697" s="4" t="s">
        <v>2648</v>
      </c>
      <c r="R697" s="4" t="b">
        <v>0</v>
      </c>
      <c r="S697" s="4" t="s">
        <v>1486</v>
      </c>
      <c r="T697" s="2">
        <v>46015.4881944444</v>
      </c>
      <c r="U697" s="2">
        <v>46015.0</v>
      </c>
      <c r="V697" s="4">
        <v>51.0</v>
      </c>
      <c r="W697" s="4" t="s">
        <v>550</v>
      </c>
      <c r="X697" s="4">
        <v>2025.0</v>
      </c>
      <c r="Y697" s="4" t="s">
        <v>1487</v>
      </c>
      <c r="Z697" s="4"/>
      <c r="AA697" s="4" t="s">
        <v>558</v>
      </c>
      <c r="AB697" s="4" t="b">
        <v>0</v>
      </c>
      <c r="AC697" s="4" t="s">
        <v>536</v>
      </c>
      <c r="AD697" s="4" t="s">
        <v>537</v>
      </c>
    </row>
    <row r="698" ht="14.25" customHeight="1">
      <c r="A698" s="4">
        <v>8047585.0</v>
      </c>
      <c r="B698" s="2">
        <v>45999.5196990741</v>
      </c>
      <c r="C698" s="4">
        <v>7274989.0</v>
      </c>
      <c r="D698" s="4" t="s">
        <v>1346</v>
      </c>
      <c r="E698" s="2">
        <v>46015.4951388889</v>
      </c>
      <c r="F698" s="4">
        <v>0.0</v>
      </c>
      <c r="G698" s="4">
        <v>0.0</v>
      </c>
      <c r="H698" s="4"/>
      <c r="I698" s="4"/>
      <c r="J698" s="4"/>
      <c r="K698" s="4"/>
      <c r="L698" s="4"/>
      <c r="M698" s="4" t="s">
        <v>1482</v>
      </c>
      <c r="N698" s="4" t="s">
        <v>2649</v>
      </c>
      <c r="O698" s="4" t="s">
        <v>2650</v>
      </c>
      <c r="P698" s="4" t="s">
        <v>1635</v>
      </c>
      <c r="Q698" s="4" t="s">
        <v>2651</v>
      </c>
      <c r="R698" s="4" t="b">
        <v>1</v>
      </c>
      <c r="S698" s="4" t="s">
        <v>1486</v>
      </c>
      <c r="T698" s="2">
        <v>46015.4965277778</v>
      </c>
      <c r="U698" s="2">
        <v>45999.0</v>
      </c>
      <c r="V698" s="4">
        <v>49.0</v>
      </c>
      <c r="W698" s="4" t="s">
        <v>550</v>
      </c>
      <c r="X698" s="4">
        <v>2025.0</v>
      </c>
      <c r="Y698" s="4" t="s">
        <v>1540</v>
      </c>
      <c r="Z698" s="4" t="s">
        <v>557</v>
      </c>
      <c r="AA698" s="4" t="s">
        <v>558</v>
      </c>
      <c r="AB698" s="4" t="b">
        <v>0</v>
      </c>
      <c r="AC698" s="4" t="s">
        <v>536</v>
      </c>
      <c r="AD698" s="4" t="s">
        <v>537</v>
      </c>
    </row>
    <row r="699" ht="14.25" customHeight="1">
      <c r="A699" s="4">
        <v>8259093.0</v>
      </c>
      <c r="B699" s="2">
        <v>46015.5246180556</v>
      </c>
      <c r="C699" s="4">
        <v>7485094.0</v>
      </c>
      <c r="D699" s="4" t="s">
        <v>1349</v>
      </c>
      <c r="E699" s="2">
        <v>46015.5270833333</v>
      </c>
      <c r="F699" s="4">
        <v>1.0</v>
      </c>
      <c r="G699" s="4">
        <v>0.0</v>
      </c>
      <c r="H699" s="4" t="s">
        <v>1511</v>
      </c>
      <c r="I699" s="4" t="s">
        <v>1512</v>
      </c>
      <c r="J699" s="4" t="s">
        <v>1511</v>
      </c>
      <c r="K699" s="4" t="s">
        <v>1513</v>
      </c>
      <c r="L699" s="4" t="s">
        <v>1512</v>
      </c>
      <c r="M699" s="4" t="s">
        <v>2652</v>
      </c>
      <c r="N699" s="4" t="s">
        <v>653</v>
      </c>
      <c r="O699" s="4" t="s">
        <v>2653</v>
      </c>
      <c r="P699" s="4" t="s">
        <v>1845</v>
      </c>
      <c r="Q699" s="4" t="s">
        <v>2654</v>
      </c>
      <c r="R699" s="4" t="b">
        <v>0</v>
      </c>
      <c r="S699" s="4" t="s">
        <v>1486</v>
      </c>
      <c r="T699" s="2">
        <v>46015.5284722222</v>
      </c>
      <c r="U699" s="2">
        <v>46015.0</v>
      </c>
      <c r="V699" s="4">
        <v>51.0</v>
      </c>
      <c r="W699" s="4" t="s">
        <v>550</v>
      </c>
      <c r="X699" s="4">
        <v>2025.0</v>
      </c>
      <c r="Y699" s="4" t="s">
        <v>1518</v>
      </c>
      <c r="Z699" s="4"/>
      <c r="AA699" s="4" t="s">
        <v>558</v>
      </c>
      <c r="AB699" s="4" t="b">
        <v>0</v>
      </c>
      <c r="AC699" s="4" t="s">
        <v>567</v>
      </c>
      <c r="AD699" s="4" t="s">
        <v>537</v>
      </c>
    </row>
    <row r="700" ht="14.25" customHeight="1">
      <c r="A700" s="4">
        <v>8220912.0</v>
      </c>
      <c r="B700" s="2">
        <v>46012.9630208333</v>
      </c>
      <c r="C700" s="4">
        <v>7447047.0</v>
      </c>
      <c r="D700" s="4" t="s">
        <v>1350</v>
      </c>
      <c r="E700" s="2">
        <v>46015.5868055556</v>
      </c>
      <c r="F700" s="4">
        <v>0.5</v>
      </c>
      <c r="G700" s="4">
        <v>0.0</v>
      </c>
      <c r="H700" s="4" t="s">
        <v>1519</v>
      </c>
      <c r="I700" s="4" t="s">
        <v>1553</v>
      </c>
      <c r="J700" s="4" t="s">
        <v>1519</v>
      </c>
      <c r="K700" s="4" t="s">
        <v>1513</v>
      </c>
      <c r="L700" s="4" t="s">
        <v>1553</v>
      </c>
      <c r="M700" s="4" t="s">
        <v>2567</v>
      </c>
      <c r="N700" s="4" t="s">
        <v>540</v>
      </c>
      <c r="O700" s="4" t="s">
        <v>2568</v>
      </c>
      <c r="P700" s="4" t="s">
        <v>2569</v>
      </c>
      <c r="Q700" s="4" t="s">
        <v>2570</v>
      </c>
      <c r="R700" s="4" t="b">
        <v>0</v>
      </c>
      <c r="S700" s="4" t="s">
        <v>1486</v>
      </c>
      <c r="T700" s="2">
        <v>46015.5881944444</v>
      </c>
      <c r="U700" s="2">
        <v>46012.0</v>
      </c>
      <c r="V700" s="4">
        <v>50.0</v>
      </c>
      <c r="W700" s="4" t="s">
        <v>550</v>
      </c>
      <c r="X700" s="4">
        <v>2025.0</v>
      </c>
      <c r="Y700" s="4" t="s">
        <v>1518</v>
      </c>
      <c r="Z700" s="4" t="s">
        <v>557</v>
      </c>
      <c r="AA700" s="4" t="s">
        <v>558</v>
      </c>
      <c r="AB700" s="4" t="b">
        <v>0</v>
      </c>
      <c r="AC700" s="4" t="s">
        <v>536</v>
      </c>
      <c r="AD700" s="4" t="s">
        <v>537</v>
      </c>
    </row>
    <row r="701" ht="14.25" customHeight="1">
      <c r="A701" s="4">
        <v>8260787.0</v>
      </c>
      <c r="B701" s="2">
        <v>46015.5856597222</v>
      </c>
      <c r="C701" s="4">
        <v>7447047.0</v>
      </c>
      <c r="D701" s="4" t="s">
        <v>1350</v>
      </c>
      <c r="E701" s="2">
        <v>46015.5868055556</v>
      </c>
      <c r="F701" s="4">
        <v>0.5</v>
      </c>
      <c r="G701" s="4">
        <v>0.0</v>
      </c>
      <c r="H701" s="4" t="s">
        <v>1519</v>
      </c>
      <c r="I701" s="4" t="s">
        <v>1553</v>
      </c>
      <c r="J701" s="4" t="s">
        <v>1519</v>
      </c>
      <c r="K701" s="4" t="s">
        <v>1513</v>
      </c>
      <c r="L701" s="4" t="s">
        <v>1553</v>
      </c>
      <c r="M701" s="4" t="s">
        <v>2655</v>
      </c>
      <c r="N701" s="4" t="s">
        <v>540</v>
      </c>
      <c r="O701" s="4" t="s">
        <v>2656</v>
      </c>
      <c r="P701" s="4" t="s">
        <v>2569</v>
      </c>
      <c r="Q701" s="4" t="s">
        <v>2657</v>
      </c>
      <c r="R701" s="4" t="b">
        <v>0</v>
      </c>
      <c r="S701" s="4" t="s">
        <v>1486</v>
      </c>
      <c r="T701" s="2">
        <v>46015.5881944444</v>
      </c>
      <c r="U701" s="2">
        <v>46015.0</v>
      </c>
      <c r="V701" s="4">
        <v>51.0</v>
      </c>
      <c r="W701" s="4" t="s">
        <v>550</v>
      </c>
      <c r="X701" s="4">
        <v>2025.0</v>
      </c>
      <c r="Y701" s="4" t="s">
        <v>1518</v>
      </c>
      <c r="Z701" s="4" t="s">
        <v>557</v>
      </c>
      <c r="AA701" s="4" t="s">
        <v>558</v>
      </c>
      <c r="AB701" s="4" t="b">
        <v>0</v>
      </c>
      <c r="AC701" s="4" t="s">
        <v>536</v>
      </c>
      <c r="AD701" s="4" t="s">
        <v>537</v>
      </c>
    </row>
    <row r="702" ht="14.25" customHeight="1">
      <c r="A702" s="4">
        <v>8261527.0</v>
      </c>
      <c r="B702" s="2">
        <v>46015.6083912037</v>
      </c>
      <c r="C702" s="4">
        <v>7487526.0</v>
      </c>
      <c r="D702" s="4" t="s">
        <v>1352</v>
      </c>
      <c r="E702" s="2">
        <v>46015.6097222222</v>
      </c>
      <c r="F702" s="4">
        <v>1.0</v>
      </c>
      <c r="G702" s="4">
        <v>0.0</v>
      </c>
      <c r="H702" s="4" t="s">
        <v>1519</v>
      </c>
      <c r="I702" s="4" t="s">
        <v>2411</v>
      </c>
      <c r="J702" s="4" t="s">
        <v>1519</v>
      </c>
      <c r="K702" s="4" t="s">
        <v>1513</v>
      </c>
      <c r="L702" s="4" t="s">
        <v>2411</v>
      </c>
      <c r="M702" s="4" t="s">
        <v>2557</v>
      </c>
      <c r="N702" s="4" t="s">
        <v>540</v>
      </c>
      <c r="O702" s="4" t="s">
        <v>2658</v>
      </c>
      <c r="P702" s="4" t="s">
        <v>1845</v>
      </c>
      <c r="Q702" s="4" t="s">
        <v>2659</v>
      </c>
      <c r="R702" s="4" t="b">
        <v>0</v>
      </c>
      <c r="S702" s="4" t="s">
        <v>1486</v>
      </c>
      <c r="T702" s="2">
        <v>46015.6111111111</v>
      </c>
      <c r="U702" s="2">
        <v>46015.0</v>
      </c>
      <c r="V702" s="4">
        <v>51.0</v>
      </c>
      <c r="W702" s="4" t="s">
        <v>550</v>
      </c>
      <c r="X702" s="4">
        <v>2025.0</v>
      </c>
      <c r="Y702" s="4" t="s">
        <v>1518</v>
      </c>
      <c r="Z702" s="4"/>
      <c r="AA702" s="4" t="s">
        <v>558</v>
      </c>
      <c r="AB702" s="4" t="b">
        <v>0</v>
      </c>
      <c r="AC702" s="4" t="s">
        <v>554</v>
      </c>
      <c r="AD702" s="4" t="s">
        <v>537</v>
      </c>
    </row>
    <row r="703" ht="14.25" customHeight="1">
      <c r="A703" s="4">
        <v>8231249.0</v>
      </c>
      <c r="B703" s="2">
        <v>46013.5048726852</v>
      </c>
      <c r="C703" s="4">
        <v>7457343.0</v>
      </c>
      <c r="D703" s="4" t="s">
        <v>1354</v>
      </c>
      <c r="E703" s="2">
        <v>46015.6833333333</v>
      </c>
      <c r="F703" s="4">
        <v>1.0</v>
      </c>
      <c r="G703" s="4">
        <v>0.0</v>
      </c>
      <c r="H703" s="4"/>
      <c r="I703" s="4"/>
      <c r="J703" s="4" t="s">
        <v>1480</v>
      </c>
      <c r="K703" s="4" t="s">
        <v>1480</v>
      </c>
      <c r="L703" s="4" t="s">
        <v>1481</v>
      </c>
      <c r="M703" s="4" t="s">
        <v>1482</v>
      </c>
      <c r="N703" s="4" t="s">
        <v>540</v>
      </c>
      <c r="O703" s="4" t="s">
        <v>1966</v>
      </c>
      <c r="P703" s="4" t="s">
        <v>2263</v>
      </c>
      <c r="Q703" s="4" t="s">
        <v>2660</v>
      </c>
      <c r="R703" s="4" t="b">
        <v>0</v>
      </c>
      <c r="S703" s="4" t="s">
        <v>1486</v>
      </c>
      <c r="T703" s="2">
        <v>46015.6847222222</v>
      </c>
      <c r="U703" s="2">
        <v>46013.0</v>
      </c>
      <c r="V703" s="4">
        <v>51.0</v>
      </c>
      <c r="W703" s="4" t="s">
        <v>550</v>
      </c>
      <c r="X703" s="4">
        <v>2025.0</v>
      </c>
      <c r="Y703" s="4" t="s">
        <v>1487</v>
      </c>
      <c r="Z703" s="4" t="s">
        <v>541</v>
      </c>
      <c r="AA703" s="4" t="s">
        <v>546</v>
      </c>
      <c r="AB703" s="4" t="b">
        <v>0</v>
      </c>
      <c r="AC703" s="4" t="s">
        <v>536</v>
      </c>
      <c r="AD703" s="4" t="s">
        <v>537</v>
      </c>
    </row>
    <row r="704" ht="14.25" customHeight="1">
      <c r="A704" s="4">
        <v>8264194.0</v>
      </c>
      <c r="B704" s="2">
        <v>46015.7429282407</v>
      </c>
      <c r="C704" s="4">
        <v>7490185.0</v>
      </c>
      <c r="D704" s="4" t="s">
        <v>1355</v>
      </c>
      <c r="E704" s="2">
        <v>46015.7444444444</v>
      </c>
      <c r="F704" s="4">
        <v>1.0</v>
      </c>
      <c r="G704" s="4">
        <v>0.0</v>
      </c>
      <c r="H704" s="4" t="s">
        <v>1519</v>
      </c>
      <c r="I704" s="4" t="s">
        <v>2638</v>
      </c>
      <c r="J704" s="4" t="s">
        <v>1519</v>
      </c>
      <c r="K704" s="4" t="s">
        <v>1513</v>
      </c>
      <c r="L704" s="4" t="s">
        <v>2638</v>
      </c>
      <c r="M704" s="4" t="s">
        <v>2603</v>
      </c>
      <c r="N704" s="4" t="s">
        <v>540</v>
      </c>
      <c r="O704" s="4" t="s">
        <v>2661</v>
      </c>
      <c r="P704" s="4" t="s">
        <v>1635</v>
      </c>
      <c r="Q704" s="4" t="s">
        <v>2662</v>
      </c>
      <c r="R704" s="4" t="b">
        <v>0</v>
      </c>
      <c r="S704" s="4" t="s">
        <v>1486</v>
      </c>
      <c r="T704" s="2">
        <v>46015.7458333333</v>
      </c>
      <c r="U704" s="2">
        <v>46015.0</v>
      </c>
      <c r="V704" s="4">
        <v>51.0</v>
      </c>
      <c r="W704" s="4" t="s">
        <v>550</v>
      </c>
      <c r="X704" s="4">
        <v>2025.0</v>
      </c>
      <c r="Y704" s="4" t="s">
        <v>1518</v>
      </c>
      <c r="Z704" s="4"/>
      <c r="AA704" s="4" t="s">
        <v>546</v>
      </c>
      <c r="AB704" s="4" t="b">
        <v>0</v>
      </c>
      <c r="AC704" s="4" t="s">
        <v>536</v>
      </c>
      <c r="AD704" s="4" t="s">
        <v>537</v>
      </c>
    </row>
    <row r="705" ht="14.25" customHeight="1">
      <c r="A705" s="4">
        <v>8106795.0</v>
      </c>
      <c r="B705" s="2">
        <v>46003.4633217593</v>
      </c>
      <c r="C705" s="4">
        <v>7333901.0</v>
      </c>
      <c r="D705" s="4" t="s">
        <v>1356</v>
      </c>
      <c r="E705" s="2">
        <v>46015.7451388889</v>
      </c>
      <c r="F705" s="4">
        <v>1.0</v>
      </c>
      <c r="G705" s="4">
        <v>0.0</v>
      </c>
      <c r="H705" s="4"/>
      <c r="I705" s="4"/>
      <c r="J705" s="4" t="s">
        <v>539</v>
      </c>
      <c r="K705" s="4" t="s">
        <v>539</v>
      </c>
      <c r="L705" s="4" t="s">
        <v>1499</v>
      </c>
      <c r="M705" s="4" t="s">
        <v>1482</v>
      </c>
      <c r="N705" s="4"/>
      <c r="O705" s="4" t="s">
        <v>1483</v>
      </c>
      <c r="P705" s="4" t="s">
        <v>1488</v>
      </c>
      <c r="Q705" s="4" t="s">
        <v>2094</v>
      </c>
      <c r="R705" s="4" t="b">
        <v>0</v>
      </c>
      <c r="S705" s="4" t="s">
        <v>1486</v>
      </c>
      <c r="T705" s="2">
        <v>46015.7555555556</v>
      </c>
      <c r="U705" s="2">
        <v>46003.0</v>
      </c>
      <c r="V705" s="4">
        <v>49.0</v>
      </c>
      <c r="W705" s="4" t="s">
        <v>550</v>
      </c>
      <c r="X705" s="4">
        <v>2025.0</v>
      </c>
      <c r="Y705" s="4" t="s">
        <v>1502</v>
      </c>
      <c r="Z705" s="4" t="s">
        <v>557</v>
      </c>
      <c r="AA705" s="4" t="s">
        <v>673</v>
      </c>
      <c r="AB705" s="4" t="b">
        <v>1</v>
      </c>
      <c r="AC705" s="4" t="s">
        <v>623</v>
      </c>
      <c r="AD705" s="4" t="s">
        <v>537</v>
      </c>
    </row>
    <row r="706" ht="14.25" customHeight="1">
      <c r="A706" s="4">
        <v>8106795.0</v>
      </c>
      <c r="B706" s="2">
        <v>46003.4633217593</v>
      </c>
      <c r="C706" s="4">
        <v>7333901.0</v>
      </c>
      <c r="D706" s="4" t="s">
        <v>1357</v>
      </c>
      <c r="E706" s="2">
        <v>46015.7541666667</v>
      </c>
      <c r="F706" s="4">
        <v>1.0</v>
      </c>
      <c r="G706" s="4">
        <v>0.0</v>
      </c>
      <c r="H706" s="4"/>
      <c r="I706" s="4"/>
      <c r="J706" s="4" t="s">
        <v>539</v>
      </c>
      <c r="K706" s="4" t="s">
        <v>539</v>
      </c>
      <c r="L706" s="4" t="s">
        <v>1499</v>
      </c>
      <c r="M706" s="4" t="s">
        <v>1482</v>
      </c>
      <c r="N706" s="4"/>
      <c r="O706" s="4" t="s">
        <v>1483</v>
      </c>
      <c r="P706" s="4" t="s">
        <v>1488</v>
      </c>
      <c r="Q706" s="4" t="s">
        <v>2094</v>
      </c>
      <c r="R706" s="4" t="b">
        <v>0</v>
      </c>
      <c r="S706" s="4" t="s">
        <v>1486</v>
      </c>
      <c r="T706" s="2">
        <v>46015.7555555556</v>
      </c>
      <c r="U706" s="2">
        <v>46003.0</v>
      </c>
      <c r="V706" s="4">
        <v>49.0</v>
      </c>
      <c r="W706" s="4" t="s">
        <v>550</v>
      </c>
      <c r="X706" s="4">
        <v>2025.0</v>
      </c>
      <c r="Y706" s="4" t="s">
        <v>1502</v>
      </c>
      <c r="Z706" s="4" t="s">
        <v>557</v>
      </c>
      <c r="AA706" s="4" t="s">
        <v>673</v>
      </c>
      <c r="AB706" s="4" t="b">
        <v>1</v>
      </c>
      <c r="AC706" s="4" t="s">
        <v>623</v>
      </c>
      <c r="AD706" s="4" t="s">
        <v>537</v>
      </c>
    </row>
    <row r="707" ht="14.25" customHeight="1">
      <c r="A707" s="4">
        <v>8267270.0</v>
      </c>
      <c r="B707" s="2">
        <v>46015.8706365741</v>
      </c>
      <c r="C707" s="4">
        <v>7493259.0</v>
      </c>
      <c r="D707" s="4" t="s">
        <v>1358</v>
      </c>
      <c r="E707" s="2">
        <v>46015.8715277778</v>
      </c>
      <c r="F707" s="4">
        <v>1.0</v>
      </c>
      <c r="G707" s="4">
        <v>0.0</v>
      </c>
      <c r="H707" s="4" t="s">
        <v>1519</v>
      </c>
      <c r="I707" s="4" t="s">
        <v>2563</v>
      </c>
      <c r="J707" s="4" t="s">
        <v>1519</v>
      </c>
      <c r="K707" s="4" t="s">
        <v>1513</v>
      </c>
      <c r="L707" s="4" t="s">
        <v>2563</v>
      </c>
      <c r="M707" s="4" t="s">
        <v>1692</v>
      </c>
      <c r="N707" s="4" t="s">
        <v>540</v>
      </c>
      <c r="O707" s="4" t="s">
        <v>2663</v>
      </c>
      <c r="P707" s="4" t="s">
        <v>2664</v>
      </c>
      <c r="Q707" s="4" t="s">
        <v>2665</v>
      </c>
      <c r="R707" s="4" t="b">
        <v>0</v>
      </c>
      <c r="S707" s="4" t="s">
        <v>1486</v>
      </c>
      <c r="T707" s="2">
        <v>46015.8729166667</v>
      </c>
      <c r="U707" s="2">
        <v>46015.0</v>
      </c>
      <c r="V707" s="4">
        <v>51.0</v>
      </c>
      <c r="W707" s="4" t="s">
        <v>550</v>
      </c>
      <c r="X707" s="4">
        <v>2025.0</v>
      </c>
      <c r="Y707" s="4" t="s">
        <v>1518</v>
      </c>
      <c r="Z707" s="4"/>
      <c r="AA707" s="4" t="s">
        <v>558</v>
      </c>
      <c r="AB707" s="4" t="b">
        <v>0</v>
      </c>
      <c r="AC707" s="4" t="s">
        <v>536</v>
      </c>
      <c r="AD707" s="4" t="s">
        <v>537</v>
      </c>
    </row>
    <row r="708" ht="14.25" customHeight="1">
      <c r="A708" s="4">
        <v>8272587.0</v>
      </c>
      <c r="B708" s="2">
        <v>46016.1806365741</v>
      </c>
      <c r="C708" s="4">
        <v>7498568.0</v>
      </c>
      <c r="D708" s="4" t="s">
        <v>1359</v>
      </c>
      <c r="E708" s="2">
        <v>46016.18125</v>
      </c>
      <c r="F708" s="4">
        <v>1.0</v>
      </c>
      <c r="G708" s="4">
        <v>0.0</v>
      </c>
      <c r="H708" s="4"/>
      <c r="I708" s="4"/>
      <c r="J708" s="4" t="s">
        <v>1526</v>
      </c>
      <c r="K708" s="4" t="s">
        <v>1527</v>
      </c>
      <c r="L708" s="4" t="s">
        <v>1528</v>
      </c>
      <c r="M708" s="4" t="s">
        <v>1482</v>
      </c>
      <c r="N708" s="4" t="s">
        <v>1529</v>
      </c>
      <c r="O708" s="4" t="s">
        <v>1530</v>
      </c>
      <c r="P708" s="4" t="s">
        <v>2003</v>
      </c>
      <c r="Q708" s="4" t="s">
        <v>2666</v>
      </c>
      <c r="R708" s="4" t="b">
        <v>0</v>
      </c>
      <c r="S708" s="4" t="s">
        <v>1486</v>
      </c>
      <c r="T708" s="2">
        <v>46016.1826388889</v>
      </c>
      <c r="U708" s="2">
        <v>46016.0</v>
      </c>
      <c r="V708" s="4">
        <v>51.0</v>
      </c>
      <c r="W708" s="4" t="s">
        <v>550</v>
      </c>
      <c r="X708" s="4">
        <v>2025.0</v>
      </c>
      <c r="Y708" s="4" t="s">
        <v>1532</v>
      </c>
      <c r="Z708" s="4" t="s">
        <v>853</v>
      </c>
      <c r="AA708" s="4" t="s">
        <v>835</v>
      </c>
      <c r="AB708" s="4" t="b">
        <v>0</v>
      </c>
      <c r="AC708" s="4" t="s">
        <v>536</v>
      </c>
      <c r="AD708" s="4" t="s">
        <v>537</v>
      </c>
    </row>
    <row r="709" ht="14.25" customHeight="1">
      <c r="A709" s="4">
        <v>8272750.0</v>
      </c>
      <c r="B709" s="2">
        <v>46016.1881481481</v>
      </c>
      <c r="C709" s="4">
        <v>7498731.0</v>
      </c>
      <c r="D709" s="4" t="s">
        <v>1360</v>
      </c>
      <c r="E709" s="2">
        <v>46016.1909722222</v>
      </c>
      <c r="F709" s="4">
        <v>1.0</v>
      </c>
      <c r="G709" s="4">
        <v>0.0</v>
      </c>
      <c r="H709" s="4"/>
      <c r="I709" s="4"/>
      <c r="J709" s="4" t="s">
        <v>1480</v>
      </c>
      <c r="K709" s="4" t="s">
        <v>1480</v>
      </c>
      <c r="L709" s="4" t="s">
        <v>1481</v>
      </c>
      <c r="M709" s="4" t="s">
        <v>1482</v>
      </c>
      <c r="N709" s="4" t="s">
        <v>540</v>
      </c>
      <c r="O709" s="4" t="s">
        <v>2057</v>
      </c>
      <c r="P709" s="4" t="s">
        <v>1923</v>
      </c>
      <c r="Q709" s="4" t="s">
        <v>2667</v>
      </c>
      <c r="R709" s="4" t="b">
        <v>0</v>
      </c>
      <c r="S709" s="4" t="s">
        <v>1486</v>
      </c>
      <c r="T709" s="2">
        <v>46016.1923611111</v>
      </c>
      <c r="U709" s="2">
        <v>46016.0</v>
      </c>
      <c r="V709" s="4">
        <v>51.0</v>
      </c>
      <c r="W709" s="4" t="s">
        <v>550</v>
      </c>
      <c r="X709" s="4">
        <v>2025.0</v>
      </c>
      <c r="Y709" s="4" t="s">
        <v>1487</v>
      </c>
      <c r="Z709" s="4"/>
      <c r="AA709" s="4" t="s">
        <v>558</v>
      </c>
      <c r="AB709" s="4" t="b">
        <v>0</v>
      </c>
      <c r="AC709" s="4" t="s">
        <v>554</v>
      </c>
      <c r="AD709" s="4" t="s">
        <v>537</v>
      </c>
    </row>
    <row r="710" ht="14.25" customHeight="1">
      <c r="A710" s="4">
        <v>8273417.0</v>
      </c>
      <c r="B710" s="2">
        <v>46016.2154398148</v>
      </c>
      <c r="C710" s="4">
        <v>7499398.0</v>
      </c>
      <c r="D710" s="4" t="s">
        <v>1361</v>
      </c>
      <c r="E710" s="2">
        <v>46016.2152777778</v>
      </c>
      <c r="F710" s="4">
        <v>1.0</v>
      </c>
      <c r="G710" s="4">
        <v>0.0</v>
      </c>
      <c r="H710" s="4"/>
      <c r="I710" s="4"/>
      <c r="J710" s="4" t="s">
        <v>1480</v>
      </c>
      <c r="K710" s="4" t="s">
        <v>1480</v>
      </c>
      <c r="L710" s="4" t="s">
        <v>1481</v>
      </c>
      <c r="M710" s="4" t="s">
        <v>1482</v>
      </c>
      <c r="N710" s="4" t="s">
        <v>540</v>
      </c>
      <c r="O710" s="4" t="s">
        <v>1500</v>
      </c>
      <c r="P710" s="4" t="s">
        <v>1923</v>
      </c>
      <c r="Q710" s="4" t="s">
        <v>2668</v>
      </c>
      <c r="R710" s="4" t="b">
        <v>0</v>
      </c>
      <c r="S710" s="4" t="s">
        <v>1486</v>
      </c>
      <c r="T710" s="2">
        <v>46016.2166666667</v>
      </c>
      <c r="U710" s="2">
        <v>46016.0</v>
      </c>
      <c r="V710" s="4">
        <v>51.0</v>
      </c>
      <c r="W710" s="4" t="s">
        <v>550</v>
      </c>
      <c r="X710" s="4">
        <v>2025.0</v>
      </c>
      <c r="Y710" s="4" t="s">
        <v>1487</v>
      </c>
      <c r="Z710" s="4"/>
      <c r="AA710" s="4" t="s">
        <v>1362</v>
      </c>
      <c r="AB710" s="4" t="b">
        <v>0</v>
      </c>
      <c r="AC710" s="4" t="s">
        <v>536</v>
      </c>
      <c r="AD710" s="4" t="s">
        <v>537</v>
      </c>
    </row>
    <row r="711" ht="14.25" customHeight="1">
      <c r="A711" s="4">
        <v>8276896.0</v>
      </c>
      <c r="B711" s="2">
        <v>46016.409525463</v>
      </c>
      <c r="C711" s="4">
        <v>7502873.0</v>
      </c>
      <c r="D711" s="4" t="s">
        <v>1363</v>
      </c>
      <c r="E711" s="2">
        <v>46016.4125</v>
      </c>
      <c r="F711" s="4">
        <v>0.0</v>
      </c>
      <c r="G711" s="4">
        <v>0.0</v>
      </c>
      <c r="H711" s="4"/>
      <c r="I711" s="4"/>
      <c r="J711" s="4"/>
      <c r="K711" s="4"/>
      <c r="L711" s="4"/>
      <c r="M711" s="4" t="s">
        <v>1692</v>
      </c>
      <c r="N711" s="4" t="s">
        <v>2669</v>
      </c>
      <c r="O711" s="4" t="s">
        <v>1500</v>
      </c>
      <c r="P711" s="4" t="s">
        <v>2670</v>
      </c>
      <c r="Q711" s="4" t="s">
        <v>2671</v>
      </c>
      <c r="R711" s="4" t="b">
        <v>1</v>
      </c>
      <c r="S711" s="4" t="s">
        <v>1486</v>
      </c>
      <c r="T711" s="2">
        <v>46020.4576388889</v>
      </c>
      <c r="U711" s="2">
        <v>46016.0</v>
      </c>
      <c r="V711" s="4">
        <v>51.0</v>
      </c>
      <c r="W711" s="4" t="s">
        <v>550</v>
      </c>
      <c r="X711" s="4">
        <v>2025.0</v>
      </c>
      <c r="Y711" s="4" t="s">
        <v>1540</v>
      </c>
      <c r="Z711" s="4"/>
      <c r="AA711" s="4" t="s">
        <v>558</v>
      </c>
      <c r="AB711" s="4" t="b">
        <v>0</v>
      </c>
      <c r="AC711" s="4" t="s">
        <v>599</v>
      </c>
      <c r="AD711" s="4" t="s">
        <v>537</v>
      </c>
    </row>
    <row r="712" ht="14.25" customHeight="1">
      <c r="A712" s="4">
        <v>8300850.0</v>
      </c>
      <c r="B712" s="2">
        <v>46016.411875</v>
      </c>
      <c r="C712" s="4">
        <v>7502873.0</v>
      </c>
      <c r="D712" s="4" t="s">
        <v>1363</v>
      </c>
      <c r="E712" s="2">
        <v>46016.4125</v>
      </c>
      <c r="F712" s="4">
        <v>1.0</v>
      </c>
      <c r="G712" s="4">
        <v>0.0</v>
      </c>
      <c r="H712" s="4" t="s">
        <v>1519</v>
      </c>
      <c r="I712" s="4" t="s">
        <v>1781</v>
      </c>
      <c r="J712" s="4" t="s">
        <v>1519</v>
      </c>
      <c r="K712" s="4" t="s">
        <v>1513</v>
      </c>
      <c r="L712" s="4" t="s">
        <v>1781</v>
      </c>
      <c r="M712" s="4" t="s">
        <v>1692</v>
      </c>
      <c r="N712" s="4" t="s">
        <v>2672</v>
      </c>
      <c r="O712" s="4" t="s">
        <v>2669</v>
      </c>
      <c r="P712" s="4"/>
      <c r="Q712" s="4" t="s">
        <v>2673</v>
      </c>
      <c r="R712" s="4" t="b">
        <v>0</v>
      </c>
      <c r="S712" s="4" t="s">
        <v>1486</v>
      </c>
      <c r="T712" s="2">
        <v>46020.4576388889</v>
      </c>
      <c r="U712" s="2">
        <v>46016.0</v>
      </c>
      <c r="V712" s="4">
        <v>51.0</v>
      </c>
      <c r="W712" s="4" t="s">
        <v>550</v>
      </c>
      <c r="X712" s="4">
        <v>2025.0</v>
      </c>
      <c r="Y712" s="4" t="s">
        <v>1518</v>
      </c>
      <c r="Z712" s="4"/>
      <c r="AA712" s="4" t="s">
        <v>558</v>
      </c>
      <c r="AB712" s="4" t="b">
        <v>0</v>
      </c>
      <c r="AC712" s="4" t="s">
        <v>599</v>
      </c>
      <c r="AD712" s="4" t="s">
        <v>537</v>
      </c>
    </row>
    <row r="713" ht="14.25" customHeight="1">
      <c r="A713" s="4">
        <v>8276339.0</v>
      </c>
      <c r="B713" s="2">
        <v>46016.379537037</v>
      </c>
      <c r="C713" s="4">
        <v>7502316.0</v>
      </c>
      <c r="D713" s="4" t="s">
        <v>1364</v>
      </c>
      <c r="E713" s="2">
        <v>46016.4368055556</v>
      </c>
      <c r="F713" s="4">
        <v>1.0</v>
      </c>
      <c r="G713" s="4">
        <v>0.0</v>
      </c>
      <c r="H713" s="4"/>
      <c r="I713" s="4"/>
      <c r="J713" s="4" t="s">
        <v>1526</v>
      </c>
      <c r="K713" s="4" t="s">
        <v>1527</v>
      </c>
      <c r="L713" s="4" t="s">
        <v>1528</v>
      </c>
      <c r="M713" s="4" t="s">
        <v>1482</v>
      </c>
      <c r="N713" s="4" t="s">
        <v>1529</v>
      </c>
      <c r="O713" s="4" t="s">
        <v>2493</v>
      </c>
      <c r="P713" s="4" t="s">
        <v>2003</v>
      </c>
      <c r="Q713" s="4" t="s">
        <v>2674</v>
      </c>
      <c r="R713" s="4" t="b">
        <v>0</v>
      </c>
      <c r="S713" s="4" t="s">
        <v>1486</v>
      </c>
      <c r="T713" s="2">
        <v>46016.4381944444</v>
      </c>
      <c r="U713" s="2">
        <v>46016.0</v>
      </c>
      <c r="V713" s="4">
        <v>51.0</v>
      </c>
      <c r="W713" s="4" t="s">
        <v>550</v>
      </c>
      <c r="X713" s="4">
        <v>2025.0</v>
      </c>
      <c r="Y713" s="4" t="s">
        <v>1532</v>
      </c>
      <c r="Z713" s="4" t="s">
        <v>557</v>
      </c>
      <c r="AA713" s="4" t="s">
        <v>558</v>
      </c>
      <c r="AB713" s="4" t="b">
        <v>0</v>
      </c>
      <c r="AC713" s="4" t="s">
        <v>536</v>
      </c>
      <c r="AD713" s="4" t="s">
        <v>537</v>
      </c>
    </row>
    <row r="714" ht="14.25" customHeight="1">
      <c r="A714" s="4">
        <v>8279426.0</v>
      </c>
      <c r="B714" s="2">
        <v>46016.5666666667</v>
      </c>
      <c r="C714" s="4">
        <v>7505399.0</v>
      </c>
      <c r="D714" s="4" t="s">
        <v>1366</v>
      </c>
      <c r="E714" s="2">
        <v>46016.5673611111</v>
      </c>
      <c r="F714" s="4">
        <v>1.0</v>
      </c>
      <c r="G714" s="4">
        <v>0.0</v>
      </c>
      <c r="H714" s="4" t="s">
        <v>1519</v>
      </c>
      <c r="I714" s="4" t="s">
        <v>1546</v>
      </c>
      <c r="J714" s="4" t="s">
        <v>1519</v>
      </c>
      <c r="K714" s="4" t="s">
        <v>1513</v>
      </c>
      <c r="L714" s="4" t="s">
        <v>1546</v>
      </c>
      <c r="M714" s="4" t="s">
        <v>2675</v>
      </c>
      <c r="N714" s="4" t="s">
        <v>540</v>
      </c>
      <c r="O714" s="4" t="s">
        <v>2676</v>
      </c>
      <c r="P714" s="4" t="s">
        <v>1605</v>
      </c>
      <c r="Q714" s="4" t="s">
        <v>2677</v>
      </c>
      <c r="R714" s="4" t="b">
        <v>0</v>
      </c>
      <c r="S714" s="4" t="s">
        <v>1486</v>
      </c>
      <c r="T714" s="2">
        <v>46016.56875</v>
      </c>
      <c r="U714" s="2">
        <v>46016.0</v>
      </c>
      <c r="V714" s="4">
        <v>51.0</v>
      </c>
      <c r="W714" s="4" t="s">
        <v>550</v>
      </c>
      <c r="X714" s="4">
        <v>2025.0</v>
      </c>
      <c r="Y714" s="4" t="s">
        <v>1518</v>
      </c>
      <c r="Z714" s="4" t="s">
        <v>557</v>
      </c>
      <c r="AA714" s="4" t="s">
        <v>558</v>
      </c>
      <c r="AB714" s="4" t="b">
        <v>0</v>
      </c>
      <c r="AC714" s="4" t="s">
        <v>536</v>
      </c>
      <c r="AD714" s="4" t="s">
        <v>537</v>
      </c>
    </row>
    <row r="715" ht="14.25" customHeight="1">
      <c r="A715" s="4">
        <v>7058945.0</v>
      </c>
      <c r="B715" s="2">
        <v>45733.7452546296</v>
      </c>
      <c r="C715" s="4">
        <v>6312958.0</v>
      </c>
      <c r="D715" s="4" t="s">
        <v>1367</v>
      </c>
      <c r="E715" s="2">
        <v>46016.7402777778</v>
      </c>
      <c r="F715" s="4">
        <v>1.0</v>
      </c>
      <c r="G715" s="4">
        <v>0.0</v>
      </c>
      <c r="H715" s="4" t="s">
        <v>2678</v>
      </c>
      <c r="I715" s="4" t="s">
        <v>2679</v>
      </c>
      <c r="J715" s="4" t="s">
        <v>2678</v>
      </c>
      <c r="K715" s="4" t="s">
        <v>1567</v>
      </c>
      <c r="L715" s="4" t="s">
        <v>2679</v>
      </c>
      <c r="M715" s="4" t="s">
        <v>2680</v>
      </c>
      <c r="N715" s="4"/>
      <c r="O715" s="4" t="s">
        <v>2681</v>
      </c>
      <c r="P715" s="4" t="s">
        <v>1509</v>
      </c>
      <c r="Q715" s="4" t="s">
        <v>2682</v>
      </c>
      <c r="R715" s="4" t="b">
        <v>0</v>
      </c>
      <c r="S715" s="4" t="s">
        <v>1486</v>
      </c>
      <c r="T715" s="2">
        <v>46016.7416666667</v>
      </c>
      <c r="U715" s="2">
        <v>45733.0</v>
      </c>
      <c r="V715" s="4">
        <v>11.0</v>
      </c>
      <c r="W715" s="4" t="s">
        <v>2683</v>
      </c>
      <c r="X715" s="4">
        <v>2025.0</v>
      </c>
      <c r="Y715" s="4" t="s">
        <v>1518</v>
      </c>
      <c r="Z715" s="4" t="s">
        <v>1368</v>
      </c>
      <c r="AA715" s="4" t="s">
        <v>1370</v>
      </c>
      <c r="AB715" s="4" t="b">
        <v>0</v>
      </c>
      <c r="AC715" s="4" t="s">
        <v>536</v>
      </c>
      <c r="AD715" s="4" t="s">
        <v>537</v>
      </c>
    </row>
    <row r="716" ht="14.25" customHeight="1">
      <c r="A716" s="4">
        <v>8283364.0</v>
      </c>
      <c r="B716" s="2">
        <v>46016.7986574074</v>
      </c>
      <c r="C716" s="4">
        <v>7509326.0</v>
      </c>
      <c r="D716" s="4" t="s">
        <v>1371</v>
      </c>
      <c r="E716" s="2">
        <v>46016.80625</v>
      </c>
      <c r="F716" s="4">
        <v>1.0</v>
      </c>
      <c r="G716" s="4">
        <v>0.0</v>
      </c>
      <c r="H716" s="4"/>
      <c r="I716" s="4"/>
      <c r="J716" s="4" t="s">
        <v>1480</v>
      </c>
      <c r="K716" s="4" t="s">
        <v>1480</v>
      </c>
      <c r="L716" s="4" t="s">
        <v>1481</v>
      </c>
      <c r="M716" s="4" t="s">
        <v>1482</v>
      </c>
      <c r="N716" s="4" t="s">
        <v>540</v>
      </c>
      <c r="O716" s="4" t="s">
        <v>2684</v>
      </c>
      <c r="P716" s="4" t="s">
        <v>2615</v>
      </c>
      <c r="Q716" s="4" t="s">
        <v>2685</v>
      </c>
      <c r="R716" s="4" t="b">
        <v>0</v>
      </c>
      <c r="S716" s="4" t="s">
        <v>1486</v>
      </c>
      <c r="T716" s="2">
        <v>46016.8076388889</v>
      </c>
      <c r="U716" s="2">
        <v>46016.0</v>
      </c>
      <c r="V716" s="4">
        <v>51.0</v>
      </c>
      <c r="W716" s="4" t="s">
        <v>550</v>
      </c>
      <c r="X716" s="4">
        <v>2025.0</v>
      </c>
      <c r="Y716" s="4" t="s">
        <v>1487</v>
      </c>
      <c r="Z716" s="4"/>
      <c r="AA716" s="4" t="s">
        <v>558</v>
      </c>
      <c r="AB716" s="4" t="b">
        <v>0</v>
      </c>
      <c r="AC716" s="4" t="s">
        <v>554</v>
      </c>
      <c r="AD716" s="4" t="s">
        <v>537</v>
      </c>
    </row>
    <row r="717" ht="14.25" customHeight="1">
      <c r="A717" s="4">
        <v>8283548.0</v>
      </c>
      <c r="B717" s="2">
        <v>46016.8414236111</v>
      </c>
      <c r="C717" s="4">
        <v>7509508.0</v>
      </c>
      <c r="D717" s="4" t="s">
        <v>1372</v>
      </c>
      <c r="E717" s="2">
        <v>46016.8430555556</v>
      </c>
      <c r="F717" s="4">
        <v>1.0</v>
      </c>
      <c r="G717" s="4">
        <v>0.0</v>
      </c>
      <c r="H717" s="4"/>
      <c r="I717" s="4"/>
      <c r="J717" s="4" t="s">
        <v>1480</v>
      </c>
      <c r="K717" s="4" t="s">
        <v>1480</v>
      </c>
      <c r="L717" s="4" t="s">
        <v>1481</v>
      </c>
      <c r="M717" s="4" t="s">
        <v>1482</v>
      </c>
      <c r="N717" s="4" t="s">
        <v>540</v>
      </c>
      <c r="O717" s="4" t="s">
        <v>1483</v>
      </c>
      <c r="P717" s="4" t="s">
        <v>1506</v>
      </c>
      <c r="Q717" s="4" t="s">
        <v>2686</v>
      </c>
      <c r="R717" s="4" t="b">
        <v>0</v>
      </c>
      <c r="S717" s="4" t="s">
        <v>1486</v>
      </c>
      <c r="T717" s="2">
        <v>46016.8444444444</v>
      </c>
      <c r="U717" s="2">
        <v>46016.0</v>
      </c>
      <c r="V717" s="4">
        <v>51.0</v>
      </c>
      <c r="W717" s="4" t="s">
        <v>550</v>
      </c>
      <c r="X717" s="4">
        <v>2025.0</v>
      </c>
      <c r="Y717" s="4" t="s">
        <v>1487</v>
      </c>
      <c r="Z717" s="4" t="s">
        <v>541</v>
      </c>
      <c r="AA717" s="4" t="s">
        <v>546</v>
      </c>
      <c r="AB717" s="4" t="b">
        <v>0</v>
      </c>
      <c r="AC717" s="4" t="s">
        <v>536</v>
      </c>
      <c r="AD717" s="4" t="s">
        <v>537</v>
      </c>
    </row>
    <row r="718" ht="14.25" customHeight="1">
      <c r="A718" s="4">
        <v>8284533.0</v>
      </c>
      <c r="B718" s="2">
        <v>46017.0367824074</v>
      </c>
      <c r="C718" s="4">
        <v>7510482.0</v>
      </c>
      <c r="D718" s="4" t="s">
        <v>1373</v>
      </c>
      <c r="E718" s="2">
        <v>46017.0381944444</v>
      </c>
      <c r="F718" s="4">
        <v>1.0</v>
      </c>
      <c r="G718" s="4">
        <v>0.0</v>
      </c>
      <c r="H718" s="4"/>
      <c r="I718" s="4"/>
      <c r="J718" s="4" t="s">
        <v>1480</v>
      </c>
      <c r="K718" s="4" t="s">
        <v>1480</v>
      </c>
      <c r="L718" s="4" t="s">
        <v>1901</v>
      </c>
      <c r="M718" s="4" t="s">
        <v>1482</v>
      </c>
      <c r="N718" s="4" t="s">
        <v>831</v>
      </c>
      <c r="O718" s="4" t="s">
        <v>1483</v>
      </c>
      <c r="P718" s="4" t="s">
        <v>1794</v>
      </c>
      <c r="Q718" s="4" t="s">
        <v>2687</v>
      </c>
      <c r="R718" s="4" t="b">
        <v>0</v>
      </c>
      <c r="S718" s="4" t="s">
        <v>1486</v>
      </c>
      <c r="T718" s="2">
        <v>46017.0395833333</v>
      </c>
      <c r="U718" s="2">
        <v>46017.0</v>
      </c>
      <c r="V718" s="4">
        <v>51.0</v>
      </c>
      <c r="W718" s="4" t="s">
        <v>550</v>
      </c>
      <c r="X718" s="4">
        <v>2025.0</v>
      </c>
      <c r="Y718" s="4" t="s">
        <v>1904</v>
      </c>
      <c r="Z718" s="4" t="s">
        <v>541</v>
      </c>
      <c r="AA718" s="4" t="s">
        <v>546</v>
      </c>
      <c r="AB718" s="4" t="b">
        <v>0</v>
      </c>
      <c r="AC718" s="4" t="s">
        <v>536</v>
      </c>
      <c r="AD718" s="4" t="s">
        <v>537</v>
      </c>
    </row>
    <row r="719" ht="14.25" customHeight="1">
      <c r="A719" s="4">
        <v>8285389.0</v>
      </c>
      <c r="B719" s="2">
        <v>46017.2053472222</v>
      </c>
      <c r="C719" s="4">
        <v>7511335.0</v>
      </c>
      <c r="D719" s="4" t="s">
        <v>1376</v>
      </c>
      <c r="E719" s="2">
        <v>46017.2055555556</v>
      </c>
      <c r="F719" s="4">
        <v>1.0</v>
      </c>
      <c r="G719" s="4">
        <v>0.0</v>
      </c>
      <c r="H719" s="4"/>
      <c r="I719" s="4"/>
      <c r="J719" s="4" t="s">
        <v>539</v>
      </c>
      <c r="K719" s="4" t="s">
        <v>539</v>
      </c>
      <c r="L719" s="4" t="s">
        <v>1499</v>
      </c>
      <c r="M719" s="4" t="s">
        <v>1482</v>
      </c>
      <c r="N719" s="4"/>
      <c r="O719" s="4" t="s">
        <v>1483</v>
      </c>
      <c r="P719" s="4" t="s">
        <v>1635</v>
      </c>
      <c r="Q719" s="4" t="s">
        <v>2688</v>
      </c>
      <c r="R719" s="4" t="b">
        <v>0</v>
      </c>
      <c r="S719" s="4" t="s">
        <v>1486</v>
      </c>
      <c r="T719" s="2">
        <v>46017.2069444444</v>
      </c>
      <c r="U719" s="2">
        <v>46017.0</v>
      </c>
      <c r="V719" s="4">
        <v>51.0</v>
      </c>
      <c r="W719" s="4" t="s">
        <v>550</v>
      </c>
      <c r="X719" s="4">
        <v>2025.0</v>
      </c>
      <c r="Y719" s="4" t="s">
        <v>1502</v>
      </c>
      <c r="Z719" s="4"/>
      <c r="AA719" s="4" t="s">
        <v>835</v>
      </c>
      <c r="AB719" s="4" t="b">
        <v>1</v>
      </c>
      <c r="AC719" s="4" t="s">
        <v>536</v>
      </c>
      <c r="AD719" s="4" t="s">
        <v>537</v>
      </c>
    </row>
    <row r="720" ht="14.25" customHeight="1">
      <c r="A720" s="4">
        <v>8285987.0</v>
      </c>
      <c r="B720" s="2">
        <v>46017.3173032407</v>
      </c>
      <c r="C720" s="4">
        <v>7511932.0</v>
      </c>
      <c r="D720" s="4" t="s">
        <v>1377</v>
      </c>
      <c r="E720" s="2">
        <v>46017.3173611111</v>
      </c>
      <c r="F720" s="4">
        <v>0.0</v>
      </c>
      <c r="G720" s="4">
        <v>0.0</v>
      </c>
      <c r="H720" s="4"/>
      <c r="I720" s="4"/>
      <c r="J720" s="4"/>
      <c r="K720" s="4"/>
      <c r="L720" s="4"/>
      <c r="M720" s="4" t="s">
        <v>1482</v>
      </c>
      <c r="N720" s="4" t="s">
        <v>1842</v>
      </c>
      <c r="O720" s="4" t="s">
        <v>2689</v>
      </c>
      <c r="P720" s="4" t="s">
        <v>2690</v>
      </c>
      <c r="Q720" s="4" t="s">
        <v>2691</v>
      </c>
      <c r="R720" s="4" t="b">
        <v>1</v>
      </c>
      <c r="S720" s="4" t="s">
        <v>1486</v>
      </c>
      <c r="T720" s="2">
        <v>46017.31875</v>
      </c>
      <c r="U720" s="2">
        <v>46017.0</v>
      </c>
      <c r="V720" s="4">
        <v>51.0</v>
      </c>
      <c r="W720" s="4" t="s">
        <v>550</v>
      </c>
      <c r="X720" s="4">
        <v>2025.0</v>
      </c>
      <c r="Y720" s="4" t="s">
        <v>1540</v>
      </c>
      <c r="Z720" s="4"/>
      <c r="AA720" s="4" t="s">
        <v>786</v>
      </c>
      <c r="AB720" s="4" t="b">
        <v>0</v>
      </c>
      <c r="AC720" s="4" t="s">
        <v>623</v>
      </c>
      <c r="AD720" s="4" t="s">
        <v>537</v>
      </c>
    </row>
    <row r="721" ht="14.25" customHeight="1">
      <c r="A721" s="4">
        <v>8287159.0</v>
      </c>
      <c r="B721" s="2">
        <v>46017.5019212963</v>
      </c>
      <c r="C721" s="4">
        <v>7513096.0</v>
      </c>
      <c r="D721" s="4" t="s">
        <v>1378</v>
      </c>
      <c r="E721" s="2">
        <v>46017.5020833333</v>
      </c>
      <c r="F721" s="4">
        <v>1.0</v>
      </c>
      <c r="G721" s="4">
        <v>0.0</v>
      </c>
      <c r="H721" s="4"/>
      <c r="I721" s="4"/>
      <c r="J721" s="4" t="s">
        <v>1480</v>
      </c>
      <c r="K721" s="4" t="s">
        <v>1480</v>
      </c>
      <c r="L721" s="4" t="s">
        <v>1481</v>
      </c>
      <c r="M721" s="4" t="s">
        <v>1482</v>
      </c>
      <c r="N721" s="4" t="s">
        <v>540</v>
      </c>
      <c r="O721" s="4" t="s">
        <v>1483</v>
      </c>
      <c r="P721" s="4" t="s">
        <v>1635</v>
      </c>
      <c r="Q721" s="4" t="s">
        <v>2692</v>
      </c>
      <c r="R721" s="4" t="b">
        <v>0</v>
      </c>
      <c r="S721" s="4" t="s">
        <v>1486</v>
      </c>
      <c r="T721" s="2">
        <v>46017.5034722222</v>
      </c>
      <c r="U721" s="2">
        <v>46017.0</v>
      </c>
      <c r="V721" s="4">
        <v>51.0</v>
      </c>
      <c r="W721" s="4" t="s">
        <v>550</v>
      </c>
      <c r="X721" s="4">
        <v>2025.0</v>
      </c>
      <c r="Y721" s="4" t="s">
        <v>1487</v>
      </c>
      <c r="Z721" s="4" t="s">
        <v>557</v>
      </c>
      <c r="AA721" s="4" t="s">
        <v>558</v>
      </c>
      <c r="AB721" s="4" t="b">
        <v>0</v>
      </c>
      <c r="AC721" s="4" t="s">
        <v>536</v>
      </c>
      <c r="AD721" s="4" t="s">
        <v>537</v>
      </c>
    </row>
    <row r="722" ht="14.25" customHeight="1">
      <c r="A722" s="4">
        <v>8287416.0</v>
      </c>
      <c r="B722" s="2">
        <v>46017.5337962963</v>
      </c>
      <c r="C722" s="4">
        <v>7513352.0</v>
      </c>
      <c r="D722" s="4" t="s">
        <v>1379</v>
      </c>
      <c r="E722" s="2">
        <v>46017.5375</v>
      </c>
      <c r="F722" s="4">
        <v>1.0</v>
      </c>
      <c r="G722" s="4">
        <v>0.0</v>
      </c>
      <c r="H722" s="4"/>
      <c r="I722" s="4"/>
      <c r="J722" s="4" t="s">
        <v>1480</v>
      </c>
      <c r="K722" s="4" t="s">
        <v>1480</v>
      </c>
      <c r="L722" s="4" t="s">
        <v>1561</v>
      </c>
      <c r="M722" s="4" t="s">
        <v>1482</v>
      </c>
      <c r="N722" s="4" t="s">
        <v>588</v>
      </c>
      <c r="O722" s="4" t="s">
        <v>1483</v>
      </c>
      <c r="P722" s="4" t="s">
        <v>1635</v>
      </c>
      <c r="Q722" s="4" t="s">
        <v>2693</v>
      </c>
      <c r="R722" s="4" t="b">
        <v>0</v>
      </c>
      <c r="S722" s="4" t="s">
        <v>1486</v>
      </c>
      <c r="T722" s="2">
        <v>46017.5388888889</v>
      </c>
      <c r="U722" s="2">
        <v>46017.0</v>
      </c>
      <c r="V722" s="4">
        <v>51.0</v>
      </c>
      <c r="W722" s="4" t="s">
        <v>550</v>
      </c>
      <c r="X722" s="4">
        <v>2025.0</v>
      </c>
      <c r="Y722" s="4" t="s">
        <v>1564</v>
      </c>
      <c r="Z722" s="4" t="s">
        <v>541</v>
      </c>
      <c r="AA722" s="4" t="s">
        <v>546</v>
      </c>
      <c r="AB722" s="4" t="b">
        <v>0</v>
      </c>
      <c r="AC722" s="4" t="s">
        <v>536</v>
      </c>
      <c r="AD722" s="4" t="s">
        <v>537</v>
      </c>
    </row>
    <row r="723" ht="14.25" customHeight="1">
      <c r="A723" s="4">
        <v>8288402.0</v>
      </c>
      <c r="B723" s="2">
        <v>46017.7531134259</v>
      </c>
      <c r="C723" s="4">
        <v>7514329.0</v>
      </c>
      <c r="D723" s="4" t="s">
        <v>1380</v>
      </c>
      <c r="E723" s="2">
        <v>46017.7534722222</v>
      </c>
      <c r="F723" s="4">
        <v>1.0</v>
      </c>
      <c r="G723" s="4">
        <v>0.0</v>
      </c>
      <c r="H723" s="4"/>
      <c r="I723" s="4"/>
      <c r="J723" s="4" t="s">
        <v>1480</v>
      </c>
      <c r="K723" s="4" t="s">
        <v>1480</v>
      </c>
      <c r="L723" s="4" t="s">
        <v>1481</v>
      </c>
      <c r="M723" s="4" t="s">
        <v>1482</v>
      </c>
      <c r="N723" s="4" t="s">
        <v>540</v>
      </c>
      <c r="O723" s="4" t="s">
        <v>1483</v>
      </c>
      <c r="P723" s="4" t="s">
        <v>1635</v>
      </c>
      <c r="Q723" s="4" t="s">
        <v>2694</v>
      </c>
      <c r="R723" s="4" t="b">
        <v>0</v>
      </c>
      <c r="S723" s="4" t="s">
        <v>1486</v>
      </c>
      <c r="T723" s="2">
        <v>46017.7548611111</v>
      </c>
      <c r="U723" s="2">
        <v>46017.0</v>
      </c>
      <c r="V723" s="4">
        <v>51.0</v>
      </c>
      <c r="W723" s="4" t="s">
        <v>550</v>
      </c>
      <c r="X723" s="4">
        <v>2025.0</v>
      </c>
      <c r="Y723" s="4" t="s">
        <v>1487</v>
      </c>
      <c r="Z723" s="4" t="s">
        <v>557</v>
      </c>
      <c r="AA723" s="4" t="s">
        <v>558</v>
      </c>
      <c r="AB723" s="4" t="b">
        <v>0</v>
      </c>
      <c r="AC723" s="4" t="s">
        <v>536</v>
      </c>
      <c r="AD723" s="4" t="s">
        <v>537</v>
      </c>
    </row>
    <row r="724" ht="14.25" customHeight="1">
      <c r="A724" s="4">
        <v>8288647.0</v>
      </c>
      <c r="B724" s="2">
        <v>46017.8854166667</v>
      </c>
      <c r="C724" s="4">
        <v>7514568.0</v>
      </c>
      <c r="D724" s="4" t="s">
        <v>1382</v>
      </c>
      <c r="E724" s="2">
        <v>46017.8854166667</v>
      </c>
      <c r="F724" s="4">
        <v>0.0</v>
      </c>
      <c r="G724" s="4">
        <v>0.0</v>
      </c>
      <c r="H724" s="4"/>
      <c r="I724" s="4"/>
      <c r="J724" s="4"/>
      <c r="K724" s="4"/>
      <c r="L724" s="4"/>
      <c r="M724" s="4" t="s">
        <v>1482</v>
      </c>
      <c r="N724" s="4" t="s">
        <v>2470</v>
      </c>
      <c r="O724" s="4" t="s">
        <v>1598</v>
      </c>
      <c r="P724" s="4" t="s">
        <v>2695</v>
      </c>
      <c r="Q724" s="4" t="s">
        <v>2696</v>
      </c>
      <c r="R724" s="4" t="b">
        <v>1</v>
      </c>
      <c r="S724" s="4" t="s">
        <v>1486</v>
      </c>
      <c r="T724" s="2">
        <v>46017.8868055556</v>
      </c>
      <c r="U724" s="2">
        <v>46017.0</v>
      </c>
      <c r="V724" s="4">
        <v>51.0</v>
      </c>
      <c r="W724" s="4" t="s">
        <v>550</v>
      </c>
      <c r="X724" s="4">
        <v>2025.0</v>
      </c>
      <c r="Y724" s="4" t="s">
        <v>1540</v>
      </c>
      <c r="Z724" s="4"/>
      <c r="AA724" s="4" t="s">
        <v>1003</v>
      </c>
      <c r="AB724" s="4" t="b">
        <v>0</v>
      </c>
      <c r="AC724" s="4" t="s">
        <v>554</v>
      </c>
      <c r="AD724" s="4" t="s">
        <v>537</v>
      </c>
    </row>
    <row r="725" ht="14.25" customHeight="1">
      <c r="A725" s="4">
        <v>8290064.0</v>
      </c>
      <c r="B725" s="2">
        <v>46018.5270138889</v>
      </c>
      <c r="C725" s="4">
        <v>7515965.0</v>
      </c>
      <c r="D725" s="4" t="s">
        <v>1383</v>
      </c>
      <c r="E725" s="2">
        <v>46018.5270833333</v>
      </c>
      <c r="F725" s="4">
        <v>1.0</v>
      </c>
      <c r="G725" s="4">
        <v>0.0</v>
      </c>
      <c r="H725" s="4"/>
      <c r="I725" s="4"/>
      <c r="J725" s="4" t="s">
        <v>1480</v>
      </c>
      <c r="K725" s="4" t="s">
        <v>1480</v>
      </c>
      <c r="L725" s="4" t="s">
        <v>1481</v>
      </c>
      <c r="M725" s="4" t="s">
        <v>1482</v>
      </c>
      <c r="N725" s="4" t="s">
        <v>540</v>
      </c>
      <c r="O725" s="4" t="s">
        <v>1483</v>
      </c>
      <c r="P725" s="4" t="s">
        <v>1635</v>
      </c>
      <c r="Q725" s="4" t="s">
        <v>2697</v>
      </c>
      <c r="R725" s="4" t="b">
        <v>0</v>
      </c>
      <c r="S725" s="4" t="s">
        <v>1486</v>
      </c>
      <c r="T725" s="2">
        <v>46018.5284722222</v>
      </c>
      <c r="U725" s="2">
        <v>46018.0</v>
      </c>
      <c r="V725" s="4">
        <v>51.0</v>
      </c>
      <c r="W725" s="4" t="s">
        <v>550</v>
      </c>
      <c r="X725" s="4">
        <v>2025.0</v>
      </c>
      <c r="Y725" s="4" t="s">
        <v>1487</v>
      </c>
      <c r="Z725" s="4" t="s">
        <v>557</v>
      </c>
      <c r="AA725" s="4" t="s">
        <v>558</v>
      </c>
      <c r="AB725" s="4" t="b">
        <v>0</v>
      </c>
      <c r="AC725" s="4" t="s">
        <v>536</v>
      </c>
      <c r="AD725" s="4" t="s">
        <v>537</v>
      </c>
    </row>
    <row r="726" ht="14.25" customHeight="1">
      <c r="A726" s="4">
        <v>8290519.0</v>
      </c>
      <c r="B726" s="2">
        <v>46018.6154282407</v>
      </c>
      <c r="C726" s="4">
        <v>7516417.0</v>
      </c>
      <c r="D726" s="4" t="s">
        <v>1385</v>
      </c>
      <c r="E726" s="2">
        <v>46018.6159722222</v>
      </c>
      <c r="F726" s="4">
        <v>1.0</v>
      </c>
      <c r="G726" s="4">
        <v>0.0</v>
      </c>
      <c r="H726" s="4"/>
      <c r="I726" s="4"/>
      <c r="J726" s="4" t="s">
        <v>1526</v>
      </c>
      <c r="K726" s="4" t="s">
        <v>1527</v>
      </c>
      <c r="L726" s="4" t="s">
        <v>1528</v>
      </c>
      <c r="M726" s="4" t="s">
        <v>1482</v>
      </c>
      <c r="N726" s="4" t="s">
        <v>1529</v>
      </c>
      <c r="O726" s="4" t="s">
        <v>2698</v>
      </c>
      <c r="P726" s="4" t="s">
        <v>1923</v>
      </c>
      <c r="Q726" s="4" t="s">
        <v>2699</v>
      </c>
      <c r="R726" s="4" t="b">
        <v>0</v>
      </c>
      <c r="S726" s="4" t="s">
        <v>1486</v>
      </c>
      <c r="T726" s="2">
        <v>46018.6173611111</v>
      </c>
      <c r="U726" s="2">
        <v>46018.0</v>
      </c>
      <c r="V726" s="4">
        <v>51.0</v>
      </c>
      <c r="W726" s="4" t="s">
        <v>550</v>
      </c>
      <c r="X726" s="4">
        <v>2025.0</v>
      </c>
      <c r="Y726" s="4" t="s">
        <v>1532</v>
      </c>
      <c r="Z726" s="4" t="s">
        <v>557</v>
      </c>
      <c r="AA726" s="4" t="s">
        <v>558</v>
      </c>
      <c r="AB726" s="4" t="b">
        <v>0</v>
      </c>
      <c r="AC726" s="4" t="s">
        <v>536</v>
      </c>
      <c r="AD726" s="4" t="s">
        <v>537</v>
      </c>
    </row>
    <row r="727" ht="14.25" customHeight="1">
      <c r="A727" s="4">
        <v>8290703.0</v>
      </c>
      <c r="B727" s="2">
        <v>46018.6505439815</v>
      </c>
      <c r="C727" s="4">
        <v>7516601.0</v>
      </c>
      <c r="D727" s="4" t="s">
        <v>1386</v>
      </c>
      <c r="E727" s="2">
        <v>46018.7118055556</v>
      </c>
      <c r="F727" s="4">
        <v>1.0</v>
      </c>
      <c r="G727" s="4">
        <v>0.0</v>
      </c>
      <c r="H727" s="4"/>
      <c r="I727" s="4"/>
      <c r="J727" s="4" t="s">
        <v>1480</v>
      </c>
      <c r="K727" s="4" t="s">
        <v>1480</v>
      </c>
      <c r="L727" s="4" t="s">
        <v>1481</v>
      </c>
      <c r="M727" s="4" t="s">
        <v>1482</v>
      </c>
      <c r="N727" s="4" t="s">
        <v>540</v>
      </c>
      <c r="O727" s="4" t="s">
        <v>1483</v>
      </c>
      <c r="P727" s="4" t="s">
        <v>1635</v>
      </c>
      <c r="Q727" s="4" t="s">
        <v>2700</v>
      </c>
      <c r="R727" s="4" t="b">
        <v>0</v>
      </c>
      <c r="S727" s="4" t="s">
        <v>1486</v>
      </c>
      <c r="T727" s="2">
        <v>46018.7131944444</v>
      </c>
      <c r="U727" s="2">
        <v>46018.0</v>
      </c>
      <c r="V727" s="4">
        <v>51.0</v>
      </c>
      <c r="W727" s="4" t="s">
        <v>550</v>
      </c>
      <c r="X727" s="4">
        <v>2025.0</v>
      </c>
      <c r="Y727" s="4" t="s">
        <v>1487</v>
      </c>
      <c r="Z727" s="4" t="s">
        <v>557</v>
      </c>
      <c r="AA727" s="4" t="s">
        <v>558</v>
      </c>
      <c r="AB727" s="4" t="b">
        <v>0</v>
      </c>
      <c r="AC727" s="4" t="s">
        <v>536</v>
      </c>
      <c r="AD727" s="4" t="s">
        <v>537</v>
      </c>
    </row>
    <row r="728" ht="14.25" customHeight="1">
      <c r="A728" s="4">
        <v>8292418.0</v>
      </c>
      <c r="B728" s="2">
        <v>46018.9725694444</v>
      </c>
      <c r="C728" s="4">
        <v>7518306.0</v>
      </c>
      <c r="D728" s="4" t="s">
        <v>1388</v>
      </c>
      <c r="E728" s="2">
        <v>46018.9756944444</v>
      </c>
      <c r="F728" s="4">
        <v>1.0</v>
      </c>
      <c r="G728" s="4">
        <v>0.0</v>
      </c>
      <c r="H728" s="4"/>
      <c r="I728" s="4"/>
      <c r="J728" s="4" t="s">
        <v>1526</v>
      </c>
      <c r="K728" s="4" t="s">
        <v>1527</v>
      </c>
      <c r="L728" s="4" t="s">
        <v>1528</v>
      </c>
      <c r="M728" s="4" t="s">
        <v>1482</v>
      </c>
      <c r="N728" s="4" t="s">
        <v>1529</v>
      </c>
      <c r="O728" s="4" t="s">
        <v>1530</v>
      </c>
      <c r="P728" s="4" t="s">
        <v>1635</v>
      </c>
      <c r="Q728" s="4" t="s">
        <v>2701</v>
      </c>
      <c r="R728" s="4" t="b">
        <v>0</v>
      </c>
      <c r="S728" s="4" t="s">
        <v>1486</v>
      </c>
      <c r="T728" s="2">
        <v>46018.9770833333</v>
      </c>
      <c r="U728" s="2">
        <v>46018.0</v>
      </c>
      <c r="V728" s="4">
        <v>51.0</v>
      </c>
      <c r="W728" s="4" t="s">
        <v>550</v>
      </c>
      <c r="X728" s="4">
        <v>2025.0</v>
      </c>
      <c r="Y728" s="4" t="s">
        <v>1532</v>
      </c>
      <c r="Z728" s="4" t="s">
        <v>557</v>
      </c>
      <c r="AA728" s="4" t="s">
        <v>558</v>
      </c>
      <c r="AB728" s="4" t="b">
        <v>0</v>
      </c>
      <c r="AC728" s="4" t="s">
        <v>536</v>
      </c>
      <c r="AD728" s="4" t="s">
        <v>537</v>
      </c>
    </row>
    <row r="729" ht="14.25" customHeight="1">
      <c r="A729" s="4">
        <v>8283730.0</v>
      </c>
      <c r="B729" s="2">
        <v>46016.8813773148</v>
      </c>
      <c r="C729" s="4">
        <v>7509689.0</v>
      </c>
      <c r="D729" s="4" t="s">
        <v>1390</v>
      </c>
      <c r="E729" s="2">
        <v>46019.0034722222</v>
      </c>
      <c r="F729" s="4">
        <v>1.0</v>
      </c>
      <c r="G729" s="4">
        <v>0.0</v>
      </c>
      <c r="H729" s="4"/>
      <c r="I729" s="4"/>
      <c r="J729" s="4" t="s">
        <v>1480</v>
      </c>
      <c r="K729" s="4" t="s">
        <v>1480</v>
      </c>
      <c r="L729" s="4" t="s">
        <v>1481</v>
      </c>
      <c r="M729" s="4" t="s">
        <v>1482</v>
      </c>
      <c r="N729" s="4" t="s">
        <v>540</v>
      </c>
      <c r="O729" s="4" t="s">
        <v>1483</v>
      </c>
      <c r="P729" s="4" t="s">
        <v>2003</v>
      </c>
      <c r="Q729" s="4" t="s">
        <v>2702</v>
      </c>
      <c r="R729" s="4" t="b">
        <v>0</v>
      </c>
      <c r="S729" s="4" t="s">
        <v>1486</v>
      </c>
      <c r="T729" s="2">
        <v>46019.0048611111</v>
      </c>
      <c r="U729" s="2">
        <v>46016.0</v>
      </c>
      <c r="V729" s="4">
        <v>51.0</v>
      </c>
      <c r="W729" s="4" t="s">
        <v>550</v>
      </c>
      <c r="X729" s="4">
        <v>2025.0</v>
      </c>
      <c r="Y729" s="4" t="s">
        <v>1487</v>
      </c>
      <c r="Z729" s="4" t="s">
        <v>557</v>
      </c>
      <c r="AA729" s="4" t="s">
        <v>558</v>
      </c>
      <c r="AB729" s="4" t="b">
        <v>0</v>
      </c>
      <c r="AC729" s="4" t="s">
        <v>536</v>
      </c>
      <c r="AD729" s="4" t="s">
        <v>537</v>
      </c>
    </row>
    <row r="730" ht="14.25" customHeight="1">
      <c r="A730" s="4">
        <v>8293711.0</v>
      </c>
      <c r="B730" s="2">
        <v>46019.2271875</v>
      </c>
      <c r="C730" s="4">
        <v>7519590.0</v>
      </c>
      <c r="D730" s="4" t="s">
        <v>1392</v>
      </c>
      <c r="E730" s="2">
        <v>46019.2277777778</v>
      </c>
      <c r="F730" s="4">
        <v>1.0</v>
      </c>
      <c r="G730" s="4">
        <v>0.0</v>
      </c>
      <c r="H730" s="4"/>
      <c r="I730" s="4"/>
      <c r="J730" s="4" t="s">
        <v>1480</v>
      </c>
      <c r="K730" s="4" t="s">
        <v>1480</v>
      </c>
      <c r="L730" s="4" t="s">
        <v>1481</v>
      </c>
      <c r="M730" s="4" t="s">
        <v>1482</v>
      </c>
      <c r="N730" s="4" t="s">
        <v>540</v>
      </c>
      <c r="O730" s="4" t="s">
        <v>1644</v>
      </c>
      <c r="P730" s="4" t="s">
        <v>2703</v>
      </c>
      <c r="Q730" s="4" t="s">
        <v>2704</v>
      </c>
      <c r="R730" s="4" t="b">
        <v>0</v>
      </c>
      <c r="S730" s="4" t="s">
        <v>1486</v>
      </c>
      <c r="T730" s="2">
        <v>46019.2291666667</v>
      </c>
      <c r="U730" s="2">
        <v>46019.0</v>
      </c>
      <c r="V730" s="4">
        <v>51.0</v>
      </c>
      <c r="W730" s="4" t="s">
        <v>550</v>
      </c>
      <c r="X730" s="4">
        <v>2025.0</v>
      </c>
      <c r="Y730" s="4" t="s">
        <v>1487</v>
      </c>
      <c r="Z730" s="4"/>
      <c r="AA730" s="4" t="s">
        <v>558</v>
      </c>
      <c r="AB730" s="4" t="b">
        <v>0</v>
      </c>
      <c r="AC730" s="4" t="s">
        <v>554</v>
      </c>
      <c r="AD730" s="4" t="s">
        <v>537</v>
      </c>
    </row>
    <row r="731" ht="14.25" customHeight="1">
      <c r="A731" s="4">
        <v>8296226.0</v>
      </c>
      <c r="B731" s="2">
        <v>46019.6817013889</v>
      </c>
      <c r="C731" s="4">
        <v>7522095.0</v>
      </c>
      <c r="D731" s="4" t="s">
        <v>1393</v>
      </c>
      <c r="E731" s="2">
        <v>46019.6826388889</v>
      </c>
      <c r="F731" s="4">
        <v>1.0</v>
      </c>
      <c r="G731" s="4">
        <v>0.0</v>
      </c>
      <c r="H731" s="4"/>
      <c r="I731" s="4"/>
      <c r="J731" s="4" t="s">
        <v>1526</v>
      </c>
      <c r="K731" s="4" t="s">
        <v>1527</v>
      </c>
      <c r="L731" s="4" t="s">
        <v>1528</v>
      </c>
      <c r="M731" s="4" t="s">
        <v>1482</v>
      </c>
      <c r="N731" s="4" t="s">
        <v>1529</v>
      </c>
      <c r="O731" s="4" t="s">
        <v>1530</v>
      </c>
      <c r="P731" s="4" t="s">
        <v>1635</v>
      </c>
      <c r="Q731" s="4" t="s">
        <v>2705</v>
      </c>
      <c r="R731" s="4" t="b">
        <v>0</v>
      </c>
      <c r="S731" s="4" t="s">
        <v>1486</v>
      </c>
      <c r="T731" s="2">
        <v>46021.6097222222</v>
      </c>
      <c r="U731" s="2">
        <v>46019.0</v>
      </c>
      <c r="V731" s="4">
        <v>51.0</v>
      </c>
      <c r="W731" s="4" t="s">
        <v>550</v>
      </c>
      <c r="X731" s="4">
        <v>2025.0</v>
      </c>
      <c r="Y731" s="4" t="s">
        <v>1532</v>
      </c>
      <c r="Z731" s="4" t="s">
        <v>977</v>
      </c>
      <c r="AA731" s="4" t="s">
        <v>655</v>
      </c>
      <c r="AB731" s="4" t="b">
        <v>0</v>
      </c>
      <c r="AC731" s="4" t="s">
        <v>536</v>
      </c>
      <c r="AD731" s="4" t="s">
        <v>537</v>
      </c>
    </row>
    <row r="732" ht="14.25" customHeight="1">
      <c r="A732" s="4">
        <v>8296975.0</v>
      </c>
      <c r="B732" s="2">
        <v>46019.8021412037</v>
      </c>
      <c r="C732" s="4">
        <v>7522834.0</v>
      </c>
      <c r="D732" s="4" t="s">
        <v>1394</v>
      </c>
      <c r="E732" s="2">
        <v>46019.8145833333</v>
      </c>
      <c r="F732" s="4">
        <v>1.0</v>
      </c>
      <c r="G732" s="4">
        <v>0.0</v>
      </c>
      <c r="H732" s="4"/>
      <c r="I732" s="4"/>
      <c r="J732" s="4" t="s">
        <v>1480</v>
      </c>
      <c r="K732" s="4" t="s">
        <v>1480</v>
      </c>
      <c r="L732" s="4" t="s">
        <v>1481</v>
      </c>
      <c r="M732" s="4" t="s">
        <v>1482</v>
      </c>
      <c r="N732" s="4" t="s">
        <v>540</v>
      </c>
      <c r="O732" s="4" t="s">
        <v>1483</v>
      </c>
      <c r="P732" s="4" t="s">
        <v>2706</v>
      </c>
      <c r="Q732" s="4" t="s">
        <v>2707</v>
      </c>
      <c r="R732" s="4" t="b">
        <v>0</v>
      </c>
      <c r="S732" s="4" t="s">
        <v>1486</v>
      </c>
      <c r="T732" s="2">
        <v>46019.8159722222</v>
      </c>
      <c r="U732" s="2">
        <v>46019.0</v>
      </c>
      <c r="V732" s="4">
        <v>51.0</v>
      </c>
      <c r="W732" s="4" t="s">
        <v>550</v>
      </c>
      <c r="X732" s="4">
        <v>2025.0</v>
      </c>
      <c r="Y732" s="4" t="s">
        <v>1487</v>
      </c>
      <c r="Z732" s="4"/>
      <c r="AA732" s="4" t="s">
        <v>1395</v>
      </c>
      <c r="AB732" s="4" t="b">
        <v>0</v>
      </c>
      <c r="AC732" s="4" t="s">
        <v>536</v>
      </c>
      <c r="AD732" s="4" t="s">
        <v>537</v>
      </c>
    </row>
    <row r="733" ht="14.25" customHeight="1">
      <c r="A733" s="4">
        <v>8297484.0</v>
      </c>
      <c r="B733" s="2">
        <v>46019.9044907407</v>
      </c>
      <c r="C733" s="4">
        <v>7523342.0</v>
      </c>
      <c r="D733" s="4" t="s">
        <v>1396</v>
      </c>
      <c r="E733" s="2">
        <v>46019.9048611111</v>
      </c>
      <c r="F733" s="4">
        <v>1.0</v>
      </c>
      <c r="G733" s="4">
        <v>0.0</v>
      </c>
      <c r="H733" s="4"/>
      <c r="I733" s="4"/>
      <c r="J733" s="4" t="s">
        <v>1480</v>
      </c>
      <c r="K733" s="4" t="s">
        <v>1480</v>
      </c>
      <c r="L733" s="4" t="s">
        <v>1481</v>
      </c>
      <c r="M733" s="4" t="s">
        <v>1482</v>
      </c>
      <c r="N733" s="4" t="s">
        <v>540</v>
      </c>
      <c r="O733" s="4" t="s">
        <v>1644</v>
      </c>
      <c r="P733" s="4" t="s">
        <v>2003</v>
      </c>
      <c r="Q733" s="4" t="s">
        <v>2708</v>
      </c>
      <c r="R733" s="4" t="b">
        <v>0</v>
      </c>
      <c r="S733" s="4" t="s">
        <v>1486</v>
      </c>
      <c r="T733" s="2">
        <v>46019.90625</v>
      </c>
      <c r="U733" s="2">
        <v>46019.0</v>
      </c>
      <c r="V733" s="4">
        <v>51.0</v>
      </c>
      <c r="W733" s="4" t="s">
        <v>550</v>
      </c>
      <c r="X733" s="4">
        <v>2025.0</v>
      </c>
      <c r="Y733" s="4" t="s">
        <v>1487</v>
      </c>
      <c r="Z733" s="4"/>
      <c r="AA733" s="4" t="s">
        <v>558</v>
      </c>
      <c r="AB733" s="4" t="b">
        <v>0</v>
      </c>
      <c r="AC733" s="4" t="s">
        <v>554</v>
      </c>
      <c r="AD733" s="4" t="s">
        <v>537</v>
      </c>
    </row>
    <row r="734" ht="14.25" customHeight="1">
      <c r="A734" s="4">
        <v>8298368.0</v>
      </c>
      <c r="B734" s="2">
        <v>46020.0710185185</v>
      </c>
      <c r="C734" s="4">
        <v>7524220.0</v>
      </c>
      <c r="D734" s="4" t="s">
        <v>1397</v>
      </c>
      <c r="E734" s="2">
        <v>46020.0715277778</v>
      </c>
      <c r="F734" s="4">
        <v>1.0</v>
      </c>
      <c r="G734" s="4">
        <v>0.0</v>
      </c>
      <c r="H734" s="4" t="s">
        <v>1519</v>
      </c>
      <c r="I734" s="4" t="s">
        <v>1781</v>
      </c>
      <c r="J734" s="4" t="s">
        <v>1519</v>
      </c>
      <c r="K734" s="4" t="s">
        <v>1513</v>
      </c>
      <c r="L734" s="4" t="s">
        <v>1781</v>
      </c>
      <c r="M734" s="4" t="s">
        <v>1692</v>
      </c>
      <c r="N734" s="4" t="s">
        <v>540</v>
      </c>
      <c r="O734" s="4" t="s">
        <v>2709</v>
      </c>
      <c r="P734" s="4" t="s">
        <v>2254</v>
      </c>
      <c r="Q734" s="4" t="s">
        <v>2710</v>
      </c>
      <c r="R734" s="4" t="b">
        <v>0</v>
      </c>
      <c r="S734" s="4" t="s">
        <v>1486</v>
      </c>
      <c r="T734" s="2">
        <v>46020.0729166667</v>
      </c>
      <c r="U734" s="2">
        <v>46020.0</v>
      </c>
      <c r="V734" s="4">
        <v>52.0</v>
      </c>
      <c r="W734" s="4" t="s">
        <v>550</v>
      </c>
      <c r="X734" s="4">
        <v>2025.0</v>
      </c>
      <c r="Y734" s="4" t="s">
        <v>1518</v>
      </c>
      <c r="Z734" s="4"/>
      <c r="AA734" s="4" t="s">
        <v>558</v>
      </c>
      <c r="AB734" s="4" t="b">
        <v>0</v>
      </c>
      <c r="AC734" s="4" t="s">
        <v>567</v>
      </c>
      <c r="AD734" s="4" t="s">
        <v>537</v>
      </c>
    </row>
    <row r="735" ht="14.25" customHeight="1">
      <c r="A735" s="4">
        <v>8299233.0</v>
      </c>
      <c r="B735" s="2">
        <v>46020.2266203704</v>
      </c>
      <c r="C735" s="4">
        <v>7525084.0</v>
      </c>
      <c r="D735" s="4" t="s">
        <v>1398</v>
      </c>
      <c r="E735" s="2">
        <v>46020.2270833333</v>
      </c>
      <c r="F735" s="4">
        <v>1.0</v>
      </c>
      <c r="G735" s="4">
        <v>0.0</v>
      </c>
      <c r="H735" s="4"/>
      <c r="I735" s="4"/>
      <c r="J735" s="4" t="s">
        <v>1480</v>
      </c>
      <c r="K735" s="4" t="s">
        <v>1480</v>
      </c>
      <c r="L735" s="4" t="s">
        <v>1481</v>
      </c>
      <c r="M735" s="4" t="s">
        <v>1482</v>
      </c>
      <c r="N735" s="4" t="s">
        <v>540</v>
      </c>
      <c r="O735" s="4" t="s">
        <v>1483</v>
      </c>
      <c r="P735" s="4" t="s">
        <v>1635</v>
      </c>
      <c r="Q735" s="4" t="s">
        <v>2711</v>
      </c>
      <c r="R735" s="4" t="b">
        <v>0</v>
      </c>
      <c r="S735" s="4" t="s">
        <v>1486</v>
      </c>
      <c r="T735" s="2">
        <v>46020.2284722222</v>
      </c>
      <c r="U735" s="2">
        <v>46020.0</v>
      </c>
      <c r="V735" s="4">
        <v>52.0</v>
      </c>
      <c r="W735" s="4" t="s">
        <v>550</v>
      </c>
      <c r="X735" s="4">
        <v>2025.0</v>
      </c>
      <c r="Y735" s="4" t="s">
        <v>1487</v>
      </c>
      <c r="Z735" s="4"/>
      <c r="AA735" s="4" t="s">
        <v>1399</v>
      </c>
      <c r="AB735" s="4" t="b">
        <v>0</v>
      </c>
      <c r="AC735" s="4" t="s">
        <v>536</v>
      </c>
      <c r="AD735" s="4" t="s">
        <v>537</v>
      </c>
    </row>
    <row r="736" ht="14.25" customHeight="1">
      <c r="A736" s="4">
        <v>8299335.0</v>
      </c>
      <c r="B736" s="2">
        <v>46020.2532523148</v>
      </c>
      <c r="C736" s="4">
        <v>7525186.0</v>
      </c>
      <c r="D736" s="4" t="s">
        <v>1400</v>
      </c>
      <c r="E736" s="2">
        <v>46020.2541666667</v>
      </c>
      <c r="F736" s="4">
        <v>1.0</v>
      </c>
      <c r="G736" s="4">
        <v>0.0</v>
      </c>
      <c r="H736" s="4"/>
      <c r="I736" s="4"/>
      <c r="J736" s="4" t="s">
        <v>1480</v>
      </c>
      <c r="K736" s="4" t="s">
        <v>1480</v>
      </c>
      <c r="L736" s="4" t="s">
        <v>1481</v>
      </c>
      <c r="M736" s="4" t="s">
        <v>1482</v>
      </c>
      <c r="N736" s="4" t="s">
        <v>540</v>
      </c>
      <c r="O736" s="4" t="s">
        <v>1483</v>
      </c>
      <c r="P736" s="4" t="s">
        <v>1635</v>
      </c>
      <c r="Q736" s="4" t="s">
        <v>2712</v>
      </c>
      <c r="R736" s="4" t="b">
        <v>0</v>
      </c>
      <c r="S736" s="4" t="s">
        <v>1486</v>
      </c>
      <c r="T736" s="2">
        <v>46020.2555555556</v>
      </c>
      <c r="U736" s="2">
        <v>46020.0</v>
      </c>
      <c r="V736" s="4">
        <v>52.0</v>
      </c>
      <c r="W736" s="4" t="s">
        <v>550</v>
      </c>
      <c r="X736" s="4">
        <v>2025.0</v>
      </c>
      <c r="Y736" s="4" t="s">
        <v>1487</v>
      </c>
      <c r="Z736" s="4" t="s">
        <v>604</v>
      </c>
      <c r="AA736" s="4" t="s">
        <v>605</v>
      </c>
      <c r="AB736" s="4" t="b">
        <v>0</v>
      </c>
      <c r="AC736" s="4" t="s">
        <v>536</v>
      </c>
      <c r="AD736" s="4" t="s">
        <v>537</v>
      </c>
    </row>
    <row r="737" ht="14.25" customHeight="1">
      <c r="A737" s="4">
        <v>8300350.0</v>
      </c>
      <c r="B737" s="2">
        <v>46020.4013310185</v>
      </c>
      <c r="C737" s="4">
        <v>7526193.0</v>
      </c>
      <c r="D737" s="4" t="s">
        <v>1401</v>
      </c>
      <c r="E737" s="2">
        <v>46020.4034722222</v>
      </c>
      <c r="F737" s="4">
        <v>1.0</v>
      </c>
      <c r="G737" s="4">
        <v>0.0</v>
      </c>
      <c r="H737" s="4"/>
      <c r="I737" s="4"/>
      <c r="J737" s="4" t="s">
        <v>1480</v>
      </c>
      <c r="K737" s="4" t="s">
        <v>1480</v>
      </c>
      <c r="L737" s="4" t="s">
        <v>1481</v>
      </c>
      <c r="M737" s="4" t="s">
        <v>1482</v>
      </c>
      <c r="N737" s="4" t="s">
        <v>540</v>
      </c>
      <c r="O737" s="4" t="s">
        <v>1842</v>
      </c>
      <c r="P737" s="4" t="s">
        <v>1923</v>
      </c>
      <c r="Q737" s="4" t="s">
        <v>2713</v>
      </c>
      <c r="R737" s="4" t="b">
        <v>0</v>
      </c>
      <c r="S737" s="4" t="s">
        <v>1486</v>
      </c>
      <c r="T737" s="2">
        <v>46020.4048611111</v>
      </c>
      <c r="U737" s="2">
        <v>46020.0</v>
      </c>
      <c r="V737" s="4">
        <v>52.0</v>
      </c>
      <c r="W737" s="4" t="s">
        <v>550</v>
      </c>
      <c r="X737" s="4">
        <v>2025.0</v>
      </c>
      <c r="Y737" s="4" t="s">
        <v>1487</v>
      </c>
      <c r="Z737" s="4"/>
      <c r="AA737" s="4" t="s">
        <v>786</v>
      </c>
      <c r="AB737" s="4" t="b">
        <v>0</v>
      </c>
      <c r="AC737" s="4" t="s">
        <v>536</v>
      </c>
      <c r="AD737" s="4" t="s">
        <v>537</v>
      </c>
    </row>
    <row r="738" ht="14.25" customHeight="1">
      <c r="A738" s="4">
        <v>7439684.0</v>
      </c>
      <c r="B738" s="2">
        <v>45847.3957407407</v>
      </c>
      <c r="C738" s="4">
        <v>6685099.0</v>
      </c>
      <c r="D738" s="4" t="s">
        <v>1402</v>
      </c>
      <c r="E738" s="2">
        <v>46020.4118055556</v>
      </c>
      <c r="F738" s="4">
        <v>1.0</v>
      </c>
      <c r="G738" s="4">
        <v>0.0</v>
      </c>
      <c r="H738" s="4"/>
      <c r="I738" s="4"/>
      <c r="J738" s="4" t="s">
        <v>1480</v>
      </c>
      <c r="K738" s="4" t="s">
        <v>1480</v>
      </c>
      <c r="L738" s="4" t="s">
        <v>1511</v>
      </c>
      <c r="M738" s="4" t="s">
        <v>1482</v>
      </c>
      <c r="N738" s="4" t="s">
        <v>653</v>
      </c>
      <c r="O738" s="4" t="s">
        <v>1483</v>
      </c>
      <c r="P738" s="4" t="s">
        <v>1516</v>
      </c>
      <c r="Q738" s="4" t="s">
        <v>2714</v>
      </c>
      <c r="R738" s="4" t="b">
        <v>0</v>
      </c>
      <c r="S738" s="4" t="s">
        <v>1486</v>
      </c>
      <c r="T738" s="2">
        <v>46020.4131944444</v>
      </c>
      <c r="U738" s="2">
        <v>45847.0</v>
      </c>
      <c r="V738" s="4">
        <v>27.0</v>
      </c>
      <c r="W738" s="4" t="s">
        <v>1668</v>
      </c>
      <c r="X738" s="4">
        <v>2025.0</v>
      </c>
      <c r="Y738" s="4" t="s">
        <v>1680</v>
      </c>
      <c r="Z738" s="4" t="s">
        <v>557</v>
      </c>
      <c r="AA738" s="4" t="s">
        <v>558</v>
      </c>
      <c r="AB738" s="4" t="b">
        <v>0</v>
      </c>
      <c r="AC738" s="4" t="s">
        <v>536</v>
      </c>
      <c r="AD738" s="4" t="s">
        <v>537</v>
      </c>
    </row>
    <row r="739" ht="14.25" customHeight="1">
      <c r="A739" s="4">
        <v>8300426.0</v>
      </c>
      <c r="B739" s="2">
        <v>46020.4094097222</v>
      </c>
      <c r="C739" s="4">
        <v>7526267.0</v>
      </c>
      <c r="D739" s="4" t="s">
        <v>1403</v>
      </c>
      <c r="E739" s="2">
        <v>46020.4118055556</v>
      </c>
      <c r="F739" s="4">
        <v>1.0</v>
      </c>
      <c r="G739" s="4">
        <v>0.0</v>
      </c>
      <c r="H739" s="4"/>
      <c r="I739" s="4"/>
      <c r="J739" s="4" t="s">
        <v>539</v>
      </c>
      <c r="K739" s="4" t="s">
        <v>539</v>
      </c>
      <c r="L739" s="4" t="s">
        <v>1499</v>
      </c>
      <c r="M739" s="4" t="s">
        <v>1482</v>
      </c>
      <c r="N739" s="4"/>
      <c r="O739" s="4" t="s">
        <v>1598</v>
      </c>
      <c r="P739" s="4" t="s">
        <v>1923</v>
      </c>
      <c r="Q739" s="4" t="s">
        <v>2715</v>
      </c>
      <c r="R739" s="4" t="b">
        <v>0</v>
      </c>
      <c r="S739" s="4" t="s">
        <v>1486</v>
      </c>
      <c r="T739" s="2">
        <v>46020.4131944444</v>
      </c>
      <c r="U739" s="2">
        <v>46020.0</v>
      </c>
      <c r="V739" s="4">
        <v>52.0</v>
      </c>
      <c r="W739" s="4" t="s">
        <v>550</v>
      </c>
      <c r="X739" s="4">
        <v>2025.0</v>
      </c>
      <c r="Y739" s="4" t="s">
        <v>1502</v>
      </c>
      <c r="Z739" s="4"/>
      <c r="AA739" s="4" t="s">
        <v>1404</v>
      </c>
      <c r="AB739" s="4" t="b">
        <v>0</v>
      </c>
      <c r="AC739" s="4" t="s">
        <v>567</v>
      </c>
      <c r="AD739" s="4" t="s">
        <v>537</v>
      </c>
    </row>
    <row r="740" ht="14.25" customHeight="1">
      <c r="A740" s="4">
        <v>8300723.0</v>
      </c>
      <c r="B740" s="2">
        <v>46020.4434953704</v>
      </c>
      <c r="C740" s="4">
        <v>7526564.0</v>
      </c>
      <c r="D740" s="4" t="s">
        <v>1405</v>
      </c>
      <c r="E740" s="2">
        <v>46020.44375</v>
      </c>
      <c r="F740" s="4">
        <v>1.0</v>
      </c>
      <c r="G740" s="4">
        <v>0.0</v>
      </c>
      <c r="H740" s="4"/>
      <c r="I740" s="4"/>
      <c r="J740" s="4" t="s">
        <v>1480</v>
      </c>
      <c r="K740" s="4" t="s">
        <v>1480</v>
      </c>
      <c r="L740" s="4" t="s">
        <v>1561</v>
      </c>
      <c r="M740" s="4" t="s">
        <v>1482</v>
      </c>
      <c r="N740" s="4" t="s">
        <v>588</v>
      </c>
      <c r="O740" s="4" t="s">
        <v>2716</v>
      </c>
      <c r="P740" s="4" t="s">
        <v>1845</v>
      </c>
      <c r="Q740" s="4" t="s">
        <v>2717</v>
      </c>
      <c r="R740" s="4" t="b">
        <v>0</v>
      </c>
      <c r="S740" s="4" t="s">
        <v>1486</v>
      </c>
      <c r="T740" s="2">
        <v>46020.4451388889</v>
      </c>
      <c r="U740" s="2">
        <v>46020.0</v>
      </c>
      <c r="V740" s="4">
        <v>52.0</v>
      </c>
      <c r="W740" s="4" t="s">
        <v>550</v>
      </c>
      <c r="X740" s="4">
        <v>2025.0</v>
      </c>
      <c r="Y740" s="4" t="s">
        <v>1564</v>
      </c>
      <c r="Z740" s="4"/>
      <c r="AA740" s="4" t="s">
        <v>558</v>
      </c>
      <c r="AB740" s="4" t="b">
        <v>0</v>
      </c>
      <c r="AC740" s="4" t="s">
        <v>554</v>
      </c>
      <c r="AD740" s="4" t="s">
        <v>537</v>
      </c>
    </row>
    <row r="741" ht="14.25" customHeight="1">
      <c r="A741" s="4">
        <v>7981310.0</v>
      </c>
      <c r="B741" s="2">
        <v>45989.5006597222</v>
      </c>
      <c r="C741" s="4">
        <v>7209412.0</v>
      </c>
      <c r="D741" s="4" t="s">
        <v>1406</v>
      </c>
      <c r="E741" s="2">
        <v>46020.4548611111</v>
      </c>
      <c r="F741" s="4">
        <v>1.0</v>
      </c>
      <c r="G741" s="4">
        <v>0.0</v>
      </c>
      <c r="H741" s="4"/>
      <c r="I741" s="4"/>
      <c r="J741" s="4" t="s">
        <v>1480</v>
      </c>
      <c r="K741" s="4" t="s">
        <v>1480</v>
      </c>
      <c r="L741" s="4" t="s">
        <v>1481</v>
      </c>
      <c r="M741" s="4" t="s">
        <v>1482</v>
      </c>
      <c r="N741" s="4" t="s">
        <v>540</v>
      </c>
      <c r="O741" s="4" t="s">
        <v>2505</v>
      </c>
      <c r="P741" s="4" t="s">
        <v>1506</v>
      </c>
      <c r="Q741" s="4" t="s">
        <v>2718</v>
      </c>
      <c r="R741" s="4" t="b">
        <v>0</v>
      </c>
      <c r="S741" s="4" t="s">
        <v>1486</v>
      </c>
      <c r="T741" s="2">
        <v>46020.45625</v>
      </c>
      <c r="U741" s="2">
        <v>45989.0</v>
      </c>
      <c r="V741" s="4">
        <v>47.0</v>
      </c>
      <c r="W741" s="4" t="s">
        <v>545</v>
      </c>
      <c r="X741" s="4">
        <v>2025.0</v>
      </c>
      <c r="Y741" s="4" t="s">
        <v>1487</v>
      </c>
      <c r="Z741" s="4" t="s">
        <v>557</v>
      </c>
      <c r="AA741" s="4" t="s">
        <v>558</v>
      </c>
      <c r="AB741" s="4" t="b">
        <v>0</v>
      </c>
      <c r="AC741" s="4" t="s">
        <v>536</v>
      </c>
      <c r="AD741" s="4" t="s">
        <v>537</v>
      </c>
    </row>
    <row r="742" ht="14.25" customHeight="1">
      <c r="A742" s="4">
        <v>8300870.0</v>
      </c>
      <c r="B742" s="2">
        <v>46020.4604166667</v>
      </c>
      <c r="C742" s="4">
        <v>7526709.0</v>
      </c>
      <c r="D742" s="4" t="s">
        <v>1408</v>
      </c>
      <c r="E742" s="2">
        <v>46020.4770833333</v>
      </c>
      <c r="F742" s="4">
        <v>1.0</v>
      </c>
      <c r="G742" s="4">
        <v>0.0</v>
      </c>
      <c r="H742" s="4" t="s">
        <v>1519</v>
      </c>
      <c r="I742" s="4" t="s">
        <v>1581</v>
      </c>
      <c r="J742" s="4" t="s">
        <v>1519</v>
      </c>
      <c r="K742" s="4" t="s">
        <v>1513</v>
      </c>
      <c r="L742" s="4" t="s">
        <v>1581</v>
      </c>
      <c r="M742" s="4" t="s">
        <v>1521</v>
      </c>
      <c r="N742" s="4" t="s">
        <v>540</v>
      </c>
      <c r="O742" s="4" t="s">
        <v>2719</v>
      </c>
      <c r="P742" s="4" t="s">
        <v>1635</v>
      </c>
      <c r="Q742" s="4" t="s">
        <v>2720</v>
      </c>
      <c r="R742" s="4" t="b">
        <v>0</v>
      </c>
      <c r="S742" s="4" t="s">
        <v>1486</v>
      </c>
      <c r="T742" s="2">
        <v>46020.4784722222</v>
      </c>
      <c r="U742" s="2">
        <v>46020.0</v>
      </c>
      <c r="V742" s="4">
        <v>52.0</v>
      </c>
      <c r="W742" s="4" t="s">
        <v>550</v>
      </c>
      <c r="X742" s="4">
        <v>2025.0</v>
      </c>
      <c r="Y742" s="4" t="s">
        <v>1518</v>
      </c>
      <c r="Z742" s="4"/>
      <c r="AA742" s="4" t="s">
        <v>558</v>
      </c>
      <c r="AB742" s="4" t="b">
        <v>0</v>
      </c>
      <c r="AC742" s="4" t="s">
        <v>554</v>
      </c>
      <c r="AD742" s="4" t="s">
        <v>537</v>
      </c>
    </row>
    <row r="743" ht="14.25" customHeight="1">
      <c r="A743" s="4">
        <v>8299924.0</v>
      </c>
      <c r="B743" s="2">
        <v>46020.3524305556</v>
      </c>
      <c r="C743" s="4">
        <v>7525769.0</v>
      </c>
      <c r="D743" s="4" t="s">
        <v>1409</v>
      </c>
      <c r="E743" s="2">
        <v>46020.5118055556</v>
      </c>
      <c r="F743" s="4">
        <v>1.0</v>
      </c>
      <c r="G743" s="4">
        <v>0.0</v>
      </c>
      <c r="H743" s="4" t="s">
        <v>1511</v>
      </c>
      <c r="I743" s="4" t="s">
        <v>2040</v>
      </c>
      <c r="J743" s="4" t="s">
        <v>1511</v>
      </c>
      <c r="K743" s="4" t="s">
        <v>1513</v>
      </c>
      <c r="L743" s="4" t="s">
        <v>2040</v>
      </c>
      <c r="M743" s="4" t="s">
        <v>2721</v>
      </c>
      <c r="N743" s="4" t="s">
        <v>653</v>
      </c>
      <c r="O743" s="4" t="s">
        <v>2722</v>
      </c>
      <c r="P743" s="4" t="s">
        <v>1845</v>
      </c>
      <c r="Q743" s="4" t="s">
        <v>2723</v>
      </c>
      <c r="R743" s="4" t="b">
        <v>0</v>
      </c>
      <c r="S743" s="4" t="s">
        <v>1486</v>
      </c>
      <c r="T743" s="2">
        <v>46020.5131944444</v>
      </c>
      <c r="U743" s="2">
        <v>46020.0</v>
      </c>
      <c r="V743" s="4">
        <v>52.0</v>
      </c>
      <c r="W743" s="4" t="s">
        <v>550</v>
      </c>
      <c r="X743" s="4">
        <v>2025.0</v>
      </c>
      <c r="Y743" s="4" t="s">
        <v>1518</v>
      </c>
      <c r="Z743" s="4" t="s">
        <v>557</v>
      </c>
      <c r="AA743" s="4" t="s">
        <v>558</v>
      </c>
      <c r="AB743" s="4" t="b">
        <v>0</v>
      </c>
      <c r="AC743" s="4" t="s">
        <v>536</v>
      </c>
      <c r="AD743" s="4" t="s">
        <v>537</v>
      </c>
    </row>
    <row r="744" ht="14.25" customHeight="1">
      <c r="A744" s="4">
        <v>8290250.0</v>
      </c>
      <c r="B744" s="2">
        <v>46018.5646643518</v>
      </c>
      <c r="C744" s="4">
        <v>7516150.0</v>
      </c>
      <c r="D744" s="4" t="s">
        <v>1410</v>
      </c>
      <c r="E744" s="2">
        <v>46020.5513888889</v>
      </c>
      <c r="F744" s="4">
        <v>1.0</v>
      </c>
      <c r="G744" s="4">
        <v>0.0</v>
      </c>
      <c r="H744" s="4" t="s">
        <v>1685</v>
      </c>
      <c r="I744" s="4" t="s">
        <v>1686</v>
      </c>
      <c r="J744" s="4" t="s">
        <v>1685</v>
      </c>
      <c r="K744" s="4" t="s">
        <v>1513</v>
      </c>
      <c r="L744" s="4" t="s">
        <v>1686</v>
      </c>
      <c r="M744" s="4" t="s">
        <v>1878</v>
      </c>
      <c r="N744" s="4"/>
      <c r="O744" s="4" t="s">
        <v>2724</v>
      </c>
      <c r="P744" s="4" t="s">
        <v>1845</v>
      </c>
      <c r="Q744" s="4" t="s">
        <v>2725</v>
      </c>
      <c r="R744" s="4" t="b">
        <v>0</v>
      </c>
      <c r="S744" s="4" t="s">
        <v>1486</v>
      </c>
      <c r="T744" s="2">
        <v>46020.5527777778</v>
      </c>
      <c r="U744" s="2">
        <v>46018.0</v>
      </c>
      <c r="V744" s="4">
        <v>51.0</v>
      </c>
      <c r="W744" s="4" t="s">
        <v>550</v>
      </c>
      <c r="X744" s="4">
        <v>2025.0</v>
      </c>
      <c r="Y744" s="4" t="s">
        <v>1518</v>
      </c>
      <c r="Z744" s="4" t="s">
        <v>557</v>
      </c>
      <c r="AA744" s="4" t="s">
        <v>558</v>
      </c>
      <c r="AB744" s="4" t="b">
        <v>0</v>
      </c>
      <c r="AC744" s="4" t="s">
        <v>623</v>
      </c>
      <c r="AD744" s="4" t="s">
        <v>537</v>
      </c>
    </row>
    <row r="745" ht="14.25" customHeight="1">
      <c r="A745" s="4">
        <v>8301525.0</v>
      </c>
      <c r="B745" s="2">
        <v>46020.5332638889</v>
      </c>
      <c r="C745" s="4">
        <v>7527359.0</v>
      </c>
      <c r="D745" s="4" t="s">
        <v>1411</v>
      </c>
      <c r="E745" s="2">
        <v>46020.5833333333</v>
      </c>
      <c r="F745" s="4">
        <v>1.0</v>
      </c>
      <c r="G745" s="4">
        <v>0.0</v>
      </c>
      <c r="H745" s="4"/>
      <c r="I745" s="4"/>
      <c r="J745" s="4" t="s">
        <v>1480</v>
      </c>
      <c r="K745" s="4" t="s">
        <v>1480</v>
      </c>
      <c r="L745" s="4" t="s">
        <v>1481</v>
      </c>
      <c r="M745" s="4" t="s">
        <v>1482</v>
      </c>
      <c r="N745" s="4" t="s">
        <v>540</v>
      </c>
      <c r="O745" s="4" t="s">
        <v>1557</v>
      </c>
      <c r="P745" s="4" t="s">
        <v>1635</v>
      </c>
      <c r="Q745" s="4" t="s">
        <v>2726</v>
      </c>
      <c r="R745" s="4" t="b">
        <v>0</v>
      </c>
      <c r="S745" s="4" t="s">
        <v>1486</v>
      </c>
      <c r="T745" s="2">
        <v>46020.5847222222</v>
      </c>
      <c r="U745" s="2">
        <v>46020.0</v>
      </c>
      <c r="V745" s="4">
        <v>52.0</v>
      </c>
      <c r="W745" s="4" t="s">
        <v>550</v>
      </c>
      <c r="X745" s="4">
        <v>2025.0</v>
      </c>
      <c r="Y745" s="4" t="s">
        <v>1487</v>
      </c>
      <c r="Z745" s="4" t="s">
        <v>557</v>
      </c>
      <c r="AA745" s="4" t="s">
        <v>558</v>
      </c>
      <c r="AB745" s="4" t="b">
        <v>0</v>
      </c>
      <c r="AC745" s="4" t="s">
        <v>536</v>
      </c>
      <c r="AD745" s="4" t="s">
        <v>537</v>
      </c>
    </row>
    <row r="746" ht="14.25" customHeight="1">
      <c r="A746" s="4">
        <v>8302265.0</v>
      </c>
      <c r="B746" s="2">
        <v>46020.6084027778</v>
      </c>
      <c r="C746" s="4">
        <v>7528096.0</v>
      </c>
      <c r="D746" s="4" t="s">
        <v>1412</v>
      </c>
      <c r="E746" s="2">
        <v>46020.6090277778</v>
      </c>
      <c r="F746" s="4">
        <v>1.0</v>
      </c>
      <c r="G746" s="4">
        <v>0.0</v>
      </c>
      <c r="H746" s="4" t="s">
        <v>1511</v>
      </c>
      <c r="I746" s="4" t="s">
        <v>2727</v>
      </c>
      <c r="J746" s="4" t="s">
        <v>1511</v>
      </c>
      <c r="K746" s="4" t="s">
        <v>1513</v>
      </c>
      <c r="L746" s="4" t="s">
        <v>2727</v>
      </c>
      <c r="M746" s="4" t="s">
        <v>1649</v>
      </c>
      <c r="N746" s="4" t="s">
        <v>653</v>
      </c>
      <c r="O746" s="4" t="s">
        <v>2728</v>
      </c>
      <c r="P746" s="4" t="s">
        <v>1845</v>
      </c>
      <c r="Q746" s="4" t="s">
        <v>2729</v>
      </c>
      <c r="R746" s="4" t="b">
        <v>0</v>
      </c>
      <c r="S746" s="4" t="s">
        <v>1486</v>
      </c>
      <c r="T746" s="2">
        <v>46020.6104166667</v>
      </c>
      <c r="U746" s="2">
        <v>46020.0</v>
      </c>
      <c r="V746" s="4">
        <v>52.0</v>
      </c>
      <c r="W746" s="4" t="s">
        <v>550</v>
      </c>
      <c r="X746" s="4">
        <v>2025.0</v>
      </c>
      <c r="Y746" s="4" t="s">
        <v>1518</v>
      </c>
      <c r="Z746" s="4" t="s">
        <v>557</v>
      </c>
      <c r="AA746" s="4" t="s">
        <v>558</v>
      </c>
      <c r="AB746" s="4" t="b">
        <v>0</v>
      </c>
      <c r="AC746" s="4" t="s">
        <v>536</v>
      </c>
      <c r="AD746" s="4" t="s">
        <v>537</v>
      </c>
    </row>
    <row r="747" ht="14.25" customHeight="1">
      <c r="A747" s="4">
        <v>8302447.0</v>
      </c>
      <c r="B747" s="2">
        <v>46020.6294444444</v>
      </c>
      <c r="C747" s="4">
        <v>7528275.0</v>
      </c>
      <c r="D747" s="4" t="s">
        <v>1413</v>
      </c>
      <c r="E747" s="2">
        <v>46020.6305555556</v>
      </c>
      <c r="F747" s="4">
        <v>1.0</v>
      </c>
      <c r="G747" s="4">
        <v>0.0</v>
      </c>
      <c r="H747" s="4"/>
      <c r="I747" s="4"/>
      <c r="J747" s="4" t="s">
        <v>1480</v>
      </c>
      <c r="K747" s="4" t="s">
        <v>1480</v>
      </c>
      <c r="L747" s="4" t="s">
        <v>1481</v>
      </c>
      <c r="M747" s="4" t="s">
        <v>1482</v>
      </c>
      <c r="N747" s="4" t="s">
        <v>540</v>
      </c>
      <c r="O747" s="4" t="s">
        <v>1483</v>
      </c>
      <c r="P747" s="4" t="s">
        <v>2035</v>
      </c>
      <c r="Q747" s="4" t="s">
        <v>2730</v>
      </c>
      <c r="R747" s="4" t="b">
        <v>0</v>
      </c>
      <c r="S747" s="4" t="s">
        <v>1486</v>
      </c>
      <c r="T747" s="2">
        <v>46020.6319444444</v>
      </c>
      <c r="U747" s="2">
        <v>46020.0</v>
      </c>
      <c r="V747" s="4">
        <v>52.0</v>
      </c>
      <c r="W747" s="4" t="s">
        <v>550</v>
      </c>
      <c r="X747" s="4">
        <v>2025.0</v>
      </c>
      <c r="Y747" s="4" t="s">
        <v>1487</v>
      </c>
      <c r="Z747" s="4" t="s">
        <v>557</v>
      </c>
      <c r="AA747" s="4" t="s">
        <v>558</v>
      </c>
      <c r="AB747" s="4" t="b">
        <v>0</v>
      </c>
      <c r="AC747" s="4" t="s">
        <v>536</v>
      </c>
      <c r="AD747" s="4" t="s">
        <v>537</v>
      </c>
    </row>
    <row r="748" ht="14.25" customHeight="1">
      <c r="A748" s="4">
        <v>8302588.0</v>
      </c>
      <c r="B748" s="2">
        <v>46020.6448726852</v>
      </c>
      <c r="C748" s="4">
        <v>7528412.0</v>
      </c>
      <c r="D748" s="4" t="s">
        <v>1415</v>
      </c>
      <c r="E748" s="2">
        <v>46020.6506944444</v>
      </c>
      <c r="F748" s="4">
        <v>1.0</v>
      </c>
      <c r="G748" s="4">
        <v>0.0</v>
      </c>
      <c r="H748" s="4"/>
      <c r="I748" s="4"/>
      <c r="J748" s="4" t="s">
        <v>1480</v>
      </c>
      <c r="K748" s="4" t="s">
        <v>1480</v>
      </c>
      <c r="L748" s="4" t="s">
        <v>1481</v>
      </c>
      <c r="M748" s="4" t="s">
        <v>1482</v>
      </c>
      <c r="N748" s="4" t="s">
        <v>540</v>
      </c>
      <c r="O748" s="4" t="s">
        <v>1483</v>
      </c>
      <c r="P748" s="4" t="s">
        <v>1635</v>
      </c>
      <c r="Q748" s="4" t="s">
        <v>2731</v>
      </c>
      <c r="R748" s="4" t="b">
        <v>0</v>
      </c>
      <c r="S748" s="4" t="s">
        <v>1486</v>
      </c>
      <c r="T748" s="2">
        <v>46020.6520833333</v>
      </c>
      <c r="U748" s="2">
        <v>46020.0</v>
      </c>
      <c r="V748" s="4">
        <v>52.0</v>
      </c>
      <c r="W748" s="4" t="s">
        <v>550</v>
      </c>
      <c r="X748" s="4">
        <v>2025.0</v>
      </c>
      <c r="Y748" s="4" t="s">
        <v>1487</v>
      </c>
      <c r="Z748" s="4"/>
      <c r="AA748" s="4" t="s">
        <v>558</v>
      </c>
      <c r="AB748" s="4" t="b">
        <v>0</v>
      </c>
      <c r="AC748" s="4" t="s">
        <v>536</v>
      </c>
      <c r="AD748" s="4" t="s">
        <v>537</v>
      </c>
    </row>
    <row r="749" ht="14.25" customHeight="1">
      <c r="A749" s="4">
        <v>8069496.0</v>
      </c>
      <c r="B749" s="2">
        <v>46000.7916666667</v>
      </c>
      <c r="C749" s="4">
        <v>7296773.0</v>
      </c>
      <c r="D749" s="4" t="s">
        <v>1416</v>
      </c>
      <c r="E749" s="2">
        <v>46020.7847222222</v>
      </c>
      <c r="F749" s="4">
        <v>1.0</v>
      </c>
      <c r="G749" s="4">
        <v>0.0</v>
      </c>
      <c r="H749" s="4"/>
      <c r="I749" s="4"/>
      <c r="J749" s="4" t="s">
        <v>539</v>
      </c>
      <c r="K749" s="4" t="s">
        <v>539</v>
      </c>
      <c r="L749" s="4" t="s">
        <v>1499</v>
      </c>
      <c r="M749" s="4" t="s">
        <v>1482</v>
      </c>
      <c r="N749" s="4"/>
      <c r="O749" s="4" t="s">
        <v>1483</v>
      </c>
      <c r="P749" s="4" t="s">
        <v>1645</v>
      </c>
      <c r="Q749" s="4" t="s">
        <v>1955</v>
      </c>
      <c r="R749" s="4" t="b">
        <v>0</v>
      </c>
      <c r="S749" s="4" t="s">
        <v>1486</v>
      </c>
      <c r="T749" s="2">
        <v>46020.8201388889</v>
      </c>
      <c r="U749" s="2">
        <v>46000.0</v>
      </c>
      <c r="V749" s="4">
        <v>49.0</v>
      </c>
      <c r="W749" s="4" t="s">
        <v>550</v>
      </c>
      <c r="X749" s="4">
        <v>2025.0</v>
      </c>
      <c r="Y749" s="4" t="s">
        <v>1502</v>
      </c>
      <c r="Z749" s="4" t="s">
        <v>557</v>
      </c>
      <c r="AA749" s="4" t="s">
        <v>558</v>
      </c>
      <c r="AB749" s="4" t="b">
        <v>0</v>
      </c>
      <c r="AC749" s="4" t="s">
        <v>536</v>
      </c>
      <c r="AD749" s="4" t="s">
        <v>537</v>
      </c>
    </row>
    <row r="750" ht="14.25" customHeight="1">
      <c r="A750" s="4">
        <v>8069496.0</v>
      </c>
      <c r="B750" s="2">
        <v>46000.7916666667</v>
      </c>
      <c r="C750" s="4">
        <v>7296773.0</v>
      </c>
      <c r="D750" s="4" t="s">
        <v>1417</v>
      </c>
      <c r="E750" s="2">
        <v>46020.81875</v>
      </c>
      <c r="F750" s="4">
        <v>1.0</v>
      </c>
      <c r="G750" s="4">
        <v>0.0</v>
      </c>
      <c r="H750" s="4"/>
      <c r="I750" s="4"/>
      <c r="J750" s="4" t="s">
        <v>539</v>
      </c>
      <c r="K750" s="4" t="s">
        <v>539</v>
      </c>
      <c r="L750" s="4" t="s">
        <v>1499</v>
      </c>
      <c r="M750" s="4" t="s">
        <v>1482</v>
      </c>
      <c r="N750" s="4"/>
      <c r="O750" s="4" t="s">
        <v>1483</v>
      </c>
      <c r="P750" s="4" t="s">
        <v>1645</v>
      </c>
      <c r="Q750" s="4" t="s">
        <v>1955</v>
      </c>
      <c r="R750" s="4" t="b">
        <v>0</v>
      </c>
      <c r="S750" s="4" t="s">
        <v>1486</v>
      </c>
      <c r="T750" s="2">
        <v>46020.8201388889</v>
      </c>
      <c r="U750" s="2">
        <v>46000.0</v>
      </c>
      <c r="V750" s="4">
        <v>49.0</v>
      </c>
      <c r="W750" s="4" t="s">
        <v>550</v>
      </c>
      <c r="X750" s="4">
        <v>2025.0</v>
      </c>
      <c r="Y750" s="4" t="s">
        <v>1502</v>
      </c>
      <c r="Z750" s="4" t="s">
        <v>557</v>
      </c>
      <c r="AA750" s="4" t="s">
        <v>558</v>
      </c>
      <c r="AB750" s="4" t="b">
        <v>0</v>
      </c>
      <c r="AC750" s="4" t="s">
        <v>536</v>
      </c>
      <c r="AD750" s="4" t="s">
        <v>537</v>
      </c>
    </row>
    <row r="751" ht="14.25" customHeight="1">
      <c r="A751" s="4">
        <v>8044422.0</v>
      </c>
      <c r="B751" s="2">
        <v>45999.3072685185</v>
      </c>
      <c r="C751" s="4">
        <v>7271853.0</v>
      </c>
      <c r="D751" s="4" t="s">
        <v>1418</v>
      </c>
      <c r="E751" s="2">
        <v>46020.9180555556</v>
      </c>
      <c r="F751" s="4">
        <v>0.5</v>
      </c>
      <c r="G751" s="4">
        <v>0.0</v>
      </c>
      <c r="H751" s="4" t="s">
        <v>1519</v>
      </c>
      <c r="I751" s="4" t="s">
        <v>1553</v>
      </c>
      <c r="J751" s="4" t="s">
        <v>1519</v>
      </c>
      <c r="K751" s="4" t="s">
        <v>1513</v>
      </c>
      <c r="L751" s="4" t="s">
        <v>1553</v>
      </c>
      <c r="M751" s="4" t="s">
        <v>1862</v>
      </c>
      <c r="N751" s="4" t="s">
        <v>540</v>
      </c>
      <c r="O751" s="4" t="s">
        <v>1863</v>
      </c>
      <c r="P751" s="4" t="s">
        <v>1674</v>
      </c>
      <c r="Q751" s="4" t="s">
        <v>1864</v>
      </c>
      <c r="R751" s="4" t="b">
        <v>0</v>
      </c>
      <c r="S751" s="4" t="s">
        <v>1486</v>
      </c>
      <c r="T751" s="2">
        <v>46020.9194444444</v>
      </c>
      <c r="U751" s="2">
        <v>45999.0</v>
      </c>
      <c r="V751" s="4">
        <v>49.0</v>
      </c>
      <c r="W751" s="4" t="s">
        <v>550</v>
      </c>
      <c r="X751" s="4">
        <v>2025.0</v>
      </c>
      <c r="Y751" s="4" t="s">
        <v>1518</v>
      </c>
      <c r="Z751" s="4" t="s">
        <v>557</v>
      </c>
      <c r="AA751" s="4" t="s">
        <v>558</v>
      </c>
      <c r="AB751" s="4" t="b">
        <v>0</v>
      </c>
      <c r="AC751" s="4" t="s">
        <v>536</v>
      </c>
      <c r="AD751" s="4" t="s">
        <v>537</v>
      </c>
    </row>
    <row r="752" ht="14.25" customHeight="1">
      <c r="A752" s="4">
        <v>8049093.0</v>
      </c>
      <c r="B752" s="2">
        <v>45999.3081944444</v>
      </c>
      <c r="C752" s="4">
        <v>7271853.0</v>
      </c>
      <c r="D752" s="4" t="s">
        <v>1418</v>
      </c>
      <c r="E752" s="2">
        <v>46020.9180555556</v>
      </c>
      <c r="F752" s="4">
        <v>0.5</v>
      </c>
      <c r="G752" s="4">
        <v>0.0</v>
      </c>
      <c r="H752" s="4" t="s">
        <v>1774</v>
      </c>
      <c r="I752" s="4"/>
      <c r="J752" s="4" t="s">
        <v>1774</v>
      </c>
      <c r="K752" s="4" t="s">
        <v>1775</v>
      </c>
      <c r="L752" s="4"/>
      <c r="M752" s="4"/>
      <c r="N752" s="4"/>
      <c r="O752" s="4"/>
      <c r="P752" s="4"/>
      <c r="Q752" s="4" t="s">
        <v>1776</v>
      </c>
      <c r="R752" s="4" t="b">
        <v>0</v>
      </c>
      <c r="S752" s="4" t="s">
        <v>1486</v>
      </c>
      <c r="T752" s="2">
        <v>46020.9194444444</v>
      </c>
      <c r="U752" s="2">
        <v>45999.0</v>
      </c>
      <c r="V752" s="4">
        <v>49.0</v>
      </c>
      <c r="W752" s="4" t="s">
        <v>550</v>
      </c>
      <c r="X752" s="4">
        <v>2025.0</v>
      </c>
      <c r="Y752" s="4" t="s">
        <v>1518</v>
      </c>
      <c r="Z752" s="4" t="s">
        <v>557</v>
      </c>
      <c r="AA752" s="4" t="s">
        <v>558</v>
      </c>
      <c r="AB752" s="4" t="b">
        <v>0</v>
      </c>
      <c r="AC752" s="4" t="s">
        <v>536</v>
      </c>
      <c r="AD752" s="4" t="s">
        <v>537</v>
      </c>
    </row>
    <row r="753" ht="14.25" customHeight="1">
      <c r="A753" s="4">
        <v>8306417.0</v>
      </c>
      <c r="B753" s="2">
        <v>46021.2761226852</v>
      </c>
      <c r="C753" s="4">
        <v>7532217.0</v>
      </c>
      <c r="D753" s="4" t="s">
        <v>1419</v>
      </c>
      <c r="E753" s="2">
        <v>46021.2763888889</v>
      </c>
      <c r="F753" s="4">
        <v>0.0</v>
      </c>
      <c r="G753" s="4">
        <v>0.0</v>
      </c>
      <c r="H753" s="4"/>
      <c r="I753" s="4"/>
      <c r="J753" s="4"/>
      <c r="K753" s="4"/>
      <c r="L753" s="4"/>
      <c r="M753" s="4" t="s">
        <v>1482</v>
      </c>
      <c r="N753" s="4" t="s">
        <v>1483</v>
      </c>
      <c r="O753" s="4" t="s">
        <v>2732</v>
      </c>
      <c r="P753" s="4" t="s">
        <v>1845</v>
      </c>
      <c r="Q753" s="4" t="s">
        <v>2733</v>
      </c>
      <c r="R753" s="4" t="b">
        <v>1</v>
      </c>
      <c r="S753" s="4" t="s">
        <v>1486</v>
      </c>
      <c r="T753" s="2">
        <v>46021.2777777778</v>
      </c>
      <c r="U753" s="2">
        <v>46021.0</v>
      </c>
      <c r="V753" s="4">
        <v>52.0</v>
      </c>
      <c r="W753" s="4" t="s">
        <v>550</v>
      </c>
      <c r="X753" s="4">
        <v>2025.0</v>
      </c>
      <c r="Y753" s="4" t="s">
        <v>1540</v>
      </c>
      <c r="Z753" s="4"/>
      <c r="AA753" s="4" t="s">
        <v>673</v>
      </c>
      <c r="AB753" s="4" t="b">
        <v>1</v>
      </c>
      <c r="AC753" s="4" t="s">
        <v>567</v>
      </c>
      <c r="AD753" s="4" t="s">
        <v>537</v>
      </c>
    </row>
    <row r="754" ht="14.25" customHeight="1">
      <c r="A754" s="4">
        <v>8174301.0</v>
      </c>
      <c r="B754" s="2">
        <v>46010.4395138889</v>
      </c>
      <c r="C754" s="4">
        <v>7400576.0</v>
      </c>
      <c r="D754" s="4" t="s">
        <v>1420</v>
      </c>
      <c r="E754" s="2">
        <v>46021.3548611111</v>
      </c>
      <c r="F754" s="4">
        <v>1.0</v>
      </c>
      <c r="G754" s="4">
        <v>0.0</v>
      </c>
      <c r="H754" s="4"/>
      <c r="I754" s="4"/>
      <c r="J754" s="4" t="s">
        <v>539</v>
      </c>
      <c r="K754" s="4" t="s">
        <v>539</v>
      </c>
      <c r="L754" s="4" t="s">
        <v>1499</v>
      </c>
      <c r="M754" s="4" t="s">
        <v>1482</v>
      </c>
      <c r="N754" s="4"/>
      <c r="O754" s="4" t="s">
        <v>1483</v>
      </c>
      <c r="P754" s="4" t="s">
        <v>2003</v>
      </c>
      <c r="Q754" s="4" t="s">
        <v>2734</v>
      </c>
      <c r="R754" s="4" t="b">
        <v>0</v>
      </c>
      <c r="S754" s="4" t="s">
        <v>1486</v>
      </c>
      <c r="T754" s="2">
        <v>46021.35625</v>
      </c>
      <c r="U754" s="2">
        <v>46010.0</v>
      </c>
      <c r="V754" s="4">
        <v>50.0</v>
      </c>
      <c r="W754" s="4" t="s">
        <v>550</v>
      </c>
      <c r="X754" s="4">
        <v>2025.0</v>
      </c>
      <c r="Y754" s="4" t="s">
        <v>1502</v>
      </c>
      <c r="Z754" s="4" t="s">
        <v>541</v>
      </c>
      <c r="AA754" s="4" t="s">
        <v>629</v>
      </c>
      <c r="AB754" s="4" t="b">
        <v>0</v>
      </c>
      <c r="AC754" s="4" t="s">
        <v>536</v>
      </c>
      <c r="AD754" s="4" t="s">
        <v>537</v>
      </c>
    </row>
    <row r="755" ht="14.25" customHeight="1">
      <c r="A755" s="4">
        <v>8307133.0</v>
      </c>
      <c r="B755" s="2">
        <v>46021.3762615741</v>
      </c>
      <c r="C755" s="4">
        <v>7532929.0</v>
      </c>
      <c r="D755" s="4" t="s">
        <v>1422</v>
      </c>
      <c r="E755" s="2">
        <v>46021.3770833333</v>
      </c>
      <c r="F755" s="4">
        <v>1.0</v>
      </c>
      <c r="G755" s="4">
        <v>0.0</v>
      </c>
      <c r="H755" s="4"/>
      <c r="I755" s="4"/>
      <c r="J755" s="4" t="s">
        <v>1480</v>
      </c>
      <c r="K755" s="4" t="s">
        <v>1480</v>
      </c>
      <c r="L755" s="4" t="s">
        <v>1481</v>
      </c>
      <c r="M755" s="4" t="s">
        <v>1482</v>
      </c>
      <c r="N755" s="4" t="s">
        <v>540</v>
      </c>
      <c r="O755" s="4" t="s">
        <v>1951</v>
      </c>
      <c r="P755" s="4" t="s">
        <v>1635</v>
      </c>
      <c r="Q755" s="4" t="s">
        <v>2735</v>
      </c>
      <c r="R755" s="4" t="b">
        <v>0</v>
      </c>
      <c r="S755" s="4" t="s">
        <v>1486</v>
      </c>
      <c r="T755" s="2">
        <v>46021.3784722222</v>
      </c>
      <c r="U755" s="2">
        <v>46021.0</v>
      </c>
      <c r="V755" s="4">
        <v>52.0</v>
      </c>
      <c r="W755" s="4" t="s">
        <v>550</v>
      </c>
      <c r="X755" s="4">
        <v>2025.0</v>
      </c>
      <c r="Y755" s="4" t="s">
        <v>1487</v>
      </c>
      <c r="Z755" s="4" t="s">
        <v>557</v>
      </c>
      <c r="AA755" s="4" t="s">
        <v>828</v>
      </c>
      <c r="AB755" s="4" t="b">
        <v>0</v>
      </c>
      <c r="AC755" s="4" t="s">
        <v>536</v>
      </c>
      <c r="AD755" s="4" t="s">
        <v>537</v>
      </c>
    </row>
    <row r="756" ht="14.25" customHeight="1">
      <c r="A756" s="4">
        <v>7752462.0</v>
      </c>
      <c r="B756" s="2">
        <v>45940.2339236111</v>
      </c>
      <c r="C756" s="4">
        <v>6989049.0</v>
      </c>
      <c r="D756" s="4" t="s">
        <v>1423</v>
      </c>
      <c r="E756" s="2">
        <v>46021.3979166667</v>
      </c>
      <c r="F756" s="4">
        <v>0.0</v>
      </c>
      <c r="G756" s="4">
        <v>0.0</v>
      </c>
      <c r="H756" s="4"/>
      <c r="I756" s="4"/>
      <c r="J756" s="4" t="s">
        <v>539</v>
      </c>
      <c r="K756" s="4" t="s">
        <v>539</v>
      </c>
      <c r="L756" s="4" t="s">
        <v>1499</v>
      </c>
      <c r="M756" s="4" t="s">
        <v>1482</v>
      </c>
      <c r="N756" s="4"/>
      <c r="O756" s="4" t="s">
        <v>1483</v>
      </c>
      <c r="P756" s="4" t="s">
        <v>1819</v>
      </c>
      <c r="Q756" s="4" t="s">
        <v>1820</v>
      </c>
      <c r="R756" s="4" t="b">
        <v>0</v>
      </c>
      <c r="S756" s="4" t="s">
        <v>1486</v>
      </c>
      <c r="T756" s="2">
        <v>46021.3993055556</v>
      </c>
      <c r="U756" s="2">
        <v>45940.0</v>
      </c>
      <c r="V756" s="4">
        <v>40.0</v>
      </c>
      <c r="W756" s="4" t="s">
        <v>1560</v>
      </c>
      <c r="X756" s="4">
        <v>2025.0</v>
      </c>
      <c r="Y756" s="4" t="s">
        <v>1502</v>
      </c>
      <c r="Z756" s="4"/>
      <c r="AA756" s="4" t="s">
        <v>768</v>
      </c>
      <c r="AB756" s="4" t="b">
        <v>0</v>
      </c>
      <c r="AC756" s="4" t="s">
        <v>536</v>
      </c>
      <c r="AD756" s="4" t="s">
        <v>537</v>
      </c>
    </row>
    <row r="757" ht="14.25" customHeight="1">
      <c r="A757" s="4">
        <v>8045706.0</v>
      </c>
      <c r="B757" s="2">
        <v>45996.5804398148</v>
      </c>
      <c r="C757" s="4">
        <v>6989049.0</v>
      </c>
      <c r="D757" s="4" t="s">
        <v>1423</v>
      </c>
      <c r="E757" s="2">
        <v>46021.3979166667</v>
      </c>
      <c r="F757" s="4">
        <v>0.4</v>
      </c>
      <c r="G757" s="4">
        <v>0.0</v>
      </c>
      <c r="H757" s="4" t="s">
        <v>1774</v>
      </c>
      <c r="I757" s="4"/>
      <c r="J757" s="4" t="s">
        <v>1774</v>
      </c>
      <c r="K757" s="4" t="s">
        <v>1775</v>
      </c>
      <c r="L757" s="4"/>
      <c r="M757" s="4"/>
      <c r="N757" s="4"/>
      <c r="O757" s="4"/>
      <c r="P757" s="4"/>
      <c r="Q757" s="4" t="s">
        <v>1776</v>
      </c>
      <c r="R757" s="4" t="b">
        <v>0</v>
      </c>
      <c r="S757" s="4" t="s">
        <v>1486</v>
      </c>
      <c r="T757" s="2">
        <v>46021.3993055556</v>
      </c>
      <c r="U757" s="2">
        <v>45996.0</v>
      </c>
      <c r="V757" s="4">
        <v>48.0</v>
      </c>
      <c r="W757" s="4" t="s">
        <v>550</v>
      </c>
      <c r="X757" s="4">
        <v>2025.0</v>
      </c>
      <c r="Y757" s="4" t="s">
        <v>1518</v>
      </c>
      <c r="Z757" s="4"/>
      <c r="AA757" s="4" t="s">
        <v>768</v>
      </c>
      <c r="AB757" s="4" t="b">
        <v>0</v>
      </c>
      <c r="AC757" s="4" t="s">
        <v>536</v>
      </c>
      <c r="AD757" s="4" t="s">
        <v>537</v>
      </c>
    </row>
    <row r="758" ht="14.25" customHeight="1">
      <c r="A758" s="4">
        <v>8307312.0</v>
      </c>
      <c r="B758" s="2">
        <v>46021.3939930556</v>
      </c>
      <c r="C758" s="4">
        <v>6989049.0</v>
      </c>
      <c r="D758" s="4" t="s">
        <v>1423</v>
      </c>
      <c r="E758" s="2">
        <v>46021.3979166667</v>
      </c>
      <c r="F758" s="4">
        <v>0.2</v>
      </c>
      <c r="G758" s="4">
        <v>0.0</v>
      </c>
      <c r="H758" s="4" t="s">
        <v>1888</v>
      </c>
      <c r="I758" s="4" t="s">
        <v>1889</v>
      </c>
      <c r="J758" s="4" t="s">
        <v>1888</v>
      </c>
      <c r="K758" s="4" t="s">
        <v>1775</v>
      </c>
      <c r="L758" s="4" t="s">
        <v>1889</v>
      </c>
      <c r="M758" s="4" t="s">
        <v>2736</v>
      </c>
      <c r="N758" s="4"/>
      <c r="O758" s="4" t="s">
        <v>1483</v>
      </c>
      <c r="P758" s="4" t="s">
        <v>2737</v>
      </c>
      <c r="Q758" s="4" t="s">
        <v>1820</v>
      </c>
      <c r="R758" s="4" t="b">
        <v>0</v>
      </c>
      <c r="S758" s="4" t="s">
        <v>1486</v>
      </c>
      <c r="T758" s="2">
        <v>46021.3993055556</v>
      </c>
      <c r="U758" s="2">
        <v>46021.0</v>
      </c>
      <c r="V758" s="4">
        <v>52.0</v>
      </c>
      <c r="W758" s="4" t="s">
        <v>550</v>
      </c>
      <c r="X758" s="4">
        <v>2025.0</v>
      </c>
      <c r="Y758" s="4" t="s">
        <v>1518</v>
      </c>
      <c r="Z758" s="4"/>
      <c r="AA758" s="4" t="s">
        <v>768</v>
      </c>
      <c r="AB758" s="4" t="b">
        <v>0</v>
      </c>
      <c r="AC758" s="4" t="s">
        <v>536</v>
      </c>
      <c r="AD758" s="4" t="s">
        <v>537</v>
      </c>
    </row>
    <row r="759" ht="14.25" customHeight="1">
      <c r="A759" s="4">
        <v>8307326.0</v>
      </c>
      <c r="B759" s="2">
        <v>46021.395150463</v>
      </c>
      <c r="C759" s="4">
        <v>6989049.0</v>
      </c>
      <c r="D759" s="4" t="s">
        <v>1423</v>
      </c>
      <c r="E759" s="2">
        <v>46021.3979166667</v>
      </c>
      <c r="F759" s="4">
        <v>0.4</v>
      </c>
      <c r="G759" s="4">
        <v>0.0</v>
      </c>
      <c r="H759" s="4" t="s">
        <v>1888</v>
      </c>
      <c r="I759" s="4" t="s">
        <v>1889</v>
      </c>
      <c r="J759" s="4" t="s">
        <v>1888</v>
      </c>
      <c r="K759" s="4" t="s">
        <v>1775</v>
      </c>
      <c r="L759" s="4" t="s">
        <v>1889</v>
      </c>
      <c r="M759" s="4" t="s">
        <v>2736</v>
      </c>
      <c r="N759" s="4"/>
      <c r="O759" s="4" t="s">
        <v>1483</v>
      </c>
      <c r="P759" s="4" t="s">
        <v>2737</v>
      </c>
      <c r="Q759" s="4" t="s">
        <v>1820</v>
      </c>
      <c r="R759" s="4" t="b">
        <v>0</v>
      </c>
      <c r="S759" s="4" t="s">
        <v>1486</v>
      </c>
      <c r="T759" s="2">
        <v>46021.3993055556</v>
      </c>
      <c r="U759" s="2">
        <v>46021.0</v>
      </c>
      <c r="V759" s="4">
        <v>52.0</v>
      </c>
      <c r="W759" s="4" t="s">
        <v>550</v>
      </c>
      <c r="X759" s="4">
        <v>2025.0</v>
      </c>
      <c r="Y759" s="4" t="s">
        <v>1518</v>
      </c>
      <c r="Z759" s="4"/>
      <c r="AA759" s="4" t="s">
        <v>768</v>
      </c>
      <c r="AB759" s="4" t="b">
        <v>0</v>
      </c>
      <c r="AC759" s="4" t="s">
        <v>536</v>
      </c>
      <c r="AD759" s="4" t="s">
        <v>537</v>
      </c>
    </row>
    <row r="760" ht="14.25" customHeight="1">
      <c r="A760" s="4">
        <v>7760802.0</v>
      </c>
      <c r="B760" s="2">
        <v>45943.3709490741</v>
      </c>
      <c r="C760" s="4">
        <v>6997201.0</v>
      </c>
      <c r="D760" s="4" t="s">
        <v>1424</v>
      </c>
      <c r="E760" s="2">
        <v>46021.4388888889</v>
      </c>
      <c r="F760" s="4">
        <v>1.0</v>
      </c>
      <c r="G760" s="4">
        <v>0.0</v>
      </c>
      <c r="H760" s="4"/>
      <c r="I760" s="4"/>
      <c r="J760" s="4" t="s">
        <v>539</v>
      </c>
      <c r="K760" s="4" t="s">
        <v>539</v>
      </c>
      <c r="L760" s="4" t="s">
        <v>1499</v>
      </c>
      <c r="M760" s="4" t="s">
        <v>1482</v>
      </c>
      <c r="N760" s="4"/>
      <c r="O760" s="4" t="s">
        <v>2738</v>
      </c>
      <c r="P760" s="4" t="s">
        <v>1886</v>
      </c>
      <c r="Q760" s="4" t="s">
        <v>2739</v>
      </c>
      <c r="R760" s="4" t="b">
        <v>0</v>
      </c>
      <c r="S760" s="4" t="s">
        <v>1486</v>
      </c>
      <c r="T760" s="2">
        <v>46021.4402777778</v>
      </c>
      <c r="U760" s="2">
        <v>45943.0</v>
      </c>
      <c r="V760" s="4">
        <v>41.0</v>
      </c>
      <c r="W760" s="4" t="s">
        <v>1560</v>
      </c>
      <c r="X760" s="4">
        <v>2025.0</v>
      </c>
      <c r="Y760" s="4" t="s">
        <v>1502</v>
      </c>
      <c r="Z760" s="4" t="s">
        <v>557</v>
      </c>
      <c r="AA760" s="4" t="s">
        <v>558</v>
      </c>
      <c r="AB760" s="4" t="b">
        <v>0</v>
      </c>
      <c r="AC760" s="4" t="s">
        <v>536</v>
      </c>
      <c r="AD760" s="4" t="s">
        <v>537</v>
      </c>
    </row>
    <row r="761" ht="14.25" customHeight="1">
      <c r="A761" s="4">
        <v>8034257.0</v>
      </c>
      <c r="B761" s="2">
        <v>45998.4765509259</v>
      </c>
      <c r="C761" s="4">
        <v>7261719.0</v>
      </c>
      <c r="D761" s="4" t="s">
        <v>1425</v>
      </c>
      <c r="E761" s="2">
        <v>46021.4701388889</v>
      </c>
      <c r="F761" s="4">
        <v>1.0</v>
      </c>
      <c r="G761" s="4">
        <v>0.0</v>
      </c>
      <c r="H761" s="4"/>
      <c r="I761" s="4"/>
      <c r="J761" s="4" t="s">
        <v>1526</v>
      </c>
      <c r="K761" s="4" t="s">
        <v>1527</v>
      </c>
      <c r="L761" s="4" t="s">
        <v>1528</v>
      </c>
      <c r="M761" s="4" t="s">
        <v>1482</v>
      </c>
      <c r="N761" s="4" t="s">
        <v>1529</v>
      </c>
      <c r="O761" s="4" t="s">
        <v>1849</v>
      </c>
      <c r="P761" s="4" t="s">
        <v>1488</v>
      </c>
      <c r="Q761" s="4" t="s">
        <v>1850</v>
      </c>
      <c r="R761" s="4" t="b">
        <v>0</v>
      </c>
      <c r="S761" s="4" t="s">
        <v>1486</v>
      </c>
      <c r="T761" s="2">
        <v>46021.4715277778</v>
      </c>
      <c r="U761" s="2">
        <v>45998.0</v>
      </c>
      <c r="V761" s="4">
        <v>48.0</v>
      </c>
      <c r="W761" s="4" t="s">
        <v>550</v>
      </c>
      <c r="X761" s="4">
        <v>2025.0</v>
      </c>
      <c r="Y761" s="4" t="s">
        <v>1532</v>
      </c>
      <c r="Z761" s="4" t="s">
        <v>791</v>
      </c>
      <c r="AA761" s="4" t="s">
        <v>792</v>
      </c>
      <c r="AB761" s="4" t="b">
        <v>0</v>
      </c>
      <c r="AC761" s="4" t="s">
        <v>536</v>
      </c>
      <c r="AD761" s="4" t="s">
        <v>537</v>
      </c>
    </row>
    <row r="762" ht="14.25" customHeight="1">
      <c r="A762" s="4">
        <v>7582153.0</v>
      </c>
      <c r="B762" s="2">
        <v>45889.9108680556</v>
      </c>
      <c r="C762" s="4">
        <v>6822630.0</v>
      </c>
      <c r="D762" s="4" t="s">
        <v>1426</v>
      </c>
      <c r="E762" s="2">
        <v>46021.4791666667</v>
      </c>
      <c r="F762" s="4">
        <v>1.0</v>
      </c>
      <c r="G762" s="4">
        <v>0.0</v>
      </c>
      <c r="H762" s="4" t="s">
        <v>1519</v>
      </c>
      <c r="I762" s="4" t="s">
        <v>1533</v>
      </c>
      <c r="J762" s="4" t="s">
        <v>1519</v>
      </c>
      <c r="K762" s="4" t="s">
        <v>1513</v>
      </c>
      <c r="L762" s="4" t="s">
        <v>1533</v>
      </c>
      <c r="M762" s="4" t="s">
        <v>1766</v>
      </c>
      <c r="N762" s="4" t="s">
        <v>540</v>
      </c>
      <c r="O762" s="4" t="s">
        <v>1767</v>
      </c>
      <c r="P762" s="4" t="s">
        <v>1562</v>
      </c>
      <c r="Q762" s="4" t="s">
        <v>1768</v>
      </c>
      <c r="R762" s="4" t="b">
        <v>0</v>
      </c>
      <c r="S762" s="4" t="s">
        <v>1486</v>
      </c>
      <c r="T762" s="2">
        <v>46021.4805555556</v>
      </c>
      <c r="U762" s="2">
        <v>45889.0</v>
      </c>
      <c r="V762" s="4">
        <v>33.0</v>
      </c>
      <c r="W762" s="4" t="s">
        <v>1769</v>
      </c>
      <c r="X762" s="4">
        <v>2025.0</v>
      </c>
      <c r="Y762" s="4" t="s">
        <v>1518</v>
      </c>
      <c r="Z762" s="4" t="s">
        <v>557</v>
      </c>
      <c r="AA762" s="4" t="s">
        <v>558</v>
      </c>
      <c r="AB762" s="4" t="b">
        <v>0</v>
      </c>
      <c r="AC762" s="4" t="s">
        <v>536</v>
      </c>
      <c r="AD762" s="4" t="s">
        <v>537</v>
      </c>
    </row>
    <row r="763" ht="14.25" customHeight="1">
      <c r="A763" s="4">
        <v>8308549.0</v>
      </c>
      <c r="B763" s="2">
        <v>46021.5137615741</v>
      </c>
      <c r="C763" s="4">
        <v>7534329.0</v>
      </c>
      <c r="D763" s="4" t="s">
        <v>1427</v>
      </c>
      <c r="E763" s="2">
        <v>46021.5194444444</v>
      </c>
      <c r="F763" s="4">
        <v>1.0</v>
      </c>
      <c r="G763" s="4">
        <v>0.0</v>
      </c>
      <c r="H763" s="4"/>
      <c r="I763" s="4"/>
      <c r="J763" s="4" t="s">
        <v>1480</v>
      </c>
      <c r="K763" s="4" t="s">
        <v>1480</v>
      </c>
      <c r="L763" s="4" t="s">
        <v>1481</v>
      </c>
      <c r="M763" s="4" t="s">
        <v>1482</v>
      </c>
      <c r="N763" s="4" t="s">
        <v>540</v>
      </c>
      <c r="O763" s="4" t="s">
        <v>1483</v>
      </c>
      <c r="P763" s="4" t="s">
        <v>1635</v>
      </c>
      <c r="Q763" s="4" t="s">
        <v>2740</v>
      </c>
      <c r="R763" s="4" t="b">
        <v>0</v>
      </c>
      <c r="S763" s="4" t="s">
        <v>1486</v>
      </c>
      <c r="T763" s="2">
        <v>46021.5208333333</v>
      </c>
      <c r="U763" s="2">
        <v>46021.0</v>
      </c>
      <c r="V763" s="4">
        <v>52.0</v>
      </c>
      <c r="W763" s="4" t="s">
        <v>550</v>
      </c>
      <c r="X763" s="4">
        <v>2025.0</v>
      </c>
      <c r="Y763" s="4" t="s">
        <v>1487</v>
      </c>
      <c r="Z763" s="4" t="s">
        <v>557</v>
      </c>
      <c r="AA763" s="4" t="s">
        <v>558</v>
      </c>
      <c r="AB763" s="4" t="b">
        <v>0</v>
      </c>
      <c r="AC763" s="4" t="s">
        <v>567</v>
      </c>
      <c r="AD763" s="4" t="s">
        <v>537</v>
      </c>
    </row>
    <row r="764" ht="14.25" customHeight="1">
      <c r="A764" s="4">
        <v>7964459.0</v>
      </c>
      <c r="B764" s="2">
        <v>45985.9223148148</v>
      </c>
      <c r="C764" s="4">
        <v>7192756.0</v>
      </c>
      <c r="D764" s="4" t="s">
        <v>1429</v>
      </c>
      <c r="E764" s="2">
        <v>46021.5826388889</v>
      </c>
      <c r="F764" s="4">
        <v>0.0</v>
      </c>
      <c r="G764" s="4">
        <v>0.0</v>
      </c>
      <c r="H764" s="4"/>
      <c r="I764" s="4"/>
      <c r="J764" s="4"/>
      <c r="K764" s="4"/>
      <c r="L764" s="4"/>
      <c r="M764" s="4" t="s">
        <v>1482</v>
      </c>
      <c r="N764" s="4" t="s">
        <v>2741</v>
      </c>
      <c r="O764" s="4" t="s">
        <v>2742</v>
      </c>
      <c r="P764" s="4" t="s">
        <v>1496</v>
      </c>
      <c r="Q764" s="4" t="s">
        <v>2743</v>
      </c>
      <c r="R764" s="4" t="b">
        <v>1</v>
      </c>
      <c r="S764" s="4" t="s">
        <v>1486</v>
      </c>
      <c r="T764" s="2">
        <v>46021.5840277778</v>
      </c>
      <c r="U764" s="2">
        <v>45985.0</v>
      </c>
      <c r="V764" s="4">
        <v>47.0</v>
      </c>
      <c r="W764" s="4" t="s">
        <v>545</v>
      </c>
      <c r="X764" s="4">
        <v>2025.0</v>
      </c>
      <c r="Y764" s="4" t="s">
        <v>1540</v>
      </c>
      <c r="Z764" s="4"/>
      <c r="AA764" s="4" t="s">
        <v>558</v>
      </c>
      <c r="AB764" s="4" t="b">
        <v>0</v>
      </c>
      <c r="AC764" s="4" t="s">
        <v>536</v>
      </c>
      <c r="AD764" s="4" t="s">
        <v>537</v>
      </c>
    </row>
    <row r="765" ht="14.25" customHeight="1">
      <c r="A765" s="4">
        <v>8309183.0</v>
      </c>
      <c r="B765" s="2">
        <v>46021.5818171296</v>
      </c>
      <c r="C765" s="4">
        <v>7192756.0</v>
      </c>
      <c r="D765" s="4" t="s">
        <v>1429</v>
      </c>
      <c r="E765" s="2">
        <v>46021.5826388889</v>
      </c>
      <c r="F765" s="4">
        <v>1.0</v>
      </c>
      <c r="G765" s="4">
        <v>0.0</v>
      </c>
      <c r="H765" s="4" t="s">
        <v>1511</v>
      </c>
      <c r="I765" s="4" t="s">
        <v>2040</v>
      </c>
      <c r="J765" s="4" t="s">
        <v>1511</v>
      </c>
      <c r="K765" s="4" t="s">
        <v>1513</v>
      </c>
      <c r="L765" s="4" t="s">
        <v>2040</v>
      </c>
      <c r="M765" s="4" t="s">
        <v>2721</v>
      </c>
      <c r="N765" s="4" t="s">
        <v>653</v>
      </c>
      <c r="O765" s="4" t="s">
        <v>2744</v>
      </c>
      <c r="P765" s="4" t="s">
        <v>1845</v>
      </c>
      <c r="Q765" s="4" t="s">
        <v>2745</v>
      </c>
      <c r="R765" s="4" t="b">
        <v>0</v>
      </c>
      <c r="S765" s="4" t="s">
        <v>1486</v>
      </c>
      <c r="T765" s="2">
        <v>46021.5840277778</v>
      </c>
      <c r="U765" s="2">
        <v>46021.0</v>
      </c>
      <c r="V765" s="4">
        <v>52.0</v>
      </c>
      <c r="W765" s="4" t="s">
        <v>550</v>
      </c>
      <c r="X765" s="4">
        <v>2025.0</v>
      </c>
      <c r="Y765" s="4" t="s">
        <v>1518</v>
      </c>
      <c r="Z765" s="4"/>
      <c r="AA765" s="4" t="s">
        <v>558</v>
      </c>
      <c r="AB765" s="4" t="b">
        <v>0</v>
      </c>
      <c r="AC765" s="4" t="s">
        <v>536</v>
      </c>
      <c r="AD765" s="4" t="s">
        <v>537</v>
      </c>
    </row>
    <row r="766" ht="14.25" customHeight="1">
      <c r="A766" s="4">
        <v>8296226.0</v>
      </c>
      <c r="B766" s="2">
        <v>46019.6817013889</v>
      </c>
      <c r="C766" s="4">
        <v>7522095.0</v>
      </c>
      <c r="D766" s="4" t="s">
        <v>1430</v>
      </c>
      <c r="E766" s="2">
        <v>46021.6083333333</v>
      </c>
      <c r="F766" s="4">
        <v>1.0</v>
      </c>
      <c r="G766" s="4">
        <v>0.0</v>
      </c>
      <c r="H766" s="4"/>
      <c r="I766" s="4"/>
      <c r="J766" s="4" t="s">
        <v>1526</v>
      </c>
      <c r="K766" s="4" t="s">
        <v>1527</v>
      </c>
      <c r="L766" s="4" t="s">
        <v>1528</v>
      </c>
      <c r="M766" s="4" t="s">
        <v>1482</v>
      </c>
      <c r="N766" s="4" t="s">
        <v>1529</v>
      </c>
      <c r="O766" s="4" t="s">
        <v>1530</v>
      </c>
      <c r="P766" s="4" t="s">
        <v>1635</v>
      </c>
      <c r="Q766" s="4" t="s">
        <v>2705</v>
      </c>
      <c r="R766" s="4" t="b">
        <v>0</v>
      </c>
      <c r="S766" s="4" t="s">
        <v>1486</v>
      </c>
      <c r="T766" s="2">
        <v>46021.6097222222</v>
      </c>
      <c r="U766" s="2">
        <v>46019.0</v>
      </c>
      <c r="V766" s="4">
        <v>51.0</v>
      </c>
      <c r="W766" s="4" t="s">
        <v>550</v>
      </c>
      <c r="X766" s="4">
        <v>2025.0</v>
      </c>
      <c r="Y766" s="4" t="s">
        <v>1532</v>
      </c>
      <c r="Z766" s="4" t="s">
        <v>977</v>
      </c>
      <c r="AA766" s="4" t="s">
        <v>655</v>
      </c>
      <c r="AB766" s="4" t="b">
        <v>0</v>
      </c>
      <c r="AC766" s="4" t="s">
        <v>536</v>
      </c>
      <c r="AD766" s="4" t="s">
        <v>537</v>
      </c>
    </row>
    <row r="767" ht="14.25" customHeight="1">
      <c r="A767" s="4">
        <v>8309399.0</v>
      </c>
      <c r="B767" s="2">
        <v>46021.6026041667</v>
      </c>
      <c r="C767" s="4">
        <v>7535169.0</v>
      </c>
      <c r="D767" s="4" t="s">
        <v>1431</v>
      </c>
      <c r="E767" s="2">
        <v>46021.6194444444</v>
      </c>
      <c r="F767" s="4">
        <v>1.0</v>
      </c>
      <c r="G767" s="4">
        <v>0.0</v>
      </c>
      <c r="H767" s="4" t="s">
        <v>1519</v>
      </c>
      <c r="I767" s="4" t="s">
        <v>1781</v>
      </c>
      <c r="J767" s="4" t="s">
        <v>1519</v>
      </c>
      <c r="K767" s="4" t="s">
        <v>1513</v>
      </c>
      <c r="L767" s="4" t="s">
        <v>1781</v>
      </c>
      <c r="M767" s="4" t="s">
        <v>1692</v>
      </c>
      <c r="N767" s="4" t="s">
        <v>540</v>
      </c>
      <c r="O767" s="4" t="s">
        <v>2746</v>
      </c>
      <c r="P767" s="4" t="s">
        <v>1635</v>
      </c>
      <c r="Q767" s="4" t="s">
        <v>2747</v>
      </c>
      <c r="R767" s="4" t="b">
        <v>0</v>
      </c>
      <c r="S767" s="4" t="s">
        <v>1486</v>
      </c>
      <c r="T767" s="2">
        <v>46021.6208333333</v>
      </c>
      <c r="U767" s="2">
        <v>46021.0</v>
      </c>
      <c r="V767" s="4">
        <v>52.0</v>
      </c>
      <c r="W767" s="4" t="s">
        <v>550</v>
      </c>
      <c r="X767" s="4">
        <v>2025.0</v>
      </c>
      <c r="Y767" s="4" t="s">
        <v>1518</v>
      </c>
      <c r="Z767" s="4" t="s">
        <v>557</v>
      </c>
      <c r="AA767" s="4" t="s">
        <v>558</v>
      </c>
      <c r="AB767" s="4" t="b">
        <v>0</v>
      </c>
      <c r="AC767" s="4" t="s">
        <v>567</v>
      </c>
      <c r="AD767" s="4" t="s">
        <v>537</v>
      </c>
    </row>
    <row r="768" ht="14.25" customHeight="1">
      <c r="A768" s="4">
        <v>8309542.0</v>
      </c>
      <c r="B768" s="2">
        <v>46021.619525463</v>
      </c>
      <c r="C768" s="4">
        <v>7535309.0</v>
      </c>
      <c r="D768" s="4" t="s">
        <v>1432</v>
      </c>
      <c r="E768" s="2">
        <v>46021.6194444444</v>
      </c>
      <c r="F768" s="4">
        <v>0.0</v>
      </c>
      <c r="G768" s="4">
        <v>0.0</v>
      </c>
      <c r="H768" s="4"/>
      <c r="I768" s="4"/>
      <c r="J768" s="4"/>
      <c r="K768" s="4"/>
      <c r="L768" s="4"/>
      <c r="M768" s="4" t="s">
        <v>1482</v>
      </c>
      <c r="N768" s="4" t="s">
        <v>1483</v>
      </c>
      <c r="O768" s="4" t="s">
        <v>2748</v>
      </c>
      <c r="P768" s="4" t="s">
        <v>1635</v>
      </c>
      <c r="Q768" s="4" t="s">
        <v>2749</v>
      </c>
      <c r="R768" s="4" t="b">
        <v>1</v>
      </c>
      <c r="S768" s="4" t="s">
        <v>1486</v>
      </c>
      <c r="T768" s="2">
        <v>46021.6208333333</v>
      </c>
      <c r="U768" s="2">
        <v>46021.0</v>
      </c>
      <c r="V768" s="4">
        <v>52.0</v>
      </c>
      <c r="W768" s="4" t="s">
        <v>550</v>
      </c>
      <c r="X768" s="4">
        <v>2025.0</v>
      </c>
      <c r="Y768" s="4" t="s">
        <v>1540</v>
      </c>
      <c r="Z768" s="4" t="s">
        <v>557</v>
      </c>
      <c r="AA768" s="4" t="s">
        <v>558</v>
      </c>
      <c r="AB768" s="4" t="b">
        <v>0</v>
      </c>
      <c r="AC768" s="4" t="s">
        <v>536</v>
      </c>
      <c r="AD768" s="4" t="s">
        <v>537</v>
      </c>
    </row>
    <row r="769" ht="14.25" customHeight="1">
      <c r="A769" s="4">
        <v>7994257.0</v>
      </c>
      <c r="B769" s="2">
        <v>45992.7743402778</v>
      </c>
      <c r="C769" s="4">
        <v>7222082.0</v>
      </c>
      <c r="D769" s="4" t="s">
        <v>1433</v>
      </c>
      <c r="E769" s="2">
        <v>46021.6263888889</v>
      </c>
      <c r="F769" s="4">
        <v>0.5</v>
      </c>
      <c r="G769" s="4">
        <v>0.0</v>
      </c>
      <c r="H769" s="4"/>
      <c r="I769" s="4"/>
      <c r="J769" s="4" t="s">
        <v>1480</v>
      </c>
      <c r="K769" s="4" t="s">
        <v>1480</v>
      </c>
      <c r="L769" s="4" t="s">
        <v>1481</v>
      </c>
      <c r="M769" s="4" t="s">
        <v>1482</v>
      </c>
      <c r="N769" s="4" t="s">
        <v>540</v>
      </c>
      <c r="O769" s="4" t="s">
        <v>1483</v>
      </c>
      <c r="P769" s="4" t="s">
        <v>1488</v>
      </c>
      <c r="Q769" s="4" t="s">
        <v>2750</v>
      </c>
      <c r="R769" s="4" t="b">
        <v>0</v>
      </c>
      <c r="S769" s="4" t="s">
        <v>1486</v>
      </c>
      <c r="T769" s="2">
        <v>46022.4833333333</v>
      </c>
      <c r="U769" s="2">
        <v>45992.0</v>
      </c>
      <c r="V769" s="4">
        <v>48.0</v>
      </c>
      <c r="W769" s="4" t="s">
        <v>550</v>
      </c>
      <c r="X769" s="4">
        <v>2025.0</v>
      </c>
      <c r="Y769" s="4" t="s">
        <v>1487</v>
      </c>
      <c r="Z769" s="4" t="s">
        <v>557</v>
      </c>
      <c r="AA769" s="4" t="s">
        <v>558</v>
      </c>
      <c r="AB769" s="4" t="b">
        <v>0</v>
      </c>
      <c r="AC769" s="4" t="s">
        <v>536</v>
      </c>
      <c r="AD769" s="4" t="s">
        <v>537</v>
      </c>
    </row>
    <row r="770" ht="14.25" customHeight="1">
      <c r="A770" s="4">
        <v>8309480.0</v>
      </c>
      <c r="B770" s="2">
        <v>46021.6118981481</v>
      </c>
      <c r="C770" s="4">
        <v>7222082.0</v>
      </c>
      <c r="D770" s="4" t="s">
        <v>1433</v>
      </c>
      <c r="E770" s="2">
        <v>46021.6263888889</v>
      </c>
      <c r="F770" s="4">
        <v>0.5</v>
      </c>
      <c r="G770" s="4">
        <v>0.0</v>
      </c>
      <c r="H770" s="4" t="s">
        <v>1480</v>
      </c>
      <c r="I770" s="4" t="s">
        <v>1550</v>
      </c>
      <c r="J770" s="4" t="s">
        <v>1480</v>
      </c>
      <c r="K770" s="4" t="s">
        <v>1480</v>
      </c>
      <c r="L770" s="4" t="s">
        <v>1550</v>
      </c>
      <c r="M770" s="4" t="s">
        <v>1551</v>
      </c>
      <c r="N770" s="4" t="s">
        <v>540</v>
      </c>
      <c r="O770" s="4" t="s">
        <v>1552</v>
      </c>
      <c r="P770" s="4" t="s">
        <v>1635</v>
      </c>
      <c r="Q770" s="4" t="s">
        <v>2750</v>
      </c>
      <c r="R770" s="4" t="b">
        <v>0</v>
      </c>
      <c r="S770" s="4" t="s">
        <v>1486</v>
      </c>
      <c r="T770" s="2">
        <v>46022.4833333333</v>
      </c>
      <c r="U770" s="2">
        <v>46021.0</v>
      </c>
      <c r="V770" s="4">
        <v>52.0</v>
      </c>
      <c r="W770" s="4" t="s">
        <v>550</v>
      </c>
      <c r="X770" s="4">
        <v>2025.0</v>
      </c>
      <c r="Y770" s="4" t="s">
        <v>1518</v>
      </c>
      <c r="Z770" s="4" t="s">
        <v>557</v>
      </c>
      <c r="AA770" s="4" t="s">
        <v>558</v>
      </c>
      <c r="AB770" s="4" t="b">
        <v>0</v>
      </c>
      <c r="AC770" s="4" t="s">
        <v>536</v>
      </c>
      <c r="AD770" s="4" t="s">
        <v>537</v>
      </c>
    </row>
    <row r="771" ht="14.25" customHeight="1">
      <c r="A771" s="4">
        <v>8309787.0</v>
      </c>
      <c r="B771" s="2">
        <v>46021.6427546296</v>
      </c>
      <c r="C771" s="4">
        <v>7535554.0</v>
      </c>
      <c r="D771" s="4" t="s">
        <v>1435</v>
      </c>
      <c r="E771" s="2">
        <v>46021.6423611111</v>
      </c>
      <c r="F771" s="4">
        <v>1.0</v>
      </c>
      <c r="G771" s="4">
        <v>0.0</v>
      </c>
      <c r="H771" s="4"/>
      <c r="I771" s="4"/>
      <c r="J771" s="4" t="s">
        <v>1526</v>
      </c>
      <c r="K771" s="4" t="s">
        <v>1527</v>
      </c>
      <c r="L771" s="4" t="s">
        <v>1528</v>
      </c>
      <c r="M771" s="4" t="s">
        <v>1482</v>
      </c>
      <c r="N771" s="4" t="s">
        <v>1529</v>
      </c>
      <c r="O771" s="4" t="s">
        <v>1530</v>
      </c>
      <c r="P771" s="4" t="s">
        <v>1756</v>
      </c>
      <c r="Q771" s="4" t="s">
        <v>2751</v>
      </c>
      <c r="R771" s="4" t="b">
        <v>0</v>
      </c>
      <c r="S771" s="4" t="s">
        <v>1486</v>
      </c>
      <c r="T771" s="2">
        <v>46021.64375</v>
      </c>
      <c r="U771" s="2">
        <v>46021.0</v>
      </c>
      <c r="V771" s="4">
        <v>52.0</v>
      </c>
      <c r="W771" s="4" t="s">
        <v>550</v>
      </c>
      <c r="X771" s="4">
        <v>2025.0</v>
      </c>
      <c r="Y771" s="4" t="s">
        <v>1532</v>
      </c>
      <c r="Z771" s="4" t="s">
        <v>557</v>
      </c>
      <c r="AA771" s="4"/>
      <c r="AB771" s="4" t="b">
        <v>0</v>
      </c>
      <c r="AC771" s="4" t="s">
        <v>536</v>
      </c>
      <c r="AD771" s="4" t="s">
        <v>537</v>
      </c>
    </row>
    <row r="772" ht="14.25" customHeight="1">
      <c r="A772" s="4">
        <v>8309854.0</v>
      </c>
      <c r="B772" s="2">
        <v>46021.6493055556</v>
      </c>
      <c r="C772" s="4">
        <v>7535621.0</v>
      </c>
      <c r="D772" s="4" t="s">
        <v>1436</v>
      </c>
      <c r="E772" s="2">
        <v>46021.6506944444</v>
      </c>
      <c r="F772" s="4">
        <v>1.0</v>
      </c>
      <c r="G772" s="4">
        <v>0.0</v>
      </c>
      <c r="H772" s="4"/>
      <c r="I772" s="4"/>
      <c r="J772" s="4" t="s">
        <v>539</v>
      </c>
      <c r="K772" s="4" t="s">
        <v>539</v>
      </c>
      <c r="L772" s="4" t="s">
        <v>1499</v>
      </c>
      <c r="M772" s="4" t="s">
        <v>1482</v>
      </c>
      <c r="N772" s="4"/>
      <c r="O772" s="4" t="s">
        <v>2752</v>
      </c>
      <c r="P772" s="4" t="s">
        <v>1845</v>
      </c>
      <c r="Q772" s="4" t="s">
        <v>2753</v>
      </c>
      <c r="R772" s="4" t="b">
        <v>0</v>
      </c>
      <c r="S772" s="4" t="s">
        <v>1486</v>
      </c>
      <c r="T772" s="2">
        <v>46021.6520833333</v>
      </c>
      <c r="U772" s="2">
        <v>46021.0</v>
      </c>
      <c r="V772" s="4">
        <v>52.0</v>
      </c>
      <c r="W772" s="4" t="s">
        <v>550</v>
      </c>
      <c r="X772" s="4">
        <v>2025.0</v>
      </c>
      <c r="Y772" s="4" t="s">
        <v>1502</v>
      </c>
      <c r="Z772" s="4" t="s">
        <v>557</v>
      </c>
      <c r="AA772" s="4" t="s">
        <v>558</v>
      </c>
      <c r="AB772" s="4" t="b">
        <v>0</v>
      </c>
      <c r="AC772" s="4" t="s">
        <v>567</v>
      </c>
      <c r="AD772" s="4" t="s">
        <v>537</v>
      </c>
    </row>
    <row r="773" ht="14.25" customHeight="1">
      <c r="A773" s="4">
        <v>8309911.0</v>
      </c>
      <c r="B773" s="2">
        <v>46021.6564236111</v>
      </c>
      <c r="C773" s="4">
        <v>7535678.0</v>
      </c>
      <c r="D773" s="4" t="s">
        <v>1437</v>
      </c>
      <c r="E773" s="2">
        <v>46021.65625</v>
      </c>
      <c r="F773" s="4">
        <v>1.0</v>
      </c>
      <c r="G773" s="4">
        <v>0.0</v>
      </c>
      <c r="H773" s="4"/>
      <c r="I773" s="4"/>
      <c r="J773" s="4" t="s">
        <v>1480</v>
      </c>
      <c r="K773" s="4" t="s">
        <v>1480</v>
      </c>
      <c r="L773" s="4" t="s">
        <v>1481</v>
      </c>
      <c r="M773" s="4" t="s">
        <v>1482</v>
      </c>
      <c r="N773" s="4" t="s">
        <v>540</v>
      </c>
      <c r="O773" s="4" t="s">
        <v>1483</v>
      </c>
      <c r="P773" s="4" t="s">
        <v>1635</v>
      </c>
      <c r="Q773" s="4" t="s">
        <v>2754</v>
      </c>
      <c r="R773" s="4" t="b">
        <v>0</v>
      </c>
      <c r="S773" s="4" t="s">
        <v>1486</v>
      </c>
      <c r="T773" s="2">
        <v>46021.6576388889</v>
      </c>
      <c r="U773" s="2">
        <v>46021.0</v>
      </c>
      <c r="V773" s="4">
        <v>52.0</v>
      </c>
      <c r="W773" s="4" t="s">
        <v>550</v>
      </c>
      <c r="X773" s="4">
        <v>2025.0</v>
      </c>
      <c r="Y773" s="4" t="s">
        <v>1487</v>
      </c>
      <c r="Z773" s="4" t="s">
        <v>541</v>
      </c>
      <c r="AA773" s="4" t="s">
        <v>546</v>
      </c>
      <c r="AB773" s="4" t="b">
        <v>0</v>
      </c>
      <c r="AC773" s="4" t="s">
        <v>536</v>
      </c>
      <c r="AD773" s="4" t="s">
        <v>537</v>
      </c>
    </row>
    <row r="774" ht="14.25" customHeight="1">
      <c r="A774" s="4">
        <v>8287625.0</v>
      </c>
      <c r="B774" s="2">
        <v>46017.5608449074</v>
      </c>
      <c r="C774" s="4">
        <v>7513561.0</v>
      </c>
      <c r="D774" s="4" t="s">
        <v>1438</v>
      </c>
      <c r="E774" s="2">
        <v>46021.6611111111</v>
      </c>
      <c r="F774" s="4">
        <v>1.0</v>
      </c>
      <c r="G774" s="4">
        <v>0.0</v>
      </c>
      <c r="H774" s="4"/>
      <c r="I774" s="4"/>
      <c r="J774" s="4" t="s">
        <v>1480</v>
      </c>
      <c r="K774" s="4" t="s">
        <v>1480</v>
      </c>
      <c r="L774" s="4" t="s">
        <v>1481</v>
      </c>
      <c r="M774" s="4" t="s">
        <v>1482</v>
      </c>
      <c r="N774" s="4" t="s">
        <v>540</v>
      </c>
      <c r="O774" s="4" t="s">
        <v>1557</v>
      </c>
      <c r="P774" s="4" t="s">
        <v>1635</v>
      </c>
      <c r="Q774" s="4" t="s">
        <v>2755</v>
      </c>
      <c r="R774" s="4" t="b">
        <v>0</v>
      </c>
      <c r="S774" s="4" t="s">
        <v>1486</v>
      </c>
      <c r="T774" s="2">
        <v>46021.6625</v>
      </c>
      <c r="U774" s="2">
        <v>46017.0</v>
      </c>
      <c r="V774" s="4">
        <v>51.0</v>
      </c>
      <c r="W774" s="4" t="s">
        <v>550</v>
      </c>
      <c r="X774" s="4">
        <v>2025.0</v>
      </c>
      <c r="Y774" s="4" t="s">
        <v>1487</v>
      </c>
      <c r="Z774" s="4"/>
      <c r="AA774" s="4" t="s">
        <v>558</v>
      </c>
      <c r="AB774" s="4" t="b">
        <v>0</v>
      </c>
      <c r="AC774" s="4" t="s">
        <v>567</v>
      </c>
      <c r="AD774" s="4" t="s">
        <v>537</v>
      </c>
    </row>
    <row r="775" ht="14.25" customHeight="1">
      <c r="A775" s="4">
        <v>8310187.0</v>
      </c>
      <c r="B775" s="2">
        <v>46021.6823842593</v>
      </c>
      <c r="C775" s="4">
        <v>7535952.0</v>
      </c>
      <c r="D775" s="4" t="s">
        <v>1439</v>
      </c>
      <c r="E775" s="2">
        <v>46021.6826388889</v>
      </c>
      <c r="F775" s="4">
        <v>1.0</v>
      </c>
      <c r="G775" s="4">
        <v>0.0</v>
      </c>
      <c r="H775" s="4"/>
      <c r="I775" s="4"/>
      <c r="J775" s="4" t="s">
        <v>539</v>
      </c>
      <c r="K775" s="4" t="s">
        <v>539</v>
      </c>
      <c r="L775" s="4" t="s">
        <v>1499</v>
      </c>
      <c r="M775" s="4" t="s">
        <v>1482</v>
      </c>
      <c r="N775" s="4"/>
      <c r="O775" s="4" t="s">
        <v>1500</v>
      </c>
      <c r="P775" s="4" t="s">
        <v>2756</v>
      </c>
      <c r="Q775" s="4" t="s">
        <v>2757</v>
      </c>
      <c r="R775" s="4" t="b">
        <v>0</v>
      </c>
      <c r="S775" s="4" t="s">
        <v>1486</v>
      </c>
      <c r="T775" s="2">
        <v>46021.6840277778</v>
      </c>
      <c r="U775" s="2">
        <v>46021.0</v>
      </c>
      <c r="V775" s="4">
        <v>52.0</v>
      </c>
      <c r="W775" s="4" t="s">
        <v>550</v>
      </c>
      <c r="X775" s="4">
        <v>2025.0</v>
      </c>
      <c r="Y775" s="4" t="s">
        <v>1502</v>
      </c>
      <c r="Z775" s="4"/>
      <c r="AA775" s="4" t="s">
        <v>792</v>
      </c>
      <c r="AB775" s="4" t="b">
        <v>0</v>
      </c>
      <c r="AC775" s="4" t="s">
        <v>536</v>
      </c>
      <c r="AD775" s="4" t="s">
        <v>537</v>
      </c>
    </row>
    <row r="776" ht="14.25" customHeight="1">
      <c r="A776" s="4">
        <v>8311049.0</v>
      </c>
      <c r="B776" s="2">
        <v>46021.7819675926</v>
      </c>
      <c r="C776" s="4">
        <v>7536811.0</v>
      </c>
      <c r="D776" s="4" t="s">
        <v>1444</v>
      </c>
      <c r="E776" s="2">
        <v>46021.7854166667</v>
      </c>
      <c r="F776" s="4">
        <v>1.0</v>
      </c>
      <c r="G776" s="4">
        <v>0.0</v>
      </c>
      <c r="H776" s="4"/>
      <c r="I776" s="4"/>
      <c r="J776" s="4" t="s">
        <v>1480</v>
      </c>
      <c r="K776" s="4" t="s">
        <v>1480</v>
      </c>
      <c r="L776" s="4" t="s">
        <v>1481</v>
      </c>
      <c r="M776" s="4" t="s">
        <v>1482</v>
      </c>
      <c r="N776" s="4" t="s">
        <v>540</v>
      </c>
      <c r="O776" s="4" t="s">
        <v>1483</v>
      </c>
      <c r="P776" s="4" t="s">
        <v>2003</v>
      </c>
      <c r="Q776" s="4" t="s">
        <v>2758</v>
      </c>
      <c r="R776" s="4" t="b">
        <v>0</v>
      </c>
      <c r="S776" s="4" t="s">
        <v>1486</v>
      </c>
      <c r="T776" s="2">
        <v>46021.7868055556</v>
      </c>
      <c r="U776" s="2">
        <v>46021.0</v>
      </c>
      <c r="V776" s="4">
        <v>52.0</v>
      </c>
      <c r="W776" s="4" t="s">
        <v>550</v>
      </c>
      <c r="X776" s="4">
        <v>2025.0</v>
      </c>
      <c r="Y776" s="4" t="s">
        <v>1487</v>
      </c>
      <c r="Z776" s="4" t="s">
        <v>557</v>
      </c>
      <c r="AA776" s="4" t="s">
        <v>558</v>
      </c>
      <c r="AB776" s="4" t="b">
        <v>0</v>
      </c>
      <c r="AC776" s="4" t="s">
        <v>536</v>
      </c>
      <c r="AD776" s="4" t="s">
        <v>537</v>
      </c>
    </row>
    <row r="777" ht="14.25" customHeight="1">
      <c r="A777" s="4">
        <v>8311383.0</v>
      </c>
      <c r="B777" s="2">
        <v>46021.8287847222</v>
      </c>
      <c r="C777" s="4">
        <v>7537141.0</v>
      </c>
      <c r="D777" s="4" t="s">
        <v>1446</v>
      </c>
      <c r="E777" s="2">
        <v>46021.8291666667</v>
      </c>
      <c r="F777" s="4">
        <v>1.0</v>
      </c>
      <c r="G777" s="4">
        <v>0.0</v>
      </c>
      <c r="H777" s="4"/>
      <c r="I777" s="4"/>
      <c r="J777" s="4" t="s">
        <v>539</v>
      </c>
      <c r="K777" s="4" t="s">
        <v>539</v>
      </c>
      <c r="L777" s="4" t="s">
        <v>1499</v>
      </c>
      <c r="M777" s="4" t="s">
        <v>1482</v>
      </c>
      <c r="N777" s="4"/>
      <c r="O777" s="4" t="s">
        <v>1598</v>
      </c>
      <c r="P777" s="4" t="s">
        <v>1923</v>
      </c>
      <c r="Q777" s="4" t="s">
        <v>2759</v>
      </c>
      <c r="R777" s="4" t="b">
        <v>0</v>
      </c>
      <c r="S777" s="4" t="s">
        <v>1486</v>
      </c>
      <c r="T777" s="2">
        <v>46021.8305555556</v>
      </c>
      <c r="U777" s="2">
        <v>46021.0</v>
      </c>
      <c r="V777" s="4">
        <v>52.0</v>
      </c>
      <c r="W777" s="4" t="s">
        <v>550</v>
      </c>
      <c r="X777" s="4">
        <v>2025.0</v>
      </c>
      <c r="Y777" s="4" t="s">
        <v>1502</v>
      </c>
      <c r="Z777" s="4"/>
      <c r="AA777" s="4" t="s">
        <v>558</v>
      </c>
      <c r="AB777" s="4" t="b">
        <v>0</v>
      </c>
      <c r="AC777" s="4" t="s">
        <v>554</v>
      </c>
      <c r="AD777" s="4" t="s">
        <v>537</v>
      </c>
    </row>
    <row r="778" ht="14.25" customHeight="1">
      <c r="A778" s="4">
        <v>7963745.0</v>
      </c>
      <c r="B778" s="2">
        <v>45985.7569328704</v>
      </c>
      <c r="C778" s="4">
        <v>7192064.0</v>
      </c>
      <c r="D778" s="4" t="s">
        <v>1447</v>
      </c>
      <c r="E778" s="2">
        <v>46021.8777777778</v>
      </c>
      <c r="F778" s="4">
        <v>1.0</v>
      </c>
      <c r="G778" s="4">
        <v>0.0</v>
      </c>
      <c r="H778" s="4"/>
      <c r="I778" s="4"/>
      <c r="J778" s="4" t="s">
        <v>1480</v>
      </c>
      <c r="K778" s="4" t="s">
        <v>1480</v>
      </c>
      <c r="L778" s="4" t="s">
        <v>1511</v>
      </c>
      <c r="M778" s="4" t="s">
        <v>1482</v>
      </c>
      <c r="N778" s="4" t="s">
        <v>653</v>
      </c>
      <c r="O778" s="4" t="s">
        <v>2498</v>
      </c>
      <c r="P778" s="4" t="s">
        <v>1845</v>
      </c>
      <c r="Q778" s="4" t="s">
        <v>2499</v>
      </c>
      <c r="R778" s="4" t="b">
        <v>0</v>
      </c>
      <c r="S778" s="4" t="s">
        <v>1486</v>
      </c>
      <c r="T778" s="2">
        <v>46021.8791666667</v>
      </c>
      <c r="U778" s="2">
        <v>45985.0</v>
      </c>
      <c r="V778" s="4">
        <v>47.0</v>
      </c>
      <c r="W778" s="4" t="s">
        <v>545</v>
      </c>
      <c r="X778" s="4">
        <v>2025.0</v>
      </c>
      <c r="Y778" s="4" t="s">
        <v>1680</v>
      </c>
      <c r="Z778" s="4" t="s">
        <v>557</v>
      </c>
      <c r="AA778" s="4" t="s">
        <v>558</v>
      </c>
      <c r="AB778" s="4" t="b">
        <v>0</v>
      </c>
      <c r="AC778" s="4" t="s">
        <v>536</v>
      </c>
      <c r="AD778" s="4" t="s">
        <v>537</v>
      </c>
    </row>
    <row r="779" ht="14.25" customHeight="1">
      <c r="A779" s="4">
        <v>7990374.0</v>
      </c>
      <c r="B779" s="2">
        <v>45992.1925694444</v>
      </c>
      <c r="C779" s="4">
        <v>7218369.0</v>
      </c>
      <c r="D779" s="4" t="s">
        <v>1449</v>
      </c>
      <c r="E779" s="2">
        <v>46022.0055555556</v>
      </c>
      <c r="F779" s="4">
        <v>0.0</v>
      </c>
      <c r="G779" s="4">
        <v>0.0</v>
      </c>
      <c r="H779" s="4"/>
      <c r="I779" s="4"/>
      <c r="J779" s="4"/>
      <c r="K779" s="4"/>
      <c r="L779" s="4"/>
      <c r="M779" s="4" t="s">
        <v>1482</v>
      </c>
      <c r="N779" s="4" t="s">
        <v>2760</v>
      </c>
      <c r="O779" s="4" t="s">
        <v>2761</v>
      </c>
      <c r="P779" s="4" t="s">
        <v>1488</v>
      </c>
      <c r="Q779" s="4" t="s">
        <v>2762</v>
      </c>
      <c r="R779" s="4" t="b">
        <v>1</v>
      </c>
      <c r="S779" s="4" t="s">
        <v>1486</v>
      </c>
      <c r="T779" s="2">
        <v>46022.0069444444</v>
      </c>
      <c r="U779" s="2">
        <v>45992.0</v>
      </c>
      <c r="V779" s="4">
        <v>48.0</v>
      </c>
      <c r="W779" s="4" t="s">
        <v>550</v>
      </c>
      <c r="X779" s="4">
        <v>2025.0</v>
      </c>
      <c r="Y779" s="4" t="s">
        <v>1540</v>
      </c>
      <c r="Z779" s="4"/>
      <c r="AA779" s="4" t="s">
        <v>624</v>
      </c>
      <c r="AB779" s="4" t="b">
        <v>0</v>
      </c>
      <c r="AC779" s="4" t="s">
        <v>599</v>
      </c>
      <c r="AD779" s="4" t="s">
        <v>537</v>
      </c>
    </row>
    <row r="780" ht="14.25" customHeight="1">
      <c r="A780" s="4">
        <v>8314263.0</v>
      </c>
      <c r="B780" s="2">
        <v>46022.2401273148</v>
      </c>
      <c r="C780" s="4">
        <v>7540010.0</v>
      </c>
      <c r="D780" s="4" t="s">
        <v>1450</v>
      </c>
      <c r="E780" s="2">
        <v>46022.2402777778</v>
      </c>
      <c r="F780" s="4">
        <v>1.0</v>
      </c>
      <c r="G780" s="4">
        <v>0.0</v>
      </c>
      <c r="H780" s="4"/>
      <c r="I780" s="4"/>
      <c r="J780" s="4" t="s">
        <v>1526</v>
      </c>
      <c r="K780" s="4" t="s">
        <v>1527</v>
      </c>
      <c r="L780" s="4" t="s">
        <v>1528</v>
      </c>
      <c r="M780" s="4" t="s">
        <v>1482</v>
      </c>
      <c r="N780" s="4" t="s">
        <v>1529</v>
      </c>
      <c r="O780" s="4" t="s">
        <v>2763</v>
      </c>
      <c r="P780" s="4" t="s">
        <v>1645</v>
      </c>
      <c r="Q780" s="4" t="s">
        <v>2764</v>
      </c>
      <c r="R780" s="4" t="b">
        <v>0</v>
      </c>
      <c r="S780" s="4" t="s">
        <v>1486</v>
      </c>
      <c r="T780" s="2">
        <v>46022.2416666667</v>
      </c>
      <c r="U780" s="2">
        <v>46022.0</v>
      </c>
      <c r="V780" s="4">
        <v>52.0</v>
      </c>
      <c r="W780" s="4" t="s">
        <v>550</v>
      </c>
      <c r="X780" s="4">
        <v>2025.0</v>
      </c>
      <c r="Y780" s="4" t="s">
        <v>1532</v>
      </c>
      <c r="Z780" s="4" t="s">
        <v>557</v>
      </c>
      <c r="AA780" s="4" t="s">
        <v>558</v>
      </c>
      <c r="AB780" s="4" t="b">
        <v>0</v>
      </c>
      <c r="AC780" s="4" t="s">
        <v>536</v>
      </c>
      <c r="AD780" s="4" t="s">
        <v>537</v>
      </c>
    </row>
    <row r="781" ht="14.25" customHeight="1">
      <c r="A781" s="4">
        <v>8314696.0</v>
      </c>
      <c r="B781" s="2">
        <v>46022.3298842593</v>
      </c>
      <c r="C781" s="4">
        <v>7540439.0</v>
      </c>
      <c r="D781" s="4" t="s">
        <v>1451</v>
      </c>
      <c r="E781" s="2">
        <v>46022.3381944444</v>
      </c>
      <c r="F781" s="4">
        <v>1.0</v>
      </c>
      <c r="G781" s="4">
        <v>0.0</v>
      </c>
      <c r="H781" s="4"/>
      <c r="I781" s="4"/>
      <c r="J781" s="4" t="s">
        <v>1480</v>
      </c>
      <c r="K781" s="4" t="s">
        <v>1480</v>
      </c>
      <c r="L781" s="4" t="s">
        <v>1511</v>
      </c>
      <c r="M781" s="4" t="s">
        <v>1482</v>
      </c>
      <c r="N781" s="4" t="s">
        <v>653</v>
      </c>
      <c r="O781" s="4" t="s">
        <v>1644</v>
      </c>
      <c r="P781" s="4" t="s">
        <v>1845</v>
      </c>
      <c r="Q781" s="4" t="s">
        <v>2765</v>
      </c>
      <c r="R781" s="4" t="b">
        <v>0</v>
      </c>
      <c r="S781" s="4" t="s">
        <v>1486</v>
      </c>
      <c r="T781" s="2">
        <v>46022.3395833333</v>
      </c>
      <c r="U781" s="2">
        <v>46022.0</v>
      </c>
      <c r="V781" s="4">
        <v>52.0</v>
      </c>
      <c r="W781" s="4" t="s">
        <v>550</v>
      </c>
      <c r="X781" s="4">
        <v>2025.0</v>
      </c>
      <c r="Y781" s="4" t="s">
        <v>1680</v>
      </c>
      <c r="Z781" s="4"/>
      <c r="AA781" s="4" t="s">
        <v>828</v>
      </c>
      <c r="AB781" s="4" t="b">
        <v>0</v>
      </c>
      <c r="AC781" s="4" t="s">
        <v>554</v>
      </c>
      <c r="AD781" s="4" t="s">
        <v>537</v>
      </c>
    </row>
    <row r="782" ht="14.25" customHeight="1">
      <c r="A782" s="4">
        <v>8309190.0</v>
      </c>
      <c r="B782" s="2">
        <v>46021.5828125</v>
      </c>
      <c r="C782" s="4">
        <v>7534963.0</v>
      </c>
      <c r="D782" s="4" t="s">
        <v>1452</v>
      </c>
      <c r="E782" s="2">
        <v>46022.3902777778</v>
      </c>
      <c r="F782" s="4">
        <v>0.0</v>
      </c>
      <c r="G782" s="4">
        <v>0.0</v>
      </c>
      <c r="H782" s="4"/>
      <c r="I782" s="4"/>
      <c r="J782" s="4"/>
      <c r="K782" s="4"/>
      <c r="L782" s="4"/>
      <c r="M782" s="4" t="s">
        <v>1482</v>
      </c>
      <c r="N782" s="4" t="s">
        <v>1483</v>
      </c>
      <c r="O782" s="4" t="s">
        <v>2766</v>
      </c>
      <c r="P782" s="4" t="s">
        <v>1635</v>
      </c>
      <c r="Q782" s="4" t="s">
        <v>2767</v>
      </c>
      <c r="R782" s="4" t="b">
        <v>1</v>
      </c>
      <c r="S782" s="4" t="s">
        <v>1486</v>
      </c>
      <c r="T782" s="2">
        <v>46022.3916666667</v>
      </c>
      <c r="U782" s="2">
        <v>46021.0</v>
      </c>
      <c r="V782" s="4">
        <v>52.0</v>
      </c>
      <c r="W782" s="4" t="s">
        <v>550</v>
      </c>
      <c r="X782" s="4">
        <v>2025.0</v>
      </c>
      <c r="Y782" s="4" t="s">
        <v>1540</v>
      </c>
      <c r="Z782" s="4" t="s">
        <v>557</v>
      </c>
      <c r="AA782" s="4" t="s">
        <v>558</v>
      </c>
      <c r="AB782" s="4" t="b">
        <v>0</v>
      </c>
      <c r="AC782" s="4" t="s">
        <v>536</v>
      </c>
      <c r="AD782" s="4" t="s">
        <v>537</v>
      </c>
    </row>
    <row r="783" ht="14.25" customHeight="1">
      <c r="A783" s="4">
        <v>8315560.0</v>
      </c>
      <c r="B783" s="2">
        <v>46022.4164351852</v>
      </c>
      <c r="C783" s="4">
        <v>7541300.0</v>
      </c>
      <c r="D783" s="4" t="s">
        <v>1453</v>
      </c>
      <c r="E783" s="2">
        <v>46022.4173611111</v>
      </c>
      <c r="F783" s="4">
        <v>0.0</v>
      </c>
      <c r="G783" s="4">
        <v>0.0</v>
      </c>
      <c r="H783" s="4"/>
      <c r="I783" s="4"/>
      <c r="J783" s="4"/>
      <c r="K783" s="4"/>
      <c r="L783" s="4"/>
      <c r="M783" s="4" t="s">
        <v>1482</v>
      </c>
      <c r="N783" s="4" t="s">
        <v>2768</v>
      </c>
      <c r="O783" s="4" t="s">
        <v>2769</v>
      </c>
      <c r="P783" s="4" t="s">
        <v>2035</v>
      </c>
      <c r="Q783" s="4" t="s">
        <v>2770</v>
      </c>
      <c r="R783" s="4" t="b">
        <v>1</v>
      </c>
      <c r="S783" s="4" t="s">
        <v>1486</v>
      </c>
      <c r="T783" s="2">
        <v>46022.41875</v>
      </c>
      <c r="U783" s="2">
        <v>46022.0</v>
      </c>
      <c r="V783" s="4">
        <v>52.0</v>
      </c>
      <c r="W783" s="4" t="s">
        <v>550</v>
      </c>
      <c r="X783" s="4">
        <v>2025.0</v>
      </c>
      <c r="Y783" s="4" t="s">
        <v>1540</v>
      </c>
      <c r="Z783" s="4" t="s">
        <v>557</v>
      </c>
      <c r="AA783" s="4" t="s">
        <v>558</v>
      </c>
      <c r="AB783" s="4" t="b">
        <v>0</v>
      </c>
      <c r="AC783" s="4" t="s">
        <v>536</v>
      </c>
      <c r="AD783" s="4" t="s">
        <v>537</v>
      </c>
    </row>
    <row r="784" ht="14.25" customHeight="1">
      <c r="A784" s="4">
        <v>8315780.0</v>
      </c>
      <c r="B784" s="2">
        <v>46022.4417476852</v>
      </c>
      <c r="C784" s="4">
        <v>7541520.0</v>
      </c>
      <c r="D784" s="4" t="s">
        <v>1454</v>
      </c>
      <c r="E784" s="2">
        <v>46022.4416666667</v>
      </c>
      <c r="F784" s="4">
        <v>1.0</v>
      </c>
      <c r="G784" s="4">
        <v>0.0</v>
      </c>
      <c r="H784" s="4"/>
      <c r="I784" s="4"/>
      <c r="J784" s="4" t="s">
        <v>1480</v>
      </c>
      <c r="K784" s="4" t="s">
        <v>1480</v>
      </c>
      <c r="L784" s="4" t="s">
        <v>1481</v>
      </c>
      <c r="M784" s="4" t="s">
        <v>1482</v>
      </c>
      <c r="N784" s="4" t="s">
        <v>540</v>
      </c>
      <c r="O784" s="4" t="s">
        <v>1483</v>
      </c>
      <c r="P784" s="4" t="s">
        <v>1635</v>
      </c>
      <c r="Q784" s="4" t="s">
        <v>2771</v>
      </c>
      <c r="R784" s="4" t="b">
        <v>0</v>
      </c>
      <c r="S784" s="4" t="s">
        <v>1486</v>
      </c>
      <c r="T784" s="2">
        <v>46022.4430555556</v>
      </c>
      <c r="U784" s="2">
        <v>46022.0</v>
      </c>
      <c r="V784" s="4">
        <v>52.0</v>
      </c>
      <c r="W784" s="4" t="s">
        <v>550</v>
      </c>
      <c r="X784" s="4">
        <v>2025.0</v>
      </c>
      <c r="Y784" s="4" t="s">
        <v>1487</v>
      </c>
      <c r="Z784" s="4"/>
      <c r="AA784" s="4" t="s">
        <v>558</v>
      </c>
      <c r="AB784" s="4" t="b">
        <v>0</v>
      </c>
      <c r="AC784" s="4" t="s">
        <v>567</v>
      </c>
      <c r="AD784" s="4" t="s">
        <v>537</v>
      </c>
    </row>
    <row r="785" ht="14.25" customHeight="1">
      <c r="A785" s="4">
        <v>7994257.0</v>
      </c>
      <c r="B785" s="2">
        <v>45992.7743402778</v>
      </c>
      <c r="C785" s="4">
        <v>7222082.0</v>
      </c>
      <c r="D785" s="4" t="s">
        <v>1455</v>
      </c>
      <c r="E785" s="2">
        <v>46022.4819444444</v>
      </c>
      <c r="F785" s="4">
        <v>0.4</v>
      </c>
      <c r="G785" s="4">
        <v>0.0</v>
      </c>
      <c r="H785" s="4"/>
      <c r="I785" s="4"/>
      <c r="J785" s="4" t="s">
        <v>1480</v>
      </c>
      <c r="K785" s="4" t="s">
        <v>1480</v>
      </c>
      <c r="L785" s="4" t="s">
        <v>1481</v>
      </c>
      <c r="M785" s="4" t="s">
        <v>1482</v>
      </c>
      <c r="N785" s="4" t="s">
        <v>540</v>
      </c>
      <c r="O785" s="4" t="s">
        <v>1483</v>
      </c>
      <c r="P785" s="4" t="s">
        <v>1488</v>
      </c>
      <c r="Q785" s="4" t="s">
        <v>2750</v>
      </c>
      <c r="R785" s="4" t="b">
        <v>0</v>
      </c>
      <c r="S785" s="4" t="s">
        <v>1486</v>
      </c>
      <c r="T785" s="2">
        <v>46022.4833333333</v>
      </c>
      <c r="U785" s="2">
        <v>45992.0</v>
      </c>
      <c r="V785" s="4">
        <v>48.0</v>
      </c>
      <c r="W785" s="4" t="s">
        <v>550</v>
      </c>
      <c r="X785" s="4">
        <v>2025.0</v>
      </c>
      <c r="Y785" s="4" t="s">
        <v>1487</v>
      </c>
      <c r="Z785" s="4" t="s">
        <v>557</v>
      </c>
      <c r="AA785" s="4" t="s">
        <v>558</v>
      </c>
      <c r="AB785" s="4" t="b">
        <v>0</v>
      </c>
      <c r="AC785" s="4" t="s">
        <v>536</v>
      </c>
      <c r="AD785" s="4" t="s">
        <v>537</v>
      </c>
    </row>
    <row r="786" ht="14.25" customHeight="1">
      <c r="A786" s="4">
        <v>8309480.0</v>
      </c>
      <c r="B786" s="2">
        <v>46021.6118981481</v>
      </c>
      <c r="C786" s="4">
        <v>7222082.0</v>
      </c>
      <c r="D786" s="4" t="s">
        <v>1455</v>
      </c>
      <c r="E786" s="2">
        <v>46022.4819444444</v>
      </c>
      <c r="F786" s="4">
        <v>0.2</v>
      </c>
      <c r="G786" s="4">
        <v>0.0</v>
      </c>
      <c r="H786" s="4" t="s">
        <v>1480</v>
      </c>
      <c r="I786" s="4" t="s">
        <v>1550</v>
      </c>
      <c r="J786" s="4" t="s">
        <v>1480</v>
      </c>
      <c r="K786" s="4" t="s">
        <v>1480</v>
      </c>
      <c r="L786" s="4" t="s">
        <v>1550</v>
      </c>
      <c r="M786" s="4" t="s">
        <v>1551</v>
      </c>
      <c r="N786" s="4" t="s">
        <v>540</v>
      </c>
      <c r="O786" s="4" t="s">
        <v>1552</v>
      </c>
      <c r="P786" s="4" t="s">
        <v>1635</v>
      </c>
      <c r="Q786" s="4" t="s">
        <v>2750</v>
      </c>
      <c r="R786" s="4" t="b">
        <v>0</v>
      </c>
      <c r="S786" s="4" t="s">
        <v>1486</v>
      </c>
      <c r="T786" s="2">
        <v>46022.4833333333</v>
      </c>
      <c r="U786" s="2">
        <v>46021.0</v>
      </c>
      <c r="V786" s="4">
        <v>52.0</v>
      </c>
      <c r="W786" s="4" t="s">
        <v>550</v>
      </c>
      <c r="X786" s="4">
        <v>2025.0</v>
      </c>
      <c r="Y786" s="4" t="s">
        <v>1518</v>
      </c>
      <c r="Z786" s="4" t="s">
        <v>557</v>
      </c>
      <c r="AA786" s="4" t="s">
        <v>558</v>
      </c>
      <c r="AB786" s="4" t="b">
        <v>0</v>
      </c>
      <c r="AC786" s="4" t="s">
        <v>536</v>
      </c>
      <c r="AD786" s="4" t="s">
        <v>537</v>
      </c>
    </row>
    <row r="787" ht="14.25" customHeight="1">
      <c r="A787" s="4">
        <v>8316140.0</v>
      </c>
      <c r="B787" s="2">
        <v>46022.4806481482</v>
      </c>
      <c r="C787" s="4">
        <v>7222082.0</v>
      </c>
      <c r="D787" s="4" t="s">
        <v>1455</v>
      </c>
      <c r="E787" s="2">
        <v>46022.4819444444</v>
      </c>
      <c r="F787" s="4">
        <v>0.4</v>
      </c>
      <c r="G787" s="4">
        <v>0.0</v>
      </c>
      <c r="H787" s="4" t="s">
        <v>1480</v>
      </c>
      <c r="I787" s="4" t="s">
        <v>1550</v>
      </c>
      <c r="J787" s="4" t="s">
        <v>1480</v>
      </c>
      <c r="K787" s="4" t="s">
        <v>1480</v>
      </c>
      <c r="L787" s="4" t="s">
        <v>1550</v>
      </c>
      <c r="M787" s="4" t="s">
        <v>1551</v>
      </c>
      <c r="N787" s="4" t="s">
        <v>540</v>
      </c>
      <c r="O787" s="4" t="s">
        <v>1552</v>
      </c>
      <c r="P787" s="4" t="s">
        <v>1635</v>
      </c>
      <c r="Q787" s="4" t="s">
        <v>2750</v>
      </c>
      <c r="R787" s="4" t="b">
        <v>0</v>
      </c>
      <c r="S787" s="4" t="s">
        <v>1486</v>
      </c>
      <c r="T787" s="2">
        <v>46022.4833333333</v>
      </c>
      <c r="U787" s="2">
        <v>46022.0</v>
      </c>
      <c r="V787" s="4">
        <v>52.0</v>
      </c>
      <c r="W787" s="4" t="s">
        <v>550</v>
      </c>
      <c r="X787" s="4">
        <v>2025.0</v>
      </c>
      <c r="Y787" s="4" t="s">
        <v>1518</v>
      </c>
      <c r="Z787" s="4" t="s">
        <v>557</v>
      </c>
      <c r="AA787" s="4" t="s">
        <v>558</v>
      </c>
      <c r="AB787" s="4" t="b">
        <v>0</v>
      </c>
      <c r="AC787" s="4" t="s">
        <v>536</v>
      </c>
      <c r="AD787" s="4" t="s">
        <v>537</v>
      </c>
    </row>
    <row r="788" ht="14.25" customHeight="1">
      <c r="A788" s="4">
        <v>8159728.0</v>
      </c>
      <c r="B788" s="2">
        <v>46009.5594791667</v>
      </c>
      <c r="C788" s="4">
        <v>7386104.0</v>
      </c>
      <c r="D788" s="4" t="s">
        <v>1456</v>
      </c>
      <c r="E788" s="2">
        <v>46022.4986111111</v>
      </c>
      <c r="F788" s="4">
        <v>1.0</v>
      </c>
      <c r="G788" s="4">
        <v>0.0</v>
      </c>
      <c r="H788" s="4"/>
      <c r="I788" s="4"/>
      <c r="J788" s="4" t="s">
        <v>1480</v>
      </c>
      <c r="K788" s="4" t="s">
        <v>1480</v>
      </c>
      <c r="L788" s="4" t="s">
        <v>1511</v>
      </c>
      <c r="M788" s="4" t="s">
        <v>1482</v>
      </c>
      <c r="N788" s="4" t="s">
        <v>653</v>
      </c>
      <c r="O788" s="4" t="s">
        <v>1642</v>
      </c>
      <c r="P788" s="4" t="s">
        <v>1845</v>
      </c>
      <c r="Q788" s="4" t="s">
        <v>2772</v>
      </c>
      <c r="R788" s="4" t="b">
        <v>0</v>
      </c>
      <c r="S788" s="4" t="s">
        <v>1486</v>
      </c>
      <c r="T788" s="2">
        <v>46022.5</v>
      </c>
      <c r="U788" s="2">
        <v>46009.0</v>
      </c>
      <c r="V788" s="4">
        <v>50.0</v>
      </c>
      <c r="W788" s="4" t="s">
        <v>550</v>
      </c>
      <c r="X788" s="4">
        <v>2025.0</v>
      </c>
      <c r="Y788" s="4" t="s">
        <v>1680</v>
      </c>
      <c r="Z788" s="4" t="s">
        <v>557</v>
      </c>
      <c r="AA788" s="4" t="s">
        <v>558</v>
      </c>
      <c r="AB788" s="4" t="b">
        <v>0</v>
      </c>
      <c r="AC788" s="4" t="s">
        <v>536</v>
      </c>
      <c r="AD788" s="4" t="s">
        <v>537</v>
      </c>
    </row>
    <row r="789" ht="14.25" customHeight="1">
      <c r="A789" s="4">
        <v>8318862.0</v>
      </c>
      <c r="B789" s="2">
        <v>46022.7260069444</v>
      </c>
      <c r="C789" s="4">
        <v>7544590.0</v>
      </c>
      <c r="D789" s="4" t="s">
        <v>1457</v>
      </c>
      <c r="E789" s="2">
        <v>46022.7298611111</v>
      </c>
      <c r="F789" s="4">
        <v>1.0</v>
      </c>
      <c r="G789" s="4">
        <v>0.0</v>
      </c>
      <c r="H789" s="4"/>
      <c r="I789" s="4"/>
      <c r="J789" s="4" t="s">
        <v>539</v>
      </c>
      <c r="K789" s="4" t="s">
        <v>539</v>
      </c>
      <c r="L789" s="4" t="s">
        <v>1499</v>
      </c>
      <c r="M789" s="4" t="s">
        <v>1482</v>
      </c>
      <c r="N789" s="4"/>
      <c r="O789" s="4" t="s">
        <v>2752</v>
      </c>
      <c r="P789" s="4" t="s">
        <v>1845</v>
      </c>
      <c r="Q789" s="4" t="s">
        <v>2773</v>
      </c>
      <c r="R789" s="4" t="b">
        <v>0</v>
      </c>
      <c r="S789" s="4" t="s">
        <v>1486</v>
      </c>
      <c r="T789" s="2">
        <v>46022.73125</v>
      </c>
      <c r="U789" s="2">
        <v>46022.0</v>
      </c>
      <c r="V789" s="4">
        <v>52.0</v>
      </c>
      <c r="W789" s="4" t="s">
        <v>550</v>
      </c>
      <c r="X789" s="4">
        <v>2025.0</v>
      </c>
      <c r="Y789" s="4" t="s">
        <v>1502</v>
      </c>
      <c r="Z789" s="4"/>
      <c r="AA789" s="4" t="s">
        <v>558</v>
      </c>
      <c r="AB789" s="4" t="b">
        <v>0</v>
      </c>
      <c r="AC789" s="4" t="s">
        <v>567</v>
      </c>
      <c r="AD789" s="4" t="s">
        <v>537</v>
      </c>
    </row>
    <row r="790" ht="14.25" customHeight="1">
      <c r="A790" s="4">
        <v>8320749.0</v>
      </c>
      <c r="B790" s="2">
        <v>46022.902962963</v>
      </c>
      <c r="C790" s="4">
        <v>7546463.0</v>
      </c>
      <c r="D790" s="4" t="s">
        <v>1458</v>
      </c>
      <c r="E790" s="2">
        <v>46022.9027777778</v>
      </c>
      <c r="F790" s="4">
        <v>1.0</v>
      </c>
      <c r="G790" s="4">
        <v>0.0</v>
      </c>
      <c r="H790" s="4"/>
      <c r="I790" s="4"/>
      <c r="J790" s="4" t="s">
        <v>1480</v>
      </c>
      <c r="K790" s="4" t="s">
        <v>1480</v>
      </c>
      <c r="L790" s="4" t="s">
        <v>1481</v>
      </c>
      <c r="M790" s="4" t="s">
        <v>1482</v>
      </c>
      <c r="N790" s="4" t="s">
        <v>540</v>
      </c>
      <c r="O790" s="4" t="s">
        <v>1842</v>
      </c>
      <c r="P790" s="4" t="s">
        <v>1923</v>
      </c>
      <c r="Q790" s="4" t="s">
        <v>2774</v>
      </c>
      <c r="R790" s="4" t="b">
        <v>0</v>
      </c>
      <c r="S790" s="4" t="s">
        <v>1486</v>
      </c>
      <c r="T790" s="2">
        <v>46022.9041666667</v>
      </c>
      <c r="U790" s="2">
        <v>46022.0</v>
      </c>
      <c r="V790" s="4">
        <v>52.0</v>
      </c>
      <c r="W790" s="4" t="s">
        <v>550</v>
      </c>
      <c r="X790" s="4">
        <v>2025.0</v>
      </c>
      <c r="Y790" s="4" t="s">
        <v>1487</v>
      </c>
      <c r="Z790" s="4"/>
      <c r="AA790" s="4" t="s">
        <v>786</v>
      </c>
      <c r="AB790" s="4" t="b">
        <v>0</v>
      </c>
      <c r="AC790" s="4" t="s">
        <v>623</v>
      </c>
      <c r="AD790" s="4" t="s">
        <v>537</v>
      </c>
    </row>
    <row r="791" ht="14.25" customHeight="1">
      <c r="A791" s="4">
        <v>8320986.0</v>
      </c>
      <c r="B791" s="2">
        <v>46022.9270833333</v>
      </c>
      <c r="C791" s="4">
        <v>7546699.0</v>
      </c>
      <c r="D791" s="4" t="s">
        <v>1459</v>
      </c>
      <c r="E791" s="2">
        <v>46022.9277777778</v>
      </c>
      <c r="F791" s="4">
        <v>1.0</v>
      </c>
      <c r="G791" s="4">
        <v>0.0</v>
      </c>
      <c r="H791" s="4"/>
      <c r="I791" s="4"/>
      <c r="J791" s="4" t="s">
        <v>1480</v>
      </c>
      <c r="K791" s="4" t="s">
        <v>1480</v>
      </c>
      <c r="L791" s="4" t="s">
        <v>1481</v>
      </c>
      <c r="M791" s="4" t="s">
        <v>1482</v>
      </c>
      <c r="N791" s="4" t="s">
        <v>1342</v>
      </c>
      <c r="O791" s="4" t="s">
        <v>2180</v>
      </c>
      <c r="P791" s="4" t="s">
        <v>1923</v>
      </c>
      <c r="Q791" s="4" t="s">
        <v>2775</v>
      </c>
      <c r="R791" s="4" t="b">
        <v>0</v>
      </c>
      <c r="S791" s="4" t="s">
        <v>1486</v>
      </c>
      <c r="T791" s="2">
        <v>46022.9291666667</v>
      </c>
      <c r="U791" s="2">
        <v>46022.0</v>
      </c>
      <c r="V791" s="4">
        <v>52.0</v>
      </c>
      <c r="W791" s="4" t="s">
        <v>550</v>
      </c>
      <c r="X791" s="4">
        <v>2025.0</v>
      </c>
      <c r="Y791" s="4" t="s">
        <v>1487</v>
      </c>
      <c r="Z791" s="4"/>
      <c r="AA791" s="4" t="s">
        <v>558</v>
      </c>
      <c r="AB791" s="4" t="b">
        <v>0</v>
      </c>
      <c r="AC791" s="4" t="s">
        <v>554</v>
      </c>
      <c r="AD791" s="4" t="s">
        <v>537</v>
      </c>
    </row>
    <row r="792" ht="14.25" customHeight="1">
      <c r="A792" s="4"/>
      <c r="B792" s="2"/>
      <c r="C792" s="4"/>
      <c r="D792" s="4"/>
      <c r="E792" s="2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2"/>
      <c r="U792" s="2"/>
      <c r="V792" s="4"/>
      <c r="W792" s="4"/>
      <c r="X792" s="4"/>
      <c r="Y792" s="4"/>
      <c r="Z792" s="4"/>
      <c r="AA792" s="4"/>
      <c r="AB792" s="4"/>
      <c r="AC792" s="4"/>
      <c r="AD792" s="4"/>
    </row>
    <row r="793" ht="14.25" customHeight="1">
      <c r="A793" s="4"/>
      <c r="B793" s="2"/>
      <c r="C793" s="4"/>
      <c r="D793" s="4"/>
      <c r="E793" s="2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2"/>
      <c r="U793" s="2"/>
      <c r="V793" s="4"/>
      <c r="W793" s="4"/>
      <c r="X793" s="4"/>
      <c r="Y793" s="4"/>
      <c r="Z793" s="4"/>
      <c r="AA793" s="4"/>
      <c r="AB793" s="4"/>
      <c r="AC793" s="4"/>
      <c r="AD793" s="4"/>
    </row>
    <row r="794" ht="14.25" customHeight="1">
      <c r="A794" s="4"/>
      <c r="B794" s="2"/>
      <c r="C794" s="4"/>
      <c r="D794" s="4"/>
      <c r="E794" s="2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2"/>
      <c r="U794" s="2"/>
      <c r="V794" s="4"/>
      <c r="W794" s="4"/>
      <c r="X794" s="4"/>
      <c r="Y794" s="4"/>
      <c r="Z794" s="4"/>
      <c r="AA794" s="4"/>
      <c r="AB794" s="4"/>
      <c r="AC794" s="4"/>
      <c r="AD794" s="4"/>
    </row>
    <row r="795" ht="14.25" customHeight="1">
      <c r="A795" s="4"/>
      <c r="B795" s="2"/>
      <c r="C795" s="4"/>
      <c r="D795" s="4"/>
      <c r="E795" s="2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2"/>
      <c r="U795" s="2"/>
      <c r="V795" s="4"/>
      <c r="W795" s="4"/>
      <c r="X795" s="4"/>
      <c r="Y795" s="4"/>
      <c r="Z795" s="4"/>
      <c r="AA795" s="4"/>
      <c r="AB795" s="4"/>
      <c r="AC795" s="4"/>
      <c r="AD795" s="4"/>
    </row>
    <row r="796" ht="14.25" customHeight="1">
      <c r="A796" s="4"/>
      <c r="B796" s="2"/>
      <c r="C796" s="4"/>
      <c r="D796" s="4"/>
      <c r="E796" s="2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2"/>
      <c r="U796" s="2"/>
      <c r="V796" s="4"/>
      <c r="W796" s="4"/>
      <c r="X796" s="4"/>
      <c r="Y796" s="4"/>
      <c r="Z796" s="4"/>
      <c r="AA796" s="4"/>
      <c r="AB796" s="4"/>
      <c r="AC796" s="4"/>
      <c r="AD796" s="4"/>
    </row>
    <row r="797" ht="14.25" customHeight="1">
      <c r="A797" s="4"/>
      <c r="B797" s="2"/>
      <c r="C797" s="4"/>
      <c r="D797" s="4"/>
      <c r="E797" s="2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2"/>
      <c r="U797" s="2"/>
      <c r="V797" s="4"/>
      <c r="W797" s="4"/>
      <c r="X797" s="4"/>
      <c r="Y797" s="4"/>
      <c r="Z797" s="4"/>
      <c r="AA797" s="4"/>
      <c r="AB797" s="4"/>
      <c r="AC797" s="4"/>
      <c r="AD797" s="4"/>
    </row>
    <row r="798" ht="14.25" customHeight="1">
      <c r="A798" s="4"/>
      <c r="B798" s="2"/>
      <c r="C798" s="4"/>
      <c r="D798" s="4"/>
      <c r="E798" s="2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2"/>
      <c r="U798" s="2"/>
      <c r="V798" s="4"/>
      <c r="W798" s="4"/>
      <c r="X798" s="4"/>
      <c r="Y798" s="4"/>
      <c r="Z798" s="4"/>
      <c r="AA798" s="4"/>
      <c r="AB798" s="4"/>
      <c r="AC798" s="4"/>
      <c r="AD798" s="4"/>
    </row>
    <row r="799" ht="14.25" customHeight="1">
      <c r="A799" s="4"/>
      <c r="B799" s="2"/>
      <c r="C799" s="4"/>
      <c r="D799" s="4"/>
      <c r="E799" s="2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2"/>
      <c r="U799" s="2"/>
      <c r="V799" s="4"/>
      <c r="W799" s="4"/>
      <c r="X799" s="4"/>
      <c r="Y799" s="4"/>
      <c r="Z799" s="4"/>
      <c r="AA799" s="4"/>
      <c r="AB799" s="4"/>
      <c r="AC799" s="4"/>
      <c r="AD799" s="4"/>
    </row>
    <row r="800" ht="14.25" customHeight="1">
      <c r="A800" s="4"/>
      <c r="B800" s="2"/>
      <c r="C800" s="4"/>
      <c r="D800" s="4"/>
      <c r="E800" s="2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2"/>
      <c r="U800" s="2"/>
      <c r="V800" s="4"/>
      <c r="W800" s="4"/>
      <c r="X800" s="4"/>
      <c r="Y800" s="4"/>
      <c r="Z800" s="4"/>
      <c r="AA800" s="4"/>
      <c r="AB800" s="4"/>
      <c r="AC800" s="4"/>
      <c r="AD800" s="4"/>
    </row>
    <row r="801" ht="14.25" customHeight="1">
      <c r="A801" s="4"/>
      <c r="B801" s="2"/>
      <c r="C801" s="4"/>
      <c r="D801" s="4"/>
      <c r="E801" s="2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2"/>
      <c r="U801" s="2"/>
      <c r="V801" s="4"/>
      <c r="W801" s="4"/>
      <c r="X801" s="4"/>
      <c r="Y801" s="4"/>
      <c r="Z801" s="4"/>
      <c r="AA801" s="4"/>
      <c r="AB801" s="4"/>
      <c r="AC801" s="4"/>
      <c r="AD801" s="4"/>
    </row>
    <row r="802" ht="14.25" customHeight="1">
      <c r="A802" s="4"/>
      <c r="B802" s="2"/>
      <c r="C802" s="4"/>
      <c r="D802" s="4"/>
      <c r="E802" s="2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2"/>
      <c r="U802" s="2"/>
      <c r="V802" s="4"/>
      <c r="W802" s="4"/>
      <c r="X802" s="4"/>
      <c r="Y802" s="4"/>
      <c r="Z802" s="4"/>
      <c r="AA802" s="4"/>
      <c r="AB802" s="4"/>
      <c r="AC802" s="4"/>
      <c r="AD802" s="4"/>
    </row>
    <row r="803" ht="14.25" customHeight="1">
      <c r="A803" s="4"/>
      <c r="B803" s="2"/>
      <c r="C803" s="4"/>
      <c r="D803" s="4"/>
      <c r="E803" s="2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2"/>
      <c r="U803" s="2"/>
      <c r="V803" s="4"/>
      <c r="W803" s="4"/>
      <c r="X803" s="4"/>
      <c r="Y803" s="4"/>
      <c r="Z803" s="4"/>
      <c r="AA803" s="4"/>
      <c r="AB803" s="4"/>
      <c r="AC803" s="4"/>
      <c r="AD803" s="4"/>
    </row>
    <row r="804" ht="14.25" customHeight="1">
      <c r="A804" s="4"/>
      <c r="B804" s="2"/>
      <c r="C804" s="4"/>
      <c r="D804" s="4"/>
      <c r="E804" s="2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2"/>
      <c r="U804" s="2"/>
      <c r="V804" s="4"/>
      <c r="W804" s="4"/>
      <c r="X804" s="4"/>
      <c r="Y804" s="4"/>
      <c r="Z804" s="4"/>
      <c r="AA804" s="4"/>
      <c r="AB804" s="4"/>
      <c r="AC804" s="4"/>
      <c r="AD804" s="4"/>
    </row>
    <row r="805" ht="14.25" customHeight="1">
      <c r="A805" s="4"/>
      <c r="B805" s="2"/>
      <c r="C805" s="4"/>
      <c r="D805" s="4"/>
      <c r="E805" s="2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2"/>
      <c r="U805" s="2"/>
      <c r="V805" s="4"/>
      <c r="W805" s="4"/>
      <c r="X805" s="4"/>
      <c r="Y805" s="4"/>
      <c r="Z805" s="4"/>
      <c r="AA805" s="4"/>
      <c r="AB805" s="4"/>
      <c r="AC805" s="4"/>
      <c r="AD805" s="4"/>
    </row>
    <row r="806" ht="14.25" customHeight="1">
      <c r="A806" s="4"/>
      <c r="B806" s="2"/>
      <c r="C806" s="4"/>
      <c r="D806" s="4"/>
      <c r="E806" s="2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2"/>
      <c r="U806" s="2"/>
      <c r="V806" s="4"/>
      <c r="W806" s="4"/>
      <c r="X806" s="4"/>
      <c r="Y806" s="4"/>
      <c r="Z806" s="4"/>
      <c r="AA806" s="4"/>
      <c r="AB806" s="4"/>
      <c r="AC806" s="4"/>
      <c r="AD806" s="4"/>
    </row>
    <row r="807" ht="14.25" customHeight="1">
      <c r="A807" s="4"/>
      <c r="B807" s="2"/>
      <c r="C807" s="4"/>
      <c r="D807" s="4"/>
      <c r="E807" s="2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2"/>
      <c r="U807" s="2"/>
      <c r="V807" s="4"/>
      <c r="W807" s="4"/>
      <c r="X807" s="4"/>
      <c r="Y807" s="4"/>
      <c r="Z807" s="4"/>
      <c r="AA807" s="4"/>
      <c r="AB807" s="4"/>
      <c r="AC807" s="4"/>
      <c r="AD807" s="4"/>
    </row>
    <row r="808" ht="14.25" customHeight="1">
      <c r="A808" s="4"/>
      <c r="B808" s="2"/>
      <c r="C808" s="4"/>
      <c r="D808" s="4"/>
      <c r="E808" s="2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2"/>
      <c r="U808" s="2"/>
      <c r="V808" s="4"/>
      <c r="W808" s="4"/>
      <c r="X808" s="4"/>
      <c r="Y808" s="4"/>
      <c r="Z808" s="4"/>
      <c r="AA808" s="4"/>
      <c r="AB808" s="4"/>
      <c r="AC808" s="4"/>
      <c r="AD808" s="4"/>
    </row>
    <row r="809" ht="14.25" customHeight="1">
      <c r="A809" s="4"/>
      <c r="B809" s="2"/>
      <c r="C809" s="4"/>
      <c r="D809" s="4"/>
      <c r="E809" s="2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2"/>
      <c r="U809" s="2"/>
      <c r="V809" s="4"/>
      <c r="W809" s="4"/>
      <c r="X809" s="4"/>
      <c r="Y809" s="4"/>
      <c r="Z809" s="4"/>
      <c r="AA809" s="4"/>
      <c r="AB809" s="4"/>
      <c r="AC809" s="4"/>
      <c r="AD809" s="4"/>
    </row>
    <row r="810" ht="14.25" customHeight="1">
      <c r="A810" s="4"/>
      <c r="B810" s="2"/>
      <c r="C810" s="4"/>
      <c r="D810" s="4"/>
      <c r="E810" s="2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2"/>
      <c r="U810" s="2"/>
      <c r="V810" s="4"/>
      <c r="W810" s="4"/>
      <c r="X810" s="4"/>
      <c r="Y810" s="4"/>
      <c r="Z810" s="4"/>
      <c r="AA810" s="4"/>
      <c r="AB810" s="4"/>
      <c r="AC810" s="4"/>
      <c r="AD810" s="4"/>
    </row>
    <row r="811" ht="14.25" customHeight="1">
      <c r="A811" s="4"/>
      <c r="B811" s="2"/>
      <c r="C811" s="4"/>
      <c r="D811" s="4"/>
      <c r="E811" s="2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2"/>
      <c r="U811" s="2"/>
      <c r="V811" s="4"/>
      <c r="W811" s="4"/>
      <c r="X811" s="4"/>
      <c r="Y811" s="4"/>
      <c r="Z811" s="4"/>
      <c r="AA811" s="4"/>
      <c r="AB811" s="4"/>
      <c r="AC811" s="4"/>
      <c r="AD811" s="4"/>
    </row>
    <row r="812" ht="14.25" customHeight="1">
      <c r="A812" s="4"/>
      <c r="B812" s="2"/>
      <c r="C812" s="4"/>
      <c r="D812" s="4"/>
      <c r="E812" s="2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2"/>
      <c r="U812" s="2"/>
      <c r="V812" s="4"/>
      <c r="W812" s="4"/>
      <c r="X812" s="4"/>
      <c r="Y812" s="4"/>
      <c r="Z812" s="4"/>
      <c r="AA812" s="4"/>
      <c r="AB812" s="4"/>
      <c r="AC812" s="4"/>
      <c r="AD812" s="4"/>
    </row>
    <row r="813" ht="14.25" customHeight="1">
      <c r="A813" s="4"/>
      <c r="B813" s="2"/>
      <c r="C813" s="4"/>
      <c r="D813" s="4"/>
      <c r="E813" s="2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2"/>
      <c r="U813" s="2"/>
      <c r="V813" s="4"/>
      <c r="W813" s="4"/>
      <c r="X813" s="4"/>
      <c r="Y813" s="4"/>
      <c r="Z813" s="4"/>
      <c r="AA813" s="4"/>
      <c r="AB813" s="4"/>
      <c r="AC813" s="4"/>
      <c r="AD813" s="4"/>
    </row>
    <row r="814" ht="14.25" customHeight="1">
      <c r="A814" s="4"/>
      <c r="B814" s="2"/>
      <c r="C814" s="4"/>
      <c r="D814" s="4"/>
      <c r="E814" s="2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2"/>
      <c r="U814" s="2"/>
      <c r="V814" s="4"/>
      <c r="W814" s="4"/>
      <c r="X814" s="4"/>
      <c r="Y814" s="4"/>
      <c r="Z814" s="4"/>
      <c r="AA814" s="4"/>
      <c r="AB814" s="4"/>
      <c r="AC814" s="4"/>
      <c r="AD814" s="4"/>
    </row>
    <row r="815" ht="14.25" customHeight="1">
      <c r="A815" s="4"/>
      <c r="B815" s="2"/>
      <c r="C815" s="4"/>
      <c r="D815" s="4"/>
      <c r="E815" s="2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2"/>
      <c r="U815" s="2"/>
      <c r="V815" s="4"/>
      <c r="W815" s="4"/>
      <c r="X815" s="4"/>
      <c r="Y815" s="4"/>
      <c r="Z815" s="4"/>
      <c r="AA815" s="4"/>
      <c r="AB815" s="4"/>
      <c r="AC815" s="4"/>
      <c r="AD815" s="4"/>
    </row>
    <row r="816" ht="14.25" customHeight="1">
      <c r="A816" s="4"/>
      <c r="B816" s="2"/>
      <c r="C816" s="4"/>
      <c r="D816" s="4"/>
      <c r="E816" s="2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2"/>
      <c r="U816" s="2"/>
      <c r="V816" s="4"/>
      <c r="W816" s="4"/>
      <c r="X816" s="4"/>
      <c r="Y816" s="4"/>
      <c r="Z816" s="4"/>
      <c r="AA816" s="4"/>
      <c r="AB816" s="4"/>
      <c r="AC816" s="4"/>
      <c r="AD816" s="4"/>
    </row>
    <row r="817" ht="14.25" customHeight="1">
      <c r="A817" s="4"/>
      <c r="B817" s="2"/>
      <c r="C817" s="4"/>
      <c r="D817" s="4"/>
      <c r="E817" s="2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2"/>
      <c r="U817" s="2"/>
      <c r="V817" s="4"/>
      <c r="W817" s="4"/>
      <c r="X817" s="4"/>
      <c r="Y817" s="4"/>
      <c r="Z817" s="4"/>
      <c r="AA817" s="4"/>
      <c r="AB817" s="4"/>
      <c r="AC817" s="4"/>
      <c r="AD817" s="4"/>
    </row>
    <row r="818" ht="14.25" customHeight="1">
      <c r="A818" s="4"/>
      <c r="B818" s="2"/>
      <c r="C818" s="4"/>
      <c r="D818" s="4"/>
      <c r="E818" s="2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2"/>
      <c r="U818" s="2"/>
      <c r="V818" s="4"/>
      <c r="W818" s="4"/>
      <c r="X818" s="4"/>
      <c r="Y818" s="4"/>
      <c r="Z818" s="4"/>
      <c r="AA818" s="4"/>
      <c r="AB818" s="4"/>
      <c r="AC818" s="4"/>
      <c r="AD818" s="4"/>
    </row>
    <row r="819" ht="14.25" customHeight="1">
      <c r="A819" s="4"/>
      <c r="B819" s="2"/>
      <c r="C819" s="4"/>
      <c r="D819" s="4"/>
      <c r="E819" s="2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2"/>
      <c r="U819" s="2"/>
      <c r="V819" s="4"/>
      <c r="W819" s="4"/>
      <c r="X819" s="4"/>
      <c r="Y819" s="4"/>
      <c r="Z819" s="4"/>
      <c r="AA819" s="4"/>
      <c r="AB819" s="4"/>
      <c r="AC819" s="4"/>
      <c r="AD819" s="4"/>
    </row>
    <row r="820" ht="14.25" customHeight="1">
      <c r="A820" s="4"/>
      <c r="B820" s="2"/>
      <c r="C820" s="4"/>
      <c r="D820" s="4"/>
      <c r="E820" s="2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2"/>
      <c r="U820" s="2"/>
      <c r="V820" s="4"/>
      <c r="W820" s="4"/>
      <c r="X820" s="4"/>
      <c r="Y820" s="4"/>
      <c r="Z820" s="4"/>
      <c r="AA820" s="4"/>
      <c r="AB820" s="4"/>
      <c r="AC820" s="4"/>
      <c r="AD820" s="4"/>
    </row>
    <row r="821" ht="14.25" customHeight="1">
      <c r="A821" s="4"/>
      <c r="B821" s="2"/>
      <c r="C821" s="4"/>
      <c r="D821" s="4"/>
      <c r="E821" s="2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2"/>
      <c r="U821" s="2"/>
      <c r="V821" s="4"/>
      <c r="W821" s="4"/>
      <c r="X821" s="4"/>
      <c r="Y821" s="4"/>
      <c r="Z821" s="4"/>
      <c r="AA821" s="4"/>
      <c r="AB821" s="4"/>
      <c r="AC821" s="4"/>
      <c r="AD821" s="4"/>
    </row>
    <row r="822" ht="14.25" customHeight="1">
      <c r="A822" s="4"/>
      <c r="B822" s="2"/>
      <c r="C822" s="4"/>
      <c r="D822" s="4"/>
      <c r="E822" s="2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2"/>
      <c r="U822" s="2"/>
      <c r="V822" s="4"/>
      <c r="W822" s="4"/>
      <c r="X822" s="4"/>
      <c r="Y822" s="4"/>
      <c r="Z822" s="4"/>
      <c r="AA822" s="4"/>
      <c r="AB822" s="4"/>
      <c r="AC822" s="4"/>
      <c r="AD822" s="4"/>
    </row>
    <row r="823" ht="14.25" customHeight="1">
      <c r="A823" s="4"/>
      <c r="B823" s="2"/>
      <c r="C823" s="4"/>
      <c r="D823" s="4"/>
      <c r="E823" s="2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2"/>
      <c r="U823" s="2"/>
      <c r="V823" s="4"/>
      <c r="W823" s="4"/>
      <c r="X823" s="4"/>
      <c r="Y823" s="4"/>
      <c r="Z823" s="4"/>
      <c r="AA823" s="4"/>
      <c r="AB823" s="4"/>
      <c r="AC823" s="4"/>
      <c r="AD823" s="4"/>
    </row>
    <row r="824" ht="14.25" customHeight="1">
      <c r="A824" s="4"/>
      <c r="B824" s="2"/>
      <c r="C824" s="4"/>
      <c r="D824" s="4"/>
      <c r="E824" s="2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2"/>
      <c r="U824" s="2"/>
      <c r="V824" s="4"/>
      <c r="W824" s="4"/>
      <c r="X824" s="4"/>
      <c r="Y824" s="4"/>
      <c r="Z824" s="4"/>
      <c r="AA824" s="4"/>
      <c r="AB824" s="4"/>
      <c r="AC824" s="4"/>
      <c r="AD824" s="4"/>
    </row>
    <row r="825" ht="14.25" customHeight="1">
      <c r="A825" s="4"/>
      <c r="B825" s="2"/>
      <c r="C825" s="4"/>
      <c r="D825" s="4"/>
      <c r="E825" s="2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2"/>
      <c r="U825" s="2"/>
      <c r="V825" s="4"/>
      <c r="W825" s="4"/>
      <c r="X825" s="4"/>
      <c r="Y825" s="4"/>
      <c r="Z825" s="4"/>
      <c r="AA825" s="4"/>
      <c r="AB825" s="4"/>
      <c r="AC825" s="4"/>
      <c r="AD825" s="4"/>
    </row>
    <row r="826" ht="14.25" customHeight="1">
      <c r="A826" s="4"/>
      <c r="B826" s="2"/>
      <c r="C826" s="4"/>
      <c r="D826" s="4"/>
      <c r="E826" s="2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2"/>
      <c r="U826" s="2"/>
      <c r="V826" s="4"/>
      <c r="W826" s="4"/>
      <c r="X826" s="4"/>
      <c r="Y826" s="4"/>
      <c r="Z826" s="4"/>
      <c r="AA826" s="4"/>
      <c r="AB826" s="4"/>
      <c r="AC826" s="4"/>
      <c r="AD826" s="4"/>
    </row>
    <row r="827" ht="14.25" customHeight="1">
      <c r="A827" s="4"/>
      <c r="B827" s="2"/>
      <c r="C827" s="4"/>
      <c r="D827" s="4"/>
      <c r="E827" s="2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2"/>
      <c r="U827" s="2"/>
      <c r="V827" s="4"/>
      <c r="W827" s="4"/>
      <c r="X827" s="4"/>
      <c r="Y827" s="4"/>
      <c r="Z827" s="4"/>
      <c r="AA827" s="4"/>
      <c r="AB827" s="4"/>
      <c r="AC827" s="4"/>
      <c r="AD827" s="4"/>
    </row>
    <row r="828" ht="14.25" customHeight="1">
      <c r="A828" s="4"/>
      <c r="B828" s="2"/>
      <c r="C828" s="4"/>
      <c r="D828" s="4"/>
      <c r="E828" s="2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2"/>
      <c r="U828" s="2"/>
      <c r="V828" s="4"/>
      <c r="W828" s="4"/>
      <c r="X828" s="4"/>
      <c r="Y828" s="4"/>
      <c r="Z828" s="4"/>
      <c r="AA828" s="4"/>
      <c r="AB828" s="4"/>
      <c r="AC828" s="4"/>
      <c r="AD828" s="4"/>
    </row>
    <row r="829" ht="14.25" customHeight="1">
      <c r="A829" s="4"/>
      <c r="B829" s="2"/>
      <c r="C829" s="4"/>
      <c r="D829" s="4"/>
      <c r="E829" s="2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2"/>
      <c r="U829" s="2"/>
      <c r="V829" s="4"/>
      <c r="W829" s="4"/>
      <c r="X829" s="4"/>
      <c r="Y829" s="4"/>
      <c r="Z829" s="4"/>
      <c r="AA829" s="4"/>
      <c r="AB829" s="4"/>
      <c r="AC829" s="4"/>
      <c r="AD829" s="4"/>
    </row>
    <row r="830" ht="14.25" customHeight="1">
      <c r="A830" s="4"/>
      <c r="B830" s="2"/>
      <c r="C830" s="4"/>
      <c r="D830" s="4"/>
      <c r="E830" s="2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2"/>
      <c r="U830" s="2"/>
      <c r="V830" s="4"/>
      <c r="W830" s="4"/>
      <c r="X830" s="4"/>
      <c r="Y830" s="4"/>
      <c r="Z830" s="4"/>
      <c r="AA830" s="4"/>
      <c r="AB830" s="4"/>
      <c r="AC830" s="4"/>
      <c r="AD830" s="4"/>
    </row>
    <row r="831" ht="14.25" customHeight="1">
      <c r="A831" s="4"/>
      <c r="B831" s="2"/>
      <c r="C831" s="4"/>
      <c r="D831" s="4"/>
      <c r="E831" s="2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2"/>
      <c r="U831" s="2"/>
      <c r="V831" s="4"/>
      <c r="W831" s="4"/>
      <c r="X831" s="4"/>
      <c r="Y831" s="4"/>
      <c r="Z831" s="4"/>
      <c r="AA831" s="4"/>
      <c r="AB831" s="4"/>
      <c r="AC831" s="4"/>
      <c r="AD831" s="4"/>
    </row>
    <row r="832" ht="14.25" customHeight="1">
      <c r="A832" s="4"/>
      <c r="B832" s="2"/>
      <c r="C832" s="4"/>
      <c r="D832" s="4"/>
      <c r="E832" s="2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2"/>
      <c r="U832" s="2"/>
      <c r="V832" s="4"/>
      <c r="W832" s="4"/>
      <c r="X832" s="4"/>
      <c r="Y832" s="4"/>
      <c r="Z832" s="4"/>
      <c r="AA832" s="4"/>
      <c r="AB832" s="4"/>
      <c r="AC832" s="4"/>
      <c r="AD832" s="4"/>
    </row>
    <row r="833" ht="14.25" customHeight="1">
      <c r="A833" s="4"/>
      <c r="B833" s="2"/>
      <c r="C833" s="4"/>
      <c r="D833" s="4"/>
      <c r="E833" s="2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2"/>
      <c r="U833" s="2"/>
      <c r="V833" s="4"/>
      <c r="W833" s="4"/>
      <c r="X833" s="4"/>
      <c r="Y833" s="4"/>
      <c r="Z833" s="4"/>
      <c r="AA833" s="4"/>
      <c r="AB833" s="4"/>
      <c r="AC833" s="4"/>
      <c r="AD833" s="4"/>
    </row>
    <row r="834" ht="14.25" customHeight="1">
      <c r="A834" s="4"/>
      <c r="B834" s="2"/>
      <c r="C834" s="4"/>
      <c r="D834" s="4"/>
      <c r="E834" s="2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2"/>
      <c r="U834" s="2"/>
      <c r="V834" s="4"/>
      <c r="W834" s="4"/>
      <c r="X834" s="4"/>
      <c r="Y834" s="4"/>
      <c r="Z834" s="4"/>
      <c r="AA834" s="4"/>
      <c r="AB834" s="4"/>
      <c r="AC834" s="4"/>
      <c r="AD834" s="4"/>
    </row>
    <row r="835" ht="14.25" customHeight="1">
      <c r="A835" s="4"/>
      <c r="B835" s="2"/>
      <c r="C835" s="4"/>
      <c r="D835" s="4"/>
      <c r="E835" s="2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2"/>
      <c r="U835" s="2"/>
      <c r="V835" s="4"/>
      <c r="W835" s="4"/>
      <c r="X835" s="4"/>
      <c r="Y835" s="4"/>
      <c r="Z835" s="4"/>
      <c r="AA835" s="4"/>
      <c r="AB835" s="4"/>
      <c r="AC835" s="4"/>
      <c r="AD835" s="4"/>
    </row>
    <row r="836" ht="14.25" customHeight="1">
      <c r="A836" s="4"/>
      <c r="B836" s="2"/>
      <c r="C836" s="4"/>
      <c r="D836" s="4"/>
      <c r="E836" s="2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2"/>
      <c r="U836" s="2"/>
      <c r="V836" s="4"/>
      <c r="W836" s="4"/>
      <c r="X836" s="4"/>
      <c r="Y836" s="4"/>
      <c r="Z836" s="4"/>
      <c r="AA836" s="4"/>
      <c r="AB836" s="4"/>
      <c r="AC836" s="4"/>
      <c r="AD836" s="4"/>
    </row>
    <row r="837" ht="14.25" customHeight="1">
      <c r="A837" s="4"/>
      <c r="B837" s="2"/>
      <c r="C837" s="4"/>
      <c r="D837" s="4"/>
      <c r="E837" s="2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2"/>
      <c r="U837" s="2"/>
      <c r="V837" s="4"/>
      <c r="W837" s="4"/>
      <c r="X837" s="4"/>
      <c r="Y837" s="4"/>
      <c r="Z837" s="4"/>
      <c r="AA837" s="4"/>
      <c r="AB837" s="4"/>
      <c r="AC837" s="4"/>
      <c r="AD837" s="4"/>
    </row>
    <row r="838" ht="14.25" customHeight="1">
      <c r="A838" s="4"/>
      <c r="B838" s="2"/>
      <c r="C838" s="4"/>
      <c r="D838" s="4"/>
      <c r="E838" s="2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2"/>
      <c r="U838" s="2"/>
      <c r="V838" s="4"/>
      <c r="W838" s="4"/>
      <c r="X838" s="4"/>
      <c r="Y838" s="4"/>
      <c r="Z838" s="4"/>
      <c r="AA838" s="4"/>
      <c r="AB838" s="4"/>
      <c r="AC838" s="4"/>
      <c r="AD838" s="4"/>
    </row>
    <row r="839" ht="14.25" customHeight="1">
      <c r="A839" s="4"/>
      <c r="B839" s="2"/>
      <c r="C839" s="4"/>
      <c r="D839" s="4"/>
      <c r="E839" s="2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2"/>
      <c r="U839" s="2"/>
      <c r="V839" s="4"/>
      <c r="W839" s="4"/>
      <c r="X839" s="4"/>
      <c r="Y839" s="4"/>
      <c r="Z839" s="4"/>
      <c r="AA839" s="4"/>
      <c r="AB839" s="4"/>
      <c r="AC839" s="4"/>
      <c r="AD839" s="4"/>
    </row>
    <row r="840" ht="14.25" customHeight="1">
      <c r="A840" s="4"/>
      <c r="B840" s="2"/>
      <c r="C840" s="4"/>
      <c r="D840" s="4"/>
      <c r="E840" s="2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2"/>
      <c r="U840" s="2"/>
      <c r="V840" s="4"/>
      <c r="W840" s="4"/>
      <c r="X840" s="4"/>
      <c r="Y840" s="4"/>
      <c r="Z840" s="4"/>
      <c r="AA840" s="4"/>
      <c r="AB840" s="4"/>
      <c r="AC840" s="4"/>
      <c r="AD840" s="4"/>
    </row>
    <row r="841" ht="14.25" customHeight="1">
      <c r="A841" s="4"/>
      <c r="B841" s="2"/>
      <c r="C841" s="4"/>
      <c r="D841" s="4"/>
      <c r="E841" s="2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2"/>
      <c r="U841" s="2"/>
      <c r="V841" s="4"/>
      <c r="W841" s="4"/>
      <c r="X841" s="4"/>
      <c r="Y841" s="4"/>
      <c r="Z841" s="4"/>
      <c r="AA841" s="4"/>
      <c r="AB841" s="4"/>
      <c r="AC841" s="4"/>
      <c r="AD841" s="4"/>
    </row>
    <row r="842" ht="14.25" customHeight="1">
      <c r="A842" s="4"/>
      <c r="B842" s="2"/>
      <c r="C842" s="4"/>
      <c r="D842" s="4"/>
      <c r="E842" s="2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2"/>
      <c r="U842" s="2"/>
      <c r="V842" s="4"/>
      <c r="W842" s="4"/>
      <c r="X842" s="4"/>
      <c r="Y842" s="4"/>
      <c r="Z842" s="4"/>
      <c r="AA842" s="4"/>
      <c r="AB842" s="4"/>
      <c r="AC842" s="4"/>
      <c r="AD842" s="4"/>
    </row>
    <row r="843" ht="14.25" customHeight="1">
      <c r="A843" s="4"/>
      <c r="B843" s="2"/>
      <c r="C843" s="4"/>
      <c r="D843" s="4"/>
      <c r="E843" s="2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2"/>
      <c r="U843" s="2"/>
      <c r="V843" s="4"/>
      <c r="W843" s="4"/>
      <c r="X843" s="4"/>
      <c r="Y843" s="4"/>
      <c r="Z843" s="4"/>
      <c r="AA843" s="4"/>
      <c r="AB843" s="4"/>
      <c r="AC843" s="4"/>
      <c r="AD843" s="4"/>
    </row>
    <row r="844" ht="14.25" customHeight="1">
      <c r="A844" s="4"/>
      <c r="B844" s="2"/>
      <c r="C844" s="4"/>
      <c r="D844" s="4"/>
      <c r="E844" s="2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2"/>
      <c r="U844" s="2"/>
      <c r="V844" s="4"/>
      <c r="W844" s="4"/>
      <c r="X844" s="4"/>
      <c r="Y844" s="4"/>
      <c r="Z844" s="4"/>
      <c r="AA844" s="4"/>
      <c r="AB844" s="4"/>
      <c r="AC844" s="4"/>
      <c r="AD844" s="4"/>
    </row>
    <row r="845" ht="14.25" customHeight="1">
      <c r="A845" s="4"/>
      <c r="B845" s="2"/>
      <c r="C845" s="4"/>
      <c r="D845" s="4"/>
      <c r="E845" s="2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2"/>
      <c r="U845" s="2"/>
      <c r="V845" s="4"/>
      <c r="W845" s="4"/>
      <c r="X845" s="4"/>
      <c r="Y845" s="4"/>
      <c r="Z845" s="4"/>
      <c r="AA845" s="4"/>
      <c r="AB845" s="4"/>
      <c r="AC845" s="4"/>
      <c r="AD845" s="4"/>
    </row>
    <row r="846" ht="14.25" customHeight="1">
      <c r="A846" s="4"/>
      <c r="B846" s="2"/>
      <c r="C846" s="4"/>
      <c r="D846" s="4"/>
      <c r="E846" s="2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2"/>
      <c r="U846" s="2"/>
      <c r="V846" s="4"/>
      <c r="W846" s="4"/>
      <c r="X846" s="4"/>
      <c r="Y846" s="4"/>
      <c r="Z846" s="4"/>
      <c r="AA846" s="4"/>
      <c r="AB846" s="4"/>
      <c r="AC846" s="4"/>
      <c r="AD846" s="4"/>
    </row>
    <row r="847" ht="14.25" customHeight="1">
      <c r="A847" s="4"/>
      <c r="B847" s="2"/>
      <c r="C847" s="4"/>
      <c r="D847" s="4"/>
      <c r="E847" s="2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2"/>
      <c r="U847" s="2"/>
      <c r="V847" s="4"/>
      <c r="W847" s="4"/>
      <c r="X847" s="4"/>
      <c r="Y847" s="4"/>
      <c r="Z847" s="4"/>
      <c r="AA847" s="4"/>
      <c r="AB847" s="4"/>
      <c r="AC847" s="4"/>
      <c r="AD847" s="4"/>
    </row>
    <row r="848" ht="14.25" customHeight="1">
      <c r="A848" s="4"/>
      <c r="B848" s="2"/>
      <c r="C848" s="4"/>
      <c r="D848" s="4"/>
      <c r="E848" s="2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2"/>
      <c r="U848" s="2"/>
      <c r="V848" s="4"/>
      <c r="W848" s="4"/>
      <c r="X848" s="4"/>
      <c r="Y848" s="4"/>
      <c r="Z848" s="4"/>
      <c r="AA848" s="4"/>
      <c r="AB848" s="4"/>
      <c r="AC848" s="4"/>
      <c r="AD848" s="4"/>
    </row>
    <row r="849" ht="14.25" customHeight="1">
      <c r="A849" s="4"/>
      <c r="B849" s="2"/>
      <c r="C849" s="4"/>
      <c r="D849" s="4"/>
      <c r="E849" s="2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2"/>
      <c r="U849" s="2"/>
      <c r="V849" s="4"/>
      <c r="W849" s="4"/>
      <c r="X849" s="4"/>
      <c r="Y849" s="4"/>
      <c r="Z849" s="4"/>
      <c r="AA849" s="4"/>
      <c r="AB849" s="4"/>
      <c r="AC849" s="4"/>
      <c r="AD849" s="4"/>
    </row>
    <row r="850" ht="14.25" customHeight="1">
      <c r="A850" s="4"/>
      <c r="B850" s="2"/>
      <c r="C850" s="4"/>
      <c r="D850" s="4"/>
      <c r="E850" s="2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2"/>
      <c r="U850" s="2"/>
      <c r="V850" s="4"/>
      <c r="W850" s="4"/>
      <c r="X850" s="4"/>
      <c r="Y850" s="4"/>
      <c r="Z850" s="4"/>
      <c r="AA850" s="4"/>
      <c r="AB850" s="4"/>
      <c r="AC850" s="4"/>
      <c r="AD850" s="4"/>
    </row>
    <row r="851" ht="14.25" customHeight="1">
      <c r="A851" s="4"/>
      <c r="B851" s="2"/>
      <c r="C851" s="4"/>
      <c r="D851" s="4"/>
      <c r="E851" s="2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2"/>
      <c r="U851" s="2"/>
      <c r="V851" s="4"/>
      <c r="W851" s="4"/>
      <c r="X851" s="4"/>
      <c r="Y851" s="4"/>
      <c r="Z851" s="4"/>
      <c r="AA851" s="4"/>
      <c r="AB851" s="4"/>
      <c r="AC851" s="4"/>
      <c r="AD851" s="4"/>
    </row>
    <row r="852" ht="14.25" customHeight="1">
      <c r="A852" s="4"/>
      <c r="B852" s="2"/>
      <c r="C852" s="4"/>
      <c r="D852" s="4"/>
      <c r="E852" s="2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2"/>
      <c r="U852" s="2"/>
      <c r="V852" s="4"/>
      <c r="W852" s="4"/>
      <c r="X852" s="4"/>
      <c r="Y852" s="4"/>
      <c r="Z852" s="4"/>
      <c r="AA852" s="4"/>
      <c r="AB852" s="4"/>
      <c r="AC852" s="4"/>
      <c r="AD852" s="4"/>
    </row>
    <row r="853" ht="14.25" customHeight="1">
      <c r="A853" s="4"/>
      <c r="B853" s="2"/>
      <c r="C853" s="4"/>
      <c r="D853" s="4"/>
      <c r="E853" s="2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2"/>
      <c r="U853" s="2"/>
      <c r="V853" s="4"/>
      <c r="W853" s="4"/>
      <c r="X853" s="4"/>
      <c r="Y853" s="4"/>
      <c r="Z853" s="4"/>
      <c r="AA853" s="4"/>
      <c r="AB853" s="4"/>
      <c r="AC853" s="4"/>
      <c r="AD853" s="4"/>
    </row>
    <row r="854" ht="14.25" customHeight="1">
      <c r="A854" s="4"/>
      <c r="B854" s="2"/>
      <c r="C854" s="4"/>
      <c r="D854" s="4"/>
      <c r="E854" s="2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2"/>
      <c r="U854" s="2"/>
      <c r="V854" s="4"/>
      <c r="W854" s="4"/>
      <c r="X854" s="4"/>
      <c r="Y854" s="4"/>
      <c r="Z854" s="4"/>
      <c r="AA854" s="4"/>
      <c r="AB854" s="4"/>
      <c r="AC854" s="4"/>
      <c r="AD854" s="4"/>
    </row>
    <row r="855" ht="14.25" customHeight="1">
      <c r="A855" s="4"/>
      <c r="B855" s="2"/>
      <c r="C855" s="4"/>
      <c r="D855" s="4"/>
      <c r="E855" s="2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2"/>
      <c r="U855" s="2"/>
      <c r="V855" s="4"/>
      <c r="W855" s="4"/>
      <c r="X855" s="4"/>
      <c r="Y855" s="4"/>
      <c r="Z855" s="4"/>
      <c r="AA855" s="4"/>
      <c r="AB855" s="4"/>
      <c r="AC855" s="4"/>
      <c r="AD855" s="4"/>
    </row>
    <row r="856" ht="14.25" customHeight="1">
      <c r="A856" s="4"/>
      <c r="B856" s="2"/>
      <c r="C856" s="4"/>
      <c r="D856" s="4"/>
      <c r="E856" s="2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2"/>
      <c r="U856" s="2"/>
      <c r="V856" s="4"/>
      <c r="W856" s="4"/>
      <c r="X856" s="4"/>
      <c r="Y856" s="4"/>
      <c r="Z856" s="4"/>
      <c r="AA856" s="4"/>
      <c r="AB856" s="4"/>
      <c r="AC856" s="4"/>
      <c r="AD856" s="4"/>
    </row>
    <row r="857" ht="14.25" customHeight="1">
      <c r="A857" s="4"/>
      <c r="B857" s="2"/>
      <c r="C857" s="4"/>
      <c r="D857" s="4"/>
      <c r="E857" s="2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2"/>
      <c r="U857" s="2"/>
      <c r="V857" s="4"/>
      <c r="W857" s="4"/>
      <c r="X857" s="4"/>
      <c r="Y857" s="4"/>
      <c r="Z857" s="4"/>
      <c r="AA857" s="4"/>
      <c r="AB857" s="4"/>
      <c r="AC857" s="4"/>
      <c r="AD857" s="4"/>
    </row>
    <row r="858" ht="14.25" customHeight="1">
      <c r="A858" s="4"/>
      <c r="B858" s="2"/>
      <c r="C858" s="4"/>
      <c r="D858" s="4"/>
      <c r="E858" s="2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2"/>
      <c r="U858" s="2"/>
      <c r="V858" s="4"/>
      <c r="W858" s="4"/>
      <c r="X858" s="4"/>
      <c r="Y858" s="4"/>
      <c r="Z858" s="4"/>
      <c r="AA858" s="4"/>
      <c r="AB858" s="4"/>
      <c r="AC858" s="4"/>
      <c r="AD858" s="4"/>
    </row>
    <row r="859" ht="14.25" customHeight="1">
      <c r="A859" s="4"/>
      <c r="B859" s="2"/>
      <c r="C859" s="4"/>
      <c r="D859" s="4"/>
      <c r="E859" s="2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2"/>
      <c r="U859" s="2"/>
      <c r="V859" s="4"/>
      <c r="W859" s="4"/>
      <c r="X859" s="4"/>
      <c r="Y859" s="4"/>
      <c r="Z859" s="4"/>
      <c r="AA859" s="4"/>
      <c r="AB859" s="4"/>
      <c r="AC859" s="4"/>
      <c r="AD859" s="4"/>
    </row>
    <row r="860" ht="14.25" customHeight="1">
      <c r="A860" s="4"/>
      <c r="B860" s="2"/>
      <c r="C860" s="4"/>
      <c r="D860" s="4"/>
      <c r="E860" s="2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2"/>
      <c r="U860" s="2"/>
      <c r="V860" s="4"/>
      <c r="W860" s="4"/>
      <c r="X860" s="4"/>
      <c r="Y860" s="4"/>
      <c r="Z860" s="4"/>
      <c r="AA860" s="4"/>
      <c r="AB860" s="4"/>
      <c r="AC860" s="4"/>
      <c r="AD860" s="4"/>
    </row>
    <row r="861" ht="14.25" customHeight="1">
      <c r="A861" s="4"/>
      <c r="B861" s="2"/>
      <c r="C861" s="4"/>
      <c r="D861" s="4"/>
      <c r="E861" s="2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2"/>
      <c r="U861" s="2"/>
      <c r="V861" s="4"/>
      <c r="W861" s="4"/>
      <c r="X861" s="4"/>
      <c r="Y861" s="4"/>
      <c r="Z861" s="4"/>
      <c r="AA861" s="4"/>
      <c r="AB861" s="4"/>
      <c r="AC861" s="4"/>
      <c r="AD861" s="4"/>
    </row>
    <row r="862" ht="14.25" customHeight="1">
      <c r="A862" s="4"/>
      <c r="B862" s="2"/>
      <c r="C862" s="4"/>
      <c r="D862" s="4"/>
      <c r="E862" s="2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2"/>
      <c r="U862" s="2"/>
      <c r="V862" s="4"/>
      <c r="W862" s="4"/>
      <c r="X862" s="4"/>
      <c r="Y862" s="4"/>
      <c r="Z862" s="4"/>
      <c r="AA862" s="4"/>
      <c r="AB862" s="4"/>
      <c r="AC862" s="4"/>
      <c r="AD862" s="4"/>
    </row>
    <row r="863" ht="14.25" customHeight="1">
      <c r="A863" s="4"/>
      <c r="B863" s="2"/>
      <c r="C863" s="4"/>
      <c r="D863" s="4"/>
      <c r="E863" s="2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2"/>
      <c r="U863" s="2"/>
      <c r="V863" s="4"/>
      <c r="W863" s="4"/>
      <c r="X863" s="4"/>
      <c r="Y863" s="4"/>
      <c r="Z863" s="4"/>
      <c r="AA863" s="4"/>
      <c r="AB863" s="4"/>
      <c r="AC863" s="4"/>
      <c r="AD863" s="4"/>
    </row>
    <row r="864" ht="14.25" customHeight="1">
      <c r="A864" s="4"/>
      <c r="B864" s="2"/>
      <c r="C864" s="4"/>
      <c r="D864" s="4"/>
      <c r="E864" s="2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2"/>
      <c r="U864" s="2"/>
      <c r="V864" s="4"/>
      <c r="W864" s="4"/>
      <c r="X864" s="4"/>
      <c r="Y864" s="4"/>
      <c r="Z864" s="4"/>
      <c r="AA864" s="4"/>
      <c r="AB864" s="4"/>
      <c r="AC864" s="4"/>
      <c r="AD864" s="4"/>
    </row>
    <row r="865" ht="14.25" customHeight="1">
      <c r="A865" s="4"/>
      <c r="B865" s="2"/>
      <c r="C865" s="4"/>
      <c r="D865" s="4"/>
      <c r="E865" s="2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2"/>
      <c r="U865" s="2"/>
      <c r="V865" s="4"/>
      <c r="W865" s="4"/>
      <c r="X865" s="4"/>
      <c r="Y865" s="4"/>
      <c r="Z865" s="4"/>
      <c r="AA865" s="4"/>
      <c r="AB865" s="4"/>
      <c r="AC865" s="4"/>
      <c r="AD865" s="4"/>
    </row>
    <row r="866" ht="14.25" customHeight="1">
      <c r="A866" s="4"/>
      <c r="B866" s="2"/>
      <c r="C866" s="4"/>
      <c r="D866" s="4"/>
      <c r="E866" s="2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2"/>
      <c r="U866" s="2"/>
      <c r="V866" s="4"/>
      <c r="W866" s="4"/>
      <c r="X866" s="4"/>
      <c r="Y866" s="4"/>
      <c r="Z866" s="4"/>
      <c r="AA866" s="4"/>
      <c r="AB866" s="4"/>
      <c r="AC866" s="4"/>
      <c r="AD866" s="4"/>
    </row>
    <row r="867" ht="14.25" customHeight="1">
      <c r="A867" s="4"/>
      <c r="B867" s="2"/>
      <c r="C867" s="4"/>
      <c r="D867" s="4"/>
      <c r="E867" s="2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2"/>
      <c r="U867" s="2"/>
      <c r="V867" s="4"/>
      <c r="W867" s="4"/>
      <c r="X867" s="4"/>
      <c r="Y867" s="4"/>
      <c r="Z867" s="4"/>
      <c r="AA867" s="4"/>
      <c r="AB867" s="4"/>
      <c r="AC867" s="4"/>
      <c r="AD867" s="4"/>
    </row>
    <row r="868" ht="14.25" customHeight="1">
      <c r="A868" s="4"/>
      <c r="B868" s="2"/>
      <c r="C868" s="4"/>
      <c r="D868" s="4"/>
      <c r="E868" s="2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2"/>
      <c r="U868" s="2"/>
      <c r="V868" s="4"/>
      <c r="W868" s="4"/>
      <c r="X868" s="4"/>
      <c r="Y868" s="4"/>
      <c r="Z868" s="4"/>
      <c r="AA868" s="4"/>
      <c r="AB868" s="4"/>
      <c r="AC868" s="4"/>
      <c r="AD868" s="4"/>
    </row>
    <row r="869" ht="14.25" customHeight="1">
      <c r="A869" s="4"/>
      <c r="B869" s="2"/>
      <c r="C869" s="4"/>
      <c r="D869" s="4"/>
      <c r="E869" s="2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2"/>
      <c r="U869" s="2"/>
      <c r="V869" s="4"/>
      <c r="W869" s="4"/>
      <c r="X869" s="4"/>
      <c r="Y869" s="4"/>
      <c r="Z869" s="4"/>
      <c r="AA869" s="4"/>
      <c r="AB869" s="4"/>
      <c r="AC869" s="4"/>
      <c r="AD869" s="4"/>
    </row>
    <row r="870" ht="14.25" customHeight="1">
      <c r="A870" s="4"/>
      <c r="B870" s="2"/>
      <c r="C870" s="4"/>
      <c r="D870" s="4"/>
      <c r="E870" s="2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2"/>
      <c r="U870" s="2"/>
      <c r="V870" s="4"/>
      <c r="W870" s="4"/>
      <c r="X870" s="4"/>
      <c r="Y870" s="4"/>
      <c r="Z870" s="4"/>
      <c r="AA870" s="4"/>
      <c r="AB870" s="4"/>
      <c r="AC870" s="4"/>
      <c r="AD870" s="4"/>
    </row>
    <row r="871" ht="14.25" customHeight="1">
      <c r="A871" s="4"/>
      <c r="B871" s="2"/>
      <c r="C871" s="4"/>
      <c r="D871" s="4"/>
      <c r="E871" s="2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2"/>
      <c r="U871" s="2"/>
      <c r="V871" s="4"/>
      <c r="W871" s="4"/>
      <c r="X871" s="4"/>
      <c r="Y871" s="4"/>
      <c r="Z871" s="4"/>
      <c r="AA871" s="4"/>
      <c r="AB871" s="4"/>
      <c r="AC871" s="4"/>
      <c r="AD871" s="4"/>
    </row>
    <row r="872" ht="14.25" customHeight="1">
      <c r="A872" s="4"/>
      <c r="B872" s="2"/>
      <c r="C872" s="4"/>
      <c r="D872" s="4"/>
      <c r="E872" s="2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2"/>
      <c r="U872" s="2"/>
      <c r="V872" s="4"/>
      <c r="W872" s="4"/>
      <c r="X872" s="4"/>
      <c r="Y872" s="4"/>
      <c r="Z872" s="4"/>
      <c r="AA872" s="4"/>
      <c r="AB872" s="4"/>
      <c r="AC872" s="4"/>
      <c r="AD872" s="4"/>
    </row>
    <row r="873" ht="14.25" customHeight="1">
      <c r="A873" s="4"/>
      <c r="B873" s="2"/>
      <c r="C873" s="4"/>
      <c r="D873" s="4"/>
      <c r="E873" s="2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2"/>
      <c r="U873" s="2"/>
      <c r="V873" s="4"/>
      <c r="W873" s="4"/>
      <c r="X873" s="4"/>
      <c r="Y873" s="4"/>
      <c r="Z873" s="4"/>
      <c r="AA873" s="4"/>
      <c r="AB873" s="4"/>
      <c r="AC873" s="4"/>
      <c r="AD873" s="4"/>
    </row>
    <row r="874" ht="14.25" customHeight="1">
      <c r="A874" s="4"/>
      <c r="B874" s="2"/>
      <c r="C874" s="4"/>
      <c r="D874" s="4"/>
      <c r="E874" s="2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2"/>
      <c r="U874" s="2"/>
      <c r="V874" s="4"/>
      <c r="W874" s="4"/>
      <c r="X874" s="4"/>
      <c r="Y874" s="4"/>
      <c r="Z874" s="4"/>
      <c r="AA874" s="4"/>
      <c r="AB874" s="4"/>
      <c r="AC874" s="4"/>
      <c r="AD874" s="4"/>
    </row>
    <row r="875" ht="14.25" customHeight="1">
      <c r="A875" s="4"/>
      <c r="B875" s="2"/>
      <c r="C875" s="4"/>
      <c r="D875" s="4"/>
      <c r="E875" s="2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2"/>
      <c r="U875" s="2"/>
      <c r="V875" s="4"/>
      <c r="W875" s="4"/>
      <c r="X875" s="4"/>
      <c r="Y875" s="4"/>
      <c r="Z875" s="4"/>
      <c r="AA875" s="4"/>
      <c r="AB875" s="4"/>
      <c r="AC875" s="4"/>
      <c r="AD875" s="4"/>
    </row>
    <row r="876" ht="14.25" customHeight="1">
      <c r="A876" s="4"/>
      <c r="B876" s="2"/>
      <c r="C876" s="4"/>
      <c r="D876" s="4"/>
      <c r="E876" s="2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2"/>
      <c r="U876" s="2"/>
      <c r="V876" s="4"/>
      <c r="W876" s="4"/>
      <c r="X876" s="4"/>
      <c r="Y876" s="4"/>
      <c r="Z876" s="4"/>
      <c r="AA876" s="4"/>
      <c r="AB876" s="4"/>
      <c r="AC876" s="4"/>
      <c r="AD876" s="4"/>
    </row>
    <row r="877" ht="14.25" customHeight="1">
      <c r="A877" s="4"/>
      <c r="B877" s="2"/>
      <c r="C877" s="4"/>
      <c r="D877" s="4"/>
      <c r="E877" s="2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2"/>
      <c r="U877" s="2"/>
      <c r="V877" s="4"/>
      <c r="W877" s="4"/>
      <c r="X877" s="4"/>
      <c r="Y877" s="4"/>
      <c r="Z877" s="4"/>
      <c r="AA877" s="4"/>
      <c r="AB877" s="4"/>
      <c r="AC877" s="4"/>
      <c r="AD877" s="4"/>
    </row>
    <row r="878" ht="14.25" customHeight="1">
      <c r="A878" s="4"/>
      <c r="B878" s="2"/>
      <c r="C878" s="4"/>
      <c r="D878" s="4"/>
      <c r="E878" s="2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2"/>
      <c r="U878" s="2"/>
      <c r="V878" s="4"/>
      <c r="W878" s="4"/>
      <c r="X878" s="4"/>
      <c r="Y878" s="4"/>
      <c r="Z878" s="4"/>
      <c r="AA878" s="4"/>
      <c r="AB878" s="4"/>
      <c r="AC878" s="4"/>
      <c r="AD878" s="4"/>
    </row>
    <row r="879" ht="14.25" customHeight="1">
      <c r="A879" s="4"/>
      <c r="B879" s="2"/>
      <c r="C879" s="4"/>
      <c r="D879" s="4"/>
      <c r="E879" s="2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2"/>
      <c r="U879" s="2"/>
      <c r="V879" s="4"/>
      <c r="W879" s="4"/>
      <c r="X879" s="4"/>
      <c r="Y879" s="4"/>
      <c r="Z879" s="4"/>
      <c r="AA879" s="4"/>
      <c r="AB879" s="4"/>
      <c r="AC879" s="4"/>
      <c r="AD879" s="4"/>
    </row>
    <row r="880" ht="14.25" customHeight="1">
      <c r="A880" s="4"/>
      <c r="B880" s="2"/>
      <c r="C880" s="4"/>
      <c r="D880" s="4"/>
      <c r="E880" s="2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2"/>
      <c r="U880" s="2"/>
      <c r="V880" s="4"/>
      <c r="W880" s="4"/>
      <c r="X880" s="4"/>
      <c r="Y880" s="4"/>
      <c r="Z880" s="4"/>
      <c r="AA880" s="4"/>
      <c r="AB880" s="4"/>
      <c r="AC880" s="4"/>
      <c r="AD880" s="4"/>
    </row>
    <row r="881" ht="14.25" customHeight="1">
      <c r="A881" s="4"/>
      <c r="B881" s="2"/>
      <c r="C881" s="4"/>
      <c r="D881" s="4"/>
      <c r="E881" s="2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2"/>
      <c r="U881" s="2"/>
      <c r="V881" s="4"/>
      <c r="W881" s="4"/>
      <c r="X881" s="4"/>
      <c r="Y881" s="4"/>
      <c r="Z881" s="4"/>
      <c r="AA881" s="4"/>
      <c r="AB881" s="4"/>
      <c r="AC881" s="4"/>
      <c r="AD881" s="4"/>
    </row>
    <row r="882" ht="14.25" customHeight="1">
      <c r="A882" s="4"/>
      <c r="B882" s="2"/>
      <c r="C882" s="4"/>
      <c r="D882" s="4"/>
      <c r="E882" s="2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2"/>
      <c r="U882" s="2"/>
      <c r="V882" s="4"/>
      <c r="W882" s="4"/>
      <c r="X882" s="4"/>
      <c r="Y882" s="4"/>
      <c r="Z882" s="4"/>
      <c r="AA882" s="4"/>
      <c r="AB882" s="4"/>
      <c r="AC882" s="4"/>
      <c r="AD882" s="4"/>
    </row>
    <row r="883" ht="14.25" customHeight="1">
      <c r="A883" s="4"/>
      <c r="B883" s="2"/>
      <c r="C883" s="4"/>
      <c r="D883" s="4"/>
      <c r="E883" s="2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2"/>
      <c r="U883" s="2"/>
      <c r="V883" s="4"/>
      <c r="W883" s="4"/>
      <c r="X883" s="4"/>
      <c r="Y883" s="4"/>
      <c r="Z883" s="4"/>
      <c r="AA883" s="4"/>
      <c r="AB883" s="4"/>
      <c r="AC883" s="4"/>
      <c r="AD883" s="4"/>
    </row>
    <row r="884" ht="14.25" customHeight="1">
      <c r="A884" s="4"/>
      <c r="B884" s="2"/>
      <c r="C884" s="4"/>
      <c r="D884" s="4"/>
      <c r="E884" s="2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2"/>
      <c r="U884" s="2"/>
      <c r="V884" s="4"/>
      <c r="W884" s="4"/>
      <c r="X884" s="4"/>
      <c r="Y884" s="4"/>
      <c r="Z884" s="4"/>
      <c r="AA884" s="4"/>
      <c r="AB884" s="4"/>
      <c r="AC884" s="4"/>
      <c r="AD884" s="4"/>
    </row>
    <row r="885" ht="14.25" customHeight="1">
      <c r="A885" s="4"/>
      <c r="B885" s="2"/>
      <c r="C885" s="4"/>
      <c r="D885" s="4"/>
      <c r="E885" s="2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2"/>
      <c r="U885" s="2"/>
      <c r="V885" s="4"/>
      <c r="W885" s="4"/>
      <c r="X885" s="4"/>
      <c r="Y885" s="4"/>
      <c r="Z885" s="4"/>
      <c r="AA885" s="4"/>
      <c r="AB885" s="4"/>
      <c r="AC885" s="4"/>
      <c r="AD885" s="4"/>
    </row>
    <row r="886" ht="14.25" customHeight="1">
      <c r="A886" s="4"/>
      <c r="B886" s="2"/>
      <c r="C886" s="4"/>
      <c r="D886" s="4"/>
      <c r="E886" s="2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2"/>
      <c r="U886" s="2"/>
      <c r="V886" s="4"/>
      <c r="W886" s="4"/>
      <c r="X886" s="4"/>
      <c r="Y886" s="4"/>
      <c r="Z886" s="4"/>
      <c r="AA886" s="4"/>
      <c r="AB886" s="4"/>
      <c r="AC886" s="4"/>
      <c r="AD886" s="4"/>
    </row>
    <row r="887" ht="14.25" customHeight="1">
      <c r="A887" s="4"/>
      <c r="B887" s="2"/>
      <c r="C887" s="4"/>
      <c r="D887" s="4"/>
      <c r="E887" s="2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2"/>
      <c r="U887" s="2"/>
      <c r="V887" s="4"/>
      <c r="W887" s="4"/>
      <c r="X887" s="4"/>
      <c r="Y887" s="4"/>
      <c r="Z887" s="4"/>
      <c r="AA887" s="4"/>
      <c r="AB887" s="4"/>
      <c r="AC887" s="4"/>
      <c r="AD887" s="4"/>
    </row>
    <row r="888" ht="14.25" customHeight="1">
      <c r="A888" s="4"/>
      <c r="B888" s="2"/>
      <c r="C888" s="4"/>
      <c r="D888" s="4"/>
      <c r="E888" s="2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2"/>
      <c r="U888" s="2"/>
      <c r="V888" s="4"/>
      <c r="W888" s="4"/>
      <c r="X888" s="4"/>
      <c r="Y888" s="4"/>
      <c r="Z888" s="4"/>
      <c r="AA888" s="4"/>
      <c r="AB888" s="4"/>
      <c r="AC888" s="4"/>
      <c r="AD888" s="4"/>
    </row>
    <row r="889" ht="14.25" customHeight="1">
      <c r="A889" s="4"/>
      <c r="B889" s="2"/>
      <c r="C889" s="4"/>
      <c r="D889" s="4"/>
      <c r="E889" s="2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2"/>
      <c r="U889" s="2"/>
      <c r="V889" s="4"/>
      <c r="W889" s="4"/>
      <c r="X889" s="4"/>
      <c r="Y889" s="4"/>
      <c r="Z889" s="4"/>
      <c r="AA889" s="4"/>
      <c r="AB889" s="4"/>
      <c r="AC889" s="4"/>
      <c r="AD889" s="4"/>
    </row>
    <row r="890" ht="14.25" customHeight="1">
      <c r="A890" s="4"/>
      <c r="B890" s="2"/>
      <c r="C890" s="4"/>
      <c r="D890" s="4"/>
      <c r="E890" s="2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2"/>
      <c r="U890" s="2"/>
      <c r="V890" s="4"/>
      <c r="W890" s="4"/>
      <c r="X890" s="4"/>
      <c r="Y890" s="4"/>
      <c r="Z890" s="4"/>
      <c r="AA890" s="4"/>
      <c r="AB890" s="4"/>
      <c r="AC890" s="4"/>
      <c r="AD890" s="4"/>
    </row>
    <row r="891" ht="14.25" customHeight="1">
      <c r="A891" s="4"/>
      <c r="B891" s="2"/>
      <c r="C891" s="4"/>
      <c r="D891" s="4"/>
      <c r="E891" s="2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2"/>
      <c r="U891" s="2"/>
      <c r="V891" s="4"/>
      <c r="W891" s="4"/>
      <c r="X891" s="4"/>
      <c r="Y891" s="4"/>
      <c r="Z891" s="4"/>
      <c r="AA891" s="4"/>
      <c r="AB891" s="4"/>
      <c r="AC891" s="4"/>
      <c r="AD891" s="4"/>
    </row>
    <row r="892" ht="14.25" customHeight="1">
      <c r="A892" s="4"/>
      <c r="B892" s="2"/>
      <c r="C892" s="4"/>
      <c r="D892" s="4"/>
      <c r="E892" s="2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2"/>
      <c r="U892" s="2"/>
      <c r="V892" s="4"/>
      <c r="W892" s="4"/>
      <c r="X892" s="4"/>
      <c r="Y892" s="4"/>
      <c r="Z892" s="4"/>
      <c r="AA892" s="4"/>
      <c r="AB892" s="4"/>
      <c r="AC892" s="4"/>
      <c r="AD892" s="4"/>
    </row>
    <row r="893" ht="14.25" customHeight="1">
      <c r="A893" s="4"/>
      <c r="B893" s="2"/>
      <c r="C893" s="4"/>
      <c r="D893" s="4"/>
      <c r="E893" s="2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2"/>
      <c r="U893" s="2"/>
      <c r="V893" s="4"/>
      <c r="W893" s="4"/>
      <c r="X893" s="4"/>
      <c r="Y893" s="4"/>
      <c r="Z893" s="4"/>
      <c r="AA893" s="4"/>
      <c r="AB893" s="4"/>
      <c r="AC893" s="4"/>
      <c r="AD893" s="4"/>
    </row>
    <row r="894" ht="14.25" customHeight="1">
      <c r="A894" s="4"/>
      <c r="B894" s="2"/>
      <c r="C894" s="4"/>
      <c r="D894" s="4"/>
      <c r="E894" s="2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2"/>
      <c r="U894" s="2"/>
      <c r="V894" s="4"/>
      <c r="W894" s="4"/>
      <c r="X894" s="4"/>
      <c r="Y894" s="4"/>
      <c r="Z894" s="4"/>
      <c r="AA894" s="4"/>
      <c r="AB894" s="4"/>
      <c r="AC894" s="4"/>
      <c r="AD894" s="4"/>
    </row>
    <row r="895" ht="14.25" customHeight="1">
      <c r="A895" s="4"/>
      <c r="B895" s="2"/>
      <c r="C895" s="4"/>
      <c r="D895" s="4"/>
      <c r="E895" s="2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2"/>
      <c r="U895" s="2"/>
      <c r="V895" s="4"/>
      <c r="W895" s="4"/>
      <c r="X895" s="4"/>
      <c r="Y895" s="4"/>
      <c r="Z895" s="4"/>
      <c r="AA895" s="4"/>
      <c r="AB895" s="4"/>
      <c r="AC895" s="4"/>
      <c r="AD895" s="4"/>
    </row>
    <row r="896" ht="14.25" customHeight="1">
      <c r="A896" s="4"/>
      <c r="B896" s="2"/>
      <c r="C896" s="4"/>
      <c r="D896" s="4"/>
      <c r="E896" s="2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2"/>
      <c r="U896" s="2"/>
      <c r="V896" s="4"/>
      <c r="W896" s="4"/>
      <c r="X896" s="4"/>
      <c r="Y896" s="4"/>
      <c r="Z896" s="4"/>
      <c r="AA896" s="4"/>
      <c r="AB896" s="4"/>
      <c r="AC896" s="4"/>
      <c r="AD896" s="4"/>
    </row>
    <row r="897" ht="14.25" customHeight="1">
      <c r="A897" s="4"/>
      <c r="B897" s="2"/>
      <c r="C897" s="4"/>
      <c r="D897" s="4"/>
      <c r="E897" s="2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2"/>
      <c r="U897" s="2"/>
      <c r="V897" s="4"/>
      <c r="W897" s="4"/>
      <c r="X897" s="4"/>
      <c r="Y897" s="4"/>
      <c r="Z897" s="4"/>
      <c r="AA897" s="4"/>
      <c r="AB897" s="4"/>
      <c r="AC897" s="4"/>
      <c r="AD897" s="4"/>
    </row>
    <row r="898" ht="14.25" customHeight="1">
      <c r="A898" s="4"/>
      <c r="B898" s="2"/>
      <c r="C898" s="4"/>
      <c r="D898" s="4"/>
      <c r="E898" s="2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2"/>
      <c r="U898" s="2"/>
      <c r="V898" s="4"/>
      <c r="W898" s="4"/>
      <c r="X898" s="4"/>
      <c r="Y898" s="4"/>
      <c r="Z898" s="4"/>
      <c r="AA898" s="4"/>
      <c r="AB898" s="4"/>
      <c r="AC898" s="4"/>
      <c r="AD898" s="4"/>
    </row>
    <row r="899" ht="14.25" customHeight="1">
      <c r="A899" s="4"/>
      <c r="B899" s="2"/>
      <c r="C899" s="4"/>
      <c r="D899" s="4"/>
      <c r="E899" s="2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2"/>
      <c r="U899" s="2"/>
      <c r="V899" s="4"/>
      <c r="W899" s="4"/>
      <c r="X899" s="4"/>
      <c r="Y899" s="4"/>
      <c r="Z899" s="4"/>
      <c r="AA899" s="4"/>
      <c r="AB899" s="4"/>
      <c r="AC899" s="4"/>
      <c r="AD899" s="4"/>
    </row>
    <row r="900" ht="14.25" customHeight="1">
      <c r="A900" s="4"/>
      <c r="B900" s="2"/>
      <c r="C900" s="4"/>
      <c r="D900" s="4"/>
      <c r="E900" s="2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2"/>
      <c r="U900" s="2"/>
      <c r="V900" s="4"/>
      <c r="W900" s="4"/>
      <c r="X900" s="4"/>
      <c r="Y900" s="4"/>
      <c r="Z900" s="4"/>
      <c r="AA900" s="4"/>
      <c r="AB900" s="4"/>
      <c r="AC900" s="4"/>
      <c r="AD900" s="4"/>
    </row>
    <row r="901" ht="14.25" customHeight="1">
      <c r="A901" s="4"/>
      <c r="B901" s="2"/>
      <c r="C901" s="4"/>
      <c r="D901" s="4"/>
      <c r="E901" s="2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2"/>
      <c r="U901" s="2"/>
      <c r="V901" s="4"/>
      <c r="W901" s="4"/>
      <c r="X901" s="4"/>
      <c r="Y901" s="4"/>
      <c r="Z901" s="4"/>
      <c r="AA901" s="4"/>
      <c r="AB901" s="4"/>
      <c r="AC901" s="4"/>
      <c r="AD901" s="4"/>
    </row>
    <row r="902" ht="14.25" customHeight="1">
      <c r="A902" s="4"/>
      <c r="B902" s="2"/>
      <c r="C902" s="4"/>
      <c r="D902" s="4"/>
      <c r="E902" s="2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2"/>
      <c r="U902" s="2"/>
      <c r="V902" s="4"/>
      <c r="W902" s="4"/>
      <c r="X902" s="4"/>
      <c r="Y902" s="4"/>
      <c r="Z902" s="4"/>
      <c r="AA902" s="4"/>
      <c r="AB902" s="4"/>
      <c r="AC902" s="4"/>
      <c r="AD902" s="4"/>
    </row>
    <row r="903" ht="14.25" customHeight="1">
      <c r="A903" s="4"/>
      <c r="B903" s="2"/>
      <c r="C903" s="4"/>
      <c r="D903" s="4"/>
      <c r="E903" s="2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2"/>
      <c r="U903" s="2"/>
      <c r="V903" s="4"/>
      <c r="W903" s="4"/>
      <c r="X903" s="4"/>
      <c r="Y903" s="4"/>
      <c r="Z903" s="4"/>
      <c r="AA903" s="4"/>
      <c r="AB903" s="4"/>
      <c r="AC903" s="4"/>
      <c r="AD903" s="4"/>
    </row>
    <row r="904" ht="14.25" customHeight="1">
      <c r="A904" s="4"/>
      <c r="B904" s="2"/>
      <c r="C904" s="4"/>
      <c r="D904" s="4"/>
      <c r="E904" s="2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2"/>
      <c r="U904" s="2"/>
      <c r="V904" s="4"/>
      <c r="W904" s="4"/>
      <c r="X904" s="4"/>
      <c r="Y904" s="4"/>
      <c r="Z904" s="4"/>
      <c r="AA904" s="4"/>
      <c r="AB904" s="4"/>
      <c r="AC904" s="4"/>
      <c r="AD904" s="4"/>
    </row>
    <row r="905" ht="14.25" customHeight="1">
      <c r="A905" s="4"/>
      <c r="B905" s="2"/>
      <c r="C905" s="4"/>
      <c r="D905" s="4"/>
      <c r="E905" s="2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2"/>
      <c r="U905" s="2"/>
      <c r="V905" s="4"/>
      <c r="W905" s="4"/>
      <c r="X905" s="4"/>
      <c r="Y905" s="4"/>
      <c r="Z905" s="4"/>
      <c r="AA905" s="4"/>
      <c r="AB905" s="4"/>
      <c r="AC905" s="4"/>
      <c r="AD905" s="4"/>
    </row>
    <row r="906" ht="14.25" customHeight="1">
      <c r="A906" s="4"/>
      <c r="B906" s="2"/>
      <c r="C906" s="4"/>
      <c r="D906" s="4"/>
      <c r="E906" s="2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2"/>
      <c r="U906" s="2"/>
      <c r="V906" s="4"/>
      <c r="W906" s="4"/>
      <c r="X906" s="4"/>
      <c r="Y906" s="4"/>
      <c r="Z906" s="4"/>
      <c r="AA906" s="4"/>
      <c r="AB906" s="4"/>
      <c r="AC906" s="4"/>
      <c r="AD906" s="4"/>
    </row>
    <row r="907" ht="14.25" customHeight="1">
      <c r="A907" s="4"/>
      <c r="B907" s="2"/>
      <c r="C907" s="4"/>
      <c r="D907" s="4"/>
      <c r="E907" s="2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2"/>
      <c r="U907" s="2"/>
      <c r="V907" s="4"/>
      <c r="W907" s="4"/>
      <c r="X907" s="4"/>
      <c r="Y907" s="4"/>
      <c r="Z907" s="4"/>
      <c r="AA907" s="4"/>
      <c r="AB907" s="4"/>
      <c r="AC907" s="4"/>
      <c r="AD907" s="4"/>
    </row>
    <row r="908" ht="14.25" customHeight="1">
      <c r="A908" s="4"/>
      <c r="B908" s="2"/>
      <c r="C908" s="4"/>
      <c r="D908" s="4"/>
      <c r="E908" s="2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2"/>
      <c r="U908" s="2"/>
      <c r="V908" s="4"/>
      <c r="W908" s="4"/>
      <c r="X908" s="4"/>
      <c r="Y908" s="4"/>
      <c r="Z908" s="4"/>
      <c r="AA908" s="4"/>
      <c r="AB908" s="4"/>
      <c r="AC908" s="4"/>
      <c r="AD908" s="4"/>
    </row>
    <row r="909" ht="14.25" customHeight="1">
      <c r="A909" s="4"/>
      <c r="B909" s="2"/>
      <c r="C909" s="4"/>
      <c r="D909" s="4"/>
      <c r="E909" s="2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2"/>
      <c r="U909" s="2"/>
      <c r="V909" s="4"/>
      <c r="W909" s="4"/>
      <c r="X909" s="4"/>
      <c r="Y909" s="4"/>
      <c r="Z909" s="4"/>
      <c r="AA909" s="4"/>
      <c r="AB909" s="4"/>
      <c r="AC909" s="4"/>
      <c r="AD909" s="4"/>
    </row>
    <row r="910" ht="14.25" customHeight="1">
      <c r="A910" s="4"/>
      <c r="B910" s="2"/>
      <c r="C910" s="4"/>
      <c r="D910" s="4"/>
      <c r="E910" s="2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2"/>
      <c r="U910" s="2"/>
      <c r="V910" s="4"/>
      <c r="W910" s="4"/>
      <c r="X910" s="4"/>
      <c r="Y910" s="4"/>
      <c r="Z910" s="4"/>
      <c r="AA910" s="4"/>
      <c r="AB910" s="4"/>
      <c r="AC910" s="4"/>
      <c r="AD910" s="4"/>
    </row>
    <row r="911" ht="14.25" customHeight="1">
      <c r="A911" s="4"/>
      <c r="B911" s="2"/>
      <c r="C911" s="4"/>
      <c r="D911" s="4"/>
      <c r="E911" s="2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2"/>
      <c r="U911" s="2"/>
      <c r="V911" s="4"/>
      <c r="W911" s="4"/>
      <c r="X911" s="4"/>
      <c r="Y911" s="4"/>
      <c r="Z911" s="4"/>
      <c r="AA911" s="4"/>
      <c r="AB911" s="4"/>
      <c r="AC911" s="4"/>
      <c r="AD911" s="4"/>
    </row>
    <row r="912" ht="14.25" customHeight="1">
      <c r="A912" s="4"/>
      <c r="B912" s="2"/>
      <c r="C912" s="4"/>
      <c r="D912" s="4"/>
      <c r="E912" s="2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2"/>
      <c r="U912" s="2"/>
      <c r="V912" s="4"/>
      <c r="W912" s="4"/>
      <c r="X912" s="4"/>
      <c r="Y912" s="4"/>
      <c r="Z912" s="4"/>
      <c r="AA912" s="4"/>
      <c r="AB912" s="4"/>
      <c r="AC912" s="4"/>
      <c r="AD912" s="4"/>
    </row>
    <row r="913" ht="14.25" customHeight="1">
      <c r="A913" s="4"/>
      <c r="B913" s="2"/>
      <c r="C913" s="4"/>
      <c r="D913" s="4"/>
      <c r="E913" s="2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2"/>
      <c r="U913" s="2"/>
      <c r="V913" s="4"/>
      <c r="W913" s="4"/>
      <c r="X913" s="4"/>
      <c r="Y913" s="4"/>
      <c r="Z913" s="4"/>
      <c r="AA913" s="4"/>
      <c r="AB913" s="4"/>
      <c r="AC913" s="4"/>
      <c r="AD913" s="4"/>
    </row>
    <row r="914" ht="14.25" customHeight="1">
      <c r="A914" s="4"/>
      <c r="B914" s="2"/>
      <c r="C914" s="4"/>
      <c r="D914" s="4"/>
      <c r="E914" s="2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2"/>
      <c r="U914" s="2"/>
      <c r="V914" s="4"/>
      <c r="W914" s="4"/>
      <c r="X914" s="4"/>
      <c r="Y914" s="4"/>
      <c r="Z914" s="4"/>
      <c r="AA914" s="4"/>
      <c r="AB914" s="4"/>
      <c r="AC914" s="4"/>
      <c r="AD914" s="4"/>
    </row>
    <row r="915" ht="14.25" customHeight="1">
      <c r="A915" s="4"/>
      <c r="B915" s="2"/>
      <c r="C915" s="4"/>
      <c r="D915" s="4"/>
      <c r="E915" s="2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2"/>
      <c r="U915" s="2"/>
      <c r="V915" s="4"/>
      <c r="W915" s="4"/>
      <c r="X915" s="4"/>
      <c r="Y915" s="4"/>
      <c r="Z915" s="4"/>
      <c r="AA915" s="4"/>
      <c r="AB915" s="4"/>
      <c r="AC915" s="4"/>
      <c r="AD915" s="4"/>
    </row>
    <row r="916" ht="14.25" customHeight="1">
      <c r="A916" s="4"/>
      <c r="B916" s="2"/>
      <c r="C916" s="4"/>
      <c r="D916" s="4"/>
      <c r="E916" s="2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2"/>
      <c r="U916" s="2"/>
      <c r="V916" s="4"/>
      <c r="W916" s="4"/>
      <c r="X916" s="4"/>
      <c r="Y916" s="4"/>
      <c r="Z916" s="4"/>
      <c r="AA916" s="4"/>
      <c r="AB916" s="4"/>
      <c r="AC916" s="4"/>
      <c r="AD916" s="4"/>
    </row>
    <row r="917" ht="14.25" customHeight="1">
      <c r="A917" s="4"/>
      <c r="B917" s="2"/>
      <c r="C917" s="4"/>
      <c r="D917" s="4"/>
      <c r="E917" s="2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2"/>
      <c r="U917" s="2"/>
      <c r="V917" s="4"/>
      <c r="W917" s="4"/>
      <c r="X917" s="4"/>
      <c r="Y917" s="4"/>
      <c r="Z917" s="4"/>
      <c r="AA917" s="4"/>
      <c r="AB917" s="4"/>
      <c r="AC917" s="4"/>
      <c r="AD917" s="4"/>
    </row>
    <row r="918" ht="14.25" customHeight="1">
      <c r="A918" s="4"/>
      <c r="B918" s="2"/>
      <c r="C918" s="4"/>
      <c r="D918" s="4"/>
      <c r="E918" s="2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2"/>
      <c r="U918" s="2"/>
      <c r="V918" s="4"/>
      <c r="W918" s="4"/>
      <c r="X918" s="4"/>
      <c r="Y918" s="4"/>
      <c r="Z918" s="4"/>
      <c r="AA918" s="4"/>
      <c r="AB918" s="4"/>
      <c r="AC918" s="4"/>
      <c r="AD918" s="4"/>
    </row>
    <row r="919" ht="14.25" customHeight="1">
      <c r="A919" s="4"/>
      <c r="B919" s="2"/>
      <c r="C919" s="4"/>
      <c r="D919" s="4"/>
      <c r="E919" s="2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2"/>
      <c r="U919" s="2"/>
      <c r="V919" s="4"/>
      <c r="W919" s="4"/>
      <c r="X919" s="4"/>
      <c r="Y919" s="4"/>
      <c r="Z919" s="4"/>
      <c r="AA919" s="4"/>
      <c r="AB919" s="4"/>
      <c r="AC919" s="4"/>
      <c r="AD919" s="4"/>
    </row>
    <row r="920" ht="14.25" customHeight="1">
      <c r="A920" s="4"/>
      <c r="B920" s="2"/>
      <c r="C920" s="4"/>
      <c r="D920" s="4"/>
      <c r="E920" s="2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2"/>
      <c r="U920" s="2"/>
      <c r="V920" s="4"/>
      <c r="W920" s="4"/>
      <c r="X920" s="4"/>
      <c r="Y920" s="4"/>
      <c r="Z920" s="4"/>
      <c r="AA920" s="4"/>
      <c r="AB920" s="4"/>
      <c r="AC920" s="4"/>
      <c r="AD920" s="4"/>
    </row>
    <row r="921" ht="14.25" customHeight="1">
      <c r="A921" s="4"/>
      <c r="B921" s="2"/>
      <c r="C921" s="4"/>
      <c r="D921" s="4"/>
      <c r="E921" s="2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2"/>
      <c r="U921" s="2"/>
      <c r="V921" s="4"/>
      <c r="W921" s="4"/>
      <c r="X921" s="4"/>
      <c r="Y921" s="4"/>
      <c r="Z921" s="4"/>
      <c r="AA921" s="4"/>
      <c r="AB921" s="4"/>
      <c r="AC921" s="4"/>
      <c r="AD921" s="4"/>
    </row>
    <row r="922" ht="14.25" customHeight="1">
      <c r="A922" s="4"/>
      <c r="B922" s="2"/>
      <c r="C922" s="4"/>
      <c r="D922" s="4"/>
      <c r="E922" s="2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2"/>
      <c r="U922" s="2"/>
      <c r="V922" s="4"/>
      <c r="W922" s="4"/>
      <c r="X922" s="4"/>
      <c r="Y922" s="4"/>
      <c r="Z922" s="4"/>
      <c r="AA922" s="4"/>
      <c r="AB922" s="4"/>
      <c r="AC922" s="4"/>
      <c r="AD922" s="4"/>
    </row>
    <row r="923" ht="14.25" customHeight="1">
      <c r="A923" s="4"/>
      <c r="B923" s="2"/>
      <c r="C923" s="4"/>
      <c r="D923" s="4"/>
      <c r="E923" s="2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2"/>
      <c r="U923" s="2"/>
      <c r="V923" s="4"/>
      <c r="W923" s="4"/>
      <c r="X923" s="4"/>
      <c r="Y923" s="4"/>
      <c r="Z923" s="4"/>
      <c r="AA923" s="4"/>
      <c r="AB923" s="4"/>
      <c r="AC923" s="4"/>
      <c r="AD923" s="4"/>
    </row>
    <row r="924" ht="14.25" customHeight="1">
      <c r="A924" s="4"/>
      <c r="B924" s="2"/>
      <c r="C924" s="4"/>
      <c r="D924" s="4"/>
      <c r="E924" s="2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2"/>
      <c r="U924" s="2"/>
      <c r="V924" s="4"/>
      <c r="W924" s="4"/>
      <c r="X924" s="4"/>
      <c r="Y924" s="4"/>
      <c r="Z924" s="4"/>
      <c r="AA924" s="4"/>
      <c r="AB924" s="4"/>
      <c r="AC924" s="4"/>
      <c r="AD924" s="4"/>
    </row>
    <row r="925" ht="14.25" customHeight="1">
      <c r="A925" s="4"/>
      <c r="B925" s="2"/>
      <c r="C925" s="4"/>
      <c r="D925" s="4"/>
      <c r="E925" s="2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2"/>
      <c r="U925" s="2"/>
      <c r="V925" s="4"/>
      <c r="W925" s="4"/>
      <c r="X925" s="4"/>
      <c r="Y925" s="4"/>
      <c r="Z925" s="4"/>
      <c r="AA925" s="4"/>
      <c r="AB925" s="4"/>
      <c r="AC925" s="4"/>
      <c r="AD925" s="4"/>
    </row>
    <row r="926" ht="14.25" customHeight="1">
      <c r="A926" s="4"/>
      <c r="B926" s="2"/>
      <c r="C926" s="4"/>
      <c r="D926" s="4"/>
      <c r="E926" s="2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2"/>
      <c r="U926" s="2"/>
      <c r="V926" s="4"/>
      <c r="W926" s="4"/>
      <c r="X926" s="4"/>
      <c r="Y926" s="4"/>
      <c r="Z926" s="4"/>
      <c r="AA926" s="4"/>
      <c r="AB926" s="4"/>
      <c r="AC926" s="4"/>
      <c r="AD926" s="4"/>
    </row>
    <row r="927" ht="14.25" customHeight="1">
      <c r="A927" s="4"/>
      <c r="B927" s="2"/>
      <c r="C927" s="4"/>
      <c r="D927" s="4"/>
      <c r="E927" s="2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2"/>
      <c r="U927" s="2"/>
      <c r="V927" s="4"/>
      <c r="W927" s="4"/>
      <c r="X927" s="4"/>
      <c r="Y927" s="4"/>
      <c r="Z927" s="4"/>
      <c r="AA927" s="4"/>
      <c r="AB927" s="4"/>
      <c r="AC927" s="4"/>
      <c r="AD927" s="4"/>
    </row>
    <row r="928" ht="14.25" customHeight="1">
      <c r="A928" s="4"/>
      <c r="B928" s="2"/>
      <c r="C928" s="4"/>
      <c r="D928" s="4"/>
      <c r="E928" s="2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2"/>
      <c r="U928" s="2"/>
      <c r="V928" s="4"/>
      <c r="W928" s="4"/>
      <c r="X928" s="4"/>
      <c r="Y928" s="4"/>
      <c r="Z928" s="4"/>
      <c r="AA928" s="4"/>
      <c r="AB928" s="4"/>
      <c r="AC928" s="4"/>
      <c r="AD928" s="4"/>
    </row>
    <row r="929" ht="14.25" customHeight="1">
      <c r="A929" s="4"/>
      <c r="B929" s="2"/>
      <c r="C929" s="4"/>
      <c r="D929" s="4"/>
      <c r="E929" s="2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2"/>
      <c r="U929" s="2"/>
      <c r="V929" s="4"/>
      <c r="W929" s="4"/>
      <c r="X929" s="4"/>
      <c r="Y929" s="4"/>
      <c r="Z929" s="4"/>
      <c r="AA929" s="4"/>
      <c r="AB929" s="4"/>
      <c r="AC929" s="4"/>
      <c r="AD929" s="4"/>
    </row>
    <row r="930" ht="14.25" customHeight="1">
      <c r="A930" s="4"/>
      <c r="B930" s="2"/>
      <c r="C930" s="4"/>
      <c r="D930" s="4"/>
      <c r="E930" s="2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2"/>
      <c r="U930" s="2"/>
      <c r="V930" s="4"/>
      <c r="W930" s="4"/>
      <c r="X930" s="4"/>
      <c r="Y930" s="4"/>
      <c r="Z930" s="4"/>
      <c r="AA930" s="4"/>
      <c r="AB930" s="4"/>
      <c r="AC930" s="4"/>
      <c r="AD930" s="4"/>
    </row>
    <row r="931" ht="14.25" customHeight="1">
      <c r="A931" s="4"/>
      <c r="B931" s="2"/>
      <c r="C931" s="4"/>
      <c r="D931" s="4"/>
      <c r="E931" s="2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2"/>
      <c r="U931" s="2"/>
      <c r="V931" s="4"/>
      <c r="W931" s="4"/>
      <c r="X931" s="4"/>
      <c r="Y931" s="4"/>
      <c r="Z931" s="4"/>
      <c r="AA931" s="4"/>
      <c r="AB931" s="4"/>
      <c r="AC931" s="4"/>
      <c r="AD931" s="4"/>
    </row>
    <row r="932" ht="14.25" customHeight="1">
      <c r="A932" s="4"/>
      <c r="B932" s="2"/>
      <c r="C932" s="4"/>
      <c r="D932" s="4"/>
      <c r="E932" s="2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2"/>
      <c r="U932" s="2"/>
      <c r="V932" s="4"/>
      <c r="W932" s="4"/>
      <c r="X932" s="4"/>
      <c r="Y932" s="4"/>
      <c r="Z932" s="4"/>
      <c r="AA932" s="4"/>
      <c r="AB932" s="4"/>
      <c r="AC932" s="4"/>
      <c r="AD932" s="4"/>
    </row>
    <row r="933" ht="14.25" customHeight="1">
      <c r="A933" s="4"/>
      <c r="B933" s="2"/>
      <c r="C933" s="4"/>
      <c r="D933" s="4"/>
      <c r="E933" s="2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2"/>
      <c r="U933" s="2"/>
      <c r="V933" s="4"/>
      <c r="W933" s="4"/>
      <c r="X933" s="4"/>
      <c r="Y933" s="4"/>
      <c r="Z933" s="4"/>
      <c r="AA933" s="4"/>
      <c r="AB933" s="4"/>
      <c r="AC933" s="4"/>
      <c r="AD933" s="4"/>
    </row>
    <row r="934" ht="14.25" customHeight="1">
      <c r="A934" s="4"/>
      <c r="B934" s="2"/>
      <c r="C934" s="4"/>
      <c r="D934" s="4"/>
      <c r="E934" s="2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2"/>
      <c r="U934" s="2"/>
      <c r="V934" s="4"/>
      <c r="W934" s="4"/>
      <c r="X934" s="4"/>
      <c r="Y934" s="4"/>
      <c r="Z934" s="4"/>
      <c r="AA934" s="4"/>
      <c r="AB934" s="4"/>
      <c r="AC934" s="4"/>
      <c r="AD934" s="4"/>
    </row>
    <row r="935" ht="14.25" customHeight="1">
      <c r="A935" s="4"/>
      <c r="B935" s="2"/>
      <c r="C935" s="4"/>
      <c r="D935" s="4"/>
      <c r="E935" s="2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2"/>
      <c r="U935" s="2"/>
      <c r="V935" s="4"/>
      <c r="W935" s="4"/>
      <c r="X935" s="4"/>
      <c r="Y935" s="4"/>
      <c r="Z935" s="4"/>
      <c r="AA935" s="4"/>
      <c r="AB935" s="4"/>
      <c r="AC935" s="4"/>
      <c r="AD935" s="4"/>
    </row>
    <row r="936" ht="14.25" customHeight="1">
      <c r="A936" s="4"/>
      <c r="B936" s="2"/>
      <c r="C936" s="4"/>
      <c r="D936" s="4"/>
      <c r="E936" s="2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2"/>
      <c r="U936" s="2"/>
      <c r="V936" s="4"/>
      <c r="W936" s="4"/>
      <c r="X936" s="4"/>
      <c r="Y936" s="4"/>
      <c r="Z936" s="4"/>
      <c r="AA936" s="4"/>
      <c r="AB936" s="4"/>
      <c r="AC936" s="4"/>
      <c r="AD936" s="4"/>
    </row>
    <row r="937" ht="14.25" customHeight="1">
      <c r="A937" s="4"/>
      <c r="B937" s="2"/>
      <c r="C937" s="4"/>
      <c r="D937" s="4"/>
      <c r="E937" s="2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2"/>
      <c r="U937" s="2"/>
      <c r="V937" s="4"/>
      <c r="W937" s="4"/>
      <c r="X937" s="4"/>
      <c r="Y937" s="4"/>
      <c r="Z937" s="4"/>
      <c r="AA937" s="4"/>
      <c r="AB937" s="4"/>
      <c r="AC937" s="4"/>
      <c r="AD937" s="4"/>
    </row>
    <row r="938" ht="14.25" customHeight="1">
      <c r="A938" s="4"/>
      <c r="B938" s="2"/>
      <c r="C938" s="4"/>
      <c r="D938" s="4"/>
      <c r="E938" s="2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2"/>
      <c r="U938" s="2"/>
      <c r="V938" s="4"/>
      <c r="W938" s="4"/>
      <c r="X938" s="4"/>
      <c r="Y938" s="4"/>
      <c r="Z938" s="4"/>
      <c r="AA938" s="4"/>
      <c r="AB938" s="4"/>
      <c r="AC938" s="4"/>
      <c r="AD938" s="4"/>
    </row>
    <row r="939" ht="14.25" customHeight="1">
      <c r="A939" s="4"/>
      <c r="B939" s="2"/>
      <c r="C939" s="4"/>
      <c r="D939" s="4"/>
      <c r="E939" s="2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2"/>
      <c r="U939" s="2"/>
      <c r="V939" s="4"/>
      <c r="W939" s="4"/>
      <c r="X939" s="4"/>
      <c r="Y939" s="4"/>
      <c r="Z939" s="4"/>
      <c r="AA939" s="4"/>
      <c r="AB939" s="4"/>
      <c r="AC939" s="4"/>
      <c r="AD939" s="4"/>
    </row>
    <row r="940" ht="14.25" customHeight="1">
      <c r="A940" s="4"/>
      <c r="B940" s="2"/>
      <c r="C940" s="4"/>
      <c r="D940" s="4"/>
      <c r="E940" s="2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2"/>
      <c r="U940" s="2"/>
      <c r="V940" s="4"/>
      <c r="W940" s="4"/>
      <c r="X940" s="4"/>
      <c r="Y940" s="4"/>
      <c r="Z940" s="4"/>
      <c r="AA940" s="4"/>
      <c r="AB940" s="4"/>
      <c r="AC940" s="4"/>
      <c r="AD940" s="4"/>
    </row>
    <row r="941" ht="14.25" customHeight="1">
      <c r="A941" s="4"/>
      <c r="B941" s="2"/>
      <c r="C941" s="4"/>
      <c r="D941" s="4"/>
      <c r="E941" s="2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2"/>
      <c r="U941" s="2"/>
      <c r="V941" s="4"/>
      <c r="W941" s="4"/>
      <c r="X941" s="4"/>
      <c r="Y941" s="4"/>
      <c r="Z941" s="4"/>
      <c r="AA941" s="4"/>
      <c r="AB941" s="4"/>
      <c r="AC941" s="4"/>
      <c r="AD941" s="4"/>
    </row>
    <row r="942" ht="14.25" customHeight="1">
      <c r="A942" s="4"/>
      <c r="B942" s="2"/>
      <c r="C942" s="4"/>
      <c r="D942" s="4"/>
      <c r="E942" s="2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2"/>
      <c r="U942" s="2"/>
      <c r="V942" s="4"/>
      <c r="W942" s="4"/>
      <c r="X942" s="4"/>
      <c r="Y942" s="4"/>
      <c r="Z942" s="4"/>
      <c r="AA942" s="4"/>
      <c r="AB942" s="4"/>
      <c r="AC942" s="4"/>
      <c r="AD942" s="4"/>
    </row>
    <row r="943" ht="14.25" customHeight="1">
      <c r="A943" s="4"/>
      <c r="B943" s="2"/>
      <c r="C943" s="4"/>
      <c r="D943" s="4"/>
      <c r="E943" s="2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2"/>
      <c r="U943" s="2"/>
      <c r="V943" s="4"/>
      <c r="W943" s="4"/>
      <c r="X943" s="4"/>
      <c r="Y943" s="4"/>
      <c r="Z943" s="4"/>
      <c r="AA943" s="4"/>
      <c r="AB943" s="4"/>
      <c r="AC943" s="4"/>
      <c r="AD943" s="4"/>
    </row>
    <row r="944" ht="14.25" customHeight="1">
      <c r="A944" s="4"/>
      <c r="B944" s="2"/>
      <c r="C944" s="4"/>
      <c r="D944" s="4"/>
      <c r="E944" s="2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2"/>
      <c r="U944" s="2"/>
      <c r="V944" s="4"/>
      <c r="W944" s="4"/>
      <c r="X944" s="4"/>
      <c r="Y944" s="4"/>
      <c r="Z944" s="4"/>
      <c r="AA944" s="4"/>
      <c r="AB944" s="4"/>
      <c r="AC944" s="4"/>
      <c r="AD944" s="4"/>
    </row>
    <row r="945" ht="14.25" customHeight="1">
      <c r="A945" s="4"/>
      <c r="B945" s="2"/>
      <c r="C945" s="4"/>
      <c r="D945" s="4"/>
      <c r="E945" s="2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2"/>
      <c r="U945" s="2"/>
      <c r="V945" s="4"/>
      <c r="W945" s="4"/>
      <c r="X945" s="4"/>
      <c r="Y945" s="4"/>
      <c r="Z945" s="4"/>
      <c r="AA945" s="4"/>
      <c r="AB945" s="4"/>
      <c r="AC945" s="4"/>
      <c r="AD945" s="4"/>
    </row>
    <row r="946" ht="14.25" customHeight="1">
      <c r="A946" s="4"/>
      <c r="B946" s="2"/>
      <c r="C946" s="4"/>
      <c r="D946" s="4"/>
      <c r="E946" s="2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2"/>
      <c r="U946" s="2"/>
      <c r="V946" s="4"/>
      <c r="W946" s="4"/>
      <c r="X946" s="4"/>
      <c r="Y946" s="4"/>
      <c r="Z946" s="4"/>
      <c r="AA946" s="4"/>
      <c r="AB946" s="4"/>
      <c r="AC946" s="4"/>
      <c r="AD946" s="4"/>
    </row>
    <row r="947" ht="14.25" customHeight="1">
      <c r="A947" s="4"/>
      <c r="B947" s="2"/>
      <c r="C947" s="4"/>
      <c r="D947" s="4"/>
      <c r="E947" s="2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2"/>
      <c r="U947" s="2"/>
      <c r="V947" s="4"/>
      <c r="W947" s="4"/>
      <c r="X947" s="4"/>
      <c r="Y947" s="4"/>
      <c r="Z947" s="4"/>
      <c r="AA947" s="4"/>
      <c r="AB947" s="4"/>
      <c r="AC947" s="4"/>
      <c r="AD947" s="4"/>
    </row>
    <row r="948" ht="14.25" customHeight="1">
      <c r="A948" s="4"/>
      <c r="B948" s="2"/>
      <c r="C948" s="4"/>
      <c r="D948" s="4"/>
      <c r="E948" s="2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2"/>
      <c r="U948" s="2"/>
      <c r="V948" s="4"/>
      <c r="W948" s="4"/>
      <c r="X948" s="4"/>
      <c r="Y948" s="4"/>
      <c r="Z948" s="4"/>
      <c r="AA948" s="4"/>
      <c r="AB948" s="4"/>
      <c r="AC948" s="4"/>
      <c r="AD948" s="4"/>
    </row>
    <row r="949" ht="14.25" customHeight="1">
      <c r="A949" s="4"/>
      <c r="B949" s="2"/>
      <c r="C949" s="4"/>
      <c r="D949" s="4"/>
      <c r="E949" s="2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2"/>
      <c r="U949" s="2"/>
      <c r="V949" s="4"/>
      <c r="W949" s="4"/>
      <c r="X949" s="4"/>
      <c r="Y949" s="4"/>
      <c r="Z949" s="4"/>
      <c r="AA949" s="4"/>
      <c r="AB949" s="4"/>
      <c r="AC949" s="4"/>
      <c r="AD949" s="4"/>
    </row>
    <row r="950" ht="14.25" customHeight="1">
      <c r="A950" s="4"/>
      <c r="B950" s="2"/>
      <c r="C950" s="4"/>
      <c r="D950" s="4"/>
      <c r="E950" s="2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2"/>
      <c r="U950" s="2"/>
      <c r="V950" s="4"/>
      <c r="W950" s="4"/>
      <c r="X950" s="4"/>
      <c r="Y950" s="4"/>
      <c r="Z950" s="4"/>
      <c r="AA950" s="4"/>
      <c r="AB950" s="4"/>
      <c r="AC950" s="4"/>
      <c r="AD950" s="4"/>
    </row>
    <row r="951" ht="14.25" customHeight="1">
      <c r="A951" s="4"/>
      <c r="B951" s="2"/>
      <c r="C951" s="4"/>
      <c r="D951" s="4"/>
      <c r="E951" s="2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2"/>
      <c r="U951" s="2"/>
      <c r="V951" s="4"/>
      <c r="W951" s="4"/>
      <c r="X951" s="4"/>
      <c r="Y951" s="4"/>
      <c r="Z951" s="4"/>
      <c r="AA951" s="4"/>
      <c r="AB951" s="4"/>
      <c r="AC951" s="4"/>
      <c r="AD951" s="4"/>
    </row>
    <row r="952" ht="14.25" customHeight="1">
      <c r="A952" s="4"/>
      <c r="B952" s="2"/>
      <c r="C952" s="4"/>
      <c r="D952" s="4"/>
      <c r="E952" s="2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2"/>
      <c r="U952" s="2"/>
      <c r="V952" s="4"/>
      <c r="W952" s="4"/>
      <c r="X952" s="4"/>
      <c r="Y952" s="4"/>
      <c r="Z952" s="4"/>
      <c r="AA952" s="4"/>
      <c r="AB952" s="4"/>
      <c r="AC952" s="4"/>
      <c r="AD952" s="4"/>
    </row>
    <row r="953" ht="14.25" customHeight="1">
      <c r="A953" s="4"/>
      <c r="B953" s="2"/>
      <c r="C953" s="4"/>
      <c r="D953" s="4"/>
      <c r="E953" s="2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2"/>
      <c r="U953" s="2"/>
      <c r="V953" s="4"/>
      <c r="W953" s="4"/>
      <c r="X953" s="4"/>
      <c r="Y953" s="4"/>
      <c r="Z953" s="4"/>
      <c r="AA953" s="4"/>
      <c r="AB953" s="4"/>
      <c r="AC953" s="4"/>
      <c r="AD953" s="4"/>
    </row>
    <row r="954" ht="14.25" customHeight="1">
      <c r="A954" s="4"/>
      <c r="B954" s="2"/>
      <c r="C954" s="4"/>
      <c r="D954" s="4"/>
      <c r="E954" s="2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2"/>
      <c r="U954" s="2"/>
      <c r="V954" s="4"/>
      <c r="W954" s="4"/>
      <c r="X954" s="4"/>
      <c r="Y954" s="4"/>
      <c r="Z954" s="4"/>
      <c r="AA954" s="4"/>
      <c r="AB954" s="4"/>
      <c r="AC954" s="4"/>
      <c r="AD954" s="4"/>
    </row>
    <row r="955" ht="14.25" customHeight="1">
      <c r="A955" s="4"/>
      <c r="B955" s="2"/>
      <c r="C955" s="4"/>
      <c r="D955" s="4"/>
      <c r="E955" s="2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2"/>
      <c r="U955" s="2"/>
      <c r="V955" s="4"/>
      <c r="W955" s="4"/>
      <c r="X955" s="4"/>
      <c r="Y955" s="4"/>
      <c r="Z955" s="4"/>
      <c r="AA955" s="4"/>
      <c r="AB955" s="4"/>
      <c r="AC955" s="4"/>
      <c r="AD955" s="4"/>
    </row>
    <row r="956" ht="14.25" customHeight="1">
      <c r="A956" s="4"/>
      <c r="B956" s="2"/>
      <c r="C956" s="4"/>
      <c r="D956" s="4"/>
      <c r="E956" s="2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2"/>
      <c r="U956" s="2"/>
      <c r="V956" s="4"/>
      <c r="W956" s="4"/>
      <c r="X956" s="4"/>
      <c r="Y956" s="4"/>
      <c r="Z956" s="4"/>
      <c r="AA956" s="4"/>
      <c r="AB956" s="4"/>
      <c r="AC956" s="4"/>
      <c r="AD956" s="4"/>
    </row>
    <row r="957" ht="14.25" customHeight="1">
      <c r="A957" s="4"/>
      <c r="B957" s="2"/>
      <c r="C957" s="4"/>
      <c r="D957" s="4"/>
      <c r="E957" s="2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2"/>
      <c r="U957" s="2"/>
      <c r="V957" s="4"/>
      <c r="W957" s="4"/>
      <c r="X957" s="4"/>
      <c r="Y957" s="4"/>
      <c r="Z957" s="4"/>
      <c r="AA957" s="4"/>
      <c r="AB957" s="4"/>
      <c r="AC957" s="4"/>
      <c r="AD957" s="4"/>
    </row>
    <row r="958" ht="14.25" customHeight="1">
      <c r="A958" s="4"/>
      <c r="B958" s="2"/>
      <c r="C958" s="4"/>
      <c r="D958" s="4"/>
      <c r="E958" s="2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2"/>
      <c r="U958" s="2"/>
      <c r="V958" s="4"/>
      <c r="W958" s="4"/>
      <c r="X958" s="4"/>
      <c r="Y958" s="4"/>
      <c r="Z958" s="4"/>
      <c r="AA958" s="4"/>
      <c r="AB958" s="4"/>
      <c r="AC958" s="4"/>
      <c r="AD958" s="4"/>
    </row>
    <row r="959" ht="14.25" customHeight="1">
      <c r="A959" s="4"/>
      <c r="B959" s="2"/>
      <c r="C959" s="4"/>
      <c r="D959" s="4"/>
      <c r="E959" s="2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2"/>
      <c r="U959" s="2"/>
      <c r="V959" s="4"/>
      <c r="W959" s="4"/>
      <c r="X959" s="4"/>
      <c r="Y959" s="4"/>
      <c r="Z959" s="4"/>
      <c r="AA959" s="4"/>
      <c r="AB959" s="4"/>
      <c r="AC959" s="4"/>
      <c r="AD959" s="4"/>
    </row>
    <row r="960" ht="14.25" customHeight="1">
      <c r="A960" s="4"/>
      <c r="B960" s="2"/>
      <c r="C960" s="4"/>
      <c r="D960" s="4"/>
      <c r="E960" s="2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2"/>
      <c r="U960" s="2"/>
      <c r="V960" s="4"/>
      <c r="W960" s="4"/>
      <c r="X960" s="4"/>
      <c r="Y960" s="4"/>
      <c r="Z960" s="4"/>
      <c r="AA960" s="4"/>
      <c r="AB960" s="4"/>
      <c r="AC960" s="4"/>
      <c r="AD960" s="4"/>
    </row>
    <row r="961" ht="14.25" customHeight="1">
      <c r="A961" s="4"/>
      <c r="B961" s="2"/>
      <c r="C961" s="4"/>
      <c r="D961" s="4"/>
      <c r="E961" s="2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2"/>
      <c r="U961" s="2"/>
      <c r="V961" s="4"/>
      <c r="W961" s="4"/>
      <c r="X961" s="4"/>
      <c r="Y961" s="4"/>
      <c r="Z961" s="4"/>
      <c r="AA961" s="4"/>
      <c r="AB961" s="4"/>
      <c r="AC961" s="4"/>
      <c r="AD961" s="4"/>
    </row>
    <row r="962" ht="14.25" customHeight="1">
      <c r="A962" s="4"/>
      <c r="B962" s="2"/>
      <c r="C962" s="4"/>
      <c r="D962" s="4"/>
      <c r="E962" s="2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2"/>
      <c r="U962" s="2"/>
      <c r="V962" s="4"/>
      <c r="W962" s="4"/>
      <c r="X962" s="4"/>
      <c r="Y962" s="4"/>
      <c r="Z962" s="4"/>
      <c r="AA962" s="4"/>
      <c r="AB962" s="4"/>
      <c r="AC962" s="4"/>
      <c r="AD962" s="4"/>
    </row>
    <row r="963" ht="14.25" customHeight="1">
      <c r="A963" s="4"/>
      <c r="B963" s="2"/>
      <c r="C963" s="4"/>
      <c r="D963" s="4"/>
      <c r="E963" s="2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2"/>
      <c r="U963" s="2"/>
      <c r="V963" s="4"/>
      <c r="W963" s="4"/>
      <c r="X963" s="4"/>
      <c r="Y963" s="4"/>
      <c r="Z963" s="4"/>
      <c r="AA963" s="4"/>
      <c r="AB963" s="4"/>
      <c r="AC963" s="4"/>
      <c r="AD963" s="4"/>
    </row>
    <row r="964" ht="14.25" customHeight="1">
      <c r="A964" s="4"/>
      <c r="B964" s="2"/>
      <c r="C964" s="4"/>
      <c r="D964" s="4"/>
      <c r="E964" s="2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2"/>
      <c r="U964" s="2"/>
      <c r="V964" s="4"/>
      <c r="W964" s="4"/>
      <c r="X964" s="4"/>
      <c r="Y964" s="4"/>
      <c r="Z964" s="4"/>
      <c r="AA964" s="4"/>
      <c r="AB964" s="4"/>
      <c r="AC964" s="4"/>
      <c r="AD964" s="4"/>
    </row>
    <row r="965" ht="14.25" customHeight="1">
      <c r="A965" s="4"/>
      <c r="B965" s="2"/>
      <c r="C965" s="4"/>
      <c r="D965" s="4"/>
      <c r="E965" s="2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2"/>
      <c r="U965" s="2"/>
      <c r="V965" s="4"/>
      <c r="W965" s="4"/>
      <c r="X965" s="4"/>
      <c r="Y965" s="4"/>
      <c r="Z965" s="4"/>
      <c r="AA965" s="4"/>
      <c r="AB965" s="4"/>
      <c r="AC965" s="4"/>
      <c r="AD965" s="4"/>
    </row>
    <row r="966" ht="14.25" customHeight="1">
      <c r="A966" s="4"/>
      <c r="B966" s="2"/>
      <c r="C966" s="4"/>
      <c r="D966" s="4"/>
      <c r="E966" s="2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2"/>
      <c r="U966" s="2"/>
      <c r="V966" s="4"/>
      <c r="W966" s="4"/>
      <c r="X966" s="4"/>
      <c r="Y966" s="4"/>
      <c r="Z966" s="4"/>
      <c r="AA966" s="4"/>
      <c r="AB966" s="4"/>
      <c r="AC966" s="4"/>
      <c r="AD966" s="4"/>
    </row>
    <row r="967" ht="14.25" customHeight="1">
      <c r="A967" s="4"/>
      <c r="B967" s="2"/>
      <c r="C967" s="4"/>
      <c r="D967" s="4"/>
      <c r="E967" s="2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2"/>
      <c r="U967" s="2"/>
      <c r="V967" s="4"/>
      <c r="W967" s="4"/>
      <c r="X967" s="4"/>
      <c r="Y967" s="4"/>
      <c r="Z967" s="4"/>
      <c r="AA967" s="4"/>
      <c r="AB967" s="4"/>
      <c r="AC967" s="4"/>
      <c r="AD967" s="4"/>
    </row>
    <row r="968" ht="14.25" customHeight="1">
      <c r="A968" s="4"/>
      <c r="B968" s="2"/>
      <c r="C968" s="4"/>
      <c r="D968" s="4"/>
      <c r="E968" s="2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2"/>
      <c r="U968" s="2"/>
      <c r="V968" s="4"/>
      <c r="W968" s="4"/>
      <c r="X968" s="4"/>
      <c r="Y968" s="4"/>
      <c r="Z968" s="4"/>
      <c r="AA968" s="4"/>
      <c r="AB968" s="4"/>
      <c r="AC968" s="4"/>
      <c r="AD968" s="4"/>
    </row>
    <row r="969" ht="14.25" customHeight="1">
      <c r="A969" s="4"/>
      <c r="B969" s="2"/>
      <c r="C969" s="4"/>
      <c r="D969" s="4"/>
      <c r="E969" s="2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2"/>
      <c r="U969" s="2"/>
      <c r="V969" s="4"/>
      <c r="W969" s="4"/>
      <c r="X969" s="4"/>
      <c r="Y969" s="4"/>
      <c r="Z969" s="4"/>
      <c r="AA969" s="4"/>
      <c r="AB969" s="4"/>
      <c r="AC969" s="4"/>
      <c r="AD969" s="4"/>
    </row>
    <row r="970" ht="14.25" customHeight="1">
      <c r="A970" s="4"/>
      <c r="B970" s="2"/>
      <c r="C970" s="4"/>
      <c r="D970" s="4"/>
      <c r="E970" s="2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2"/>
      <c r="U970" s="2"/>
      <c r="V970" s="4"/>
      <c r="W970" s="4"/>
      <c r="X970" s="4"/>
      <c r="Y970" s="4"/>
      <c r="Z970" s="4"/>
      <c r="AA970" s="4"/>
      <c r="AB970" s="4"/>
      <c r="AC970" s="4"/>
      <c r="AD970" s="4"/>
    </row>
    <row r="971" ht="14.25" customHeight="1">
      <c r="A971" s="4"/>
      <c r="B971" s="2"/>
      <c r="C971" s="4"/>
      <c r="D971" s="4"/>
      <c r="E971" s="2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2"/>
      <c r="U971" s="2"/>
      <c r="V971" s="4"/>
      <c r="W971" s="4"/>
      <c r="X971" s="4"/>
      <c r="Y971" s="4"/>
      <c r="Z971" s="4"/>
      <c r="AA971" s="4"/>
      <c r="AB971" s="4"/>
      <c r="AC971" s="4"/>
      <c r="AD971" s="4"/>
    </row>
    <row r="972" ht="14.25" customHeight="1">
      <c r="A972" s="4"/>
      <c r="B972" s="2"/>
      <c r="C972" s="4"/>
      <c r="D972" s="4"/>
      <c r="E972" s="2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2"/>
      <c r="U972" s="2"/>
      <c r="V972" s="4"/>
      <c r="W972" s="4"/>
      <c r="X972" s="4"/>
      <c r="Y972" s="4"/>
      <c r="Z972" s="4"/>
      <c r="AA972" s="4"/>
      <c r="AB972" s="4"/>
      <c r="AC972" s="4"/>
      <c r="AD972" s="4"/>
    </row>
    <row r="973" ht="14.25" customHeight="1">
      <c r="A973" s="4"/>
      <c r="B973" s="2"/>
      <c r="C973" s="4"/>
      <c r="D973" s="4"/>
      <c r="E973" s="2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2"/>
      <c r="U973" s="2"/>
      <c r="V973" s="4"/>
      <c r="W973" s="4"/>
      <c r="X973" s="4"/>
      <c r="Y973" s="4"/>
      <c r="Z973" s="4"/>
      <c r="AA973" s="4"/>
      <c r="AB973" s="4"/>
      <c r="AC973" s="4"/>
      <c r="AD973" s="4"/>
    </row>
    <row r="974" ht="14.25" customHeight="1">
      <c r="A974" s="4"/>
      <c r="B974" s="2"/>
      <c r="C974" s="4"/>
      <c r="D974" s="4"/>
      <c r="E974" s="2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2"/>
      <c r="U974" s="2"/>
      <c r="V974" s="4"/>
      <c r="W974" s="4"/>
      <c r="X974" s="4"/>
      <c r="Y974" s="4"/>
      <c r="Z974" s="4"/>
      <c r="AA974" s="4"/>
      <c r="AB974" s="4"/>
      <c r="AC974" s="4"/>
      <c r="AD974" s="4"/>
    </row>
    <row r="975" ht="14.25" customHeight="1">
      <c r="A975" s="4"/>
      <c r="B975" s="2"/>
      <c r="C975" s="4"/>
      <c r="D975" s="4"/>
      <c r="E975" s="2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2"/>
      <c r="U975" s="2"/>
      <c r="V975" s="4"/>
      <c r="W975" s="4"/>
      <c r="X975" s="4"/>
      <c r="Y975" s="4"/>
      <c r="Z975" s="4"/>
      <c r="AA975" s="4"/>
      <c r="AB975" s="4"/>
      <c r="AC975" s="4"/>
      <c r="AD975" s="4"/>
    </row>
    <row r="976" ht="14.25" customHeight="1">
      <c r="A976" s="4"/>
      <c r="B976" s="2"/>
      <c r="C976" s="4"/>
      <c r="D976" s="4"/>
      <c r="E976" s="2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2"/>
      <c r="U976" s="2"/>
      <c r="V976" s="4"/>
      <c r="W976" s="4"/>
      <c r="X976" s="4"/>
      <c r="Y976" s="4"/>
      <c r="Z976" s="4"/>
      <c r="AA976" s="4"/>
      <c r="AB976" s="4"/>
      <c r="AC976" s="4"/>
      <c r="AD976" s="4"/>
    </row>
    <row r="977" ht="14.25" customHeight="1">
      <c r="A977" s="4"/>
      <c r="B977" s="2"/>
      <c r="C977" s="4"/>
      <c r="D977" s="4"/>
      <c r="E977" s="2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2"/>
      <c r="U977" s="2"/>
      <c r="V977" s="4"/>
      <c r="W977" s="4"/>
      <c r="X977" s="4"/>
      <c r="Y977" s="4"/>
      <c r="Z977" s="4"/>
      <c r="AA977" s="4"/>
      <c r="AB977" s="4"/>
      <c r="AC977" s="4"/>
      <c r="AD977" s="4"/>
    </row>
    <row r="978" ht="14.25" customHeight="1">
      <c r="A978" s="4"/>
      <c r="B978" s="2"/>
      <c r="C978" s="4"/>
      <c r="D978" s="4"/>
      <c r="E978" s="2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2"/>
      <c r="U978" s="2"/>
      <c r="V978" s="4"/>
      <c r="W978" s="4"/>
      <c r="X978" s="4"/>
      <c r="Y978" s="4"/>
      <c r="Z978" s="4"/>
      <c r="AA978" s="4"/>
      <c r="AB978" s="4"/>
      <c r="AC978" s="4"/>
      <c r="AD978" s="4"/>
    </row>
    <row r="979" ht="14.25" customHeight="1">
      <c r="A979" s="4"/>
      <c r="B979" s="2"/>
      <c r="C979" s="4"/>
      <c r="D979" s="4"/>
      <c r="E979" s="2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2"/>
      <c r="U979" s="2"/>
      <c r="V979" s="4"/>
      <c r="W979" s="4"/>
      <c r="X979" s="4"/>
      <c r="Y979" s="4"/>
      <c r="Z979" s="4"/>
      <c r="AA979" s="4"/>
      <c r="AB979" s="4"/>
      <c r="AC979" s="4"/>
      <c r="AD979" s="4"/>
    </row>
    <row r="980" ht="14.25" customHeight="1">
      <c r="A980" s="4"/>
      <c r="B980" s="2"/>
      <c r="C980" s="4"/>
      <c r="D980" s="4"/>
      <c r="E980" s="2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2"/>
      <c r="U980" s="2"/>
      <c r="V980" s="4"/>
      <c r="W980" s="4"/>
      <c r="X980" s="4"/>
      <c r="Y980" s="4"/>
      <c r="Z980" s="4"/>
      <c r="AA980" s="4"/>
      <c r="AB980" s="4"/>
      <c r="AC980" s="4"/>
      <c r="AD980" s="4"/>
    </row>
    <row r="981" ht="14.25" customHeight="1">
      <c r="A981" s="4"/>
      <c r="B981" s="2"/>
      <c r="C981" s="4"/>
      <c r="D981" s="4"/>
      <c r="E981" s="2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2"/>
      <c r="U981" s="2"/>
      <c r="V981" s="4"/>
      <c r="W981" s="4"/>
      <c r="X981" s="4"/>
      <c r="Y981" s="4"/>
      <c r="Z981" s="4"/>
      <c r="AA981" s="4"/>
      <c r="AB981" s="4"/>
      <c r="AC981" s="4"/>
      <c r="AD981" s="4"/>
    </row>
    <row r="982" ht="14.25" customHeight="1">
      <c r="A982" s="4"/>
      <c r="B982" s="2"/>
      <c r="C982" s="4"/>
      <c r="D982" s="4"/>
      <c r="E982" s="2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2"/>
      <c r="U982" s="2"/>
      <c r="V982" s="4"/>
      <c r="W982" s="4"/>
      <c r="X982" s="4"/>
      <c r="Y982" s="4"/>
      <c r="Z982" s="4"/>
      <c r="AA982" s="4"/>
      <c r="AB982" s="4"/>
      <c r="AC982" s="4"/>
      <c r="AD982" s="4"/>
    </row>
    <row r="983" ht="14.25" customHeight="1">
      <c r="A983" s="4"/>
      <c r="B983" s="2"/>
      <c r="C983" s="4"/>
      <c r="D983" s="4"/>
      <c r="E983" s="2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2"/>
      <c r="U983" s="2"/>
      <c r="V983" s="4"/>
      <c r="W983" s="4"/>
      <c r="X983" s="4"/>
      <c r="Y983" s="4"/>
      <c r="Z983" s="4"/>
      <c r="AA983" s="4"/>
      <c r="AB983" s="4"/>
      <c r="AC983" s="4"/>
      <c r="AD983" s="4"/>
    </row>
    <row r="984" ht="14.25" customHeight="1">
      <c r="A984" s="4"/>
      <c r="B984" s="2"/>
      <c r="C984" s="4"/>
      <c r="D984" s="4"/>
      <c r="E984" s="2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2"/>
      <c r="U984" s="2"/>
      <c r="V984" s="4"/>
      <c r="W984" s="4"/>
      <c r="X984" s="4"/>
      <c r="Y984" s="4"/>
      <c r="Z984" s="4"/>
      <c r="AA984" s="4"/>
      <c r="AB984" s="4"/>
      <c r="AC984" s="4"/>
      <c r="AD984" s="4"/>
    </row>
    <row r="985" ht="14.25" customHeight="1">
      <c r="A985" s="4"/>
      <c r="B985" s="2"/>
      <c r="C985" s="4"/>
      <c r="D985" s="4"/>
      <c r="E985" s="2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2"/>
      <c r="U985" s="2"/>
      <c r="V985" s="4"/>
      <c r="W985" s="4"/>
      <c r="X985" s="4"/>
      <c r="Y985" s="4"/>
      <c r="Z985" s="4"/>
      <c r="AA985" s="4"/>
      <c r="AB985" s="4"/>
      <c r="AC985" s="4"/>
      <c r="AD985" s="4"/>
    </row>
    <row r="986" ht="14.25" customHeight="1">
      <c r="A986" s="4"/>
      <c r="B986" s="2"/>
      <c r="C986" s="4"/>
      <c r="D986" s="4"/>
      <c r="E986" s="2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2"/>
      <c r="U986" s="2"/>
      <c r="V986" s="4"/>
      <c r="W986" s="4"/>
      <c r="X986" s="4"/>
      <c r="Y986" s="4"/>
      <c r="Z986" s="4"/>
      <c r="AA986" s="4"/>
      <c r="AB986" s="4"/>
      <c r="AC986" s="4"/>
      <c r="AD986" s="4"/>
    </row>
    <row r="987" ht="14.25" customHeight="1">
      <c r="A987" s="4"/>
      <c r="B987" s="2"/>
      <c r="C987" s="4"/>
      <c r="D987" s="4"/>
      <c r="E987" s="2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2"/>
      <c r="U987" s="2"/>
      <c r="V987" s="4"/>
      <c r="W987" s="4"/>
      <c r="X987" s="4"/>
      <c r="Y987" s="4"/>
      <c r="Z987" s="4"/>
      <c r="AA987" s="4"/>
      <c r="AB987" s="4"/>
      <c r="AC987" s="4"/>
      <c r="AD987" s="4"/>
    </row>
    <row r="988" ht="14.25" customHeight="1">
      <c r="A988" s="4"/>
      <c r="B988" s="2"/>
      <c r="C988" s="4"/>
      <c r="D988" s="4"/>
      <c r="E988" s="2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2"/>
      <c r="U988" s="2"/>
      <c r="V988" s="4"/>
      <c r="W988" s="4"/>
      <c r="X988" s="4"/>
      <c r="Y988" s="4"/>
      <c r="Z988" s="4"/>
      <c r="AA988" s="4"/>
      <c r="AB988" s="4"/>
      <c r="AC988" s="4"/>
      <c r="AD988" s="4"/>
    </row>
    <row r="989" ht="14.25" customHeight="1">
      <c r="A989" s="4"/>
      <c r="B989" s="2"/>
      <c r="C989" s="4"/>
      <c r="D989" s="4"/>
      <c r="E989" s="2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2"/>
      <c r="U989" s="2"/>
      <c r="V989" s="4"/>
      <c r="W989" s="4"/>
      <c r="X989" s="4"/>
      <c r="Y989" s="4"/>
      <c r="Z989" s="4"/>
      <c r="AA989" s="4"/>
      <c r="AB989" s="4"/>
      <c r="AC989" s="4"/>
      <c r="AD989" s="4"/>
    </row>
    <row r="990" ht="14.25" customHeight="1">
      <c r="A990" s="4"/>
      <c r="B990" s="2"/>
      <c r="C990" s="4"/>
      <c r="D990" s="4"/>
      <c r="E990" s="2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2"/>
      <c r="U990" s="2"/>
      <c r="V990" s="4"/>
      <c r="W990" s="4"/>
      <c r="X990" s="4"/>
      <c r="Y990" s="4"/>
      <c r="Z990" s="4"/>
      <c r="AA990" s="4"/>
      <c r="AB990" s="4"/>
      <c r="AC990" s="4"/>
      <c r="AD990" s="4"/>
    </row>
    <row r="991" ht="14.25" customHeight="1">
      <c r="A991" s="4"/>
      <c r="B991" s="2"/>
      <c r="C991" s="4"/>
      <c r="D991" s="4"/>
      <c r="E991" s="2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2"/>
      <c r="U991" s="2"/>
      <c r="V991" s="4"/>
      <c r="W991" s="4"/>
      <c r="X991" s="4"/>
      <c r="Y991" s="4"/>
      <c r="Z991" s="4"/>
      <c r="AA991" s="4"/>
      <c r="AB991" s="4"/>
      <c r="AC991" s="4"/>
      <c r="AD991" s="4"/>
    </row>
    <row r="992" ht="14.25" customHeight="1">
      <c r="A992" s="4"/>
      <c r="B992" s="2"/>
      <c r="C992" s="4"/>
      <c r="D992" s="4"/>
      <c r="E992" s="2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2"/>
      <c r="U992" s="2"/>
      <c r="V992" s="4"/>
      <c r="W992" s="4"/>
      <c r="X992" s="4"/>
      <c r="Y992" s="4"/>
      <c r="Z992" s="4"/>
      <c r="AA992" s="4"/>
      <c r="AB992" s="4"/>
      <c r="AC992" s="4"/>
      <c r="AD992" s="4"/>
    </row>
    <row r="993" ht="14.25" customHeight="1">
      <c r="A993" s="4"/>
      <c r="B993" s="2"/>
      <c r="C993" s="4"/>
      <c r="D993" s="4"/>
      <c r="E993" s="2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2"/>
      <c r="U993" s="2"/>
      <c r="V993" s="4"/>
      <c r="W993" s="4"/>
      <c r="X993" s="4"/>
      <c r="Y993" s="4"/>
      <c r="Z993" s="4"/>
      <c r="AA993" s="4"/>
      <c r="AB993" s="4"/>
      <c r="AC993" s="4"/>
      <c r="AD993" s="4"/>
    </row>
    <row r="994" ht="14.25" customHeight="1">
      <c r="A994" s="4"/>
      <c r="B994" s="2"/>
      <c r="C994" s="4"/>
      <c r="D994" s="4"/>
      <c r="E994" s="2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2"/>
      <c r="U994" s="2"/>
      <c r="V994" s="4"/>
      <c r="W994" s="4"/>
      <c r="X994" s="4"/>
      <c r="Y994" s="4"/>
      <c r="Z994" s="4"/>
      <c r="AA994" s="4"/>
      <c r="AB994" s="4"/>
      <c r="AC994" s="4"/>
      <c r="AD994" s="4"/>
    </row>
    <row r="995" ht="14.25" customHeight="1">
      <c r="A995" s="4"/>
      <c r="B995" s="2"/>
      <c r="C995" s="4"/>
      <c r="D995" s="4"/>
      <c r="E995" s="2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2"/>
      <c r="U995" s="2"/>
      <c r="V995" s="4"/>
      <c r="W995" s="4"/>
      <c r="X995" s="4"/>
      <c r="Y995" s="4"/>
      <c r="Z995" s="4"/>
      <c r="AA995" s="4"/>
      <c r="AB995" s="4"/>
      <c r="AC995" s="4"/>
      <c r="AD995" s="4"/>
    </row>
    <row r="996" ht="14.25" customHeight="1">
      <c r="A996" s="4"/>
      <c r="B996" s="2"/>
      <c r="C996" s="4"/>
      <c r="D996" s="4"/>
      <c r="E996" s="2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2"/>
      <c r="U996" s="2"/>
      <c r="V996" s="4"/>
      <c r="W996" s="4"/>
      <c r="X996" s="4"/>
      <c r="Y996" s="4"/>
      <c r="Z996" s="4"/>
      <c r="AA996" s="4"/>
      <c r="AB996" s="4"/>
      <c r="AC996" s="4"/>
      <c r="AD996" s="4"/>
    </row>
    <row r="997" ht="14.25" customHeight="1">
      <c r="A997" s="4"/>
      <c r="B997" s="2"/>
      <c r="C997" s="4"/>
      <c r="D997" s="4"/>
      <c r="E997" s="2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2"/>
      <c r="U997" s="2"/>
      <c r="V997" s="4"/>
      <c r="W997" s="4"/>
      <c r="X997" s="4"/>
      <c r="Y997" s="4"/>
      <c r="Z997" s="4"/>
      <c r="AA997" s="4"/>
      <c r="AB997" s="4"/>
      <c r="AC997" s="4"/>
      <c r="AD997" s="4"/>
    </row>
    <row r="998" ht="14.25" customHeight="1">
      <c r="A998" s="4"/>
      <c r="B998" s="2"/>
      <c r="C998" s="4"/>
      <c r="D998" s="4"/>
      <c r="E998" s="2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2"/>
      <c r="U998" s="2"/>
      <c r="V998" s="4"/>
      <c r="W998" s="4"/>
      <c r="X998" s="4"/>
      <c r="Y998" s="4"/>
      <c r="Z998" s="4"/>
      <c r="AA998" s="4"/>
      <c r="AB998" s="4"/>
      <c r="AC998" s="4"/>
      <c r="AD998" s="4"/>
    </row>
    <row r="999" ht="14.25" customHeight="1">
      <c r="A999" s="4"/>
      <c r="B999" s="2"/>
      <c r="C999" s="4"/>
      <c r="D999" s="4"/>
      <c r="E999" s="2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2"/>
      <c r="U999" s="2"/>
      <c r="V999" s="4"/>
      <c r="W999" s="4"/>
      <c r="X999" s="4"/>
      <c r="Y999" s="4"/>
      <c r="Z999" s="4"/>
      <c r="AA999" s="4"/>
      <c r="AB999" s="4"/>
      <c r="AC999" s="4"/>
      <c r="AD999" s="4"/>
    </row>
    <row r="1000" ht="14.25" customHeight="1">
      <c r="A1000" s="4"/>
      <c r="B1000" s="2"/>
      <c r="C1000" s="4"/>
      <c r="D1000" s="4"/>
      <c r="E1000" s="2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2"/>
      <c r="U1000" s="2"/>
      <c r="V1000" s="4"/>
      <c r="W1000" s="4"/>
      <c r="X1000" s="4"/>
      <c r="Y1000" s="4"/>
      <c r="Z1000" s="4"/>
      <c r="AA1000" s="4"/>
      <c r="AB1000" s="4"/>
      <c r="AC1000" s="4"/>
      <c r="AD1000" s="4"/>
    </row>
  </sheetData>
  <autoFilter ref="$A$1:$AD$791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15.43"/>
    <col customWidth="1" min="3" max="3" width="5.29"/>
    <col customWidth="1" min="4" max="4" width="5.71"/>
    <col customWidth="1" min="5" max="5" width="6.0"/>
    <col customWidth="1" min="6" max="6" width="6.14"/>
    <col customWidth="1" min="7" max="7" width="4.29"/>
    <col customWidth="1" min="8" max="8" width="4.86"/>
    <col customWidth="1" min="9" max="9" width="13.0"/>
    <col customWidth="1" min="10" max="10" width="7.86"/>
    <col customWidth="1" min="11" max="11" width="11.71"/>
    <col customWidth="1" min="12" max="12" width="8.29"/>
    <col customWidth="1" min="13" max="13" width="16.29"/>
    <col customWidth="1" min="14" max="14" width="12.29"/>
    <col customWidth="1" min="15" max="15" width="8.0"/>
    <col customWidth="1" min="16" max="16" width="5.71"/>
    <col customWidth="1" min="17" max="17" width="6.0"/>
    <col customWidth="1" min="18" max="18" width="11.86"/>
    <col customWidth="1" min="19" max="19" width="9.57"/>
    <col customWidth="1" min="20" max="20" width="11.29"/>
    <col customWidth="1" min="21" max="21" width="19.29"/>
    <col customWidth="1" min="22" max="26" width="8.71"/>
  </cols>
  <sheetData>
    <row r="1" ht="14.25" customHeight="1">
      <c r="A1" s="4"/>
      <c r="B1" s="4"/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14"/>
    <col customWidth="1" min="2" max="2" width="7.71"/>
    <col customWidth="1" min="3" max="3" width="15.43"/>
    <col customWidth="1" min="4" max="4" width="5.29"/>
    <col customWidth="1" min="5" max="5" width="5.71"/>
    <col customWidth="1" min="6" max="6" width="6.0"/>
    <col customWidth="1" min="7" max="7" width="6.14"/>
    <col customWidth="1" min="8" max="8" width="4.29"/>
    <col customWidth="1" min="9" max="9" width="4.86"/>
    <col customWidth="1" min="10" max="10" width="13.0"/>
    <col customWidth="1" min="11" max="11" width="7.86"/>
    <col customWidth="1" min="12" max="12" width="11.71"/>
    <col customWidth="1" min="13" max="13" width="8.29"/>
    <col customWidth="1" min="14" max="14" width="16.29"/>
    <col customWidth="1" min="15" max="15" width="12.29"/>
    <col customWidth="1" min="16" max="16" width="8.0"/>
    <col customWidth="1" min="17" max="17" width="5.71"/>
    <col customWidth="1" min="18" max="18" width="6.0"/>
    <col customWidth="1" min="19" max="19" width="11.86"/>
    <col customWidth="1" min="20" max="20" width="9.57"/>
    <col customWidth="1" min="21" max="21" width="11.29"/>
    <col customWidth="1" min="22" max="22" width="19.29"/>
    <col customWidth="1" min="23" max="26" width="8.71"/>
  </cols>
  <sheetData>
    <row r="1" ht="14.2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W3" s="4"/>
      <c r="X3" s="4"/>
      <c r="Y3" s="4"/>
      <c r="Z3" s="4"/>
    </row>
    <row r="4" ht="14.25" customHeight="1">
      <c r="W4" s="4"/>
      <c r="X4" s="4"/>
      <c r="Y4" s="4"/>
      <c r="Z4" s="4"/>
    </row>
    <row r="5" ht="14.25" customHeight="1">
      <c r="W5" s="4"/>
      <c r="X5" s="4"/>
      <c r="Y5" s="4"/>
      <c r="Z5" s="4"/>
    </row>
    <row r="6" ht="14.25" customHeight="1">
      <c r="W6" s="4"/>
      <c r="X6" s="4"/>
      <c r="Y6" s="4"/>
      <c r="Z6" s="4"/>
    </row>
    <row r="7" ht="14.25" customHeight="1">
      <c r="W7" s="4"/>
      <c r="X7" s="4"/>
      <c r="Y7" s="4"/>
      <c r="Z7" s="4"/>
    </row>
    <row r="8" ht="14.25" customHeight="1">
      <c r="W8" s="4"/>
      <c r="X8" s="4"/>
      <c r="Y8" s="4"/>
      <c r="Z8" s="4"/>
    </row>
    <row r="9" ht="14.25" customHeight="1">
      <c r="W9" s="4"/>
      <c r="X9" s="4"/>
      <c r="Y9" s="4"/>
      <c r="Z9" s="4"/>
    </row>
    <row r="10" ht="14.25" customHeight="1">
      <c r="W10" s="4"/>
      <c r="X10" s="4"/>
      <c r="Y10" s="4"/>
      <c r="Z10" s="4"/>
    </row>
    <row r="11" ht="14.25" customHeight="1">
      <c r="W11" s="4"/>
      <c r="X11" s="4"/>
      <c r="Y11" s="4"/>
      <c r="Z11" s="4"/>
    </row>
    <row r="12" ht="14.25" customHeight="1">
      <c r="W12" s="4"/>
      <c r="X12" s="4"/>
      <c r="Y12" s="4"/>
      <c r="Z12" s="4"/>
    </row>
    <row r="13" ht="14.25" customHeight="1">
      <c r="W13" s="4"/>
      <c r="X13" s="4"/>
      <c r="Y13" s="4"/>
      <c r="Z13" s="4"/>
    </row>
    <row r="14" ht="14.25" customHeight="1">
      <c r="W14" s="4"/>
      <c r="X14" s="4"/>
      <c r="Y14" s="4"/>
      <c r="Z14" s="4"/>
    </row>
    <row r="15" ht="14.25" customHeight="1">
      <c r="W15" s="4"/>
      <c r="X15" s="4"/>
      <c r="Y15" s="4"/>
      <c r="Z15" s="4"/>
    </row>
    <row r="16" ht="14.25" customHeight="1">
      <c r="W16" s="4"/>
      <c r="X16" s="4"/>
      <c r="Y16" s="4"/>
      <c r="Z16" s="4"/>
    </row>
    <row r="17" ht="14.25" customHeight="1">
      <c r="W17" s="4"/>
      <c r="X17" s="4"/>
      <c r="Y17" s="4"/>
      <c r="Z17" s="4"/>
    </row>
    <row r="18" ht="14.25" customHeight="1">
      <c r="W18" s="4"/>
      <c r="X18" s="4"/>
      <c r="Y18" s="4"/>
      <c r="Z18" s="4"/>
    </row>
    <row r="19" ht="14.25" customHeight="1">
      <c r="W19" s="4"/>
      <c r="X19" s="4"/>
      <c r="Y19" s="4"/>
      <c r="Z19" s="4"/>
    </row>
    <row r="20" ht="14.25" customHeight="1">
      <c r="W20" s="4"/>
      <c r="X20" s="4"/>
      <c r="Y20" s="4"/>
      <c r="Z20" s="4"/>
    </row>
    <row r="21" ht="14.25" customHeight="1">
      <c r="W21" s="4"/>
      <c r="X21" s="4"/>
      <c r="Y21" s="4"/>
      <c r="Z21" s="4"/>
    </row>
    <row r="22" ht="14.25" customHeight="1">
      <c r="W22" s="4"/>
      <c r="X22" s="4"/>
      <c r="Y22" s="4"/>
      <c r="Z22" s="4"/>
    </row>
    <row r="23" ht="14.25" customHeight="1">
      <c r="W23" s="4"/>
      <c r="X23" s="4"/>
      <c r="Y23" s="4"/>
      <c r="Z23" s="4"/>
    </row>
    <row r="24" ht="14.25" customHeight="1">
      <c r="W24" s="4"/>
      <c r="X24" s="4"/>
      <c r="Y24" s="4"/>
      <c r="Z24" s="4"/>
    </row>
    <row r="25" ht="14.25" customHeight="1">
      <c r="W25" s="4"/>
      <c r="X25" s="4"/>
      <c r="Y25" s="4"/>
      <c r="Z25" s="4"/>
    </row>
    <row r="26" ht="14.25" customHeight="1">
      <c r="W26" s="4"/>
      <c r="X26" s="4"/>
      <c r="Y26" s="4"/>
      <c r="Z26" s="4"/>
    </row>
    <row r="27" ht="14.25" customHeight="1">
      <c r="W27" s="4"/>
      <c r="X27" s="4"/>
      <c r="Y27" s="4"/>
      <c r="Z27" s="4"/>
    </row>
    <row r="28" ht="14.25" customHeight="1">
      <c r="W28" s="4"/>
      <c r="X28" s="4"/>
      <c r="Y28" s="4"/>
      <c r="Z28" s="4"/>
    </row>
    <row r="29" ht="14.25" customHeight="1">
      <c r="W29" s="4"/>
      <c r="X29" s="4"/>
      <c r="Y29" s="4"/>
      <c r="Z29" s="4"/>
    </row>
    <row r="30" ht="14.25" customHeight="1">
      <c r="W30" s="4"/>
      <c r="X30" s="4"/>
      <c r="Y30" s="4"/>
      <c r="Z30" s="4"/>
    </row>
    <row r="31" ht="14.25" customHeight="1">
      <c r="W31" s="4"/>
      <c r="X31" s="4"/>
      <c r="Y31" s="4"/>
      <c r="Z31" s="4"/>
    </row>
    <row r="32" ht="14.25" customHeight="1">
      <c r="W32" s="4"/>
      <c r="X32" s="4"/>
      <c r="Y32" s="4"/>
      <c r="Z32" s="4"/>
    </row>
    <row r="33" ht="14.25" customHeight="1">
      <c r="W33" s="4"/>
      <c r="X33" s="4"/>
      <c r="Y33" s="4"/>
      <c r="Z33" s="4"/>
    </row>
    <row r="34" ht="14.25" customHeight="1">
      <c r="W34" s="4"/>
      <c r="X34" s="4"/>
      <c r="Y34" s="4"/>
      <c r="Z34" s="4"/>
    </row>
    <row r="35" ht="14.25" customHeight="1">
      <c r="W35" s="4"/>
      <c r="X35" s="4"/>
      <c r="Y35" s="4"/>
      <c r="Z35" s="4"/>
    </row>
    <row r="36" ht="14.25" customHeight="1">
      <c r="W36" s="4"/>
      <c r="X36" s="4"/>
      <c r="Y36" s="4"/>
      <c r="Z36" s="4"/>
    </row>
    <row r="37" ht="14.25" customHeight="1">
      <c r="W37" s="4"/>
      <c r="X37" s="4"/>
      <c r="Y37" s="4"/>
      <c r="Z37" s="4"/>
    </row>
    <row r="38" ht="14.25" customHeight="1">
      <c r="W38" s="4"/>
      <c r="X38" s="4"/>
      <c r="Y38" s="4"/>
      <c r="Z38" s="4"/>
    </row>
    <row r="39" ht="14.25" customHeight="1">
      <c r="W39" s="4"/>
      <c r="X39" s="4"/>
      <c r="Y39" s="4"/>
      <c r="Z39" s="4"/>
    </row>
    <row r="40" ht="14.25" customHeight="1">
      <c r="W40" s="4"/>
      <c r="X40" s="4"/>
      <c r="Y40" s="4"/>
      <c r="Z40" s="4"/>
    </row>
    <row r="41" ht="14.25" customHeight="1">
      <c r="W41" s="4"/>
      <c r="X41" s="4"/>
      <c r="Y41" s="4"/>
      <c r="Z41" s="4"/>
    </row>
    <row r="42" ht="14.25" customHeight="1">
      <c r="W42" s="4"/>
      <c r="X42" s="4"/>
      <c r="Y42" s="4"/>
      <c r="Z42" s="4"/>
    </row>
    <row r="43" ht="14.25" customHeight="1">
      <c r="W43" s="4"/>
      <c r="X43" s="4"/>
      <c r="Y43" s="4"/>
      <c r="Z43" s="4"/>
    </row>
    <row r="44" ht="14.25" customHeight="1">
      <c r="W44" s="4"/>
      <c r="X44" s="4"/>
      <c r="Y44" s="4"/>
      <c r="Z44" s="4"/>
    </row>
    <row r="45" ht="14.25" customHeight="1">
      <c r="W45" s="4"/>
      <c r="X45" s="4"/>
      <c r="Y45" s="4"/>
      <c r="Z45" s="4"/>
    </row>
    <row r="46" ht="14.25" customHeight="1">
      <c r="W46" s="4"/>
      <c r="X46" s="4"/>
      <c r="Y46" s="4"/>
      <c r="Z46" s="4"/>
    </row>
    <row r="47" ht="14.25" customHeight="1">
      <c r="W47" s="4"/>
      <c r="X47" s="4"/>
      <c r="Y47" s="4"/>
      <c r="Z47" s="4"/>
    </row>
    <row r="48" ht="14.25" customHeight="1">
      <c r="W48" s="4"/>
      <c r="X48" s="4"/>
      <c r="Y48" s="4"/>
      <c r="Z48" s="4"/>
    </row>
    <row r="49" ht="14.25" customHeight="1">
      <c r="W49" s="4"/>
      <c r="X49" s="4"/>
      <c r="Y49" s="4"/>
      <c r="Z49" s="4"/>
    </row>
    <row r="50" ht="14.25" customHeight="1">
      <c r="W50" s="4"/>
      <c r="X50" s="4"/>
      <c r="Y50" s="4"/>
      <c r="Z50" s="4"/>
    </row>
    <row r="51" ht="14.25" customHeight="1">
      <c r="W51" s="4"/>
      <c r="X51" s="4"/>
      <c r="Y51" s="4"/>
      <c r="Z51" s="4"/>
    </row>
    <row r="52" ht="14.25" customHeight="1">
      <c r="W52" s="4"/>
      <c r="X52" s="4"/>
      <c r="Y52" s="4"/>
      <c r="Z52" s="4"/>
    </row>
    <row r="53" ht="14.25" customHeight="1">
      <c r="W53" s="4"/>
      <c r="X53" s="4"/>
      <c r="Y53" s="4"/>
      <c r="Z53" s="4"/>
    </row>
    <row r="54" ht="14.25" customHeight="1">
      <c r="W54" s="4"/>
      <c r="X54" s="4"/>
      <c r="Y54" s="4"/>
      <c r="Z54" s="4"/>
    </row>
    <row r="55" ht="14.25" customHeight="1">
      <c r="W55" s="4"/>
      <c r="X55" s="4"/>
      <c r="Y55" s="4"/>
      <c r="Z55" s="4"/>
    </row>
    <row r="56" ht="14.25" customHeight="1">
      <c r="W56" s="4"/>
      <c r="X56" s="4"/>
      <c r="Y56" s="4"/>
      <c r="Z56" s="4"/>
    </row>
    <row r="57" ht="14.25" customHeight="1">
      <c r="W57" s="4"/>
      <c r="X57" s="4"/>
      <c r="Y57" s="4"/>
      <c r="Z57" s="4"/>
    </row>
    <row r="58" ht="14.25" customHeight="1">
      <c r="W58" s="4"/>
      <c r="X58" s="4"/>
      <c r="Y58" s="4"/>
      <c r="Z58" s="4"/>
    </row>
    <row r="59" ht="14.25" customHeight="1">
      <c r="W59" s="4"/>
      <c r="X59" s="4"/>
      <c r="Y59" s="4"/>
      <c r="Z59" s="4"/>
    </row>
    <row r="60" ht="14.25" customHeight="1">
      <c r="W60" s="4"/>
      <c r="X60" s="4"/>
      <c r="Y60" s="4"/>
      <c r="Z60" s="4"/>
    </row>
    <row r="61" ht="14.25" customHeight="1">
      <c r="W61" s="4"/>
      <c r="X61" s="4"/>
      <c r="Y61" s="4"/>
      <c r="Z61" s="4"/>
    </row>
    <row r="62" ht="14.25" customHeight="1">
      <c r="W62" s="4"/>
      <c r="X62" s="4"/>
      <c r="Y62" s="4"/>
      <c r="Z62" s="4"/>
    </row>
    <row r="63" ht="14.25" customHeight="1">
      <c r="W63" s="4"/>
      <c r="X63" s="4"/>
      <c r="Y63" s="4"/>
      <c r="Z63" s="4"/>
    </row>
    <row r="64" ht="14.25" customHeight="1">
      <c r="W64" s="4"/>
      <c r="X64" s="4"/>
      <c r="Y64" s="4"/>
      <c r="Z64" s="4"/>
    </row>
    <row r="65" ht="14.25" customHeight="1">
      <c r="W65" s="4"/>
      <c r="X65" s="4"/>
      <c r="Y65" s="4"/>
      <c r="Z65" s="4"/>
    </row>
    <row r="66" ht="14.25" customHeight="1">
      <c r="W66" s="4"/>
      <c r="X66" s="4"/>
      <c r="Y66" s="4"/>
      <c r="Z66" s="4"/>
    </row>
    <row r="67" ht="14.25" customHeight="1">
      <c r="W67" s="4"/>
      <c r="X67" s="4"/>
      <c r="Y67" s="4"/>
      <c r="Z67" s="4"/>
    </row>
    <row r="68" ht="14.25" customHeight="1">
      <c r="W68" s="4"/>
      <c r="X68" s="4"/>
      <c r="Y68" s="4"/>
      <c r="Z68" s="4"/>
    </row>
    <row r="69" ht="14.25" customHeight="1">
      <c r="W69" s="4"/>
      <c r="X69" s="4"/>
      <c r="Y69" s="4"/>
      <c r="Z69" s="4"/>
    </row>
    <row r="70" ht="14.25" customHeight="1">
      <c r="W70" s="4"/>
      <c r="X70" s="4"/>
      <c r="Y70" s="4"/>
      <c r="Z70" s="4"/>
    </row>
    <row r="71" ht="14.25" customHeight="1">
      <c r="W71" s="4"/>
      <c r="X71" s="4"/>
      <c r="Y71" s="4"/>
      <c r="Z71" s="4"/>
    </row>
    <row r="72" ht="14.25" customHeight="1">
      <c r="W72" s="4"/>
      <c r="X72" s="4"/>
      <c r="Y72" s="4"/>
      <c r="Z72" s="4"/>
    </row>
    <row r="73" ht="14.25" customHeight="1">
      <c r="W73" s="4"/>
      <c r="X73" s="4"/>
      <c r="Y73" s="4"/>
      <c r="Z73" s="4"/>
    </row>
    <row r="74" ht="14.25" customHeight="1">
      <c r="W74" s="4"/>
      <c r="X74" s="4"/>
      <c r="Y74" s="4"/>
      <c r="Z74" s="4"/>
    </row>
    <row r="75" ht="14.25" customHeight="1">
      <c r="W75" s="4"/>
      <c r="X75" s="4"/>
      <c r="Y75" s="4"/>
      <c r="Z75" s="4"/>
    </row>
    <row r="76" ht="14.25" customHeight="1">
      <c r="W76" s="4"/>
      <c r="X76" s="4"/>
      <c r="Y76" s="4"/>
      <c r="Z76" s="4"/>
    </row>
    <row r="77" ht="14.25" customHeight="1">
      <c r="W77" s="4"/>
      <c r="X77" s="4"/>
      <c r="Y77" s="4"/>
      <c r="Z77" s="4"/>
    </row>
    <row r="78" ht="14.25" customHeight="1">
      <c r="W78" s="4"/>
      <c r="X78" s="4"/>
      <c r="Y78" s="4"/>
      <c r="Z78" s="4"/>
    </row>
    <row r="79" ht="14.25" customHeight="1">
      <c r="W79" s="4"/>
      <c r="X79" s="4"/>
      <c r="Y79" s="4"/>
      <c r="Z79" s="4"/>
    </row>
    <row r="80" ht="14.25" customHeight="1">
      <c r="W80" s="4"/>
      <c r="X80" s="4"/>
      <c r="Y80" s="4"/>
      <c r="Z80" s="4"/>
    </row>
    <row r="81" ht="14.25" customHeight="1">
      <c r="W81" s="4"/>
      <c r="X81" s="4"/>
      <c r="Y81" s="4"/>
      <c r="Z81" s="4"/>
    </row>
    <row r="82" ht="14.25" customHeight="1">
      <c r="W82" s="4"/>
      <c r="X82" s="4"/>
      <c r="Y82" s="4"/>
      <c r="Z82" s="4"/>
    </row>
    <row r="83" ht="14.25" customHeight="1">
      <c r="W83" s="4"/>
      <c r="X83" s="4"/>
      <c r="Y83" s="4"/>
      <c r="Z83" s="4"/>
    </row>
    <row r="84" ht="14.25" customHeight="1">
      <c r="W84" s="4"/>
      <c r="X84" s="4"/>
      <c r="Y84" s="4"/>
      <c r="Z84" s="4"/>
    </row>
    <row r="85" ht="14.25" customHeight="1">
      <c r="W85" s="4"/>
      <c r="X85" s="4"/>
      <c r="Y85" s="4"/>
      <c r="Z85" s="4"/>
    </row>
    <row r="86" ht="14.25" customHeight="1">
      <c r="W86" s="4"/>
      <c r="X86" s="4"/>
      <c r="Y86" s="4"/>
      <c r="Z86" s="4"/>
    </row>
    <row r="87" ht="14.25" customHeight="1">
      <c r="W87" s="4"/>
      <c r="X87" s="4"/>
      <c r="Y87" s="4"/>
      <c r="Z87" s="4"/>
    </row>
    <row r="88" ht="14.25" customHeight="1">
      <c r="W88" s="4"/>
      <c r="X88" s="4"/>
      <c r="Y88" s="4"/>
      <c r="Z88" s="4"/>
    </row>
    <row r="89" ht="14.25" customHeight="1">
      <c r="W89" s="4"/>
      <c r="X89" s="4"/>
      <c r="Y89" s="4"/>
      <c r="Z89" s="4"/>
    </row>
    <row r="90" ht="14.25" customHeight="1">
      <c r="W90" s="4"/>
      <c r="X90" s="4"/>
      <c r="Y90" s="4"/>
      <c r="Z90" s="4"/>
    </row>
    <row r="91" ht="14.25" customHeight="1">
      <c r="W91" s="4"/>
      <c r="X91" s="4"/>
      <c r="Y91" s="4"/>
      <c r="Z91" s="4"/>
    </row>
    <row r="92" ht="14.25" customHeight="1">
      <c r="W92" s="4"/>
      <c r="X92" s="4"/>
      <c r="Y92" s="4"/>
      <c r="Z92" s="4"/>
    </row>
    <row r="93" ht="14.25" customHeight="1">
      <c r="W93" s="4"/>
      <c r="X93" s="4"/>
      <c r="Y93" s="4"/>
      <c r="Z93" s="4"/>
    </row>
    <row r="94" ht="14.25" customHeight="1">
      <c r="W94" s="4"/>
      <c r="X94" s="4"/>
      <c r="Y94" s="4"/>
      <c r="Z94" s="4"/>
    </row>
    <row r="95" ht="14.25" customHeight="1">
      <c r="W95" s="4"/>
      <c r="X95" s="4"/>
      <c r="Y95" s="4"/>
      <c r="Z95" s="4"/>
    </row>
    <row r="96" ht="14.25" customHeight="1">
      <c r="W96" s="4"/>
      <c r="X96" s="4"/>
      <c r="Y96" s="4"/>
      <c r="Z96" s="4"/>
    </row>
    <row r="97" ht="14.25" customHeight="1">
      <c r="W97" s="4"/>
      <c r="X97" s="4"/>
      <c r="Y97" s="4"/>
      <c r="Z97" s="4"/>
    </row>
    <row r="98" ht="14.25" customHeight="1">
      <c r="W98" s="4"/>
      <c r="X98" s="4"/>
      <c r="Y98" s="4"/>
      <c r="Z98" s="4"/>
    </row>
    <row r="99" ht="14.25" customHeight="1">
      <c r="W99" s="4"/>
      <c r="X99" s="4"/>
      <c r="Y99" s="4"/>
      <c r="Z99" s="4"/>
    </row>
    <row r="100" ht="14.25" customHeight="1">
      <c r="W100" s="4"/>
      <c r="X100" s="4"/>
      <c r="Y100" s="4"/>
      <c r="Z100" s="4"/>
    </row>
    <row r="101" ht="14.25" customHeight="1">
      <c r="W101" s="4"/>
      <c r="X101" s="4"/>
      <c r="Y101" s="4"/>
      <c r="Z101" s="4"/>
    </row>
    <row r="102" ht="14.25" customHeight="1">
      <c r="W102" s="4"/>
      <c r="X102" s="4"/>
      <c r="Y102" s="4"/>
      <c r="Z102" s="4"/>
    </row>
    <row r="103" ht="14.25" customHeight="1">
      <c r="W103" s="4"/>
      <c r="X103" s="4"/>
      <c r="Y103" s="4"/>
      <c r="Z103" s="4"/>
    </row>
    <row r="104" ht="14.25" customHeight="1">
      <c r="W104" s="4"/>
      <c r="X104" s="4"/>
      <c r="Y104" s="4"/>
      <c r="Z104" s="4"/>
    </row>
    <row r="105" ht="14.25" customHeight="1">
      <c r="W105" s="4"/>
      <c r="X105" s="4"/>
      <c r="Y105" s="4"/>
      <c r="Z105" s="4"/>
    </row>
    <row r="106" ht="14.25" customHeight="1">
      <c r="W106" s="4"/>
      <c r="X106" s="4"/>
      <c r="Y106" s="4"/>
      <c r="Z106" s="4"/>
    </row>
    <row r="107" ht="14.25" customHeight="1">
      <c r="W107" s="4"/>
      <c r="X107" s="4"/>
      <c r="Y107" s="4"/>
      <c r="Z107" s="4"/>
    </row>
    <row r="108" ht="14.25" customHeight="1">
      <c r="W108" s="4"/>
      <c r="X108" s="4"/>
      <c r="Y108" s="4"/>
      <c r="Z108" s="4"/>
    </row>
    <row r="109" ht="14.25" customHeight="1">
      <c r="W109" s="4"/>
      <c r="X109" s="4"/>
      <c r="Y109" s="4"/>
      <c r="Z109" s="4"/>
    </row>
    <row r="110" ht="14.25" customHeight="1">
      <c r="W110" s="4"/>
      <c r="X110" s="4"/>
      <c r="Y110" s="4"/>
      <c r="Z110" s="4"/>
    </row>
    <row r="111" ht="14.25" customHeight="1">
      <c r="W111" s="4"/>
      <c r="X111" s="4"/>
      <c r="Y111" s="4"/>
      <c r="Z111" s="4"/>
    </row>
    <row r="112" ht="14.25" customHeight="1">
      <c r="W112" s="4"/>
      <c r="X112" s="4"/>
      <c r="Y112" s="4"/>
      <c r="Z112" s="4"/>
    </row>
    <row r="113" ht="14.25" customHeight="1">
      <c r="W113" s="4"/>
      <c r="X113" s="4"/>
      <c r="Y113" s="4"/>
      <c r="Z113" s="4"/>
    </row>
    <row r="114" ht="14.25" customHeight="1">
      <c r="W114" s="4"/>
      <c r="X114" s="4"/>
      <c r="Y114" s="4"/>
      <c r="Z114" s="4"/>
    </row>
    <row r="115" ht="14.25" customHeight="1">
      <c r="W115" s="4"/>
      <c r="X115" s="4"/>
      <c r="Y115" s="4"/>
      <c r="Z115" s="4"/>
    </row>
    <row r="116" ht="14.25" customHeight="1">
      <c r="W116" s="4"/>
      <c r="X116" s="4"/>
      <c r="Y116" s="4"/>
      <c r="Z116" s="4"/>
    </row>
    <row r="117" ht="14.25" customHeight="1">
      <c r="W117" s="4"/>
      <c r="X117" s="4"/>
      <c r="Y117" s="4"/>
      <c r="Z117" s="4"/>
    </row>
    <row r="118" ht="14.25" customHeight="1">
      <c r="W118" s="4"/>
      <c r="X118" s="4"/>
      <c r="Y118" s="4"/>
      <c r="Z118" s="4"/>
    </row>
    <row r="119" ht="14.25" customHeight="1">
      <c r="W119" s="4"/>
      <c r="X119" s="4"/>
      <c r="Y119" s="4"/>
      <c r="Z119" s="4"/>
    </row>
    <row r="120" ht="14.25" customHeight="1">
      <c r="W120" s="4"/>
      <c r="X120" s="4"/>
      <c r="Y120" s="4"/>
      <c r="Z120" s="4"/>
    </row>
    <row r="121" ht="14.25" customHeight="1">
      <c r="W121" s="4"/>
      <c r="X121" s="4"/>
      <c r="Y121" s="4"/>
      <c r="Z121" s="4"/>
    </row>
    <row r="122" ht="14.25" customHeight="1">
      <c r="W122" s="4"/>
      <c r="X122" s="4"/>
      <c r="Y122" s="4"/>
      <c r="Z122" s="4"/>
    </row>
    <row r="123" ht="14.25" customHeight="1">
      <c r="W123" s="4"/>
      <c r="X123" s="4"/>
      <c r="Y123" s="4"/>
      <c r="Z123" s="4"/>
    </row>
    <row r="124" ht="14.25" customHeight="1">
      <c r="W124" s="4"/>
      <c r="X124" s="4"/>
      <c r="Y124" s="4"/>
      <c r="Z124" s="4"/>
    </row>
    <row r="125" ht="14.25" customHeight="1">
      <c r="W125" s="4"/>
      <c r="X125" s="4"/>
      <c r="Y125" s="4"/>
      <c r="Z125" s="4"/>
    </row>
    <row r="126" ht="14.25" customHeight="1">
      <c r="W126" s="4"/>
      <c r="X126" s="4"/>
      <c r="Y126" s="4"/>
      <c r="Z126" s="4"/>
    </row>
    <row r="127" ht="14.25" customHeight="1">
      <c r="W127" s="4"/>
      <c r="X127" s="4"/>
      <c r="Y127" s="4"/>
      <c r="Z127" s="4"/>
    </row>
    <row r="128" ht="14.25" customHeight="1">
      <c r="W128" s="4"/>
      <c r="X128" s="4"/>
      <c r="Y128" s="4"/>
      <c r="Z128" s="4"/>
    </row>
    <row r="129" ht="14.25" customHeight="1">
      <c r="W129" s="4"/>
      <c r="X129" s="4"/>
      <c r="Y129" s="4"/>
      <c r="Z129" s="4"/>
    </row>
    <row r="130" ht="14.25" customHeight="1">
      <c r="W130" s="4"/>
      <c r="X130" s="4"/>
      <c r="Y130" s="4"/>
      <c r="Z130" s="4"/>
    </row>
    <row r="131" ht="14.25" customHeight="1">
      <c r="W131" s="4"/>
      <c r="X131" s="4"/>
      <c r="Y131" s="4"/>
      <c r="Z131" s="4"/>
    </row>
    <row r="132" ht="14.25" customHeight="1">
      <c r="W132" s="4"/>
      <c r="X132" s="4"/>
      <c r="Y132" s="4"/>
      <c r="Z132" s="4"/>
    </row>
    <row r="133" ht="14.25" customHeight="1">
      <c r="W133" s="4"/>
      <c r="X133" s="4"/>
      <c r="Y133" s="4"/>
      <c r="Z133" s="4"/>
    </row>
    <row r="134" ht="14.25" customHeight="1">
      <c r="W134" s="4"/>
      <c r="X134" s="4"/>
      <c r="Y134" s="4"/>
      <c r="Z134" s="4"/>
    </row>
    <row r="135" ht="14.25" customHeight="1">
      <c r="W135" s="4"/>
      <c r="X135" s="4"/>
      <c r="Y135" s="4"/>
      <c r="Z135" s="4"/>
    </row>
    <row r="136" ht="14.25" customHeight="1">
      <c r="W136" s="4"/>
      <c r="X136" s="4"/>
      <c r="Y136" s="4"/>
      <c r="Z136" s="4"/>
    </row>
    <row r="137" ht="14.25" customHeight="1">
      <c r="W137" s="4"/>
      <c r="X137" s="4"/>
      <c r="Y137" s="4"/>
      <c r="Z137" s="4"/>
    </row>
    <row r="138" ht="14.25" customHeight="1">
      <c r="W138" s="4"/>
      <c r="X138" s="4"/>
      <c r="Y138" s="4"/>
      <c r="Z138" s="4"/>
    </row>
    <row r="139" ht="14.25" customHeight="1">
      <c r="W139" s="4"/>
      <c r="X139" s="4"/>
      <c r="Y139" s="4"/>
      <c r="Z139" s="4"/>
    </row>
    <row r="140" ht="14.25" customHeight="1">
      <c r="W140" s="4"/>
      <c r="X140" s="4"/>
      <c r="Y140" s="4"/>
      <c r="Z140" s="4"/>
    </row>
    <row r="141" ht="14.25" customHeight="1">
      <c r="W141" s="4"/>
      <c r="X141" s="4"/>
      <c r="Y141" s="4"/>
      <c r="Z141" s="4"/>
    </row>
    <row r="142" ht="14.25" customHeight="1">
      <c r="W142" s="4"/>
      <c r="X142" s="4"/>
      <c r="Y142" s="4"/>
      <c r="Z142" s="4"/>
    </row>
    <row r="143" ht="14.25" customHeight="1">
      <c r="W143" s="4"/>
      <c r="X143" s="4"/>
      <c r="Y143" s="4"/>
      <c r="Z143" s="4"/>
    </row>
    <row r="144" ht="14.25" customHeight="1">
      <c r="W144" s="4"/>
      <c r="X144" s="4"/>
      <c r="Y144" s="4"/>
      <c r="Z144" s="4"/>
    </row>
    <row r="145" ht="14.25" customHeight="1">
      <c r="W145" s="4"/>
      <c r="X145" s="4"/>
      <c r="Y145" s="4"/>
      <c r="Z145" s="4"/>
    </row>
    <row r="146" ht="14.25" customHeight="1">
      <c r="W146" s="4"/>
      <c r="X146" s="4"/>
      <c r="Y146" s="4"/>
      <c r="Z146" s="4"/>
    </row>
    <row r="147" ht="14.25" customHeight="1">
      <c r="W147" s="4"/>
      <c r="X147" s="4"/>
      <c r="Y147" s="4"/>
      <c r="Z147" s="4"/>
    </row>
    <row r="148" ht="14.25" customHeight="1">
      <c r="W148" s="4"/>
      <c r="X148" s="4"/>
      <c r="Y148" s="4"/>
      <c r="Z148" s="4"/>
    </row>
    <row r="149" ht="14.25" customHeight="1">
      <c r="W149" s="4"/>
      <c r="X149" s="4"/>
      <c r="Y149" s="4"/>
      <c r="Z149" s="4"/>
    </row>
    <row r="150" ht="14.25" customHeight="1">
      <c r="W150" s="4"/>
      <c r="X150" s="4"/>
      <c r="Y150" s="4"/>
      <c r="Z150" s="4"/>
    </row>
    <row r="151" ht="14.25" customHeight="1">
      <c r="W151" s="4"/>
      <c r="X151" s="4"/>
      <c r="Y151" s="4"/>
      <c r="Z151" s="4"/>
    </row>
    <row r="152" ht="14.25" customHeight="1">
      <c r="W152" s="4"/>
      <c r="X152" s="4"/>
      <c r="Y152" s="4"/>
      <c r="Z152" s="4"/>
    </row>
    <row r="153" ht="14.25" customHeight="1">
      <c r="W153" s="4"/>
      <c r="X153" s="4"/>
      <c r="Y153" s="4"/>
      <c r="Z153" s="4"/>
    </row>
    <row r="154" ht="14.25" customHeight="1">
      <c r="W154" s="4"/>
      <c r="X154" s="4"/>
      <c r="Y154" s="4"/>
      <c r="Z154" s="4"/>
    </row>
    <row r="155" ht="14.25" customHeight="1">
      <c r="W155" s="4"/>
      <c r="X155" s="4"/>
      <c r="Y155" s="4"/>
      <c r="Z155" s="4"/>
    </row>
    <row r="156" ht="14.25" customHeight="1">
      <c r="W156" s="4"/>
      <c r="X156" s="4"/>
      <c r="Y156" s="4"/>
      <c r="Z156" s="4"/>
    </row>
    <row r="157" ht="14.25" customHeight="1">
      <c r="W157" s="4"/>
      <c r="X157" s="4"/>
      <c r="Y157" s="4"/>
      <c r="Z157" s="4"/>
    </row>
    <row r="158" ht="14.25" customHeight="1">
      <c r="W158" s="4"/>
      <c r="X158" s="4"/>
      <c r="Y158" s="4"/>
      <c r="Z158" s="4"/>
    </row>
    <row r="159" ht="14.25" customHeight="1">
      <c r="W159" s="4"/>
      <c r="X159" s="4"/>
      <c r="Y159" s="4"/>
      <c r="Z159" s="4"/>
    </row>
    <row r="160" ht="14.25" customHeight="1">
      <c r="W160" s="4"/>
      <c r="X160" s="4"/>
      <c r="Y160" s="4"/>
      <c r="Z160" s="4"/>
    </row>
    <row r="161" ht="14.25" customHeight="1">
      <c r="W161" s="4"/>
      <c r="X161" s="4"/>
      <c r="Y161" s="4"/>
      <c r="Z161" s="4"/>
    </row>
    <row r="162" ht="14.25" customHeight="1">
      <c r="W162" s="4"/>
      <c r="X162" s="4"/>
      <c r="Y162" s="4"/>
      <c r="Z162" s="4"/>
    </row>
    <row r="163" ht="14.25" customHeight="1">
      <c r="W163" s="4"/>
      <c r="X163" s="4"/>
      <c r="Y163" s="4"/>
      <c r="Z163" s="4"/>
    </row>
    <row r="164" ht="14.25" customHeight="1">
      <c r="W164" s="4"/>
      <c r="X164" s="4"/>
      <c r="Y164" s="4"/>
      <c r="Z164" s="4"/>
    </row>
    <row r="165" ht="14.25" customHeight="1">
      <c r="W165" s="4"/>
      <c r="X165" s="4"/>
      <c r="Y165" s="4"/>
      <c r="Z165" s="4"/>
    </row>
    <row r="166" ht="14.25" customHeight="1">
      <c r="W166" s="4"/>
      <c r="X166" s="4"/>
      <c r="Y166" s="4"/>
      <c r="Z166" s="4"/>
    </row>
    <row r="167" ht="14.25" customHeight="1">
      <c r="W167" s="4"/>
      <c r="X167" s="4"/>
      <c r="Y167" s="4"/>
      <c r="Z167" s="4"/>
    </row>
    <row r="168" ht="14.25" customHeight="1">
      <c r="W168" s="4"/>
      <c r="X168" s="4"/>
      <c r="Y168" s="4"/>
      <c r="Z168" s="4"/>
    </row>
    <row r="169" ht="14.25" customHeight="1">
      <c r="W169" s="4"/>
      <c r="X169" s="4"/>
      <c r="Y169" s="4"/>
      <c r="Z169" s="4"/>
    </row>
    <row r="170" ht="14.25" customHeight="1">
      <c r="W170" s="4"/>
      <c r="X170" s="4"/>
      <c r="Y170" s="4"/>
      <c r="Z170" s="4"/>
    </row>
    <row r="171" ht="14.25" customHeight="1">
      <c r="W171" s="4"/>
      <c r="X171" s="4"/>
      <c r="Y171" s="4"/>
      <c r="Z171" s="4"/>
    </row>
    <row r="172" ht="14.25" customHeight="1">
      <c r="W172" s="4"/>
      <c r="X172" s="4"/>
      <c r="Y172" s="4"/>
      <c r="Z172" s="4"/>
    </row>
    <row r="173" ht="14.25" customHeight="1">
      <c r="W173" s="4"/>
      <c r="X173" s="4"/>
      <c r="Y173" s="4"/>
      <c r="Z173" s="4"/>
    </row>
    <row r="174" ht="14.25" customHeight="1">
      <c r="W174" s="4"/>
      <c r="X174" s="4"/>
      <c r="Y174" s="4"/>
      <c r="Z174" s="4"/>
    </row>
    <row r="175" ht="14.25" customHeight="1">
      <c r="W175" s="4"/>
      <c r="X175" s="4"/>
      <c r="Y175" s="4"/>
      <c r="Z175" s="4"/>
    </row>
    <row r="176" ht="14.25" customHeight="1">
      <c r="W176" s="4"/>
      <c r="X176" s="4"/>
      <c r="Y176" s="4"/>
      <c r="Z176" s="4"/>
    </row>
    <row r="177" ht="14.25" customHeight="1">
      <c r="W177" s="4"/>
      <c r="X177" s="4"/>
      <c r="Y177" s="4"/>
      <c r="Z177" s="4"/>
    </row>
    <row r="178" ht="14.25" customHeight="1">
      <c r="W178" s="4"/>
      <c r="X178" s="4"/>
      <c r="Y178" s="4"/>
      <c r="Z178" s="4"/>
    </row>
    <row r="179" ht="14.25" customHeight="1">
      <c r="W179" s="4"/>
      <c r="X179" s="4"/>
      <c r="Y179" s="4"/>
      <c r="Z179" s="4"/>
    </row>
    <row r="180" ht="14.25" customHeight="1">
      <c r="W180" s="4"/>
      <c r="X180" s="4"/>
      <c r="Y180" s="4"/>
      <c r="Z180" s="4"/>
    </row>
    <row r="181" ht="14.25" customHeight="1">
      <c r="W181" s="4"/>
      <c r="X181" s="4"/>
      <c r="Y181" s="4"/>
      <c r="Z181" s="4"/>
    </row>
    <row r="182" ht="14.25" customHeight="1">
      <c r="W182" s="4"/>
      <c r="X182" s="4"/>
      <c r="Y182" s="4"/>
      <c r="Z182" s="4"/>
    </row>
    <row r="183" ht="14.25" customHeight="1">
      <c r="W183" s="4"/>
      <c r="X183" s="4"/>
      <c r="Y183" s="4"/>
      <c r="Z183" s="4"/>
    </row>
    <row r="184" ht="14.25" customHeight="1">
      <c r="W184" s="4"/>
      <c r="X184" s="4"/>
      <c r="Y184" s="4"/>
      <c r="Z184" s="4"/>
    </row>
    <row r="185" ht="14.25" customHeight="1">
      <c r="W185" s="4"/>
      <c r="X185" s="4"/>
      <c r="Y185" s="4"/>
      <c r="Z185" s="4"/>
    </row>
    <row r="186" ht="14.25" customHeight="1">
      <c r="W186" s="4"/>
      <c r="X186" s="4"/>
      <c r="Y186" s="4"/>
      <c r="Z186" s="4"/>
    </row>
    <row r="187" ht="14.25" customHeight="1">
      <c r="W187" s="4"/>
      <c r="X187" s="4"/>
      <c r="Y187" s="4"/>
      <c r="Z187" s="4"/>
    </row>
    <row r="188" ht="14.25" customHeight="1">
      <c r="W188" s="4"/>
      <c r="X188" s="4"/>
      <c r="Y188" s="4"/>
      <c r="Z188" s="4"/>
    </row>
    <row r="189" ht="14.25" customHeight="1">
      <c r="W189" s="4"/>
      <c r="X189" s="4"/>
      <c r="Y189" s="4"/>
      <c r="Z189" s="4"/>
    </row>
    <row r="190" ht="14.25" customHeight="1">
      <c r="W190" s="4"/>
      <c r="X190" s="4"/>
      <c r="Y190" s="4"/>
      <c r="Z190" s="4"/>
    </row>
    <row r="191" ht="14.25" customHeight="1">
      <c r="W191" s="4"/>
      <c r="X191" s="4"/>
      <c r="Y191" s="4"/>
      <c r="Z191" s="4"/>
    </row>
    <row r="192" ht="14.25" customHeight="1">
      <c r="W192" s="4"/>
      <c r="X192" s="4"/>
      <c r="Y192" s="4"/>
      <c r="Z192" s="4"/>
    </row>
    <row r="193" ht="14.25" customHeight="1">
      <c r="W193" s="4"/>
      <c r="X193" s="4"/>
      <c r="Y193" s="4"/>
      <c r="Z193" s="4"/>
    </row>
    <row r="194" ht="14.25" customHeight="1">
      <c r="W194" s="4"/>
      <c r="X194" s="4"/>
      <c r="Y194" s="4"/>
      <c r="Z194" s="4"/>
    </row>
    <row r="195" ht="14.25" customHeight="1">
      <c r="W195" s="4"/>
      <c r="X195" s="4"/>
      <c r="Y195" s="4"/>
      <c r="Z195" s="4"/>
    </row>
    <row r="196" ht="14.25" customHeight="1">
      <c r="W196" s="4"/>
      <c r="X196" s="4"/>
      <c r="Y196" s="4"/>
      <c r="Z196" s="4"/>
    </row>
    <row r="197" ht="14.25" customHeight="1">
      <c r="W197" s="4"/>
      <c r="X197" s="4"/>
      <c r="Y197" s="4"/>
      <c r="Z197" s="4"/>
    </row>
    <row r="198" ht="14.25" customHeight="1">
      <c r="W198" s="4"/>
      <c r="X198" s="4"/>
      <c r="Y198" s="4"/>
      <c r="Z198" s="4"/>
    </row>
    <row r="199" ht="14.25" customHeight="1">
      <c r="W199" s="4"/>
      <c r="X199" s="4"/>
      <c r="Y199" s="4"/>
      <c r="Z199" s="4"/>
    </row>
    <row r="200" ht="14.25" customHeight="1">
      <c r="W200" s="4"/>
      <c r="X200" s="4"/>
      <c r="Y200" s="4"/>
      <c r="Z200" s="4"/>
    </row>
    <row r="201" ht="14.25" customHeight="1">
      <c r="W201" s="4"/>
      <c r="X201" s="4"/>
      <c r="Y201" s="4"/>
      <c r="Z201" s="4"/>
    </row>
    <row r="202" ht="14.25" customHeight="1">
      <c r="W202" s="4"/>
      <c r="X202" s="4"/>
      <c r="Y202" s="4"/>
      <c r="Z202" s="4"/>
    </row>
    <row r="203" ht="14.25" customHeight="1">
      <c r="W203" s="4"/>
      <c r="X203" s="4"/>
      <c r="Y203" s="4"/>
      <c r="Z203" s="4"/>
    </row>
    <row r="204" ht="14.25" customHeight="1">
      <c r="W204" s="4"/>
      <c r="X204" s="4"/>
      <c r="Y204" s="4"/>
      <c r="Z204" s="4"/>
    </row>
    <row r="205" ht="14.25" customHeight="1">
      <c r="W205" s="4"/>
      <c r="X205" s="4"/>
      <c r="Y205" s="4"/>
      <c r="Z205" s="4"/>
    </row>
    <row r="206" ht="14.25" customHeight="1">
      <c r="W206" s="4"/>
      <c r="X206" s="4"/>
      <c r="Y206" s="4"/>
      <c r="Z206" s="4"/>
    </row>
    <row r="207" ht="14.25" customHeight="1">
      <c r="W207" s="4"/>
      <c r="X207" s="4"/>
      <c r="Y207" s="4"/>
      <c r="Z207" s="4"/>
    </row>
    <row r="208" ht="14.25" customHeight="1">
      <c r="W208" s="4"/>
      <c r="X208" s="4"/>
      <c r="Y208" s="4"/>
      <c r="Z208" s="4"/>
    </row>
    <row r="209" ht="14.25" customHeight="1">
      <c r="W209" s="4"/>
      <c r="X209" s="4"/>
      <c r="Y209" s="4"/>
      <c r="Z209" s="4"/>
    </row>
    <row r="210" ht="14.25" customHeight="1">
      <c r="W210" s="4"/>
      <c r="X210" s="4"/>
      <c r="Y210" s="4"/>
      <c r="Z210" s="4"/>
    </row>
    <row r="211" ht="14.25" customHeight="1">
      <c r="W211" s="4"/>
      <c r="X211" s="4"/>
      <c r="Y211" s="4"/>
      <c r="Z211" s="4"/>
    </row>
    <row r="212" ht="14.25" customHeight="1">
      <c r="W212" s="4"/>
      <c r="X212" s="4"/>
      <c r="Y212" s="4"/>
      <c r="Z212" s="4"/>
    </row>
    <row r="213" ht="14.25" customHeight="1">
      <c r="W213" s="4"/>
      <c r="X213" s="4"/>
      <c r="Y213" s="4"/>
      <c r="Z213" s="4"/>
    </row>
    <row r="214" ht="14.25" customHeight="1">
      <c r="W214" s="4"/>
      <c r="X214" s="4"/>
      <c r="Y214" s="4"/>
      <c r="Z214" s="4"/>
    </row>
    <row r="215" ht="14.25" customHeight="1">
      <c r="W215" s="4"/>
      <c r="X215" s="4"/>
      <c r="Y215" s="4"/>
      <c r="Z215" s="4"/>
    </row>
    <row r="216" ht="14.25" customHeight="1">
      <c r="W216" s="4"/>
      <c r="X216" s="4"/>
      <c r="Y216" s="4"/>
      <c r="Z216" s="4"/>
    </row>
    <row r="217" ht="14.25" customHeight="1">
      <c r="W217" s="4"/>
      <c r="X217" s="4"/>
      <c r="Y217" s="4"/>
      <c r="Z217" s="4"/>
    </row>
    <row r="218" ht="14.25" customHeight="1">
      <c r="W218" s="4"/>
      <c r="X218" s="4"/>
      <c r="Y218" s="4"/>
      <c r="Z218" s="4"/>
    </row>
    <row r="219" ht="14.25" customHeight="1">
      <c r="W219" s="4"/>
      <c r="X219" s="4"/>
      <c r="Y219" s="4"/>
      <c r="Z219" s="4"/>
    </row>
    <row r="220" ht="14.25" customHeight="1">
      <c r="W220" s="4"/>
      <c r="X220" s="4"/>
      <c r="Y220" s="4"/>
      <c r="Z220" s="4"/>
    </row>
    <row r="221" ht="14.25" customHeight="1">
      <c r="W221" s="4"/>
      <c r="X221" s="4"/>
      <c r="Y221" s="4"/>
      <c r="Z221" s="4"/>
    </row>
    <row r="222" ht="14.25" customHeight="1">
      <c r="W222" s="4"/>
      <c r="X222" s="4"/>
      <c r="Y222" s="4"/>
      <c r="Z222" s="4"/>
    </row>
    <row r="223" ht="14.25" customHeight="1">
      <c r="W223" s="4"/>
      <c r="X223" s="4"/>
      <c r="Y223" s="4"/>
      <c r="Z223" s="4"/>
    </row>
    <row r="224" ht="14.25" customHeight="1">
      <c r="W224" s="4"/>
      <c r="X224" s="4"/>
      <c r="Y224" s="4"/>
      <c r="Z224" s="4"/>
    </row>
    <row r="225" ht="14.25" customHeight="1">
      <c r="W225" s="4"/>
      <c r="X225" s="4"/>
      <c r="Y225" s="4"/>
      <c r="Z225" s="4"/>
    </row>
    <row r="226" ht="14.25" customHeight="1">
      <c r="W226" s="4"/>
      <c r="X226" s="4"/>
      <c r="Y226" s="4"/>
      <c r="Z226" s="4"/>
    </row>
    <row r="227" ht="14.25" customHeight="1">
      <c r="W227" s="4"/>
      <c r="X227" s="4"/>
      <c r="Y227" s="4"/>
      <c r="Z227" s="4"/>
    </row>
    <row r="228" ht="14.25" customHeight="1">
      <c r="W228" s="4"/>
      <c r="X228" s="4"/>
      <c r="Y228" s="4"/>
      <c r="Z228" s="4"/>
    </row>
    <row r="229" ht="14.25" customHeight="1">
      <c r="W229" s="4"/>
      <c r="X229" s="4"/>
      <c r="Y229" s="4"/>
      <c r="Z229" s="4"/>
    </row>
    <row r="230" ht="14.25" customHeight="1">
      <c r="W230" s="4"/>
      <c r="X230" s="4"/>
      <c r="Y230" s="4"/>
      <c r="Z230" s="4"/>
    </row>
    <row r="231" ht="14.25" customHeight="1">
      <c r="W231" s="4"/>
      <c r="X231" s="4"/>
      <c r="Y231" s="4"/>
      <c r="Z231" s="4"/>
    </row>
    <row r="232" ht="14.25" customHeight="1">
      <c r="W232" s="4"/>
      <c r="X232" s="4"/>
      <c r="Y232" s="4"/>
      <c r="Z232" s="4"/>
    </row>
    <row r="233" ht="14.25" customHeight="1">
      <c r="W233" s="4"/>
      <c r="X233" s="4"/>
      <c r="Y233" s="4"/>
      <c r="Z233" s="4"/>
    </row>
    <row r="234" ht="14.25" customHeight="1">
      <c r="W234" s="4"/>
      <c r="X234" s="4"/>
      <c r="Y234" s="4"/>
      <c r="Z234" s="4"/>
    </row>
    <row r="235" ht="14.25" customHeight="1">
      <c r="W235" s="4"/>
      <c r="X235" s="4"/>
      <c r="Y235" s="4"/>
      <c r="Z235" s="4"/>
    </row>
    <row r="236" ht="14.25" customHeight="1">
      <c r="W236" s="4"/>
      <c r="X236" s="4"/>
      <c r="Y236" s="4"/>
      <c r="Z236" s="4"/>
    </row>
    <row r="237" ht="14.25" customHeight="1">
      <c r="W237" s="4"/>
      <c r="X237" s="4"/>
      <c r="Y237" s="4"/>
      <c r="Z237" s="4"/>
    </row>
    <row r="238" ht="14.25" customHeight="1">
      <c r="W238" s="4"/>
      <c r="X238" s="4"/>
      <c r="Y238" s="4"/>
      <c r="Z238" s="4"/>
    </row>
    <row r="239" ht="14.25" customHeight="1">
      <c r="W239" s="4"/>
      <c r="X239" s="4"/>
      <c r="Y239" s="4"/>
      <c r="Z239" s="4"/>
    </row>
    <row r="240" ht="14.25" customHeight="1">
      <c r="W240" s="4"/>
      <c r="X240" s="4"/>
      <c r="Y240" s="4"/>
      <c r="Z240" s="4"/>
    </row>
    <row r="241" ht="14.25" customHeight="1">
      <c r="W241" s="4"/>
      <c r="X241" s="4"/>
      <c r="Y241" s="4"/>
      <c r="Z241" s="4"/>
    </row>
    <row r="242" ht="14.25" customHeight="1">
      <c r="W242" s="4"/>
      <c r="X242" s="4"/>
      <c r="Y242" s="4"/>
      <c r="Z242" s="4"/>
    </row>
    <row r="243" ht="14.25" customHeight="1">
      <c r="W243" s="4"/>
      <c r="X243" s="4"/>
      <c r="Y243" s="4"/>
      <c r="Z243" s="4"/>
    </row>
    <row r="244" ht="14.25" customHeight="1">
      <c r="W244" s="4"/>
      <c r="X244" s="4"/>
      <c r="Y244" s="4"/>
      <c r="Z244" s="4"/>
    </row>
    <row r="245" ht="14.25" customHeight="1">
      <c r="W245" s="4"/>
      <c r="X245" s="4"/>
      <c r="Y245" s="4"/>
      <c r="Z245" s="4"/>
    </row>
    <row r="246" ht="14.25" customHeight="1">
      <c r="W246" s="4"/>
      <c r="X246" s="4"/>
      <c r="Y246" s="4"/>
      <c r="Z246" s="4"/>
    </row>
    <row r="247" ht="14.25" customHeight="1">
      <c r="W247" s="4"/>
      <c r="X247" s="4"/>
      <c r="Y247" s="4"/>
      <c r="Z247" s="4"/>
    </row>
    <row r="248" ht="14.25" customHeight="1">
      <c r="W248" s="4"/>
      <c r="X248" s="4"/>
      <c r="Y248" s="4"/>
      <c r="Z248" s="4"/>
    </row>
    <row r="249" ht="14.25" customHeight="1">
      <c r="W249" s="4"/>
      <c r="X249" s="4"/>
      <c r="Y249" s="4"/>
      <c r="Z249" s="4"/>
    </row>
    <row r="250" ht="14.25" customHeight="1">
      <c r="W250" s="4"/>
      <c r="X250" s="4"/>
      <c r="Y250" s="4"/>
      <c r="Z250" s="4"/>
    </row>
    <row r="251" ht="14.25" customHeight="1">
      <c r="W251" s="4"/>
      <c r="X251" s="4"/>
      <c r="Y251" s="4"/>
      <c r="Z251" s="4"/>
    </row>
    <row r="252" ht="14.25" customHeight="1">
      <c r="W252" s="4"/>
      <c r="X252" s="4"/>
      <c r="Y252" s="4"/>
      <c r="Z252" s="4"/>
    </row>
    <row r="253" ht="14.25" customHeight="1">
      <c r="W253" s="4"/>
      <c r="X253" s="4"/>
      <c r="Y253" s="4"/>
      <c r="Z253" s="4"/>
    </row>
    <row r="254" ht="14.25" customHeight="1">
      <c r="W254" s="4"/>
      <c r="X254" s="4"/>
      <c r="Y254" s="4"/>
      <c r="Z254" s="4"/>
    </row>
    <row r="255" ht="14.25" customHeight="1">
      <c r="W255" s="4"/>
      <c r="X255" s="4"/>
      <c r="Y255" s="4"/>
      <c r="Z255" s="4"/>
    </row>
    <row r="256" ht="14.25" customHeight="1">
      <c r="W256" s="4"/>
      <c r="X256" s="4"/>
      <c r="Y256" s="4"/>
      <c r="Z256" s="4"/>
    </row>
    <row r="257" ht="14.25" customHeight="1">
      <c r="W257" s="4"/>
      <c r="X257" s="4"/>
      <c r="Y257" s="4"/>
      <c r="Z257" s="4"/>
    </row>
    <row r="258" ht="14.25" customHeight="1">
      <c r="W258" s="4"/>
      <c r="X258" s="4"/>
      <c r="Y258" s="4"/>
      <c r="Z258" s="4"/>
    </row>
    <row r="259" ht="14.25" customHeight="1">
      <c r="W259" s="4"/>
      <c r="X259" s="4"/>
      <c r="Y259" s="4"/>
      <c r="Z259" s="4"/>
    </row>
    <row r="260" ht="14.25" customHeight="1">
      <c r="W260" s="4"/>
      <c r="X260" s="4"/>
      <c r="Y260" s="4"/>
      <c r="Z260" s="4"/>
    </row>
    <row r="261" ht="14.25" customHeight="1">
      <c r="W261" s="4"/>
      <c r="X261" s="4"/>
      <c r="Y261" s="4"/>
      <c r="Z261" s="4"/>
    </row>
    <row r="262" ht="14.25" customHeight="1">
      <c r="W262" s="4"/>
      <c r="X262" s="4"/>
      <c r="Y262" s="4"/>
      <c r="Z262" s="4"/>
    </row>
    <row r="263" ht="14.25" customHeight="1">
      <c r="W263" s="4"/>
      <c r="X263" s="4"/>
      <c r="Y263" s="4"/>
      <c r="Z263" s="4"/>
    </row>
    <row r="264" ht="14.25" customHeight="1">
      <c r="W264" s="4"/>
      <c r="X264" s="4"/>
      <c r="Y264" s="4"/>
      <c r="Z264" s="4"/>
    </row>
    <row r="265" ht="14.25" customHeight="1">
      <c r="W265" s="4"/>
      <c r="X265" s="4"/>
      <c r="Y265" s="4"/>
      <c r="Z265" s="4"/>
    </row>
    <row r="266" ht="14.25" customHeight="1">
      <c r="W266" s="4"/>
      <c r="X266" s="4"/>
      <c r="Y266" s="4"/>
      <c r="Z266" s="4"/>
    </row>
    <row r="267" ht="14.25" customHeight="1">
      <c r="W267" s="4"/>
      <c r="X267" s="4"/>
      <c r="Y267" s="4"/>
      <c r="Z267" s="4"/>
    </row>
    <row r="268" ht="14.25" customHeight="1">
      <c r="W268" s="4"/>
      <c r="X268" s="4"/>
      <c r="Y268" s="4"/>
      <c r="Z268" s="4"/>
    </row>
    <row r="269" ht="14.25" customHeight="1">
      <c r="W269" s="4"/>
      <c r="X269" s="4"/>
      <c r="Y269" s="4"/>
      <c r="Z269" s="4"/>
    </row>
    <row r="270" ht="14.25" customHeight="1">
      <c r="W270" s="4"/>
      <c r="X270" s="4"/>
      <c r="Y270" s="4"/>
      <c r="Z270" s="4"/>
    </row>
    <row r="271" ht="14.25" customHeight="1">
      <c r="W271" s="4"/>
      <c r="X271" s="4"/>
      <c r="Y271" s="4"/>
      <c r="Z271" s="4"/>
    </row>
    <row r="272" ht="14.25" customHeight="1">
      <c r="W272" s="4"/>
      <c r="X272" s="4"/>
      <c r="Y272" s="4"/>
      <c r="Z272" s="4"/>
    </row>
    <row r="273" ht="14.25" customHeight="1">
      <c r="W273" s="4"/>
      <c r="X273" s="4"/>
      <c r="Y273" s="4"/>
      <c r="Z273" s="4"/>
    </row>
    <row r="274" ht="14.25" customHeight="1">
      <c r="W274" s="4"/>
      <c r="X274" s="4"/>
      <c r="Y274" s="4"/>
      <c r="Z274" s="4"/>
    </row>
    <row r="275" ht="14.25" customHeight="1">
      <c r="W275" s="4"/>
      <c r="X275" s="4"/>
      <c r="Y275" s="4"/>
      <c r="Z275" s="4"/>
    </row>
    <row r="276" ht="14.25" customHeight="1">
      <c r="W276" s="4"/>
      <c r="X276" s="4"/>
      <c r="Y276" s="4"/>
      <c r="Z276" s="4"/>
    </row>
    <row r="277" ht="14.25" customHeight="1">
      <c r="W277" s="4"/>
      <c r="X277" s="4"/>
      <c r="Y277" s="4"/>
      <c r="Z277" s="4"/>
    </row>
    <row r="278" ht="14.25" customHeight="1">
      <c r="W278" s="4"/>
      <c r="X278" s="4"/>
      <c r="Y278" s="4"/>
      <c r="Z278" s="4"/>
    </row>
    <row r="279" ht="14.25" customHeight="1">
      <c r="W279" s="4"/>
      <c r="X279" s="4"/>
      <c r="Y279" s="4"/>
      <c r="Z279" s="4"/>
    </row>
    <row r="280" ht="14.25" customHeight="1">
      <c r="W280" s="4"/>
      <c r="X280" s="4"/>
      <c r="Y280" s="4"/>
      <c r="Z280" s="4"/>
    </row>
    <row r="281" ht="14.25" customHeight="1">
      <c r="W281" s="4"/>
      <c r="X281" s="4"/>
      <c r="Y281" s="4"/>
      <c r="Z281" s="4"/>
    </row>
    <row r="282" ht="14.25" customHeight="1">
      <c r="W282" s="4"/>
      <c r="X282" s="4"/>
      <c r="Y282" s="4"/>
      <c r="Z282" s="4"/>
    </row>
    <row r="283" ht="14.25" customHeight="1">
      <c r="W283" s="4"/>
      <c r="X283" s="4"/>
      <c r="Y283" s="4"/>
      <c r="Z283" s="4"/>
    </row>
    <row r="284" ht="14.25" customHeight="1">
      <c r="W284" s="4"/>
      <c r="X284" s="4"/>
      <c r="Y284" s="4"/>
      <c r="Z284" s="4"/>
    </row>
    <row r="285" ht="14.25" customHeight="1">
      <c r="W285" s="4"/>
      <c r="X285" s="4"/>
      <c r="Y285" s="4"/>
      <c r="Z285" s="4"/>
    </row>
    <row r="286" ht="14.25" customHeight="1">
      <c r="W286" s="4"/>
      <c r="X286" s="4"/>
      <c r="Y286" s="4"/>
      <c r="Z286" s="4"/>
    </row>
    <row r="287" ht="14.25" customHeight="1">
      <c r="W287" s="4"/>
      <c r="X287" s="4"/>
      <c r="Y287" s="4"/>
      <c r="Z287" s="4"/>
    </row>
    <row r="288" ht="14.25" customHeight="1">
      <c r="W288" s="4"/>
      <c r="X288" s="4"/>
      <c r="Y288" s="4"/>
      <c r="Z288" s="4"/>
    </row>
    <row r="289" ht="14.25" customHeight="1">
      <c r="W289" s="4"/>
      <c r="X289" s="4"/>
      <c r="Y289" s="4"/>
      <c r="Z289" s="4"/>
    </row>
    <row r="290" ht="14.25" customHeight="1">
      <c r="W290" s="4"/>
      <c r="X290" s="4"/>
      <c r="Y290" s="4"/>
      <c r="Z290" s="4"/>
    </row>
    <row r="291" ht="14.25" customHeight="1">
      <c r="W291" s="4"/>
      <c r="X291" s="4"/>
      <c r="Y291" s="4"/>
      <c r="Z291" s="4"/>
    </row>
    <row r="292" ht="14.25" customHeight="1">
      <c r="W292" s="4"/>
      <c r="X292" s="4"/>
      <c r="Y292" s="4"/>
      <c r="Z292" s="4"/>
    </row>
    <row r="293" ht="14.25" customHeight="1">
      <c r="W293" s="4"/>
      <c r="X293" s="4"/>
      <c r="Y293" s="4"/>
      <c r="Z293" s="4"/>
    </row>
    <row r="294" ht="14.25" customHeight="1">
      <c r="W294" s="4"/>
      <c r="X294" s="4"/>
      <c r="Y294" s="4"/>
      <c r="Z294" s="4"/>
    </row>
    <row r="295" ht="14.25" customHeight="1">
      <c r="W295" s="4"/>
      <c r="X295" s="4"/>
      <c r="Y295" s="4"/>
      <c r="Z295" s="4"/>
    </row>
    <row r="296" ht="14.25" customHeight="1">
      <c r="W296" s="4"/>
      <c r="X296" s="4"/>
      <c r="Y296" s="4"/>
      <c r="Z296" s="4"/>
    </row>
    <row r="297" ht="14.25" customHeight="1">
      <c r="W297" s="4"/>
      <c r="X297" s="4"/>
      <c r="Y297" s="4"/>
      <c r="Z297" s="4"/>
    </row>
    <row r="298" ht="14.25" customHeight="1">
      <c r="W298" s="4"/>
      <c r="X298" s="4"/>
      <c r="Y298" s="4"/>
      <c r="Z298" s="4"/>
    </row>
    <row r="299" ht="14.25" customHeight="1">
      <c r="W299" s="4"/>
      <c r="X299" s="4"/>
      <c r="Y299" s="4"/>
      <c r="Z299" s="4"/>
    </row>
    <row r="300" ht="14.25" customHeight="1">
      <c r="W300" s="4"/>
      <c r="X300" s="4"/>
      <c r="Y300" s="4"/>
      <c r="Z300" s="4"/>
    </row>
    <row r="301" ht="14.25" customHeight="1">
      <c r="W301" s="4"/>
      <c r="X301" s="4"/>
      <c r="Y301" s="4"/>
      <c r="Z301" s="4"/>
    </row>
    <row r="302" ht="14.25" customHeight="1">
      <c r="W302" s="4"/>
      <c r="X302" s="4"/>
      <c r="Y302" s="4"/>
      <c r="Z302" s="4"/>
    </row>
    <row r="303" ht="14.25" customHeight="1">
      <c r="W303" s="4"/>
      <c r="X303" s="4"/>
      <c r="Y303" s="4"/>
      <c r="Z303" s="4"/>
    </row>
    <row r="304" ht="14.25" customHeight="1">
      <c r="W304" s="4"/>
      <c r="X304" s="4"/>
      <c r="Y304" s="4"/>
      <c r="Z304" s="4"/>
    </row>
    <row r="305" ht="14.25" customHeight="1">
      <c r="W305" s="4"/>
      <c r="X305" s="4"/>
      <c r="Y305" s="4"/>
      <c r="Z305" s="4"/>
    </row>
    <row r="306" ht="14.25" customHeight="1">
      <c r="W306" s="4"/>
      <c r="X306" s="4"/>
      <c r="Y306" s="4"/>
      <c r="Z306" s="4"/>
    </row>
    <row r="307" ht="14.25" customHeight="1">
      <c r="W307" s="4"/>
      <c r="X307" s="4"/>
      <c r="Y307" s="4"/>
      <c r="Z307" s="4"/>
    </row>
    <row r="308" ht="14.25" customHeight="1">
      <c r="W308" s="4"/>
      <c r="X308" s="4"/>
      <c r="Y308" s="4"/>
      <c r="Z308" s="4"/>
    </row>
    <row r="309" ht="14.25" customHeight="1">
      <c r="W309" s="4"/>
      <c r="X309" s="4"/>
      <c r="Y309" s="4"/>
      <c r="Z309" s="4"/>
    </row>
    <row r="310" ht="14.25" customHeight="1">
      <c r="W310" s="4"/>
      <c r="X310" s="4"/>
      <c r="Y310" s="4"/>
      <c r="Z310" s="4"/>
    </row>
    <row r="311" ht="14.25" customHeight="1">
      <c r="W311" s="4"/>
      <c r="X311" s="4"/>
      <c r="Y311" s="4"/>
      <c r="Z311" s="4"/>
    </row>
    <row r="312" ht="14.25" customHeight="1">
      <c r="W312" s="4"/>
      <c r="X312" s="4"/>
      <c r="Y312" s="4"/>
      <c r="Z312" s="4"/>
    </row>
    <row r="313" ht="14.25" customHeight="1">
      <c r="W313" s="4"/>
      <c r="X313" s="4"/>
      <c r="Y313" s="4"/>
      <c r="Z313" s="4"/>
    </row>
    <row r="314" ht="14.25" customHeight="1">
      <c r="W314" s="4"/>
      <c r="X314" s="4"/>
      <c r="Y314" s="4"/>
      <c r="Z314" s="4"/>
    </row>
    <row r="315" ht="14.25" customHeight="1">
      <c r="W315" s="4"/>
      <c r="X315" s="4"/>
      <c r="Y315" s="4"/>
      <c r="Z315" s="4"/>
    </row>
    <row r="316" ht="14.25" customHeight="1">
      <c r="W316" s="4"/>
      <c r="X316" s="4"/>
      <c r="Y316" s="4"/>
      <c r="Z316" s="4"/>
    </row>
    <row r="317" ht="14.25" customHeight="1">
      <c r="W317" s="4"/>
      <c r="X317" s="4"/>
      <c r="Y317" s="4"/>
      <c r="Z317" s="4"/>
    </row>
    <row r="318" ht="14.25" customHeight="1">
      <c r="W318" s="4"/>
      <c r="X318" s="4"/>
      <c r="Y318" s="4"/>
      <c r="Z318" s="4"/>
    </row>
    <row r="319" ht="14.25" customHeight="1">
      <c r="W319" s="4"/>
      <c r="X319" s="4"/>
      <c r="Y319" s="4"/>
      <c r="Z319" s="4"/>
    </row>
    <row r="320" ht="14.25" customHeight="1">
      <c r="W320" s="4"/>
      <c r="X320" s="4"/>
      <c r="Y320" s="4"/>
      <c r="Z320" s="4"/>
    </row>
    <row r="321" ht="14.25" customHeight="1">
      <c r="W321" s="4"/>
      <c r="X321" s="4"/>
      <c r="Y321" s="4"/>
      <c r="Z321" s="4"/>
    </row>
    <row r="322" ht="14.25" customHeight="1">
      <c r="W322" s="4"/>
      <c r="X322" s="4"/>
      <c r="Y322" s="4"/>
      <c r="Z322" s="4"/>
    </row>
    <row r="323" ht="14.25" customHeight="1">
      <c r="W323" s="4"/>
      <c r="X323" s="4"/>
      <c r="Y323" s="4"/>
      <c r="Z323" s="4"/>
    </row>
    <row r="324" ht="14.25" customHeight="1">
      <c r="W324" s="4"/>
      <c r="X324" s="4"/>
      <c r="Y324" s="4"/>
      <c r="Z324" s="4"/>
    </row>
    <row r="325" ht="14.25" customHeight="1">
      <c r="W325" s="4"/>
      <c r="X325" s="4"/>
      <c r="Y325" s="4"/>
      <c r="Z325" s="4"/>
    </row>
    <row r="326" ht="14.25" customHeight="1">
      <c r="W326" s="4"/>
      <c r="X326" s="4"/>
      <c r="Y326" s="4"/>
      <c r="Z326" s="4"/>
    </row>
    <row r="327" ht="14.25" customHeight="1">
      <c r="W327" s="4"/>
      <c r="X327" s="4"/>
      <c r="Y327" s="4"/>
      <c r="Z327" s="4"/>
    </row>
    <row r="328" ht="14.25" customHeight="1">
      <c r="W328" s="4"/>
      <c r="X328" s="4"/>
      <c r="Y328" s="4"/>
      <c r="Z328" s="4"/>
    </row>
    <row r="329" ht="14.25" customHeight="1">
      <c r="W329" s="4"/>
      <c r="X329" s="4"/>
      <c r="Y329" s="4"/>
      <c r="Z329" s="4"/>
    </row>
    <row r="330" ht="14.25" customHeight="1">
      <c r="W330" s="4"/>
      <c r="X330" s="4"/>
      <c r="Y330" s="4"/>
      <c r="Z330" s="4"/>
    </row>
    <row r="331" ht="14.25" customHeight="1">
      <c r="W331" s="4"/>
      <c r="X331" s="4"/>
      <c r="Y331" s="4"/>
      <c r="Z331" s="4"/>
    </row>
    <row r="332" ht="14.25" customHeight="1">
      <c r="W332" s="4"/>
      <c r="X332" s="4"/>
      <c r="Y332" s="4"/>
      <c r="Z332" s="4"/>
    </row>
    <row r="333" ht="14.25" customHeight="1">
      <c r="W333" s="4"/>
      <c r="X333" s="4"/>
      <c r="Y333" s="4"/>
      <c r="Z333" s="4"/>
    </row>
    <row r="334" ht="14.25" customHeight="1">
      <c r="W334" s="4"/>
      <c r="X334" s="4"/>
      <c r="Y334" s="4"/>
      <c r="Z334" s="4"/>
    </row>
    <row r="335" ht="14.25" customHeight="1">
      <c r="W335" s="4"/>
      <c r="X335" s="4"/>
      <c r="Y335" s="4"/>
      <c r="Z335" s="4"/>
    </row>
    <row r="336" ht="14.25" customHeight="1">
      <c r="W336" s="4"/>
      <c r="X336" s="4"/>
      <c r="Y336" s="4"/>
      <c r="Z336" s="4"/>
    </row>
    <row r="337" ht="14.25" customHeight="1">
      <c r="W337" s="4"/>
      <c r="X337" s="4"/>
      <c r="Y337" s="4"/>
      <c r="Z337" s="4"/>
    </row>
    <row r="338" ht="14.25" customHeight="1">
      <c r="W338" s="4"/>
      <c r="X338" s="4"/>
      <c r="Y338" s="4"/>
      <c r="Z338" s="4"/>
    </row>
    <row r="339" ht="14.25" customHeight="1">
      <c r="W339" s="4"/>
      <c r="X339" s="4"/>
      <c r="Y339" s="4"/>
      <c r="Z339" s="4"/>
    </row>
    <row r="340" ht="14.25" customHeight="1">
      <c r="W340" s="4"/>
      <c r="X340" s="4"/>
      <c r="Y340" s="4"/>
      <c r="Z340" s="4"/>
    </row>
    <row r="341" ht="14.25" customHeight="1">
      <c r="W341" s="4"/>
      <c r="X341" s="4"/>
      <c r="Y341" s="4"/>
      <c r="Z341" s="4"/>
    </row>
    <row r="342" ht="14.25" customHeight="1">
      <c r="W342" s="4"/>
      <c r="X342" s="4"/>
      <c r="Y342" s="4"/>
      <c r="Z342" s="4"/>
    </row>
    <row r="343" ht="14.25" customHeight="1">
      <c r="W343" s="4"/>
      <c r="X343" s="4"/>
      <c r="Y343" s="4"/>
      <c r="Z343" s="4"/>
    </row>
    <row r="344" ht="14.25" customHeight="1">
      <c r="W344" s="4"/>
      <c r="X344" s="4"/>
      <c r="Y344" s="4"/>
      <c r="Z344" s="4"/>
    </row>
    <row r="345" ht="14.25" customHeight="1">
      <c r="W345" s="4"/>
      <c r="X345" s="4"/>
      <c r="Y345" s="4"/>
      <c r="Z345" s="4"/>
    </row>
    <row r="346" ht="14.25" customHeight="1">
      <c r="W346" s="4"/>
      <c r="X346" s="4"/>
      <c r="Y346" s="4"/>
      <c r="Z346" s="4"/>
    </row>
    <row r="347" ht="14.25" customHeight="1">
      <c r="W347" s="4"/>
      <c r="X347" s="4"/>
      <c r="Y347" s="4"/>
      <c r="Z347" s="4"/>
    </row>
    <row r="348" ht="14.25" customHeight="1">
      <c r="W348" s="4"/>
      <c r="X348" s="4"/>
      <c r="Y348" s="4"/>
      <c r="Z348" s="4"/>
    </row>
    <row r="349" ht="14.25" customHeight="1">
      <c r="W349" s="4"/>
      <c r="X349" s="4"/>
      <c r="Y349" s="4"/>
      <c r="Z349" s="4"/>
    </row>
    <row r="350" ht="14.25" customHeight="1">
      <c r="W350" s="4"/>
      <c r="X350" s="4"/>
      <c r="Y350" s="4"/>
      <c r="Z350" s="4"/>
    </row>
    <row r="351" ht="14.25" customHeight="1">
      <c r="W351" s="4"/>
      <c r="X351" s="4"/>
      <c r="Y351" s="4"/>
      <c r="Z351" s="4"/>
    </row>
    <row r="352" ht="14.25" customHeight="1">
      <c r="W352" s="4"/>
      <c r="X352" s="4"/>
      <c r="Y352" s="4"/>
      <c r="Z352" s="4"/>
    </row>
    <row r="353" ht="14.25" customHeight="1">
      <c r="W353" s="4"/>
      <c r="X353" s="4"/>
      <c r="Y353" s="4"/>
      <c r="Z353" s="4"/>
    </row>
    <row r="354" ht="14.25" customHeight="1">
      <c r="W354" s="4"/>
      <c r="X354" s="4"/>
      <c r="Y354" s="4"/>
      <c r="Z354" s="4"/>
    </row>
    <row r="355" ht="14.25" customHeight="1">
      <c r="W355" s="4"/>
      <c r="X355" s="4"/>
      <c r="Y355" s="4"/>
      <c r="Z355" s="4"/>
    </row>
    <row r="356" ht="14.25" customHeight="1">
      <c r="W356" s="4"/>
      <c r="X356" s="4"/>
      <c r="Y356" s="4"/>
      <c r="Z356" s="4"/>
    </row>
    <row r="357" ht="14.25" customHeight="1">
      <c r="W357" s="4"/>
      <c r="X357" s="4"/>
      <c r="Y357" s="4"/>
      <c r="Z357" s="4"/>
    </row>
    <row r="358" ht="14.25" customHeight="1">
      <c r="W358" s="4"/>
      <c r="X358" s="4"/>
      <c r="Y358" s="4"/>
      <c r="Z358" s="4"/>
    </row>
    <row r="359" ht="14.25" customHeight="1">
      <c r="W359" s="4"/>
      <c r="X359" s="4"/>
      <c r="Y359" s="4"/>
      <c r="Z359" s="4"/>
    </row>
    <row r="360" ht="14.25" customHeight="1">
      <c r="W360" s="4"/>
      <c r="X360" s="4"/>
      <c r="Y360" s="4"/>
      <c r="Z360" s="4"/>
    </row>
    <row r="361" ht="14.25" customHeight="1">
      <c r="W361" s="4"/>
      <c r="X361" s="4"/>
      <c r="Y361" s="4"/>
      <c r="Z361" s="4"/>
    </row>
    <row r="362" ht="14.25" customHeight="1">
      <c r="W362" s="4"/>
      <c r="X362" s="4"/>
      <c r="Y362" s="4"/>
      <c r="Z362" s="4"/>
    </row>
    <row r="363" ht="14.25" customHeight="1">
      <c r="W363" s="4"/>
      <c r="X363" s="4"/>
      <c r="Y363" s="4"/>
      <c r="Z363" s="4"/>
    </row>
    <row r="364" ht="14.25" customHeight="1">
      <c r="W364" s="4"/>
      <c r="X364" s="4"/>
      <c r="Y364" s="4"/>
      <c r="Z364" s="4"/>
    </row>
    <row r="365" ht="14.25" customHeight="1">
      <c r="W365" s="4"/>
      <c r="X365" s="4"/>
      <c r="Y365" s="4"/>
      <c r="Z365" s="4"/>
    </row>
    <row r="366" ht="14.25" customHeight="1">
      <c r="W366" s="4"/>
      <c r="X366" s="4"/>
      <c r="Y366" s="4"/>
      <c r="Z366" s="4"/>
    </row>
    <row r="367" ht="14.25" customHeight="1">
      <c r="W367" s="4"/>
      <c r="X367" s="4"/>
      <c r="Y367" s="4"/>
      <c r="Z367" s="4"/>
    </row>
    <row r="368" ht="14.25" customHeight="1">
      <c r="W368" s="4"/>
      <c r="X368" s="4"/>
      <c r="Y368" s="4"/>
      <c r="Z368" s="4"/>
    </row>
    <row r="369" ht="14.25" customHeight="1">
      <c r="W369" s="4"/>
      <c r="X369" s="4"/>
      <c r="Y369" s="4"/>
      <c r="Z369" s="4"/>
    </row>
    <row r="370" ht="14.25" customHeight="1">
      <c r="W370" s="4"/>
      <c r="X370" s="4"/>
      <c r="Y370" s="4"/>
      <c r="Z370" s="4"/>
    </row>
    <row r="371" ht="14.25" customHeight="1">
      <c r="W371" s="4"/>
      <c r="X371" s="4"/>
      <c r="Y371" s="4"/>
      <c r="Z371" s="4"/>
    </row>
    <row r="372" ht="14.25" customHeight="1">
      <c r="W372" s="4"/>
      <c r="X372" s="4"/>
      <c r="Y372" s="4"/>
      <c r="Z372" s="4"/>
    </row>
    <row r="373" ht="14.25" customHeight="1">
      <c r="W373" s="4"/>
      <c r="X373" s="4"/>
      <c r="Y373" s="4"/>
      <c r="Z373" s="4"/>
    </row>
    <row r="374" ht="14.25" customHeight="1">
      <c r="W374" s="4"/>
      <c r="X374" s="4"/>
      <c r="Y374" s="4"/>
      <c r="Z374" s="4"/>
    </row>
    <row r="375" ht="14.25" customHeight="1">
      <c r="W375" s="4"/>
      <c r="X375" s="4"/>
      <c r="Y375" s="4"/>
      <c r="Z375" s="4"/>
    </row>
    <row r="376" ht="14.25" customHeight="1">
      <c r="W376" s="4"/>
      <c r="X376" s="4"/>
      <c r="Y376" s="4"/>
      <c r="Z376" s="4"/>
    </row>
    <row r="377" ht="14.25" customHeight="1">
      <c r="W377" s="4"/>
      <c r="X377" s="4"/>
      <c r="Y377" s="4"/>
      <c r="Z377" s="4"/>
    </row>
    <row r="378" ht="14.25" customHeight="1">
      <c r="W378" s="4"/>
      <c r="X378" s="4"/>
      <c r="Y378" s="4"/>
      <c r="Z378" s="4"/>
    </row>
    <row r="379" ht="14.25" customHeight="1">
      <c r="W379" s="4"/>
      <c r="X379" s="4"/>
      <c r="Y379" s="4"/>
      <c r="Z379" s="4"/>
    </row>
    <row r="380" ht="14.25" customHeight="1">
      <c r="W380" s="4"/>
      <c r="X380" s="4"/>
      <c r="Y380" s="4"/>
      <c r="Z380" s="4"/>
    </row>
    <row r="381" ht="14.25" customHeight="1">
      <c r="W381" s="4"/>
      <c r="X381" s="4"/>
      <c r="Y381" s="4"/>
      <c r="Z381" s="4"/>
    </row>
    <row r="382" ht="14.25" customHeight="1">
      <c r="W382" s="4"/>
      <c r="X382" s="4"/>
      <c r="Y382" s="4"/>
      <c r="Z382" s="4"/>
    </row>
    <row r="383" ht="14.25" customHeight="1">
      <c r="W383" s="4"/>
      <c r="X383" s="4"/>
      <c r="Y383" s="4"/>
      <c r="Z383" s="4"/>
    </row>
    <row r="384" ht="14.25" customHeight="1">
      <c r="W384" s="4"/>
      <c r="X384" s="4"/>
      <c r="Y384" s="4"/>
      <c r="Z384" s="4"/>
    </row>
    <row r="385" ht="14.25" customHeight="1">
      <c r="W385" s="4"/>
      <c r="X385" s="4"/>
      <c r="Y385" s="4"/>
      <c r="Z385" s="4"/>
    </row>
    <row r="386" ht="14.25" customHeight="1">
      <c r="W386" s="4"/>
      <c r="X386" s="4"/>
      <c r="Y386" s="4"/>
      <c r="Z386" s="4"/>
    </row>
    <row r="387" ht="14.25" customHeight="1">
      <c r="W387" s="4"/>
      <c r="X387" s="4"/>
      <c r="Y387" s="4"/>
      <c r="Z387" s="4"/>
    </row>
    <row r="388" ht="14.25" customHeight="1">
      <c r="W388" s="4"/>
      <c r="X388" s="4"/>
      <c r="Y388" s="4"/>
      <c r="Z388" s="4"/>
    </row>
    <row r="389" ht="14.25" customHeight="1">
      <c r="W389" s="4"/>
      <c r="X389" s="4"/>
      <c r="Y389" s="4"/>
      <c r="Z389" s="4"/>
    </row>
    <row r="390" ht="14.25" customHeight="1">
      <c r="W390" s="4"/>
      <c r="X390" s="4"/>
      <c r="Y390" s="4"/>
      <c r="Z390" s="4"/>
    </row>
    <row r="391" ht="14.25" customHeight="1">
      <c r="W391" s="4"/>
      <c r="X391" s="4"/>
      <c r="Y391" s="4"/>
      <c r="Z391" s="4"/>
    </row>
    <row r="392" ht="14.25" customHeight="1">
      <c r="W392" s="4"/>
      <c r="X392" s="4"/>
      <c r="Y392" s="4"/>
      <c r="Z392" s="4"/>
    </row>
    <row r="393" ht="14.25" customHeight="1">
      <c r="W393" s="4"/>
      <c r="X393" s="4"/>
      <c r="Y393" s="4"/>
      <c r="Z393" s="4"/>
    </row>
    <row r="394" ht="14.25" customHeight="1">
      <c r="W394" s="4"/>
      <c r="X394" s="4"/>
      <c r="Y394" s="4"/>
      <c r="Z394" s="4"/>
    </row>
    <row r="395" ht="14.25" customHeight="1">
      <c r="W395" s="4"/>
      <c r="X395" s="4"/>
      <c r="Y395" s="4"/>
      <c r="Z395" s="4"/>
    </row>
    <row r="396" ht="14.25" customHeight="1">
      <c r="W396" s="4"/>
      <c r="X396" s="4"/>
      <c r="Y396" s="4"/>
      <c r="Z396" s="4"/>
    </row>
    <row r="397" ht="14.25" customHeight="1">
      <c r="W397" s="4"/>
      <c r="X397" s="4"/>
      <c r="Y397" s="4"/>
      <c r="Z397" s="4"/>
    </row>
    <row r="398" ht="14.25" customHeight="1">
      <c r="W398" s="4"/>
      <c r="X398" s="4"/>
      <c r="Y398" s="4"/>
      <c r="Z398" s="4"/>
    </row>
    <row r="399" ht="14.25" customHeight="1">
      <c r="W399" s="4"/>
      <c r="X399" s="4"/>
      <c r="Y399" s="4"/>
      <c r="Z399" s="4"/>
    </row>
    <row r="400" ht="14.25" customHeight="1">
      <c r="W400" s="4"/>
      <c r="X400" s="4"/>
      <c r="Y400" s="4"/>
      <c r="Z400" s="4"/>
    </row>
    <row r="401" ht="14.25" customHeight="1">
      <c r="W401" s="4"/>
      <c r="X401" s="4"/>
      <c r="Y401" s="4"/>
      <c r="Z401" s="4"/>
    </row>
    <row r="402" ht="14.25" customHeight="1">
      <c r="W402" s="4"/>
      <c r="X402" s="4"/>
      <c r="Y402" s="4"/>
      <c r="Z402" s="4"/>
    </row>
    <row r="403" ht="14.25" customHeight="1">
      <c r="W403" s="4"/>
      <c r="X403" s="4"/>
      <c r="Y403" s="4"/>
      <c r="Z403" s="4"/>
    </row>
    <row r="404" ht="14.25" customHeight="1">
      <c r="W404" s="4"/>
      <c r="X404" s="4"/>
      <c r="Y404" s="4"/>
      <c r="Z404" s="4"/>
    </row>
    <row r="405" ht="14.25" customHeight="1">
      <c r="W405" s="4"/>
      <c r="X405" s="4"/>
      <c r="Y405" s="4"/>
      <c r="Z405" s="4"/>
    </row>
    <row r="406" ht="14.25" customHeight="1">
      <c r="W406" s="4"/>
      <c r="X406" s="4"/>
      <c r="Y406" s="4"/>
      <c r="Z406" s="4"/>
    </row>
    <row r="407" ht="14.25" customHeight="1">
      <c r="W407" s="4"/>
      <c r="X407" s="4"/>
      <c r="Y407" s="4"/>
      <c r="Z407" s="4"/>
    </row>
    <row r="408" ht="14.25" customHeight="1">
      <c r="W408" s="4"/>
      <c r="X408" s="4"/>
      <c r="Y408" s="4"/>
      <c r="Z408" s="4"/>
    </row>
    <row r="409" ht="14.25" customHeight="1">
      <c r="W409" s="4"/>
      <c r="X409" s="4"/>
      <c r="Y409" s="4"/>
      <c r="Z409" s="4"/>
    </row>
    <row r="410" ht="14.25" customHeight="1">
      <c r="W410" s="4"/>
      <c r="X410" s="4"/>
      <c r="Y410" s="4"/>
      <c r="Z410" s="4"/>
    </row>
    <row r="411" ht="14.25" customHeight="1">
      <c r="W411" s="4"/>
      <c r="X411" s="4"/>
      <c r="Y411" s="4"/>
      <c r="Z411" s="4"/>
    </row>
    <row r="412" ht="14.25" customHeight="1">
      <c r="W412" s="4"/>
      <c r="X412" s="4"/>
      <c r="Y412" s="4"/>
      <c r="Z412" s="4"/>
    </row>
    <row r="413" ht="14.25" customHeight="1">
      <c r="W413" s="4"/>
      <c r="X413" s="4"/>
      <c r="Y413" s="4"/>
      <c r="Z413" s="4"/>
    </row>
    <row r="414" ht="14.25" customHeight="1">
      <c r="W414" s="4"/>
      <c r="X414" s="4"/>
      <c r="Y414" s="4"/>
      <c r="Z414" s="4"/>
    </row>
    <row r="415" ht="14.25" customHeight="1">
      <c r="W415" s="4"/>
      <c r="X415" s="4"/>
      <c r="Y415" s="4"/>
      <c r="Z415" s="4"/>
    </row>
    <row r="416" ht="14.25" customHeight="1">
      <c r="W416" s="4"/>
      <c r="X416" s="4"/>
      <c r="Y416" s="4"/>
      <c r="Z416" s="4"/>
    </row>
    <row r="417" ht="14.25" customHeight="1">
      <c r="W417" s="4"/>
      <c r="X417" s="4"/>
      <c r="Y417" s="4"/>
      <c r="Z417" s="4"/>
    </row>
    <row r="418" ht="14.25" customHeight="1">
      <c r="W418" s="4"/>
      <c r="X418" s="4"/>
      <c r="Y418" s="4"/>
      <c r="Z418" s="4"/>
    </row>
    <row r="419" ht="14.25" customHeight="1">
      <c r="W419" s="4"/>
      <c r="X419" s="4"/>
      <c r="Y419" s="4"/>
      <c r="Z419" s="4"/>
    </row>
    <row r="420" ht="14.25" customHeight="1">
      <c r="W420" s="4"/>
      <c r="X420" s="4"/>
      <c r="Y420" s="4"/>
      <c r="Z420" s="4"/>
    </row>
    <row r="421" ht="14.25" customHeight="1">
      <c r="W421" s="4"/>
      <c r="X421" s="4"/>
      <c r="Y421" s="4"/>
      <c r="Z421" s="4"/>
    </row>
    <row r="422" ht="14.25" customHeight="1">
      <c r="W422" s="4"/>
      <c r="X422" s="4"/>
      <c r="Y422" s="4"/>
      <c r="Z422" s="4"/>
    </row>
    <row r="423" ht="14.25" customHeight="1">
      <c r="W423" s="4"/>
      <c r="X423" s="4"/>
      <c r="Y423" s="4"/>
      <c r="Z423" s="4"/>
    </row>
    <row r="424" ht="14.25" customHeight="1">
      <c r="W424" s="4"/>
      <c r="X424" s="4"/>
      <c r="Y424" s="4"/>
      <c r="Z424" s="4"/>
    </row>
    <row r="425" ht="14.25" customHeight="1">
      <c r="W425" s="4"/>
      <c r="X425" s="4"/>
      <c r="Y425" s="4"/>
      <c r="Z425" s="4"/>
    </row>
    <row r="426" ht="14.25" customHeight="1">
      <c r="W426" s="4"/>
      <c r="X426" s="4"/>
      <c r="Y426" s="4"/>
      <c r="Z426" s="4"/>
    </row>
    <row r="427" ht="14.25" customHeight="1">
      <c r="W427" s="4"/>
      <c r="X427" s="4"/>
      <c r="Y427" s="4"/>
      <c r="Z427" s="4"/>
    </row>
    <row r="428" ht="14.25" customHeight="1">
      <c r="W428" s="4"/>
      <c r="X428" s="4"/>
      <c r="Y428" s="4"/>
      <c r="Z428" s="4"/>
    </row>
    <row r="429" ht="14.25" customHeight="1">
      <c r="W429" s="4"/>
      <c r="X429" s="4"/>
      <c r="Y429" s="4"/>
      <c r="Z429" s="4"/>
    </row>
    <row r="430" ht="14.25" customHeight="1">
      <c r="W430" s="4"/>
      <c r="X430" s="4"/>
      <c r="Y430" s="4"/>
      <c r="Z430" s="4"/>
    </row>
    <row r="431" ht="14.25" customHeight="1">
      <c r="W431" s="4"/>
      <c r="X431" s="4"/>
      <c r="Y431" s="4"/>
      <c r="Z431" s="4"/>
    </row>
    <row r="432" ht="14.25" customHeight="1">
      <c r="W432" s="4"/>
      <c r="X432" s="4"/>
      <c r="Y432" s="4"/>
      <c r="Z432" s="4"/>
    </row>
    <row r="433" ht="14.25" customHeight="1">
      <c r="W433" s="4"/>
      <c r="X433" s="4"/>
      <c r="Y433" s="4"/>
      <c r="Z433" s="4"/>
    </row>
    <row r="434" ht="14.25" customHeight="1">
      <c r="W434" s="4"/>
      <c r="X434" s="4"/>
      <c r="Y434" s="4"/>
      <c r="Z434" s="4"/>
    </row>
    <row r="435" ht="14.25" customHeight="1">
      <c r="W435" s="4"/>
      <c r="X435" s="4"/>
      <c r="Y435" s="4"/>
      <c r="Z435" s="4"/>
    </row>
    <row r="436" ht="14.25" customHeight="1">
      <c r="W436" s="4"/>
      <c r="X436" s="4"/>
      <c r="Y436" s="4"/>
      <c r="Z436" s="4"/>
    </row>
    <row r="437" ht="14.25" customHeight="1">
      <c r="W437" s="4"/>
      <c r="X437" s="4"/>
      <c r="Y437" s="4"/>
      <c r="Z437" s="4"/>
    </row>
    <row r="438" ht="14.25" customHeight="1">
      <c r="W438" s="4"/>
      <c r="X438" s="4"/>
      <c r="Y438" s="4"/>
      <c r="Z438" s="4"/>
    </row>
    <row r="439" ht="14.25" customHeight="1">
      <c r="W439" s="4"/>
      <c r="X439" s="4"/>
      <c r="Y439" s="4"/>
      <c r="Z439" s="4"/>
    </row>
    <row r="440" ht="14.25" customHeight="1">
      <c r="W440" s="4"/>
      <c r="X440" s="4"/>
      <c r="Y440" s="4"/>
      <c r="Z440" s="4"/>
    </row>
    <row r="441" ht="14.25" customHeight="1">
      <c r="W441" s="4"/>
      <c r="X441" s="4"/>
      <c r="Y441" s="4"/>
      <c r="Z441" s="4"/>
    </row>
    <row r="442" ht="14.25" customHeight="1">
      <c r="W442" s="4"/>
      <c r="X442" s="4"/>
      <c r="Y442" s="4"/>
      <c r="Z442" s="4"/>
    </row>
    <row r="443" ht="14.25" customHeight="1">
      <c r="W443" s="4"/>
      <c r="X443" s="4"/>
      <c r="Y443" s="4"/>
      <c r="Z443" s="4"/>
    </row>
    <row r="444" ht="14.25" customHeight="1">
      <c r="W444" s="4"/>
      <c r="X444" s="4"/>
      <c r="Y444" s="4"/>
      <c r="Z444" s="4"/>
    </row>
    <row r="445" ht="14.25" customHeight="1">
      <c r="W445" s="4"/>
      <c r="X445" s="4"/>
      <c r="Y445" s="4"/>
      <c r="Z445" s="4"/>
    </row>
    <row r="446" ht="14.25" customHeight="1">
      <c r="W446" s="4"/>
      <c r="X446" s="4"/>
      <c r="Y446" s="4"/>
      <c r="Z446" s="4"/>
    </row>
    <row r="447" ht="14.25" customHeight="1">
      <c r="W447" s="4"/>
      <c r="X447" s="4"/>
      <c r="Y447" s="4"/>
      <c r="Z447" s="4"/>
    </row>
    <row r="448" ht="14.25" customHeight="1">
      <c r="W448" s="4"/>
      <c r="X448" s="4"/>
      <c r="Y448" s="4"/>
      <c r="Z448" s="4"/>
    </row>
    <row r="449" ht="14.25" customHeight="1">
      <c r="W449" s="4"/>
      <c r="X449" s="4"/>
      <c r="Y449" s="4"/>
      <c r="Z449" s="4"/>
    </row>
    <row r="450" ht="14.25" customHeight="1">
      <c r="W450" s="4"/>
      <c r="X450" s="4"/>
      <c r="Y450" s="4"/>
      <c r="Z450" s="4"/>
    </row>
    <row r="451" ht="14.25" customHeight="1">
      <c r="W451" s="4"/>
      <c r="X451" s="4"/>
      <c r="Y451" s="4"/>
      <c r="Z451" s="4"/>
    </row>
    <row r="452" ht="14.25" customHeight="1">
      <c r="W452" s="4"/>
      <c r="X452" s="4"/>
      <c r="Y452" s="4"/>
      <c r="Z452" s="4"/>
    </row>
    <row r="453" ht="14.25" customHeight="1">
      <c r="W453" s="4"/>
      <c r="X453" s="4"/>
      <c r="Y453" s="4"/>
      <c r="Z453" s="4"/>
    </row>
    <row r="454" ht="14.25" customHeight="1">
      <c r="W454" s="4"/>
      <c r="X454" s="4"/>
      <c r="Y454" s="4"/>
      <c r="Z454" s="4"/>
    </row>
    <row r="455" ht="14.25" customHeight="1">
      <c r="W455" s="4"/>
      <c r="X455" s="4"/>
      <c r="Y455" s="4"/>
      <c r="Z455" s="4"/>
    </row>
    <row r="456" ht="14.25" customHeight="1">
      <c r="W456" s="4"/>
      <c r="X456" s="4"/>
      <c r="Y456" s="4"/>
      <c r="Z456" s="4"/>
    </row>
    <row r="457" ht="14.25" customHeight="1">
      <c r="W457" s="4"/>
      <c r="X457" s="4"/>
      <c r="Y457" s="4"/>
      <c r="Z457" s="4"/>
    </row>
    <row r="458" ht="14.25" customHeight="1">
      <c r="W458" s="4"/>
      <c r="X458" s="4"/>
      <c r="Y458" s="4"/>
      <c r="Z458" s="4"/>
    </row>
    <row r="459" ht="14.25" customHeight="1">
      <c r="W459" s="4"/>
      <c r="X459" s="4"/>
      <c r="Y459" s="4"/>
      <c r="Z459" s="4"/>
    </row>
    <row r="460" ht="14.25" customHeight="1">
      <c r="W460" s="4"/>
      <c r="X460" s="4"/>
      <c r="Y460" s="4"/>
      <c r="Z460" s="4"/>
    </row>
    <row r="461" ht="14.25" customHeight="1">
      <c r="W461" s="4"/>
      <c r="X461" s="4"/>
      <c r="Y461" s="4"/>
      <c r="Z461" s="4"/>
    </row>
    <row r="462" ht="14.25" customHeight="1">
      <c r="W462" s="4"/>
      <c r="X462" s="4"/>
      <c r="Y462" s="4"/>
      <c r="Z462" s="4"/>
    </row>
    <row r="463" ht="14.25" customHeight="1">
      <c r="W463" s="4"/>
      <c r="X463" s="4"/>
      <c r="Y463" s="4"/>
      <c r="Z463" s="4"/>
    </row>
    <row r="464" ht="14.25" customHeight="1">
      <c r="W464" s="4"/>
      <c r="X464" s="4"/>
      <c r="Y464" s="4"/>
      <c r="Z464" s="4"/>
    </row>
    <row r="465" ht="14.25" customHeight="1">
      <c r="W465" s="4"/>
      <c r="X465" s="4"/>
      <c r="Y465" s="4"/>
      <c r="Z465" s="4"/>
    </row>
    <row r="466" ht="14.25" customHeight="1">
      <c r="W466" s="4"/>
      <c r="X466" s="4"/>
      <c r="Y466" s="4"/>
      <c r="Z466" s="4"/>
    </row>
    <row r="467" ht="14.25" customHeight="1">
      <c r="W467" s="4"/>
      <c r="X467" s="4"/>
      <c r="Y467" s="4"/>
      <c r="Z467" s="4"/>
    </row>
    <row r="468" ht="14.25" customHeight="1">
      <c r="W468" s="4"/>
      <c r="X468" s="4"/>
      <c r="Y468" s="4"/>
      <c r="Z468" s="4"/>
    </row>
    <row r="469" ht="14.25" customHeight="1">
      <c r="W469" s="4"/>
      <c r="X469" s="4"/>
      <c r="Y469" s="4"/>
      <c r="Z469" s="4"/>
    </row>
    <row r="470" ht="14.25" customHeight="1">
      <c r="W470" s="4"/>
      <c r="X470" s="4"/>
      <c r="Y470" s="4"/>
      <c r="Z470" s="4"/>
    </row>
    <row r="471" ht="14.25" customHeight="1">
      <c r="W471" s="4"/>
      <c r="X471" s="4"/>
      <c r="Y471" s="4"/>
      <c r="Z471" s="4"/>
    </row>
    <row r="472" ht="14.25" customHeight="1">
      <c r="W472" s="4"/>
      <c r="X472" s="4"/>
      <c r="Y472" s="4"/>
      <c r="Z472" s="4"/>
    </row>
    <row r="473" ht="14.25" customHeight="1">
      <c r="W473" s="4"/>
      <c r="X473" s="4"/>
      <c r="Y473" s="4"/>
      <c r="Z473" s="4"/>
    </row>
    <row r="474" ht="14.25" customHeight="1">
      <c r="W474" s="4"/>
      <c r="X474" s="4"/>
      <c r="Y474" s="4"/>
      <c r="Z474" s="4"/>
    </row>
    <row r="475" ht="14.25" customHeight="1">
      <c r="W475" s="4"/>
      <c r="X475" s="4"/>
      <c r="Y475" s="4"/>
      <c r="Z475" s="4"/>
    </row>
    <row r="476" ht="14.25" customHeight="1">
      <c r="W476" s="4"/>
      <c r="X476" s="4"/>
      <c r="Y476" s="4"/>
      <c r="Z476" s="4"/>
    </row>
    <row r="477" ht="14.25" customHeight="1">
      <c r="W477" s="4"/>
      <c r="X477" s="4"/>
      <c r="Y477" s="4"/>
      <c r="Z477" s="4"/>
    </row>
    <row r="478" ht="14.25" customHeight="1">
      <c r="W478" s="4"/>
      <c r="X478" s="4"/>
      <c r="Y478" s="4"/>
      <c r="Z478" s="4"/>
    </row>
    <row r="479" ht="14.25" customHeight="1">
      <c r="W479" s="4"/>
      <c r="X479" s="4"/>
      <c r="Y479" s="4"/>
      <c r="Z479" s="4"/>
    </row>
    <row r="480" ht="14.25" customHeight="1">
      <c r="W480" s="4"/>
      <c r="X480" s="4"/>
      <c r="Y480" s="4"/>
      <c r="Z480" s="4"/>
    </row>
    <row r="481" ht="14.25" customHeight="1">
      <c r="W481" s="4"/>
      <c r="X481" s="4"/>
      <c r="Y481" s="4"/>
      <c r="Z481" s="4"/>
    </row>
    <row r="482" ht="14.25" customHeight="1">
      <c r="W482" s="4"/>
      <c r="X482" s="4"/>
      <c r="Y482" s="4"/>
      <c r="Z482" s="4"/>
    </row>
    <row r="483" ht="14.25" customHeight="1">
      <c r="W483" s="4"/>
      <c r="X483" s="4"/>
      <c r="Y483" s="4"/>
      <c r="Z483" s="4"/>
    </row>
    <row r="484" ht="14.25" customHeight="1">
      <c r="W484" s="4"/>
      <c r="X484" s="4"/>
      <c r="Y484" s="4"/>
      <c r="Z484" s="4"/>
    </row>
    <row r="485" ht="14.25" customHeight="1">
      <c r="W485" s="4"/>
      <c r="X485" s="4"/>
      <c r="Y485" s="4"/>
      <c r="Z485" s="4"/>
    </row>
    <row r="486" ht="14.25" customHeight="1">
      <c r="W486" s="4"/>
      <c r="X486" s="4"/>
      <c r="Y486" s="4"/>
      <c r="Z486" s="4"/>
    </row>
    <row r="487" ht="14.25" customHeight="1">
      <c r="W487" s="4"/>
      <c r="X487" s="4"/>
      <c r="Y487" s="4"/>
      <c r="Z487" s="4"/>
    </row>
    <row r="488" ht="14.25" customHeight="1">
      <c r="W488" s="4"/>
      <c r="X488" s="4"/>
      <c r="Y488" s="4"/>
      <c r="Z488" s="4"/>
    </row>
    <row r="489" ht="14.25" customHeight="1">
      <c r="W489" s="4"/>
      <c r="X489" s="4"/>
      <c r="Y489" s="4"/>
      <c r="Z489" s="4"/>
    </row>
    <row r="490" ht="14.25" customHeight="1">
      <c r="W490" s="4"/>
      <c r="X490" s="4"/>
      <c r="Y490" s="4"/>
      <c r="Z490" s="4"/>
    </row>
    <row r="491" ht="14.25" customHeight="1">
      <c r="W491" s="4"/>
      <c r="X491" s="4"/>
      <c r="Y491" s="4"/>
      <c r="Z491" s="4"/>
    </row>
    <row r="492" ht="14.25" customHeight="1">
      <c r="W492" s="4"/>
      <c r="X492" s="4"/>
      <c r="Y492" s="4"/>
      <c r="Z492" s="4"/>
    </row>
    <row r="493" ht="14.25" customHeight="1">
      <c r="W493" s="4"/>
      <c r="X493" s="4"/>
      <c r="Y493" s="4"/>
      <c r="Z493" s="4"/>
    </row>
    <row r="494" ht="14.25" customHeight="1">
      <c r="W494" s="4"/>
      <c r="X494" s="4"/>
      <c r="Y494" s="4"/>
      <c r="Z494" s="4"/>
    </row>
    <row r="495" ht="14.25" customHeight="1">
      <c r="W495" s="4"/>
      <c r="X495" s="4"/>
      <c r="Y495" s="4"/>
      <c r="Z495" s="4"/>
    </row>
    <row r="496" ht="14.25" customHeight="1">
      <c r="W496" s="4"/>
      <c r="X496" s="4"/>
      <c r="Y496" s="4"/>
      <c r="Z496" s="4"/>
    </row>
    <row r="497" ht="14.25" customHeight="1">
      <c r="W497" s="4"/>
      <c r="X497" s="4"/>
      <c r="Y497" s="4"/>
      <c r="Z497" s="4"/>
    </row>
    <row r="498" ht="14.25" customHeight="1">
      <c r="W498" s="4"/>
      <c r="X498" s="4"/>
      <c r="Y498" s="4"/>
      <c r="Z498" s="4"/>
    </row>
    <row r="499" ht="14.25" customHeight="1">
      <c r="W499" s="4"/>
      <c r="X499" s="4"/>
      <c r="Y499" s="4"/>
      <c r="Z499" s="4"/>
    </row>
    <row r="500" ht="14.25" customHeight="1">
      <c r="W500" s="4"/>
      <c r="X500" s="4"/>
      <c r="Y500" s="4"/>
      <c r="Z500" s="4"/>
    </row>
    <row r="501" ht="14.25" customHeight="1">
      <c r="W501" s="4"/>
      <c r="X501" s="4"/>
      <c r="Y501" s="4"/>
      <c r="Z501" s="4"/>
    </row>
    <row r="502" ht="14.25" customHeight="1">
      <c r="W502" s="4"/>
      <c r="X502" s="4"/>
      <c r="Y502" s="4"/>
      <c r="Z502" s="4"/>
    </row>
    <row r="503" ht="14.25" customHeight="1">
      <c r="W503" s="4"/>
      <c r="X503" s="4"/>
      <c r="Y503" s="4"/>
      <c r="Z503" s="4"/>
    </row>
    <row r="504" ht="14.25" customHeight="1">
      <c r="W504" s="4"/>
      <c r="X504" s="4"/>
      <c r="Y504" s="4"/>
      <c r="Z504" s="4"/>
    </row>
    <row r="505" ht="14.25" customHeight="1">
      <c r="W505" s="4"/>
      <c r="X505" s="4"/>
      <c r="Y505" s="4"/>
      <c r="Z505" s="4"/>
    </row>
    <row r="506" ht="14.25" customHeight="1">
      <c r="W506" s="4"/>
      <c r="X506" s="4"/>
      <c r="Y506" s="4"/>
      <c r="Z506" s="4"/>
    </row>
    <row r="507" ht="14.25" customHeight="1">
      <c r="W507" s="4"/>
      <c r="X507" s="4"/>
      <c r="Y507" s="4"/>
      <c r="Z507" s="4"/>
    </row>
    <row r="508" ht="14.25" customHeight="1">
      <c r="W508" s="4"/>
      <c r="X508" s="4"/>
      <c r="Y508" s="4"/>
      <c r="Z508" s="4"/>
    </row>
    <row r="509" ht="14.25" customHeight="1">
      <c r="W509" s="4"/>
      <c r="X509" s="4"/>
      <c r="Y509" s="4"/>
      <c r="Z509" s="4"/>
    </row>
    <row r="510" ht="14.25" customHeight="1">
      <c r="W510" s="4"/>
      <c r="X510" s="4"/>
      <c r="Y510" s="4"/>
      <c r="Z510" s="4"/>
    </row>
    <row r="511" ht="14.25" customHeight="1">
      <c r="W511" s="4"/>
      <c r="X511" s="4"/>
      <c r="Y511" s="4"/>
      <c r="Z511" s="4"/>
    </row>
    <row r="512" ht="14.25" customHeight="1">
      <c r="W512" s="4"/>
      <c r="X512" s="4"/>
      <c r="Y512" s="4"/>
      <c r="Z512" s="4"/>
    </row>
    <row r="513" ht="14.25" customHeight="1">
      <c r="W513" s="4"/>
      <c r="X513" s="4"/>
      <c r="Y513" s="4"/>
      <c r="Z513" s="4"/>
    </row>
    <row r="514" ht="14.25" customHeight="1">
      <c r="W514" s="4"/>
      <c r="X514" s="4"/>
      <c r="Y514" s="4"/>
      <c r="Z514" s="4"/>
    </row>
    <row r="515" ht="14.25" customHeight="1">
      <c r="W515" s="4"/>
      <c r="X515" s="4"/>
      <c r="Y515" s="4"/>
      <c r="Z515" s="4"/>
    </row>
    <row r="516" ht="14.25" customHeight="1">
      <c r="W516" s="4"/>
      <c r="X516" s="4"/>
      <c r="Y516" s="4"/>
      <c r="Z516" s="4"/>
    </row>
    <row r="517" ht="14.25" customHeight="1">
      <c r="W517" s="4"/>
      <c r="X517" s="4"/>
      <c r="Y517" s="4"/>
      <c r="Z517" s="4"/>
    </row>
    <row r="518" ht="14.25" customHeight="1">
      <c r="W518" s="4"/>
      <c r="X518" s="4"/>
      <c r="Y518" s="4"/>
      <c r="Z518" s="4"/>
    </row>
    <row r="519" ht="14.25" customHeight="1">
      <c r="W519" s="4"/>
      <c r="X519" s="4"/>
      <c r="Y519" s="4"/>
      <c r="Z519" s="4"/>
    </row>
    <row r="520" ht="14.25" customHeight="1">
      <c r="W520" s="4"/>
      <c r="X520" s="4"/>
      <c r="Y520" s="4"/>
      <c r="Z520" s="4"/>
    </row>
    <row r="521" ht="14.25" customHeight="1">
      <c r="W521" s="4"/>
      <c r="X521" s="4"/>
      <c r="Y521" s="4"/>
      <c r="Z521" s="4"/>
    </row>
    <row r="522" ht="14.25" customHeight="1">
      <c r="W522" s="4"/>
      <c r="X522" s="4"/>
      <c r="Y522" s="4"/>
      <c r="Z522" s="4"/>
    </row>
    <row r="523" ht="14.25" customHeight="1">
      <c r="W523" s="4"/>
      <c r="X523" s="4"/>
      <c r="Y523" s="4"/>
      <c r="Z523" s="4"/>
    </row>
    <row r="524" ht="14.25" customHeight="1">
      <c r="W524" s="4"/>
      <c r="X524" s="4"/>
      <c r="Y524" s="4"/>
      <c r="Z524" s="4"/>
    </row>
    <row r="525" ht="14.25" customHeight="1">
      <c r="W525" s="4"/>
      <c r="X525" s="4"/>
      <c r="Y525" s="4"/>
      <c r="Z525" s="4"/>
    </row>
    <row r="526" ht="14.25" customHeight="1">
      <c r="W526" s="4"/>
      <c r="X526" s="4"/>
      <c r="Y526" s="4"/>
      <c r="Z526" s="4"/>
    </row>
    <row r="527" ht="14.25" customHeight="1">
      <c r="W527" s="4"/>
      <c r="X527" s="4"/>
      <c r="Y527" s="4"/>
      <c r="Z527" s="4"/>
    </row>
    <row r="528" ht="14.25" customHeight="1">
      <c r="W528" s="4"/>
      <c r="X528" s="4"/>
      <c r="Y528" s="4"/>
      <c r="Z528" s="4"/>
    </row>
    <row r="529" ht="14.25" customHeight="1">
      <c r="W529" s="4"/>
      <c r="X529" s="4"/>
      <c r="Y529" s="4"/>
      <c r="Z529" s="4"/>
    </row>
    <row r="530" ht="14.25" customHeight="1">
      <c r="W530" s="4"/>
      <c r="X530" s="4"/>
      <c r="Y530" s="4"/>
      <c r="Z530" s="4"/>
    </row>
    <row r="531" ht="14.25" customHeight="1">
      <c r="W531" s="4"/>
      <c r="X531" s="4"/>
      <c r="Y531" s="4"/>
      <c r="Z531" s="4"/>
    </row>
    <row r="532" ht="14.25" customHeight="1">
      <c r="W532" s="4"/>
      <c r="X532" s="4"/>
      <c r="Y532" s="4"/>
      <c r="Z532" s="4"/>
    </row>
    <row r="533" ht="14.25" customHeight="1">
      <c r="W533" s="4"/>
      <c r="X533" s="4"/>
      <c r="Y533" s="4"/>
      <c r="Z533" s="4"/>
    </row>
    <row r="534" ht="14.25" customHeight="1">
      <c r="W534" s="4"/>
      <c r="X534" s="4"/>
      <c r="Y534" s="4"/>
      <c r="Z534" s="4"/>
    </row>
    <row r="535" ht="14.25" customHeight="1">
      <c r="W535" s="4"/>
      <c r="X535" s="4"/>
      <c r="Y535" s="4"/>
      <c r="Z535" s="4"/>
    </row>
    <row r="536" ht="14.25" customHeight="1">
      <c r="W536" s="4"/>
      <c r="X536" s="4"/>
      <c r="Y536" s="4"/>
      <c r="Z536" s="4"/>
    </row>
    <row r="537" ht="14.25" customHeight="1">
      <c r="W537" s="4"/>
      <c r="X537" s="4"/>
      <c r="Y537" s="4"/>
      <c r="Z537" s="4"/>
    </row>
    <row r="538" ht="14.25" customHeight="1">
      <c r="W538" s="4"/>
      <c r="X538" s="4"/>
      <c r="Y538" s="4"/>
      <c r="Z538" s="4"/>
    </row>
    <row r="539" ht="14.25" customHeight="1">
      <c r="W539" s="4"/>
      <c r="X539" s="4"/>
      <c r="Y539" s="4"/>
      <c r="Z539" s="4"/>
    </row>
    <row r="540" ht="14.25" customHeight="1">
      <c r="W540" s="4"/>
      <c r="X540" s="4"/>
      <c r="Y540" s="4"/>
      <c r="Z540" s="4"/>
    </row>
    <row r="541" ht="14.25" customHeight="1">
      <c r="W541" s="4"/>
      <c r="X541" s="4"/>
      <c r="Y541" s="4"/>
      <c r="Z541" s="4"/>
    </row>
    <row r="542" ht="14.25" customHeight="1">
      <c r="W542" s="4"/>
      <c r="X542" s="4"/>
      <c r="Y542" s="4"/>
      <c r="Z542" s="4"/>
    </row>
    <row r="543" ht="14.25" customHeight="1">
      <c r="W543" s="4"/>
      <c r="X543" s="4"/>
      <c r="Y543" s="4"/>
      <c r="Z543" s="4"/>
    </row>
    <row r="544" ht="14.25" customHeight="1">
      <c r="W544" s="4"/>
      <c r="X544" s="4"/>
      <c r="Y544" s="4"/>
      <c r="Z544" s="4"/>
    </row>
    <row r="545" ht="14.25" customHeight="1">
      <c r="W545" s="4"/>
      <c r="X545" s="4"/>
      <c r="Y545" s="4"/>
      <c r="Z545" s="4"/>
    </row>
    <row r="546" ht="14.25" customHeight="1">
      <c r="W546" s="4"/>
      <c r="X546" s="4"/>
      <c r="Y546" s="4"/>
      <c r="Z546" s="4"/>
    </row>
    <row r="547" ht="14.25" customHeight="1">
      <c r="W547" s="4"/>
      <c r="X547" s="4"/>
      <c r="Y547" s="4"/>
      <c r="Z547" s="4"/>
    </row>
    <row r="548" ht="14.25" customHeight="1">
      <c r="W548" s="4"/>
      <c r="X548" s="4"/>
      <c r="Y548" s="4"/>
      <c r="Z548" s="4"/>
    </row>
    <row r="549" ht="14.25" customHeight="1">
      <c r="W549" s="4"/>
      <c r="X549" s="4"/>
      <c r="Y549" s="4"/>
      <c r="Z549" s="4"/>
    </row>
    <row r="550" ht="14.25" customHeight="1">
      <c r="W550" s="4"/>
      <c r="X550" s="4"/>
      <c r="Y550" s="4"/>
      <c r="Z550" s="4"/>
    </row>
    <row r="551" ht="14.25" customHeight="1">
      <c r="W551" s="4"/>
      <c r="X551" s="4"/>
      <c r="Y551" s="4"/>
      <c r="Z551" s="4"/>
    </row>
    <row r="552" ht="14.25" customHeight="1">
      <c r="W552" s="4"/>
      <c r="X552" s="4"/>
      <c r="Y552" s="4"/>
      <c r="Z552" s="4"/>
    </row>
    <row r="553" ht="14.25" customHeight="1">
      <c r="W553" s="4"/>
      <c r="X553" s="4"/>
      <c r="Y553" s="4"/>
      <c r="Z553" s="4"/>
    </row>
    <row r="554" ht="14.25" customHeight="1">
      <c r="W554" s="4"/>
      <c r="X554" s="4"/>
      <c r="Y554" s="4"/>
      <c r="Z554" s="4"/>
    </row>
    <row r="555" ht="14.25" customHeight="1">
      <c r="W555" s="4"/>
      <c r="X555" s="4"/>
      <c r="Y555" s="4"/>
      <c r="Z555" s="4"/>
    </row>
    <row r="556" ht="14.25" customHeight="1">
      <c r="W556" s="4"/>
      <c r="X556" s="4"/>
      <c r="Y556" s="4"/>
      <c r="Z556" s="4"/>
    </row>
    <row r="557" ht="14.25" customHeight="1">
      <c r="W557" s="4"/>
      <c r="X557" s="4"/>
      <c r="Y557" s="4"/>
      <c r="Z557" s="4"/>
    </row>
    <row r="558" ht="14.25" customHeight="1">
      <c r="W558" s="4"/>
      <c r="X558" s="4"/>
      <c r="Y558" s="4"/>
      <c r="Z558" s="4"/>
    </row>
    <row r="559" ht="14.25" customHeight="1">
      <c r="W559" s="4"/>
      <c r="X559" s="4"/>
      <c r="Y559" s="4"/>
      <c r="Z559" s="4"/>
    </row>
    <row r="560" ht="14.25" customHeight="1">
      <c r="W560" s="4"/>
      <c r="X560" s="4"/>
      <c r="Y560" s="4"/>
      <c r="Z560" s="4"/>
    </row>
    <row r="561" ht="14.25" customHeight="1">
      <c r="W561" s="4"/>
      <c r="X561" s="4"/>
      <c r="Y561" s="4"/>
      <c r="Z561" s="4"/>
    </row>
    <row r="562" ht="14.25" customHeight="1">
      <c r="W562" s="4"/>
      <c r="X562" s="4"/>
      <c r="Y562" s="4"/>
      <c r="Z562" s="4"/>
    </row>
    <row r="563" ht="14.25" customHeight="1">
      <c r="W563" s="4"/>
      <c r="X563" s="4"/>
      <c r="Y563" s="4"/>
      <c r="Z563" s="4"/>
    </row>
    <row r="564" ht="14.25" customHeight="1">
      <c r="W564" s="4"/>
      <c r="X564" s="4"/>
      <c r="Y564" s="4"/>
      <c r="Z564" s="4"/>
    </row>
    <row r="565" ht="14.25" customHeight="1">
      <c r="W565" s="4"/>
      <c r="X565" s="4"/>
      <c r="Y565" s="4"/>
      <c r="Z565" s="4"/>
    </row>
    <row r="566" ht="14.25" customHeight="1">
      <c r="W566" s="4"/>
      <c r="X566" s="4"/>
      <c r="Y566" s="4"/>
      <c r="Z566" s="4"/>
    </row>
    <row r="567" ht="14.25" customHeight="1">
      <c r="W567" s="4"/>
      <c r="X567" s="4"/>
      <c r="Y567" s="4"/>
      <c r="Z567" s="4"/>
    </row>
    <row r="568" ht="14.25" customHeight="1">
      <c r="W568" s="4"/>
      <c r="X568" s="4"/>
      <c r="Y568" s="4"/>
      <c r="Z568" s="4"/>
    </row>
    <row r="569" ht="14.25" customHeight="1">
      <c r="W569" s="4"/>
      <c r="X569" s="4"/>
      <c r="Y569" s="4"/>
      <c r="Z569" s="4"/>
    </row>
    <row r="570" ht="14.25" customHeight="1">
      <c r="W570" s="4"/>
      <c r="X570" s="4"/>
      <c r="Y570" s="4"/>
      <c r="Z570" s="4"/>
    </row>
    <row r="571" ht="14.25" customHeight="1">
      <c r="W571" s="4"/>
      <c r="X571" s="4"/>
      <c r="Y571" s="4"/>
      <c r="Z571" s="4"/>
    </row>
    <row r="572" ht="14.25" customHeight="1">
      <c r="W572" s="4"/>
      <c r="X572" s="4"/>
      <c r="Y572" s="4"/>
      <c r="Z572" s="4"/>
    </row>
    <row r="573" ht="14.25" customHeight="1">
      <c r="W573" s="4"/>
      <c r="X573" s="4"/>
      <c r="Y573" s="4"/>
      <c r="Z573" s="4"/>
    </row>
    <row r="574" ht="14.25" customHeight="1">
      <c r="W574" s="4"/>
      <c r="X574" s="4"/>
      <c r="Y574" s="4"/>
      <c r="Z574" s="4"/>
    </row>
    <row r="575" ht="14.25" customHeight="1">
      <c r="W575" s="4"/>
      <c r="X575" s="4"/>
      <c r="Y575" s="4"/>
      <c r="Z575" s="4"/>
    </row>
    <row r="576" ht="14.25" customHeight="1">
      <c r="W576" s="4"/>
      <c r="X576" s="4"/>
      <c r="Y576" s="4"/>
      <c r="Z576" s="4"/>
    </row>
    <row r="577" ht="14.25" customHeight="1">
      <c r="W577" s="4"/>
      <c r="X577" s="4"/>
      <c r="Y577" s="4"/>
      <c r="Z577" s="4"/>
    </row>
    <row r="578" ht="14.25" customHeight="1">
      <c r="W578" s="4"/>
      <c r="X578" s="4"/>
      <c r="Y578" s="4"/>
      <c r="Z578" s="4"/>
    </row>
    <row r="579" ht="14.25" customHeight="1">
      <c r="W579" s="4"/>
      <c r="X579" s="4"/>
      <c r="Y579" s="4"/>
      <c r="Z579" s="4"/>
    </row>
    <row r="580" ht="14.25" customHeight="1">
      <c r="W580" s="4"/>
      <c r="X580" s="4"/>
      <c r="Y580" s="4"/>
      <c r="Z580" s="4"/>
    </row>
    <row r="581" ht="14.25" customHeight="1">
      <c r="W581" s="4"/>
      <c r="X581" s="4"/>
      <c r="Y581" s="4"/>
      <c r="Z581" s="4"/>
    </row>
    <row r="582" ht="14.25" customHeight="1">
      <c r="W582" s="4"/>
      <c r="X582" s="4"/>
      <c r="Y582" s="4"/>
      <c r="Z582" s="4"/>
    </row>
    <row r="583" ht="14.25" customHeight="1">
      <c r="W583" s="4"/>
      <c r="X583" s="4"/>
      <c r="Y583" s="4"/>
      <c r="Z583" s="4"/>
    </row>
    <row r="584" ht="14.25" customHeight="1">
      <c r="W584" s="4"/>
      <c r="X584" s="4"/>
      <c r="Y584" s="4"/>
      <c r="Z584" s="4"/>
    </row>
    <row r="585" ht="14.25" customHeight="1">
      <c r="W585" s="4"/>
      <c r="X585" s="4"/>
      <c r="Y585" s="4"/>
      <c r="Z585" s="4"/>
    </row>
    <row r="586" ht="14.25" customHeight="1">
      <c r="W586" s="4"/>
      <c r="X586" s="4"/>
      <c r="Y586" s="4"/>
      <c r="Z586" s="4"/>
    </row>
    <row r="587" ht="14.25" customHeight="1">
      <c r="W587" s="4"/>
      <c r="X587" s="4"/>
      <c r="Y587" s="4"/>
      <c r="Z587" s="4"/>
    </row>
    <row r="588" ht="14.25" customHeight="1">
      <c r="W588" s="4"/>
      <c r="X588" s="4"/>
      <c r="Y588" s="4"/>
      <c r="Z588" s="4"/>
    </row>
    <row r="589" ht="14.25" customHeight="1">
      <c r="W589" s="4"/>
      <c r="X589" s="4"/>
      <c r="Y589" s="4"/>
      <c r="Z589" s="4"/>
    </row>
    <row r="590" ht="14.25" customHeight="1">
      <c r="W590" s="4"/>
      <c r="X590" s="4"/>
      <c r="Y590" s="4"/>
      <c r="Z590" s="4"/>
    </row>
    <row r="591" ht="14.25" customHeight="1">
      <c r="W591" s="4"/>
      <c r="X591" s="4"/>
      <c r="Y591" s="4"/>
      <c r="Z591" s="4"/>
    </row>
    <row r="592" ht="14.25" customHeight="1">
      <c r="W592" s="4"/>
      <c r="X592" s="4"/>
      <c r="Y592" s="4"/>
      <c r="Z592" s="4"/>
    </row>
    <row r="593" ht="14.25" customHeight="1">
      <c r="W593" s="4"/>
      <c r="X593" s="4"/>
      <c r="Y593" s="4"/>
      <c r="Z593" s="4"/>
    </row>
    <row r="594" ht="14.25" customHeight="1">
      <c r="W594" s="4"/>
      <c r="X594" s="4"/>
      <c r="Y594" s="4"/>
      <c r="Z594" s="4"/>
    </row>
    <row r="595" ht="14.25" customHeight="1">
      <c r="W595" s="4"/>
      <c r="X595" s="4"/>
      <c r="Y595" s="4"/>
      <c r="Z595" s="4"/>
    </row>
    <row r="596" ht="14.25" customHeight="1">
      <c r="W596" s="4"/>
      <c r="X596" s="4"/>
      <c r="Y596" s="4"/>
      <c r="Z596" s="4"/>
    </row>
    <row r="597" ht="14.25" customHeight="1">
      <c r="W597" s="4"/>
      <c r="X597" s="4"/>
      <c r="Y597" s="4"/>
      <c r="Z597" s="4"/>
    </row>
    <row r="598" ht="14.25" customHeight="1">
      <c r="W598" s="4"/>
      <c r="X598" s="4"/>
      <c r="Y598" s="4"/>
      <c r="Z598" s="4"/>
    </row>
    <row r="599" ht="14.25" customHeight="1">
      <c r="W599" s="4"/>
      <c r="X599" s="4"/>
      <c r="Y599" s="4"/>
      <c r="Z599" s="4"/>
    </row>
    <row r="600" ht="14.25" customHeight="1">
      <c r="W600" s="4"/>
      <c r="X600" s="4"/>
      <c r="Y600" s="4"/>
      <c r="Z600" s="4"/>
    </row>
    <row r="601" ht="14.25" customHeight="1">
      <c r="W601" s="4"/>
      <c r="X601" s="4"/>
      <c r="Y601" s="4"/>
      <c r="Z601" s="4"/>
    </row>
    <row r="602" ht="14.25" customHeight="1">
      <c r="W602" s="4"/>
      <c r="X602" s="4"/>
      <c r="Y602" s="4"/>
      <c r="Z602" s="4"/>
    </row>
    <row r="603" ht="14.25" customHeight="1">
      <c r="W603" s="4"/>
      <c r="X603" s="4"/>
      <c r="Y603" s="4"/>
      <c r="Z603" s="4"/>
    </row>
    <row r="604" ht="14.25" customHeight="1">
      <c r="W604" s="4"/>
      <c r="X604" s="4"/>
      <c r="Y604" s="4"/>
      <c r="Z604" s="4"/>
    </row>
    <row r="605" ht="14.25" customHeight="1">
      <c r="W605" s="4"/>
      <c r="X605" s="4"/>
      <c r="Y605" s="4"/>
      <c r="Z605" s="4"/>
    </row>
    <row r="606" ht="14.25" customHeight="1">
      <c r="W606" s="4"/>
      <c r="X606" s="4"/>
      <c r="Y606" s="4"/>
      <c r="Z606" s="4"/>
    </row>
    <row r="607" ht="14.25" customHeight="1"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14"/>
    <col customWidth="1" min="2" max="2" width="7.71"/>
    <col customWidth="1" min="3" max="3" width="15.43"/>
    <col customWidth="1" min="4" max="4" width="16.71"/>
    <col customWidth="1" min="5" max="5" width="5.71"/>
    <col customWidth="1" min="6" max="6" width="6.0"/>
    <col customWidth="1" min="7" max="7" width="6.14"/>
    <col customWidth="1" min="8" max="8" width="7.43"/>
    <col customWidth="1" min="9" max="9" width="4.86"/>
    <col customWidth="1" min="10" max="10" width="13.0"/>
    <col customWidth="1" min="11" max="11" width="7.86"/>
    <col customWidth="1" min="12" max="12" width="11.71"/>
    <col customWidth="1" min="13" max="13" width="8.29"/>
    <col customWidth="1" min="14" max="14" width="16.29"/>
    <col customWidth="1" min="15" max="15" width="12.29"/>
    <col customWidth="1" min="16" max="16" width="8.0"/>
    <col customWidth="1" min="17" max="17" width="5.71"/>
    <col customWidth="1" min="18" max="18" width="6.0"/>
    <col customWidth="1" min="19" max="19" width="11.86"/>
    <col customWidth="1" min="20" max="20" width="9.57"/>
    <col customWidth="1" min="21" max="21" width="11.29"/>
    <col customWidth="1" min="22" max="22" width="19.29"/>
    <col customWidth="1" min="23" max="26" width="8.71"/>
  </cols>
  <sheetData>
    <row r="1" ht="14.2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W3" s="4"/>
      <c r="X3" s="4"/>
      <c r="Y3" s="4"/>
      <c r="Z3" s="4"/>
    </row>
    <row r="4" ht="14.25" customHeight="1">
      <c r="W4" s="4"/>
      <c r="X4" s="4"/>
      <c r="Y4" s="4"/>
      <c r="Z4" s="4"/>
    </row>
    <row r="5" ht="14.25" customHeight="1">
      <c r="W5" s="4"/>
      <c r="X5" s="4"/>
      <c r="Y5" s="4"/>
      <c r="Z5" s="4"/>
    </row>
    <row r="6" ht="14.25" customHeight="1">
      <c r="W6" s="4"/>
      <c r="X6" s="4"/>
      <c r="Y6" s="4"/>
      <c r="Z6" s="4"/>
    </row>
    <row r="7" ht="14.25" customHeight="1">
      <c r="W7" s="4"/>
      <c r="X7" s="4"/>
      <c r="Y7" s="4"/>
      <c r="Z7" s="4"/>
    </row>
    <row r="8" ht="14.25" customHeight="1">
      <c r="W8" s="4"/>
      <c r="X8" s="4"/>
      <c r="Y8" s="4"/>
      <c r="Z8" s="4"/>
    </row>
    <row r="9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W12" s="4"/>
      <c r="X12" s="4"/>
      <c r="Y12" s="4"/>
      <c r="Z12" s="4"/>
    </row>
    <row r="13" ht="14.25" customHeight="1">
      <c r="W13" s="4"/>
      <c r="X13" s="4"/>
      <c r="Y13" s="4"/>
      <c r="Z13" s="4"/>
    </row>
    <row r="14" ht="14.25" customHeight="1">
      <c r="W14" s="4"/>
      <c r="X14" s="4"/>
      <c r="Y14" s="4"/>
      <c r="Z14" s="4"/>
    </row>
    <row r="15" ht="14.25" customHeight="1">
      <c r="W15" s="4"/>
      <c r="X15" s="4"/>
      <c r="Y15" s="4"/>
      <c r="Z15" s="4"/>
    </row>
    <row r="16" ht="14.25" customHeight="1">
      <c r="W16" s="4"/>
      <c r="X16" s="4"/>
      <c r="Y16" s="4"/>
      <c r="Z16" s="4"/>
    </row>
    <row r="17" ht="14.25" customHeight="1">
      <c r="W17" s="4"/>
      <c r="X17" s="4"/>
      <c r="Y17" s="4"/>
      <c r="Z17" s="4"/>
    </row>
    <row r="18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1.14"/>
  </cols>
  <sheetData>
    <row r="1">
      <c r="A1" s="1" t="str">
        <f>IFERROR(__xludf.DUMMYFUNCTION("IMPORTRANGE(""1jPFsXIFRQiCdRdldhjwYkNm2AR-ir-VjjUEf0GzFFjY"", ""All content!A:E"")"),"URL")</f>
        <v>URL</v>
      </c>
      <c r="B1" s="1" t="str">
        <f>IFERROR(__xludf.DUMMYFUNCTION("""COMPUTED_VALUE"""),"URL Category")</f>
        <v>URL Category</v>
      </c>
      <c r="C1" s="1" t="str">
        <f>IFERROR(__xludf.DUMMYFUNCTION("""COMPUTED_VALUE"""),"Media type")</f>
        <v>Media type</v>
      </c>
      <c r="D1" s="1" t="str">
        <f>IFERROR(__xludf.DUMMYFUNCTION("""COMPUTED_VALUE"""),"Title")</f>
        <v>Title</v>
      </c>
      <c r="E1" s="1" t="str">
        <f>IFERROR(__xludf.DUMMYFUNCTION("""COMPUTED_VALUE"""),"Publish Date")</f>
        <v>Publish Date</v>
      </c>
    </row>
    <row r="2">
      <c r="A2" s="7" t="str">
        <f>IFERROR(__xludf.DUMMYFUNCTION("""COMPUTED_VALUE"""),"https://www.method.me/blog/method-makes-pwc-s-top-10-up-and-coming-technology-companies/")</f>
        <v>https://www.method.me/blog/method-makes-pwc-s-top-10-up-and-coming-technology-companies/</v>
      </c>
      <c r="B2" s="1" t="str">
        <f>IFERROR(__xludf.DUMMYFUNCTION("""COMPUTED_VALUE"""),"Method - Product Updates")</f>
        <v>Method - Product Updates</v>
      </c>
      <c r="C2" s="1" t="str">
        <f>IFERROR(__xludf.DUMMYFUNCTION("""COMPUTED_VALUE"""),"Blog")</f>
        <v>Blog</v>
      </c>
      <c r="D2" s="1" t="str">
        <f>IFERROR(__xludf.DUMMYFUNCTION("""COMPUTED_VALUE"""),"Innovating to Disrupt: Method Makes PwC’s Top 10 Up-and-Coming Technology Companies")</f>
        <v>Innovating to Disrupt: Method Makes PwC’s Top 10 Up-and-Coming Technology Companies</v>
      </c>
      <c r="E2" s="12">
        <f>IFERROR(__xludf.DUMMYFUNCTION("""COMPUTED_VALUE"""),41596.644849537035)</f>
        <v>41596.64485</v>
      </c>
    </row>
    <row r="3">
      <c r="A3" s="7" t="str">
        <f>IFERROR(__xludf.DUMMYFUNCTION("""COMPUTED_VALUE"""),"https://www.method.me/blog/quickbooks-faq-creating-an-invoice-in-quickbooks/")</f>
        <v>https://www.method.me/blog/quickbooks-faq-creating-an-invoice-in-quickbooks/</v>
      </c>
      <c r="B3" s="1" t="str">
        <f>IFERROR(__xludf.DUMMYFUNCTION("""COMPUTED_VALUE"""),"QuickBooks - How-to")</f>
        <v>QuickBooks - How-to</v>
      </c>
      <c r="C3" s="1" t="str">
        <f>IFERROR(__xludf.DUMMYFUNCTION("""COMPUTED_VALUE"""),"Blog")</f>
        <v>Blog</v>
      </c>
      <c r="D3" s="1" t="str">
        <f>IFERROR(__xludf.DUMMYFUNCTION("""COMPUTED_VALUE"""),"How to create an invoice in QuickBooks")</f>
        <v>How to create an invoice in QuickBooks</v>
      </c>
      <c r="E3" s="12">
        <f>IFERROR(__xludf.DUMMYFUNCTION("""COMPUTED_VALUE"""),41669.55892361111)</f>
        <v>41669.55892</v>
      </c>
    </row>
    <row r="4">
      <c r="A4" s="7" t="str">
        <f>IFERROR(__xludf.DUMMYFUNCTION("""COMPUTED_VALUE"""),"https://www.method.me/blog/new-methodcrm-report-designer-tutorial-videos/")</f>
        <v>https://www.method.me/blog/new-methodcrm-report-designer-tutorial-videos/</v>
      </c>
      <c r="B4" s="1" t="str">
        <f>IFERROR(__xludf.DUMMYFUNCTION("""COMPUTED_VALUE"""),"Method - Product Updates")</f>
        <v>Method - Product Updates</v>
      </c>
      <c r="C4" s="1" t="str">
        <f>IFERROR(__xludf.DUMMYFUNCTION("""COMPUTED_VALUE"""),"Blog")</f>
        <v>Blog</v>
      </c>
      <c r="D4" s="1" t="str">
        <f>IFERROR(__xludf.DUMMYFUNCTION("""COMPUTED_VALUE"""),"New! Method:CRM Report Designer Tutorial Videos")</f>
        <v>New! Method:CRM Report Designer Tutorial Videos</v>
      </c>
      <c r="E4" s="12">
        <f>IFERROR(__xludf.DUMMYFUNCTION("""COMPUTED_VALUE"""),41822.63182870371)</f>
        <v>41822.63183</v>
      </c>
    </row>
    <row r="5">
      <c r="A5" s="7" t="str">
        <f>IFERROR(__xludf.DUMMYFUNCTION("""COMPUTED_VALUE"""),"https://www.method.me/blog/rejoice-methodcrm-report-designer-documentation-videos/")</f>
        <v>https://www.method.me/blog/rejoice-methodcrm-report-designer-documentation-videos/</v>
      </c>
      <c r="B5" s="1" t="str">
        <f>IFERROR(__xludf.DUMMYFUNCTION("""COMPUTED_VALUE"""),"Method - Product Updates")</f>
        <v>Method - Product Updates</v>
      </c>
      <c r="C5" s="1" t="str">
        <f>IFERROR(__xludf.DUMMYFUNCTION("""COMPUTED_VALUE"""),"Blog")</f>
        <v>Blog</v>
      </c>
      <c r="D5" s="1" t="str">
        <f>IFERROR(__xludf.DUMMYFUNCTION("""COMPUTED_VALUE"""),"Rejoice! Method:CRM Report Designer documentation and videos!")</f>
        <v>Rejoice! Method:CRM Report Designer documentation and videos!</v>
      </c>
      <c r="E5" s="12">
        <f>IFERROR(__xludf.DUMMYFUNCTION("""COMPUTED_VALUE"""),41843.62170138889)</f>
        <v>41843.6217</v>
      </c>
    </row>
    <row r="6">
      <c r="A6" s="7" t="str">
        <f>IFERROR(__xludf.DUMMYFUNCTION("""COMPUTED_VALUE"""),"https://www.method.me/blog/small-businesses-are-kicking-butt-with-mobile-access-to-quickbooks-desktop/")</f>
        <v>https://www.method.me/blog/small-businesses-are-kicking-butt-with-mobile-access-to-quickbooks-desktop/</v>
      </c>
      <c r="B6" s="1" t="str">
        <f>IFERROR(__xludf.DUMMYFUNCTION("""COMPUTED_VALUE"""),"Listicle - QuickBooks")</f>
        <v>Listicle - QuickBooks</v>
      </c>
      <c r="C6" s="1" t="str">
        <f>IFERROR(__xludf.DUMMYFUNCTION("""COMPUTED_VALUE"""),"Blog")</f>
        <v>Blog</v>
      </c>
      <c r="D6" s="1" t="str">
        <f>IFERROR(__xludf.DUMMYFUNCTION("""COMPUTED_VALUE"""),"3 ways you win with QuickBooks mobile access")</f>
        <v>3 ways you win with QuickBooks mobile access</v>
      </c>
      <c r="E6" s="12">
        <f>IFERROR(__xludf.DUMMYFUNCTION("""COMPUTED_VALUE"""),41876.625497685185)</f>
        <v>41876.6255</v>
      </c>
    </row>
    <row r="7">
      <c r="A7" s="7" t="str">
        <f>IFERROR(__xludf.DUMMYFUNCTION("""COMPUTED_VALUE"""),"https://www.method.me/blog/performance-update-30-enhancements-improvements/")</f>
        <v>https://www.method.me/blog/performance-update-30-enhancements-improvements/</v>
      </c>
      <c r="B7" s="1" t="str">
        <f>IFERROR(__xludf.DUMMYFUNCTION("""COMPUTED_VALUE"""),"Method - Product Updates")</f>
        <v>Method - Product Updates</v>
      </c>
      <c r="C7" s="1" t="str">
        <f>IFERROR(__xludf.DUMMYFUNCTION("""COMPUTED_VALUE"""),"Blog")</f>
        <v>Blog</v>
      </c>
      <c r="D7" s="1" t="str">
        <f>IFERROR(__xludf.DUMMYFUNCTION("""COMPUTED_VALUE"""),"Performance Update: 30+ Enhancements &amp; Improvements")</f>
        <v>Performance Update: 30+ Enhancements &amp; Improvements</v>
      </c>
      <c r="E7" s="12">
        <f>IFERROR(__xludf.DUMMYFUNCTION("""COMPUTED_VALUE"""),41885.622881944444)</f>
        <v>41885.62288</v>
      </c>
    </row>
    <row r="8">
      <c r="A8" s="7" t="str">
        <f>IFERROR(__xludf.DUMMYFUNCTION("""COMPUTED_VALUE"""),"https://www.method.me/blog/intuit-discontinues-salesforce-for-quickbooks/")</f>
        <v>https://www.method.me/blog/intuit-discontinues-salesforce-for-quickbooks/</v>
      </c>
      <c r="B8" s="1" t="str">
        <f>IFERROR(__xludf.DUMMYFUNCTION("""COMPUTED_VALUE"""),"QuickBooks - General")</f>
        <v>QuickBooks - General</v>
      </c>
      <c r="C8" s="1" t="str">
        <f>IFERROR(__xludf.DUMMYFUNCTION("""COMPUTED_VALUE"""),"Blog")</f>
        <v>Blog</v>
      </c>
      <c r="D8" s="1" t="str">
        <f>IFERROR(__xludf.DUMMYFUNCTION("""COMPUTED_VALUE"""),"Intuit discontinues Salesforce for QuickBooks: Breaking Up is Hard to Do…Or is It?")</f>
        <v>Intuit discontinues Salesforce for QuickBooks: Breaking Up is Hard to Do…Or is It?</v>
      </c>
      <c r="E8" s="12">
        <f>IFERROR(__xludf.DUMMYFUNCTION("""COMPUTED_VALUE"""),41891.61424768518)</f>
        <v>41891.61425</v>
      </c>
    </row>
    <row r="9">
      <c r="A9" s="7" t="str">
        <f>IFERROR(__xludf.DUMMYFUNCTION("""COMPUTED_VALUE"""),"https://www.method.me/blog/how-a-pooper-scooper-went-national-with-method/")</f>
        <v>https://www.method.me/blog/how-a-pooper-scooper-went-national-with-method/</v>
      </c>
      <c r="B9" s="1" t="str">
        <f>IFERROR(__xludf.DUMMYFUNCTION("""COMPUTED_VALUE"""),"Method - Customer / Partner Success")</f>
        <v>Method - Customer / Partner Success</v>
      </c>
      <c r="C9" s="1" t="str">
        <f>IFERROR(__xludf.DUMMYFUNCTION("""COMPUTED_VALUE"""),"Blog")</f>
        <v>Blog</v>
      </c>
      <c r="D9" s="1" t="str">
        <f>IFERROR(__xludf.DUMMYFUNCTION("""COMPUTED_VALUE"""),"How a pooper scooper went national with Method")</f>
        <v>How a pooper scooper went national with Method</v>
      </c>
      <c r="E9" s="12">
        <f>IFERROR(__xludf.DUMMYFUNCTION("""COMPUTED_VALUE"""),41900.614270833335)</f>
        <v>41900.61427</v>
      </c>
    </row>
    <row r="10">
      <c r="A10" s="7" t="str">
        <f>IFERROR(__xludf.DUMMYFUNCTION("""COMPUTED_VALUE"""),"https://www.method.me/blog/were-cooking-up-a-storm-at-quickbooks-connect/")</f>
        <v>https://www.method.me/blog/were-cooking-up-a-storm-at-quickbooks-connect/</v>
      </c>
      <c r="B10" s="1" t="str">
        <f>IFERROR(__xludf.DUMMYFUNCTION("""COMPUTED_VALUE"""),"Conference / Event")</f>
        <v>Conference / Event</v>
      </c>
      <c r="C10" s="1" t="str">
        <f>IFERROR(__xludf.DUMMYFUNCTION("""COMPUTED_VALUE"""),"Blog")</f>
        <v>Blog</v>
      </c>
      <c r="D10" s="1" t="str">
        <f>IFERROR(__xludf.DUMMYFUNCTION("""COMPUTED_VALUE"""),"We’re Cooking Up a Storm at QuickBooks Connect!")</f>
        <v>We’re Cooking Up a Storm at QuickBooks Connect!</v>
      </c>
      <c r="E10" s="12">
        <f>IFERROR(__xludf.DUMMYFUNCTION("""COMPUTED_VALUE"""),41904.614282407405)</f>
        <v>41904.61428</v>
      </c>
    </row>
    <row r="11">
      <c r="A11" s="7" t="str">
        <f>IFERROR(__xludf.DUMMYFUNCTION("""COMPUTED_VALUE"""),"https://www.method.me/blog/stop-managing-your-leads-in-excel-your-bottom-line-will-thank-you/")</f>
        <v>https://www.method.me/blog/stop-managing-your-leads-in-excel-your-bottom-line-will-thank-you/</v>
      </c>
      <c r="B11" s="1" t="str">
        <f>IFERROR(__xludf.DUMMYFUNCTION("""COMPUTED_VALUE"""),"Listicle - General")</f>
        <v>Listicle - General</v>
      </c>
      <c r="C11" s="1" t="str">
        <f>IFERROR(__xludf.DUMMYFUNCTION("""COMPUTED_VALUE"""),"Blog")</f>
        <v>Blog</v>
      </c>
      <c r="D11" s="1" t="str">
        <f>IFERROR(__xludf.DUMMYFUNCTION("""COMPUTED_VALUE"""),"3 Benefits of Switching From Excel to Lead Management Software")</f>
        <v>3 Benefits of Switching From Excel to Lead Management Software</v>
      </c>
      <c r="E11" s="12">
        <f>IFERROR(__xludf.DUMMYFUNCTION("""COMPUTED_VALUE"""),41912.54216435185)</f>
        <v>41912.54216</v>
      </c>
    </row>
    <row r="12">
      <c r="A12" s="7" t="str">
        <f>IFERROR(__xludf.DUMMYFUNCTION("""COMPUTED_VALUE"""),"https://www.method.me/blog/create-workplace-harmony-with-quickbooks-integrated-workflows/")</f>
        <v>https://www.method.me/blog/create-workplace-harmony-with-quickbooks-integrated-workflows/</v>
      </c>
      <c r="B12" s="1" t="str">
        <f>IFERROR(__xludf.DUMMYFUNCTION("""COMPUTED_VALUE"""),"QuickBooks - General")</f>
        <v>QuickBooks - General</v>
      </c>
      <c r="C12" s="1" t="str">
        <f>IFERROR(__xludf.DUMMYFUNCTION("""COMPUTED_VALUE"""),"Blog")</f>
        <v>Blog</v>
      </c>
      <c r="D12" s="1" t="str">
        <f>IFERROR(__xludf.DUMMYFUNCTION("""COMPUTED_VALUE"""),"Create Workplace Harmony with QuickBooks-Integrated Workflows")</f>
        <v>Create Workplace Harmony with QuickBooks-Integrated Workflows</v>
      </c>
      <c r="E12" s="12">
        <f>IFERROR(__xludf.DUMMYFUNCTION("""COMPUTED_VALUE"""),41920.60538194444)</f>
        <v>41920.60538</v>
      </c>
    </row>
    <row r="13">
      <c r="A13" s="7" t="str">
        <f>IFERROR(__xludf.DUMMYFUNCTION("""COMPUTED_VALUE"""),"https://www.method.me/blog/quit-using-quickbooks-as-your-lead-management-software/")</f>
        <v>https://www.method.me/blog/quit-using-quickbooks-as-your-lead-management-software/</v>
      </c>
      <c r="B13" s="1" t="str">
        <f>IFERROR(__xludf.DUMMYFUNCTION("""COMPUTED_VALUE"""),"QuickBooks - General")</f>
        <v>QuickBooks - General</v>
      </c>
      <c r="C13" s="1" t="str">
        <f>IFERROR(__xludf.DUMMYFUNCTION("""COMPUTED_VALUE"""),"Blog")</f>
        <v>Blog</v>
      </c>
      <c r="D13" s="1" t="str">
        <f>IFERROR(__xludf.DUMMYFUNCTION("""COMPUTED_VALUE"""),"Quit Using QuickBooks as Your Lead Management Software")</f>
        <v>Quit Using QuickBooks as Your Lead Management Software</v>
      </c>
      <c r="E13" s="12">
        <f>IFERROR(__xludf.DUMMYFUNCTION("""COMPUTED_VALUE"""),41922.60539351852)</f>
        <v>41922.60539</v>
      </c>
    </row>
    <row r="14">
      <c r="A14" s="7" t="str">
        <f>IFERROR(__xludf.DUMMYFUNCTION("""COMPUTED_VALUE"""),"https://www.method.me/blog/quickbooks-online-or-quickbooks-desktop/")</f>
        <v>https://www.method.me/blog/quickbooks-online-or-quickbooks-desktop/</v>
      </c>
      <c r="B14" s="1" t="str">
        <f>IFERROR(__xludf.DUMMYFUNCTION("""COMPUTED_VALUE"""),"QuickBooks - General")</f>
        <v>QuickBooks - General</v>
      </c>
      <c r="C14" s="1" t="str">
        <f>IFERROR(__xludf.DUMMYFUNCTION("""COMPUTED_VALUE"""),"Blog")</f>
        <v>Blog</v>
      </c>
      <c r="D14" s="1" t="str">
        <f>IFERROR(__xludf.DUMMYFUNCTION("""COMPUTED_VALUE"""),"QuickBooks Online or QuickBooks Desktop: Comparison (2024)")</f>
        <v>QuickBooks Online or QuickBooks Desktop: Comparison (2024)</v>
      </c>
      <c r="E14" s="12">
        <f>IFERROR(__xludf.DUMMYFUNCTION("""COMPUTED_VALUE"""),41928.605416666665)</f>
        <v>41928.60542</v>
      </c>
    </row>
    <row r="15">
      <c r="A15" s="7" t="str">
        <f>IFERROR(__xludf.DUMMYFUNCTION("""COMPUTED_VALUE"""),"https://www.method.me/blog/method-heads-to-quickbooks-connect/")</f>
        <v>https://www.method.me/blog/method-heads-to-quickbooks-connect/</v>
      </c>
      <c r="B15" s="1" t="str">
        <f>IFERROR(__xludf.DUMMYFUNCTION("""COMPUTED_VALUE"""),"Conference / Event")</f>
        <v>Conference / Event</v>
      </c>
      <c r="C15" s="1" t="str">
        <f>IFERROR(__xludf.DUMMYFUNCTION("""COMPUTED_VALUE"""),"Blog")</f>
        <v>Blog</v>
      </c>
      <c r="D15" s="1" t="str">
        <f>IFERROR(__xludf.DUMMYFUNCTION("""COMPUTED_VALUE"""),"On our Way to San Jose: Method heads to QuickBooks Connect!")</f>
        <v>On our Way to San Jose: Method heads to QuickBooks Connect!</v>
      </c>
      <c r="E15" s="12">
        <f>IFERROR(__xludf.DUMMYFUNCTION("""COMPUTED_VALUE"""),41929.59675925926)</f>
        <v>41929.59676</v>
      </c>
    </row>
    <row r="16">
      <c r="A16" s="7" t="str">
        <f>IFERROR(__xludf.DUMMYFUNCTION("""COMPUTED_VALUE"""),"https://www.method.me/blog/new-method-enters-beta-at-quickbooks-connect/")</f>
        <v>https://www.method.me/blog/new-method-enters-beta-at-quickbooks-connect/</v>
      </c>
      <c r="B16" s="1" t="str">
        <f>IFERROR(__xludf.DUMMYFUNCTION("""COMPUTED_VALUE"""),"Method - Product Updates")</f>
        <v>Method - Product Updates</v>
      </c>
      <c r="C16" s="1" t="str">
        <f>IFERROR(__xludf.DUMMYFUNCTION("""COMPUTED_VALUE"""),"Blog")</f>
        <v>Blog</v>
      </c>
      <c r="D16" s="1" t="str">
        <f>IFERROR(__xludf.DUMMYFUNCTION("""COMPUTED_VALUE"""),"New Method Enters Beta at QuickBooks Connect")</f>
        <v>New Method Enters Beta at QuickBooks Connect</v>
      </c>
      <c r="E16" s="12">
        <f>IFERROR(__xludf.DUMMYFUNCTION("""COMPUTED_VALUE"""),41939.595)</f>
        <v>41939.595</v>
      </c>
    </row>
    <row r="17">
      <c r="A17" s="7" t="str">
        <f>IFERROR(__xludf.DUMMYFUNCTION("""COMPUTED_VALUE"""),"https://www.method.me/blog/conference-travel-tips-to-get-you-there-energized/")</f>
        <v>https://www.method.me/blog/conference-travel-tips-to-get-you-there-energized/</v>
      </c>
      <c r="B17" s="1" t="str">
        <f>IFERROR(__xludf.DUMMYFUNCTION("""COMPUTED_VALUE"""),"Conference / Event")</f>
        <v>Conference / Event</v>
      </c>
      <c r="C17" s="1" t="str">
        <f>IFERROR(__xludf.DUMMYFUNCTION("""COMPUTED_VALUE"""),"Blog")</f>
        <v>Blog</v>
      </c>
      <c r="D17" s="1" t="str">
        <f>IFERROR(__xludf.DUMMYFUNCTION("""COMPUTED_VALUE"""),"Conference Travel Tips to Get You There Energized")</f>
        <v>Conference Travel Tips to Get You There Energized</v>
      </c>
      <c r="E17" s="12">
        <f>IFERROR(__xludf.DUMMYFUNCTION("""COMPUTED_VALUE"""),41951.58892361111)</f>
        <v>41951.58892</v>
      </c>
    </row>
    <row r="18">
      <c r="A18" s="7" t="str">
        <f>IFERROR(__xludf.DUMMYFUNCTION("""COMPUTED_VALUE"""),"https://www.method.me/blog/7-apps-to-organize-your-small-business/")</f>
        <v>https://www.method.me/blog/7-apps-to-organize-your-small-business/</v>
      </c>
      <c r="B18" s="1" t="str">
        <f>IFERROR(__xludf.DUMMYFUNCTION("""COMPUTED_VALUE"""),"Listicle - Software / Software overview")</f>
        <v>Listicle - Software / Software overview</v>
      </c>
      <c r="C18" s="1" t="str">
        <f>IFERROR(__xludf.DUMMYFUNCTION("""COMPUTED_VALUE"""),"Blog")</f>
        <v>Blog</v>
      </c>
      <c r="D18" s="1" t="str">
        <f>IFERROR(__xludf.DUMMYFUNCTION("""COMPUTED_VALUE"""),"7 Apps to Organize Your Small Business")</f>
        <v>7 Apps to Organize Your Small Business</v>
      </c>
      <c r="E18" s="12">
        <f>IFERROR(__xludf.DUMMYFUNCTION("""COMPUTED_VALUE"""),42011.659733796296)</f>
        <v>42011.65973</v>
      </c>
    </row>
    <row r="19">
      <c r="A19" s="7" t="str">
        <f>IFERROR(__xludf.DUMMYFUNCTION("""COMPUTED_VALUE"""),"https://www.method.me/blog/ways-to-generate-leads-online-for-your-small-business/")</f>
        <v>https://www.method.me/blog/ways-to-generate-leads-online-for-your-small-business/</v>
      </c>
      <c r="B19" s="1" t="str">
        <f>IFERROR(__xludf.DUMMYFUNCTION("""COMPUTED_VALUE"""),"Listicle - General")</f>
        <v>Listicle - General</v>
      </c>
      <c r="C19" s="1" t="str">
        <f>IFERROR(__xludf.DUMMYFUNCTION("""COMPUTED_VALUE"""),"Blog")</f>
        <v>Blog</v>
      </c>
      <c r="D19" s="1" t="str">
        <f>IFERROR(__xludf.DUMMYFUNCTION("""COMPUTED_VALUE"""),"5 Ways to Generate Leads Online for Your Small Business")</f>
        <v>5 Ways to Generate Leads Online for Your Small Business</v>
      </c>
      <c r="E19" s="12">
        <f>IFERROR(__xludf.DUMMYFUNCTION("""COMPUTED_VALUE"""),42025.779965277776)</f>
        <v>42025.77997</v>
      </c>
    </row>
    <row r="20">
      <c r="A20" s="7" t="str">
        <f>IFERROR(__xludf.DUMMYFUNCTION("""COMPUTED_VALUE"""),"https://www.method.me/blog/productivity-hacks-for-the-brave-small-business-owner/")</f>
        <v>https://www.method.me/blog/productivity-hacks-for-the-brave-small-business-owner/</v>
      </c>
      <c r="B20" s="1" t="str">
        <f>IFERROR(__xludf.DUMMYFUNCTION("""COMPUTED_VALUE"""),"Listicle - General")</f>
        <v>Listicle - General</v>
      </c>
      <c r="C20" s="1" t="str">
        <f>IFERROR(__xludf.DUMMYFUNCTION("""COMPUTED_VALUE"""),"Blog")</f>
        <v>Blog</v>
      </c>
      <c r="D20" s="1" t="str">
        <f>IFERROR(__xludf.DUMMYFUNCTION("""COMPUTED_VALUE"""),"10 productivity tips for small business owners")</f>
        <v>10 productivity tips for small business owners</v>
      </c>
      <c r="E20" s="12">
        <f>IFERROR(__xludf.DUMMYFUNCTION("""COMPUTED_VALUE"""),42034.72574074074)</f>
        <v>42034.72574</v>
      </c>
    </row>
    <row r="21">
      <c r="A21" s="7" t="str">
        <f>IFERROR(__xludf.DUMMYFUNCTION("""COMPUTED_VALUE"""),"https://www.method.me/blog/weve-arrived-methodcrm-now-available-for-australian-quickbooks-customers/")</f>
        <v>https://www.method.me/blog/weve-arrived-methodcrm-now-available-for-australian-quickbooks-customers/</v>
      </c>
      <c r="B21" s="1" t="str">
        <f>IFERROR(__xludf.DUMMYFUNCTION("""COMPUTED_VALUE"""),"Method - Product Updates")</f>
        <v>Method - Product Updates</v>
      </c>
      <c r="C21" s="1" t="str">
        <f>IFERROR(__xludf.DUMMYFUNCTION("""COMPUTED_VALUE"""),"Blog")</f>
        <v>Blog</v>
      </c>
      <c r="D21" s="1" t="str">
        <f>IFERROR(__xludf.DUMMYFUNCTION("""COMPUTED_VALUE"""),"Method:CRM Now Available for Australian QuickBooks Customers")</f>
        <v>Method:CRM Now Available for Australian QuickBooks Customers</v>
      </c>
      <c r="E21" s="12">
        <f>IFERROR(__xludf.DUMMYFUNCTION("""COMPUTED_VALUE"""),42053.70921296296)</f>
        <v>42053.70921</v>
      </c>
    </row>
    <row r="22">
      <c r="A22" s="7" t="str">
        <f>IFERROR(__xludf.DUMMYFUNCTION("""COMPUTED_VALUE"""),"https://www.method.me/blog/small-business-world-class-service-part-1/")</f>
        <v>https://www.method.me/blog/small-business-world-class-service-part-1/</v>
      </c>
      <c r="B22" s="1" t="str">
        <f>IFERROR(__xludf.DUMMYFUNCTION("""COMPUTED_VALUE"""),"Small business / Nonprofit")</f>
        <v>Small business / Nonprofit</v>
      </c>
      <c r="C22" s="1" t="str">
        <f>IFERROR(__xludf.DUMMYFUNCTION("""COMPUTED_VALUE"""),"Blog")</f>
        <v>Blog</v>
      </c>
      <c r="D22" s="1" t="str">
        <f>IFERROR(__xludf.DUMMYFUNCTION("""COMPUTED_VALUE"""),"Small business customer service: How to provide an excellent experience")</f>
        <v>Small business customer service: How to provide an excellent experience</v>
      </c>
      <c r="E22" s="12">
        <f>IFERROR(__xludf.DUMMYFUNCTION("""COMPUTED_VALUE"""),42060.539560185185)</f>
        <v>42060.53956</v>
      </c>
    </row>
    <row r="23">
      <c r="A23" s="7" t="str">
        <f>IFERROR(__xludf.DUMMYFUNCTION("""COMPUTED_VALUE"""),"https://www.method.me/blog/generate-leads-small-business/")</f>
        <v>https://www.method.me/blog/generate-leads-small-business/</v>
      </c>
      <c r="B23" s="1" t="str">
        <f>IFERROR(__xludf.DUMMYFUNCTION("""COMPUTED_VALUE"""),"Sales / Marketing / Lead gen")</f>
        <v>Sales / Marketing / Lead gen</v>
      </c>
      <c r="C23" s="1" t="str">
        <f>IFERROR(__xludf.DUMMYFUNCTION("""COMPUTED_VALUE"""),"Blog")</f>
        <v>Blog</v>
      </c>
      <c r="D23" s="1" t="str">
        <f>IFERROR(__xludf.DUMMYFUNCTION("""COMPUTED_VALUE"""),"How to generate leads for your small business")</f>
        <v>How to generate leads for your small business</v>
      </c>
      <c r="E23" s="12">
        <f>IFERROR(__xludf.DUMMYFUNCTION("""COMPUTED_VALUE"""),42065.69567129629)</f>
        <v>42065.69567</v>
      </c>
    </row>
    <row r="24">
      <c r="A24" s="7" t="str">
        <f>IFERROR(__xludf.DUMMYFUNCTION("""COMPUTED_VALUE"""),"https://www.method.me/blog/small-business-world-class-service-part-2/")</f>
        <v>https://www.method.me/blog/small-business-world-class-service-part-2/</v>
      </c>
      <c r="B24" s="1" t="str">
        <f>IFERROR(__xludf.DUMMYFUNCTION("""COMPUTED_VALUE"""),"Small business / Nonprofit")</f>
        <v>Small business / Nonprofit</v>
      </c>
      <c r="C24" s="1" t="str">
        <f>IFERROR(__xludf.DUMMYFUNCTION("""COMPUTED_VALUE"""),"Blog")</f>
        <v>Blog</v>
      </c>
      <c r="D24" s="1" t="str">
        <f>IFERROR(__xludf.DUMMYFUNCTION("""COMPUTED_VALUE"""),"How a Small Business Can Provide World-Class Customer Service [Part 2]")</f>
        <v>How a Small Business Can Provide World-Class Customer Service [Part 2]</v>
      </c>
      <c r="E24" s="12">
        <f>IFERROR(__xludf.DUMMYFUNCTION("""COMPUTED_VALUE"""),42067.65375)</f>
        <v>42067.65375</v>
      </c>
    </row>
    <row r="25">
      <c r="A25" s="7" t="str">
        <f>IFERROR(__xludf.DUMMYFUNCTION("""COMPUTED_VALUE"""),"https://www.method.me/blog/generate-new-business-existing-customers/")</f>
        <v>https://www.method.me/blog/generate-new-business-existing-customers/</v>
      </c>
      <c r="B25" s="1" t="str">
        <f>IFERROR(__xludf.DUMMYFUNCTION("""COMPUTED_VALUE"""),"Listicle - General")</f>
        <v>Listicle - General</v>
      </c>
      <c r="C25" s="1" t="str">
        <f>IFERROR(__xludf.DUMMYFUNCTION("""COMPUTED_VALUE"""),"Blog")</f>
        <v>Blog</v>
      </c>
      <c r="D25" s="1" t="str">
        <f>IFERROR(__xludf.DUMMYFUNCTION("""COMPUTED_VALUE"""),"3 Ways to Generate New Business from Existing Customers")</f>
        <v>3 Ways to Generate New Business from Existing Customers</v>
      </c>
      <c r="E25" s="12">
        <f>IFERROR(__xludf.DUMMYFUNCTION("""COMPUTED_VALUE"""),42073.56789351852)</f>
        <v>42073.56789</v>
      </c>
    </row>
    <row r="26">
      <c r="A26" s="7" t="str">
        <f>IFERROR(__xludf.DUMMYFUNCTION("""COMPUTED_VALUE"""),"https://www.method.me/blog/how-3-small-businesses-close-more-deals-on-the-road/")</f>
        <v>https://www.method.me/blog/how-3-small-businesses-close-more-deals-on-the-road/</v>
      </c>
      <c r="B26" s="1" t="str">
        <f>IFERROR(__xludf.DUMMYFUNCTION("""COMPUTED_VALUE"""),"Method - Customer / Partner Success")</f>
        <v>Method - Customer / Partner Success</v>
      </c>
      <c r="C26" s="1" t="str">
        <f>IFERROR(__xludf.DUMMYFUNCTION("""COMPUTED_VALUE"""),"Blog")</f>
        <v>Blog</v>
      </c>
      <c r="D26" s="1" t="str">
        <f>IFERROR(__xludf.DUMMYFUNCTION("""COMPUTED_VALUE"""),"How 3 Small Businesses Close More Deals on the Road")</f>
        <v>How 3 Small Businesses Close More Deals on the Road</v>
      </c>
      <c r="E26" s="12">
        <f>IFERROR(__xludf.DUMMYFUNCTION("""COMPUTED_VALUE"""),42089.52517361111)</f>
        <v>42089.52517</v>
      </c>
    </row>
    <row r="27">
      <c r="A27" s="7" t="str">
        <f>IFERROR(__xludf.DUMMYFUNCTION("""COMPUTED_VALUE"""),"https://www.method.me/blog/simplify-small-business-workflows-part-1/")</f>
        <v>https://www.method.me/blog/simplify-small-business-workflows-part-1/</v>
      </c>
      <c r="B27" s="1" t="str">
        <f>IFERROR(__xludf.DUMMYFUNCTION("""COMPUTED_VALUE"""),"Small business / Nonprofit")</f>
        <v>Small business / Nonprofit</v>
      </c>
      <c r="C27" s="1" t="str">
        <f>IFERROR(__xludf.DUMMYFUNCTION("""COMPUTED_VALUE"""),"Blog")</f>
        <v>Blog</v>
      </c>
      <c r="D27" s="1" t="str">
        <f>IFERROR(__xludf.DUMMYFUNCTION("""COMPUTED_VALUE"""),"Simplify Your Small Business Workflows for a Faster (and Happier) Team [Part I]")</f>
        <v>Simplify Your Small Business Workflows for a Faster (and Happier) Team [Part I]</v>
      </c>
      <c r="E27" s="12">
        <f>IFERROR(__xludf.DUMMYFUNCTION("""COMPUTED_VALUE"""),42103.659791666665)</f>
        <v>42103.65979</v>
      </c>
    </row>
    <row r="28">
      <c r="A28" s="7" t="str">
        <f>IFERROR(__xludf.DUMMYFUNCTION("""COMPUTED_VALUE"""),"https://www.method.me/blog/2-simple-tactics-to-successful-small-business-email-marketing/")</f>
        <v>https://www.method.me/blog/2-simple-tactics-to-successful-small-business-email-marketing/</v>
      </c>
      <c r="B28" s="1" t="str">
        <f>IFERROR(__xludf.DUMMYFUNCTION("""COMPUTED_VALUE"""),"Listicle - General")</f>
        <v>Listicle - General</v>
      </c>
      <c r="C28" s="1" t="str">
        <f>IFERROR(__xludf.DUMMYFUNCTION("""COMPUTED_VALUE"""),"Blog")</f>
        <v>Blog</v>
      </c>
      <c r="D28" s="1" t="str">
        <f>IFERROR(__xludf.DUMMYFUNCTION("""COMPUTED_VALUE"""),"2 Simple Tactics to Successful Small Business Email Marketing")</f>
        <v>2 Simple Tactics to Successful Small Business Email Marketing</v>
      </c>
      <c r="E28" s="12">
        <f>IFERROR(__xludf.DUMMYFUNCTION("""COMPUTED_VALUE"""),42111.75523148148)</f>
        <v>42111.75523</v>
      </c>
    </row>
    <row r="29">
      <c r="A29" s="7" t="str">
        <f>IFERROR(__xludf.DUMMYFUNCTION("""COMPUTED_VALUE"""),"https://www.method.me/blog/simplify-your-small-business-workflows-part-2/")</f>
        <v>https://www.method.me/blog/simplify-your-small-business-workflows-part-2/</v>
      </c>
      <c r="B29" s="1" t="str">
        <f>IFERROR(__xludf.DUMMYFUNCTION("""COMPUTED_VALUE"""),"Small business / Nonprofit")</f>
        <v>Small business / Nonprofit</v>
      </c>
      <c r="C29" s="1" t="str">
        <f>IFERROR(__xludf.DUMMYFUNCTION("""COMPUTED_VALUE"""),"Blog")</f>
        <v>Blog</v>
      </c>
      <c r="D29" s="1" t="str">
        <f>IFERROR(__xludf.DUMMYFUNCTION("""COMPUTED_VALUE"""),"Simplify your small business workflows for a faster (and happier) team [Part 2]")</f>
        <v>Simplify your small business workflows for a faster (and happier) team [Part 2]</v>
      </c>
      <c r="E29" s="12">
        <f>IFERROR(__xludf.DUMMYFUNCTION("""COMPUTED_VALUE"""),42124.75922453704)</f>
        <v>42124.75922</v>
      </c>
    </row>
    <row r="30">
      <c r="A30" s="7" t="str">
        <f>IFERROR(__xludf.DUMMYFUNCTION("""COMPUTED_VALUE"""),"https://www.method.me/blog/simplify-your-small-business-workflows-part-3/")</f>
        <v>https://www.method.me/blog/simplify-your-small-business-workflows-part-3/</v>
      </c>
      <c r="B30" s="1" t="str">
        <f>IFERROR(__xludf.DUMMYFUNCTION("""COMPUTED_VALUE"""),"Small business / Nonprofit")</f>
        <v>Small business / Nonprofit</v>
      </c>
      <c r="C30" s="1" t="str">
        <f>IFERROR(__xludf.DUMMYFUNCTION("""COMPUTED_VALUE"""),"Blog")</f>
        <v>Blog</v>
      </c>
      <c r="D30" s="1" t="str">
        <f>IFERROR(__xludf.DUMMYFUNCTION("""COMPUTED_VALUE"""),"Simplify Your Small Business Workflow for a Faster (and Happier) Team [Part 3]")</f>
        <v>Simplify Your Small Business Workflow for a Faster (and Happier) Team [Part 3]</v>
      </c>
      <c r="E30" s="12">
        <f>IFERROR(__xludf.DUMMYFUNCTION("""COMPUTED_VALUE"""),42135.44252314815)</f>
        <v>42135.44252</v>
      </c>
    </row>
    <row r="31">
      <c r="A31" s="7" t="str">
        <f>IFERROR(__xludf.DUMMYFUNCTION("""COMPUTED_VALUE"""),"https://www.method.me/blog/my-life-since-methodwalks-started/")</f>
        <v>https://www.method.me/blog/my-life-since-methodwalks-started/</v>
      </c>
      <c r="B31" s="1" t="str">
        <f>IFERROR(__xludf.DUMMYFUNCTION("""COMPUTED_VALUE"""),"Method - Lifestyle / Storytelling")</f>
        <v>Method - Lifestyle / Storytelling</v>
      </c>
      <c r="C31" s="1" t="str">
        <f>IFERROR(__xludf.DUMMYFUNCTION("""COMPUTED_VALUE"""),"Blog")</f>
        <v>Blog</v>
      </c>
      <c r="D31" s="1" t="str">
        <f>IFERROR(__xludf.DUMMYFUNCTION("""COMPUTED_VALUE"""),"My Life Since Method:Walks Started")</f>
        <v>My Life Since Method:Walks Started</v>
      </c>
      <c r="E31" s="12">
        <f>IFERROR(__xludf.DUMMYFUNCTION("""COMPUTED_VALUE"""),42137.6877662037)</f>
        <v>42137.68777</v>
      </c>
    </row>
    <row r="32">
      <c r="A32" s="7" t="str">
        <f>IFERROR(__xludf.DUMMYFUNCTION("""COMPUTED_VALUE"""),"https://www.method.me/blog/simplify-your-small-business-workflows-part-4/")</f>
        <v>https://www.method.me/blog/simplify-your-small-business-workflows-part-4/</v>
      </c>
      <c r="B32" s="1" t="str">
        <f>IFERROR(__xludf.DUMMYFUNCTION("""COMPUTED_VALUE"""),"Small business / Nonprofit")</f>
        <v>Small business / Nonprofit</v>
      </c>
      <c r="C32" s="1" t="str">
        <f>IFERROR(__xludf.DUMMYFUNCTION("""COMPUTED_VALUE"""),"Blog")</f>
        <v>Blog</v>
      </c>
      <c r="D32" s="1" t="str">
        <f>IFERROR(__xludf.DUMMYFUNCTION("""COMPUTED_VALUE"""),"Simplify Your Small Business Workflow for a Faster (and Happier) Team [Part 4]")</f>
        <v>Simplify Your Small Business Workflow for a Faster (and Happier) Team [Part 4]</v>
      </c>
      <c r="E32" s="12">
        <f>IFERROR(__xludf.DUMMYFUNCTION("""COMPUTED_VALUE"""),42144.4028587963)</f>
        <v>42144.40286</v>
      </c>
    </row>
    <row r="33">
      <c r="A33" s="7" t="str">
        <f>IFERROR(__xludf.DUMMYFUNCTION("""COMPUTED_VALUE"""),"https://www.method.me/blog/methoders-ride-for-heart/")</f>
        <v>https://www.method.me/blog/methoders-ride-for-heart/</v>
      </c>
      <c r="B33" s="1" t="str">
        <f>IFERROR(__xludf.DUMMYFUNCTION("""COMPUTED_VALUE"""),"Method - Lifestyle / Storytelling")</f>
        <v>Method - Lifestyle / Storytelling</v>
      </c>
      <c r="C33" s="1" t="str">
        <f>IFERROR(__xludf.DUMMYFUNCTION("""COMPUTED_VALUE"""),"Blog")</f>
        <v>Blog</v>
      </c>
      <c r="D33" s="1" t="str">
        <f>IFERROR(__xludf.DUMMYFUNCTION("""COMPUTED_VALUE"""),"Methoders Ride for Heart")</f>
        <v>Methoders Ride for Heart</v>
      </c>
      <c r="E33" s="12">
        <f>IFERROR(__xludf.DUMMYFUNCTION("""COMPUTED_VALUE"""),42146.451053240744)</f>
        <v>42146.45105</v>
      </c>
    </row>
    <row r="34">
      <c r="A34" s="7" t="str">
        <f>IFERROR(__xludf.DUMMYFUNCTION("""COMPUTED_VALUE"""),"https://www.method.me/blog/donor-management-software-for-quickbooks/")</f>
        <v>https://www.method.me/blog/donor-management-software-for-quickbooks/</v>
      </c>
      <c r="B34" s="1" t="str">
        <f>IFERROR(__xludf.DUMMYFUNCTION("""COMPUTED_VALUE"""),"QuickBooks - General")</f>
        <v>QuickBooks - General</v>
      </c>
      <c r="C34" s="1" t="str">
        <f>IFERROR(__xludf.DUMMYFUNCTION("""COMPUTED_VALUE"""),"Blog")</f>
        <v>Blog</v>
      </c>
      <c r="D34" s="1" t="str">
        <f>IFERROR(__xludf.DUMMYFUNCTION("""COMPUTED_VALUE"""),"Why Should You Use Donor Management Software That Works with QuickBooks?")</f>
        <v>Why Should You Use Donor Management Software That Works with QuickBooks?</v>
      </c>
      <c r="E34" s="12">
        <f>IFERROR(__xludf.DUMMYFUNCTION("""COMPUTED_VALUE"""),42158.35482638889)</f>
        <v>42158.35483</v>
      </c>
    </row>
    <row r="35">
      <c r="A35" s="7" t="str">
        <f>IFERROR(__xludf.DUMMYFUNCTION("""COMPUTED_VALUE"""),"https://www.method.me/blog/nonprofit-crm-blog/")</f>
        <v>https://www.method.me/blog/nonprofit-crm-blog/</v>
      </c>
      <c r="B35" s="1" t="str">
        <f>IFERROR(__xludf.DUMMYFUNCTION("""COMPUTED_VALUE"""),"Listicle - CRM")</f>
        <v>Listicle - CRM</v>
      </c>
      <c r="C35" s="1" t="str">
        <f>IFERROR(__xludf.DUMMYFUNCTION("""COMPUTED_VALUE"""),"Blog")</f>
        <v>Blog</v>
      </c>
      <c r="D35" s="1" t="str">
        <f>IFERROR(__xludf.DUMMYFUNCTION("""COMPUTED_VALUE"""),"3 Reasons Every Nonprofit Should Use a CRM")</f>
        <v>3 Reasons Every Nonprofit Should Use a CRM</v>
      </c>
      <c r="E35" s="12">
        <f>IFERROR(__xludf.DUMMYFUNCTION("""COMPUTED_VALUE"""),42160.51155092593)</f>
        <v>42160.51155</v>
      </c>
    </row>
    <row r="36">
      <c r="A36" s="7" t="str">
        <f>IFERROR(__xludf.DUMMYFUNCTION("""COMPUTED_VALUE"""),"https://www.method.me/blog/donor-management-software-webinar/")</f>
        <v>https://www.method.me/blog/donor-management-software-webinar/</v>
      </c>
      <c r="B36" s="1" t="str">
        <f>IFERROR(__xludf.DUMMYFUNCTION("""COMPUTED_VALUE"""),"Method - Product Updates")</f>
        <v>Method - Product Updates</v>
      </c>
      <c r="C36" s="1" t="str">
        <f>IFERROR(__xludf.DUMMYFUNCTION("""COMPUTED_VALUE"""),"Blog")</f>
        <v>Blog</v>
      </c>
      <c r="D36" s="1" t="str">
        <f>IFERROR(__xludf.DUMMYFUNCTION("""COMPUTED_VALUE"""),"[Webinar] An Introduction to Method:Donor")</f>
        <v>[Webinar] An Introduction to Method:Donor</v>
      </c>
      <c r="E36" s="12">
        <f>IFERROR(__xludf.DUMMYFUNCTION("""COMPUTED_VALUE"""),42165.713055555556)</f>
        <v>42165.71306</v>
      </c>
    </row>
    <row r="37">
      <c r="A37" s="7" t="str">
        <f>IFERROR(__xludf.DUMMYFUNCTION("""COMPUTED_VALUE"""),"https://www.method.me/blog/learn-and-love-customizing-method/")</f>
        <v>https://www.method.me/blog/learn-and-love-customizing-method/</v>
      </c>
      <c r="B37" s="1" t="str">
        <f>IFERROR(__xludf.DUMMYFUNCTION("""COMPUTED_VALUE"""),"Method - Customer / Partner Success")</f>
        <v>Method - Customer / Partner Success</v>
      </c>
      <c r="C37" s="1" t="str">
        <f>IFERROR(__xludf.DUMMYFUNCTION("""COMPUTED_VALUE"""),"Blog")</f>
        <v>Blog</v>
      </c>
      <c r="D37" s="1" t="str">
        <f>IFERROR(__xludf.DUMMYFUNCTION("""COMPUTED_VALUE"""),"How I Started to Learn and Love Customizing Method")</f>
        <v>How I Started to Learn and Love Customizing Method</v>
      </c>
      <c r="E37" s="12">
        <f>IFERROR(__xludf.DUMMYFUNCTION("""COMPUTED_VALUE"""),42171.5805787037)</f>
        <v>42171.58058</v>
      </c>
    </row>
    <row r="38">
      <c r="A38" s="7" t="str">
        <f>IFERROR(__xludf.DUMMYFUNCTION("""COMPUTED_VALUE"""),"https://www.method.me/blog/scaling-new-heights-sessions/")</f>
        <v>https://www.method.me/blog/scaling-new-heights-sessions/</v>
      </c>
      <c r="B38" s="1" t="str">
        <f>IFERROR(__xludf.DUMMYFUNCTION("""COMPUTED_VALUE"""),"Conference / Event")</f>
        <v>Conference / Event</v>
      </c>
      <c r="C38" s="1" t="str">
        <f>IFERROR(__xludf.DUMMYFUNCTION("""COMPUTED_VALUE"""),"Blog")</f>
        <v>Blog</v>
      </c>
      <c r="D38" s="1" t="str">
        <f>IFERROR(__xludf.DUMMYFUNCTION("""COMPUTED_VALUE"""),"5 Scaling New Heights Sessions You Can’t Miss")</f>
        <v>5 Scaling New Heights Sessions You Can’t Miss</v>
      </c>
      <c r="E38" s="12">
        <f>IFERROR(__xludf.DUMMYFUNCTION("""COMPUTED_VALUE"""),42173.43736111111)</f>
        <v>42173.43736</v>
      </c>
    </row>
    <row r="39">
      <c r="A39" s="7" t="str">
        <f>IFERROR(__xludf.DUMMYFUNCTION("""COMPUTED_VALUE"""),"https://www.method.me/blog/your-work-your-way-for-small-business/")</f>
        <v>https://www.method.me/blog/your-work-your-way-for-small-business/</v>
      </c>
      <c r="B39" s="1" t="str">
        <f>IFERROR(__xludf.DUMMYFUNCTION("""COMPUTED_VALUE"""),"Misc. info")</f>
        <v>Misc. info</v>
      </c>
      <c r="C39" s="1" t="str">
        <f>IFERROR(__xludf.DUMMYFUNCTION("""COMPUTED_VALUE"""),"Blog")</f>
        <v>Blog</v>
      </c>
      <c r="D39" s="1" t="str">
        <f>IFERROR(__xludf.DUMMYFUNCTION("""COMPUTED_VALUE"""),"What does Your Work, Your Way mean for your business?")</f>
        <v>What does Your Work, Your Way mean for your business?</v>
      </c>
      <c r="E39" s="12">
        <f>IFERROR(__xludf.DUMMYFUNCTION("""COMPUTED_VALUE"""),42177.39717592593)</f>
        <v>42177.39718</v>
      </c>
    </row>
    <row r="40">
      <c r="A40" s="7" t="str">
        <f>IFERROR(__xludf.DUMMYFUNCTION("""COMPUTED_VALUE"""),"https://www.method.me/blog/moving-from-scorekeeper-to-coach/")</f>
        <v>https://www.method.me/blog/moving-from-scorekeeper-to-coach/</v>
      </c>
      <c r="B40" s="1" t="str">
        <f>IFERROR(__xludf.DUMMYFUNCTION("""COMPUTED_VALUE"""),"Misc. info")</f>
        <v>Misc. info</v>
      </c>
      <c r="C40" s="1" t="str">
        <f>IFERROR(__xludf.DUMMYFUNCTION("""COMPUTED_VALUE"""),"Blog")</f>
        <v>Blog</v>
      </c>
      <c r="D40" s="1" t="str">
        <f>IFERROR(__xludf.DUMMYFUNCTION("""COMPUTED_VALUE"""),"Moving from Scorekeeper to Coach")</f>
        <v>Moving from Scorekeeper to Coach</v>
      </c>
      <c r="E40" s="12">
        <f>IFERROR(__xludf.DUMMYFUNCTION("""COMPUTED_VALUE"""),42181.42763888889)</f>
        <v>42181.42764</v>
      </c>
    </row>
    <row r="41">
      <c r="A41" s="7" t="str">
        <f>IFERROR(__xludf.DUMMYFUNCTION("""COMPUTED_VALUE"""),"https://www.method.me/blog/wasting-time-one-size-fits-all-software/")</f>
        <v>https://www.method.me/blog/wasting-time-one-size-fits-all-software/</v>
      </c>
      <c r="B41" s="1" t="str">
        <f>IFERROR(__xludf.DUMMYFUNCTION("""COMPUTED_VALUE"""),"Listicle - Software / Software overview")</f>
        <v>Listicle - Software / Software overview</v>
      </c>
      <c r="C41" s="1" t="str">
        <f>IFERROR(__xludf.DUMMYFUNCTION("""COMPUTED_VALUE"""),"Blog")</f>
        <v>Blog</v>
      </c>
      <c r="D41" s="1" t="str">
        <f>IFERROR(__xludf.DUMMYFUNCTION("""COMPUTED_VALUE"""),"Are You Wasting Time with One-Size-Fits-All Software?")</f>
        <v>Are You Wasting Time with One-Size-Fits-All Software?</v>
      </c>
      <c r="E41" s="12">
        <f>IFERROR(__xludf.DUMMYFUNCTION("""COMPUTED_VALUE"""),42184.37537037037)</f>
        <v>42184.37537</v>
      </c>
    </row>
    <row r="42">
      <c r="A42" s="7" t="str">
        <f>IFERROR(__xludf.DUMMYFUNCTION("""COMPUTED_VALUE"""),"https://www.method.me/blog/personalized-software-for-small-businesses-is-within-reach/")</f>
        <v>https://www.method.me/blog/personalized-software-for-small-businesses-is-within-reach/</v>
      </c>
      <c r="B42" s="1" t="str">
        <f>IFERROR(__xludf.DUMMYFUNCTION("""COMPUTED_VALUE"""),"Small business / Nonprofit")</f>
        <v>Small business / Nonprofit</v>
      </c>
      <c r="C42" s="1" t="str">
        <f>IFERROR(__xludf.DUMMYFUNCTION("""COMPUTED_VALUE"""),"Blog")</f>
        <v>Blog</v>
      </c>
      <c r="D42" s="1" t="str">
        <f>IFERROR(__xludf.DUMMYFUNCTION("""COMPUTED_VALUE"""),"Personalized Software for Small Businesses is Within Reach")</f>
        <v>Personalized Software for Small Businesses is Within Reach</v>
      </c>
      <c r="E42" s="12">
        <f>IFERROR(__xludf.DUMMYFUNCTION("""COMPUTED_VALUE"""),42184.63246527778)</f>
        <v>42184.63247</v>
      </c>
    </row>
    <row r="43">
      <c r="A43" s="7" t="str">
        <f>IFERROR(__xludf.DUMMYFUNCTION("""COMPUTED_VALUE"""),"https://www.method.me/blog/method-receives-feddev-funding/")</f>
        <v>https://www.method.me/blog/method-receives-feddev-funding/</v>
      </c>
      <c r="B43" s="1" t="str">
        <f>IFERROR(__xludf.DUMMYFUNCTION("""COMPUTED_VALUE"""),"Method - Product Updates")</f>
        <v>Method - Product Updates</v>
      </c>
      <c r="C43" s="1" t="str">
        <f>IFERROR(__xludf.DUMMYFUNCTION("""COMPUTED_VALUE"""),"Blog")</f>
        <v>Blog</v>
      </c>
      <c r="D43" s="1" t="str">
        <f>IFERROR(__xludf.DUMMYFUNCTION("""COMPUTED_VALUE"""),"Method receives FedDev funding")</f>
        <v>Method receives FedDev funding</v>
      </c>
      <c r="E43" s="12">
        <f>IFERROR(__xludf.DUMMYFUNCTION("""COMPUTED_VALUE"""),42186.64429398148)</f>
        <v>42186.64429</v>
      </c>
    </row>
    <row r="44">
      <c r="A44" s="7" t="str">
        <f>IFERROR(__xludf.DUMMYFUNCTION("""COMPUTED_VALUE"""),"https://www.method.me/blog/how-to-create-a-sales-receipt-in-quickbooks/")</f>
        <v>https://www.method.me/blog/how-to-create-a-sales-receipt-in-quickbooks/</v>
      </c>
      <c r="B44" s="1" t="str">
        <f>IFERROR(__xludf.DUMMYFUNCTION("""COMPUTED_VALUE"""),"QuickBooks - How-to")</f>
        <v>QuickBooks - How-to</v>
      </c>
      <c r="C44" s="1" t="str">
        <f>IFERROR(__xludf.DUMMYFUNCTION("""COMPUTED_VALUE"""),"Blog")</f>
        <v>Blog</v>
      </c>
      <c r="D44" s="1" t="str">
        <f>IFERROR(__xludf.DUMMYFUNCTION("""COMPUTED_VALUE"""),"How to create a sales receipt in QuickBooks")</f>
        <v>How to create a sales receipt in QuickBooks</v>
      </c>
      <c r="E44" s="12">
        <f>IFERROR(__xludf.DUMMYFUNCTION("""COMPUTED_VALUE"""),42245.63185185185)</f>
        <v>42245.63185</v>
      </c>
    </row>
    <row r="45">
      <c r="A45" s="7" t="str">
        <f>IFERROR(__xludf.DUMMYFUNCTION("""COMPUTED_VALUE"""),"https://www.method.me/blog/how-to-delete-customers-in-quickbooks/")</f>
        <v>https://www.method.me/blog/how-to-delete-customers-in-quickbooks/</v>
      </c>
      <c r="B45" s="1" t="str">
        <f>IFERROR(__xludf.DUMMYFUNCTION("""COMPUTED_VALUE"""),"QuickBooks - How-to")</f>
        <v>QuickBooks - How-to</v>
      </c>
      <c r="C45" s="1" t="str">
        <f>IFERROR(__xludf.DUMMYFUNCTION("""COMPUTED_VALUE"""),"Blog")</f>
        <v>Blog</v>
      </c>
      <c r="D45" s="1" t="str">
        <f>IFERROR(__xludf.DUMMYFUNCTION("""COMPUTED_VALUE"""),"How to delete a customer in QuickBooks")</f>
        <v>How to delete a customer in QuickBooks</v>
      </c>
      <c r="E45" s="12">
        <f>IFERROR(__xludf.DUMMYFUNCTION("""COMPUTED_VALUE"""),42307.538449074076)</f>
        <v>42307.53845</v>
      </c>
    </row>
    <row r="46">
      <c r="A46" s="7" t="str">
        <f>IFERROR(__xludf.DUMMYFUNCTION("""COMPUTED_VALUE"""),"https://www.method.me/blog/method-retreat-2016/")</f>
        <v>https://www.method.me/blog/method-retreat-2016/</v>
      </c>
      <c r="B46" s="1" t="str">
        <f>IFERROR(__xludf.DUMMYFUNCTION("""COMPUTED_VALUE"""),"Method - Lifestyle / Storytelling")</f>
        <v>Method - Lifestyle / Storytelling</v>
      </c>
      <c r="C46" s="1" t="str">
        <f>IFERROR(__xludf.DUMMYFUNCTION("""COMPUTED_VALUE"""),"Blog")</f>
        <v>Blog</v>
      </c>
      <c r="D46" s="1" t="str">
        <f>IFERROR(__xludf.DUMMYFUNCTION("""COMPUTED_VALUE"""),"Method Retreat 2016")</f>
        <v>Method Retreat 2016</v>
      </c>
      <c r="E46" s="12">
        <f>IFERROR(__xludf.DUMMYFUNCTION("""COMPUTED_VALUE"""),42586.66090277778)</f>
        <v>42586.6609</v>
      </c>
    </row>
    <row r="47">
      <c r="A47" s="7" t="str">
        <f>IFERROR(__xludf.DUMMYFUNCTION("""COMPUTED_VALUE"""),"https://www.method.me/blog/methods-company-culture/")</f>
        <v>https://www.method.me/blog/methods-company-culture/</v>
      </c>
      <c r="B47" s="1" t="str">
        <f>IFERROR(__xludf.DUMMYFUNCTION("""COMPUTED_VALUE"""),"Method - Lifestyle / Storytelling")</f>
        <v>Method - Lifestyle / Storytelling</v>
      </c>
      <c r="C47" s="1" t="str">
        <f>IFERROR(__xludf.DUMMYFUNCTION("""COMPUTED_VALUE"""),"Blog")</f>
        <v>Blog</v>
      </c>
      <c r="D47" s="1" t="str">
        <f>IFERROR(__xludf.DUMMYFUNCTION("""COMPUTED_VALUE"""),"Method’s Company Culture")</f>
        <v>Method’s Company Culture</v>
      </c>
      <c r="E47" s="12">
        <f>IFERROR(__xludf.DUMMYFUNCTION("""COMPUTED_VALUE"""),42592.614699074074)</f>
        <v>42592.6147</v>
      </c>
    </row>
    <row r="48">
      <c r="A48" s="7" t="str">
        <f>IFERROR(__xludf.DUMMYFUNCTION("""COMPUTED_VALUE"""),"https://www.method.me/blog/small-biz-nonprofit/")</f>
        <v>https://www.method.me/blog/small-biz-nonprofit/</v>
      </c>
      <c r="B48" s="1" t="str">
        <f>IFERROR(__xludf.DUMMYFUNCTION("""COMPUTED_VALUE"""),"Small business / Nonprofit")</f>
        <v>Small business / Nonprofit</v>
      </c>
      <c r="C48" s="1" t="str">
        <f>IFERROR(__xludf.DUMMYFUNCTION("""COMPUTED_VALUE"""),"Blog")</f>
        <v>Blog</v>
      </c>
      <c r="D48" s="1" t="str">
        <f>IFERROR(__xludf.DUMMYFUNCTION("""COMPUTED_VALUE"""),"Small Business Tips – Nonprofit Edition")</f>
        <v>Small Business Tips – Nonprofit Edition</v>
      </c>
      <c r="E48" s="12">
        <f>IFERROR(__xludf.DUMMYFUNCTION("""COMPUTED_VALUE"""),42615.51849537037)</f>
        <v>42615.5185</v>
      </c>
    </row>
    <row r="49">
      <c r="A49" s="7" t="str">
        <f>IFERROR(__xludf.DUMMYFUNCTION("""COMPUTED_VALUE"""),"https://www.method.me/blog/quickbooks-desktop-2017/")</f>
        <v>https://www.method.me/blog/quickbooks-desktop-2017/</v>
      </c>
      <c r="B49" s="1" t="str">
        <f>IFERROR(__xludf.DUMMYFUNCTION("""COMPUTED_VALUE"""),"QuickBooks - General")</f>
        <v>QuickBooks - General</v>
      </c>
      <c r="C49" s="1" t="str">
        <f>IFERROR(__xludf.DUMMYFUNCTION("""COMPUTED_VALUE"""),"Blog")</f>
        <v>Blog</v>
      </c>
      <c r="D49" s="1" t="str">
        <f>IFERROR(__xludf.DUMMYFUNCTION("""COMPUTED_VALUE"""),"QuickBooks Desktop 2017…Touchdown!")</f>
        <v>QuickBooks Desktop 2017…Touchdown!</v>
      </c>
      <c r="E49" s="12">
        <f>IFERROR(__xludf.DUMMYFUNCTION("""COMPUTED_VALUE"""),42635.62422453704)</f>
        <v>42635.62422</v>
      </c>
    </row>
    <row r="50">
      <c r="A50" s="7" t="str">
        <f>IFERROR(__xludf.DUMMYFUNCTION("""COMPUTED_VALUE"""),"https://www.method.me/blog/quickbooks-connect-2016/")</f>
        <v>https://www.method.me/blog/quickbooks-connect-2016/</v>
      </c>
      <c r="B50" s="1" t="str">
        <f>IFERROR(__xludf.DUMMYFUNCTION("""COMPUTED_VALUE"""),"Conference / Event")</f>
        <v>Conference / Event</v>
      </c>
      <c r="C50" s="1" t="str">
        <f>IFERROR(__xludf.DUMMYFUNCTION("""COMPUTED_VALUE"""),"Blog")</f>
        <v>Blog</v>
      </c>
      <c r="D50" s="1" t="str">
        <f>IFERROR(__xludf.DUMMYFUNCTION("""COMPUTED_VALUE"""),"Tips from a QuickBooks Connect Veteran. How to make the most of your time at QB Connect 2016.")</f>
        <v>Tips from a QuickBooks Connect Veteran. How to make the most of your time at QB Connect 2016.</v>
      </c>
      <c r="E50" s="12">
        <f>IFERROR(__xludf.DUMMYFUNCTION("""COMPUTED_VALUE"""),42656.417233796295)</f>
        <v>42656.41723</v>
      </c>
    </row>
    <row r="51">
      <c r="A51" s="7" t="str">
        <f>IFERROR(__xludf.DUMMYFUNCTION("""COMPUTED_VALUE"""),"https://www.method.me/blog/factors-to-consider-when-choosing-accounting-software/")</f>
        <v>https://www.method.me/blog/factors-to-consider-when-choosing-accounting-software/</v>
      </c>
      <c r="B51" s="1" t="str">
        <f>IFERROR(__xludf.DUMMYFUNCTION("""COMPUTED_VALUE"""),"Listicle - Software / Software overview")</f>
        <v>Listicle - Software / Software overview</v>
      </c>
      <c r="C51" s="1" t="str">
        <f>IFERROR(__xludf.DUMMYFUNCTION("""COMPUTED_VALUE"""),"Blog")</f>
        <v>Blog</v>
      </c>
      <c r="D51" s="1" t="str">
        <f>IFERROR(__xludf.DUMMYFUNCTION("""COMPUTED_VALUE"""),"Factors to Consider When Choosing Accounting Software")</f>
        <v>Factors to Consider When Choosing Accounting Software</v>
      </c>
      <c r="E51" s="12">
        <f>IFERROR(__xludf.DUMMYFUNCTION("""COMPUTED_VALUE"""),42734.387291666666)</f>
        <v>42734.38729</v>
      </c>
    </row>
    <row r="52">
      <c r="A52" s="7" t="str">
        <f>IFERROR(__xludf.DUMMYFUNCTION("""COMPUTED_VALUE"""),"https://www.method.me/blog/your-business-needs-customer-relationship-management-heres-why/")</f>
        <v>https://www.method.me/blog/your-business-needs-customer-relationship-management-heres-why/</v>
      </c>
      <c r="B52" s="1" t="str">
        <f>IFERROR(__xludf.DUMMYFUNCTION("""COMPUTED_VALUE"""),"CRM")</f>
        <v>CRM</v>
      </c>
      <c r="C52" s="1" t="str">
        <f>IFERROR(__xludf.DUMMYFUNCTION("""COMPUTED_VALUE"""),"Blog")</f>
        <v>Blog</v>
      </c>
      <c r="D52" s="1" t="str">
        <f>IFERROR(__xludf.DUMMYFUNCTION("""COMPUTED_VALUE"""),"Your Business Needs Customer Relationship Management — Here’s Why")</f>
        <v>Your Business Needs Customer Relationship Management — Here’s Why</v>
      </c>
      <c r="E52" s="12">
        <f>IFERROR(__xludf.DUMMYFUNCTION("""COMPUTED_VALUE"""),42745.63135416667)</f>
        <v>42745.63135</v>
      </c>
    </row>
    <row r="53">
      <c r="A53" s="7" t="str">
        <f>IFERROR(__xludf.DUMMYFUNCTION("""COMPUTED_VALUE"""),"https://www.method.me/blog/quickbooks-enterprise-customer-management/")</f>
        <v>https://www.method.me/blog/quickbooks-enterprise-customer-management/</v>
      </c>
      <c r="B53" s="1" t="str">
        <f>IFERROR(__xludf.DUMMYFUNCTION("""COMPUTED_VALUE"""),"QuickBooks - General")</f>
        <v>QuickBooks - General</v>
      </c>
      <c r="C53" s="1" t="str">
        <f>IFERROR(__xludf.DUMMYFUNCTION("""COMPUTED_VALUE"""),"Blog")</f>
        <v>Blog</v>
      </c>
      <c r="D53" s="1" t="str">
        <f>IFERROR(__xludf.DUMMYFUNCTION("""COMPUTED_VALUE"""),"QuickBooks Desktop Enterprise: 2 Signs Your Sales Team Is Missing Out On Revenue")</f>
        <v>QuickBooks Desktop Enterprise: 2 Signs Your Sales Team Is Missing Out On Revenue</v>
      </c>
      <c r="E53" s="12">
        <f>IFERROR(__xludf.DUMMYFUNCTION("""COMPUTED_VALUE"""),42787.292175925926)</f>
        <v>42787.29218</v>
      </c>
    </row>
    <row r="54">
      <c r="A54" s="7" t="str">
        <f>IFERROR(__xludf.DUMMYFUNCTION("""COMPUTED_VALUE"""),"https://www.method.me/blog/the-right-manufacturing-sales-crm/")</f>
        <v>https://www.method.me/blog/the-right-manufacturing-sales-crm/</v>
      </c>
      <c r="B54" s="1" t="str">
        <f>IFERROR(__xludf.DUMMYFUNCTION("""COMPUTED_VALUE"""),"CRM")</f>
        <v>CRM</v>
      </c>
      <c r="C54" s="1" t="str">
        <f>IFERROR(__xludf.DUMMYFUNCTION("""COMPUTED_VALUE"""),"Blog")</f>
        <v>Blog</v>
      </c>
      <c r="D54" s="1" t="str">
        <f>IFERROR(__xludf.DUMMYFUNCTION("""COMPUTED_VALUE"""),"Is your manufacturing business using the right CRM?")</f>
        <v>Is your manufacturing business using the right CRM?</v>
      </c>
      <c r="E54" s="12">
        <f>IFERROR(__xludf.DUMMYFUNCTION("""COMPUTED_VALUE"""),42815.29232638889)</f>
        <v>42815.29233</v>
      </c>
    </row>
    <row r="55">
      <c r="A55" s="7" t="str">
        <f>IFERROR(__xludf.DUMMYFUNCTION("""COMPUTED_VALUE"""),"https://www.method.me/blog/sales-crm-facts-infographic/")</f>
        <v>https://www.method.me/blog/sales-crm-facts-infographic/</v>
      </c>
      <c r="B55" s="1" t="str">
        <f>IFERROR(__xludf.DUMMYFUNCTION("""COMPUTED_VALUE"""),"Listicle - CRM")</f>
        <v>Listicle - CRM</v>
      </c>
      <c r="C55" s="1" t="str">
        <f>IFERROR(__xludf.DUMMYFUNCTION("""COMPUTED_VALUE"""),"Blog")</f>
        <v>Blog</v>
      </c>
      <c r="D55" s="1" t="str">
        <f>IFERROR(__xludf.DUMMYFUNCTION("""COMPUTED_VALUE"""),"5 Sales CRM Facts For Every Small Business")</f>
        <v>5 Sales CRM Facts For Every Small Business</v>
      </c>
      <c r="E55" s="12">
        <f>IFERROR(__xludf.DUMMYFUNCTION("""COMPUTED_VALUE"""),42822.29180555556)</f>
        <v>42822.29181</v>
      </c>
    </row>
    <row r="56">
      <c r="A56" s="7" t="str">
        <f>IFERROR(__xludf.DUMMYFUNCTION("""COMPUTED_VALUE"""),"https://www.method.me/blog/manage-sales-reps-quickbooks/")</f>
        <v>https://www.method.me/blog/manage-sales-reps-quickbooks/</v>
      </c>
      <c r="B56" s="1" t="str">
        <f>IFERROR(__xludf.DUMMYFUNCTION("""COMPUTED_VALUE"""),"Listicle - QuickBooks")</f>
        <v>Listicle - QuickBooks</v>
      </c>
      <c r="C56" s="1" t="str">
        <f>IFERROR(__xludf.DUMMYFUNCTION("""COMPUTED_VALUE"""),"Blog")</f>
        <v>Blog</v>
      </c>
      <c r="D56" s="1" t="str">
        <f>IFERROR(__xludf.DUMMYFUNCTION("""COMPUTED_VALUE"""),"3 ways to better manage sales reps in QuickBooks")</f>
        <v>3 ways to better manage sales reps in QuickBooks</v>
      </c>
      <c r="E56" s="12">
        <f>IFERROR(__xludf.DUMMYFUNCTION("""COMPUTED_VALUE"""),42843.292129629626)</f>
        <v>42843.29213</v>
      </c>
    </row>
    <row r="57">
      <c r="A57" s="7" t="str">
        <f>IFERROR(__xludf.DUMMYFUNCTION("""COMPUTED_VALUE"""),"https://www.method.me/blog/sales-commissions-tracking-quickbooks/")</f>
        <v>https://www.method.me/blog/sales-commissions-tracking-quickbooks/</v>
      </c>
      <c r="B57" s="1" t="str">
        <f>IFERROR(__xludf.DUMMYFUNCTION("""COMPUTED_VALUE"""),"QuickBooks - How-to")</f>
        <v>QuickBooks - How-to</v>
      </c>
      <c r="C57" s="1" t="str">
        <f>IFERROR(__xludf.DUMMYFUNCTION("""COMPUTED_VALUE"""),"Blog")</f>
        <v>Blog</v>
      </c>
      <c r="D57" s="1" t="str">
        <f>IFERROR(__xludf.DUMMYFUNCTION("""COMPUTED_VALUE"""),"How to add a sales commission tracker in QuickBooks")</f>
        <v>How to add a sales commission tracker in QuickBooks</v>
      </c>
      <c r="E57" s="12">
        <f>IFERROR(__xludf.DUMMYFUNCTION("""COMPUTED_VALUE"""),42850.2921412037)</f>
        <v>42850.29214</v>
      </c>
    </row>
    <row r="58">
      <c r="A58" s="7" t="str">
        <f>IFERROR(__xludf.DUMMYFUNCTION("""COMPUTED_VALUE"""),"https://www.method.me/blog/sales-reporting-quickbooks/")</f>
        <v>https://www.method.me/blog/sales-reporting-quickbooks/</v>
      </c>
      <c r="B58" s="1" t="str">
        <f>IFERROR(__xludf.DUMMYFUNCTION("""COMPUTED_VALUE"""),"QuickBooks - General")</f>
        <v>QuickBooks - General</v>
      </c>
      <c r="C58" s="1" t="str">
        <f>IFERROR(__xludf.DUMMYFUNCTION("""COMPUTED_VALUE"""),"Blog")</f>
        <v>Blog</v>
      </c>
      <c r="D58" s="1" t="str">
        <f>IFERROR(__xludf.DUMMYFUNCTION("""COMPUTED_VALUE"""),"Better Sales Reporting with QuickBooks and CRM data")</f>
        <v>Better Sales Reporting with QuickBooks and CRM data</v>
      </c>
      <c r="E58" s="12">
        <f>IFERROR(__xludf.DUMMYFUNCTION("""COMPUTED_VALUE"""),42857.291863425926)</f>
        <v>42857.29186</v>
      </c>
    </row>
    <row r="59">
      <c r="A59" s="7" t="str">
        <f>IFERROR(__xludf.DUMMYFUNCTION("""COMPUTED_VALUE"""),"https://www.method.me/blog/subcontractor-sales-report-quickbooks/")</f>
        <v>https://www.method.me/blog/subcontractor-sales-report-quickbooks/</v>
      </c>
      <c r="B59" s="1" t="str">
        <f>IFERROR(__xludf.DUMMYFUNCTION("""COMPUTED_VALUE"""),"QuickBooks - General")</f>
        <v>QuickBooks - General</v>
      </c>
      <c r="C59" s="1" t="str">
        <f>IFERROR(__xludf.DUMMYFUNCTION("""COMPUTED_VALUE"""),"Blog")</f>
        <v>Blog</v>
      </c>
      <c r="D59" s="1" t="str">
        <f>IFERROR(__xludf.DUMMYFUNCTION("""COMPUTED_VALUE"""),"Improve QuickBooks subcontractor reporting")</f>
        <v>Improve QuickBooks subcontractor reporting</v>
      </c>
      <c r="E59" s="12">
        <f>IFERROR(__xludf.DUMMYFUNCTION("""COMPUTED_VALUE"""),42864.2918287037)</f>
        <v>42864.29183</v>
      </c>
    </row>
    <row r="60">
      <c r="A60" s="7" t="str">
        <f>IFERROR(__xludf.DUMMYFUNCTION("""COMPUTED_VALUE"""),"https://www.method.me/blog/small-business-counterfeit-manufacturing/")</f>
        <v>https://www.method.me/blog/small-business-counterfeit-manufacturing/</v>
      </c>
      <c r="B60" s="1" t="str">
        <f>IFERROR(__xludf.DUMMYFUNCTION("""COMPUTED_VALUE"""),"Listicle - General")</f>
        <v>Listicle - General</v>
      </c>
      <c r="C60" s="1" t="str">
        <f>IFERROR(__xludf.DUMMYFUNCTION("""COMPUTED_VALUE"""),"Blog")</f>
        <v>Blog</v>
      </c>
      <c r="D60" s="1" t="str">
        <f>IFERROR(__xludf.DUMMYFUNCTION("""COMPUTED_VALUE"""),"3 Ways Small Businesses Can Combat Counterfeiters")</f>
        <v>3 Ways Small Businesses Can Combat Counterfeiters</v>
      </c>
      <c r="E60" s="12">
        <f>IFERROR(__xludf.DUMMYFUNCTION("""COMPUTED_VALUE"""),42871.292233796295)</f>
        <v>42871.29223</v>
      </c>
    </row>
    <row r="61">
      <c r="A61" s="7" t="str">
        <f>IFERROR(__xludf.DUMMYFUNCTION("""COMPUTED_VALUE"""),"https://www.method.me/blog/outgrown-quickbooks-need-crm/")</f>
        <v>https://www.method.me/blog/outgrown-quickbooks-need-crm/</v>
      </c>
      <c r="B61" s="1" t="str">
        <f>IFERROR(__xludf.DUMMYFUNCTION("""COMPUTED_VALUE"""),"Listicle - QuickBooks")</f>
        <v>Listicle - QuickBooks</v>
      </c>
      <c r="C61" s="1" t="str">
        <f>IFERROR(__xludf.DUMMYFUNCTION("""COMPUTED_VALUE"""),"Blog")</f>
        <v>Blog</v>
      </c>
      <c r="D61" s="1" t="str">
        <f>IFERROR(__xludf.DUMMYFUNCTION("""COMPUTED_VALUE"""),"The top 6 signs you’re outgrowing QuickBooks and need a CRM")</f>
        <v>The top 6 signs you’re outgrowing QuickBooks and need a CRM</v>
      </c>
      <c r="E61" s="12">
        <f>IFERROR(__xludf.DUMMYFUNCTION("""COMPUTED_VALUE"""),42899.291863425926)</f>
        <v>42899.29186</v>
      </c>
    </row>
    <row r="62">
      <c r="A62" s="7" t="str">
        <f>IFERROR(__xludf.DUMMYFUNCTION("""COMPUTED_VALUE"""),"https://www.method.me/blog/sales-team-crm-adoption/")</f>
        <v>https://www.method.me/blog/sales-team-crm-adoption/</v>
      </c>
      <c r="B62" s="1" t="str">
        <f>IFERROR(__xludf.DUMMYFUNCTION("""COMPUTED_VALUE"""),"Listicle - CRM")</f>
        <v>Listicle - CRM</v>
      </c>
      <c r="C62" s="1" t="str">
        <f>IFERROR(__xludf.DUMMYFUNCTION("""COMPUTED_VALUE"""),"Blog")</f>
        <v>Blog</v>
      </c>
      <c r="D62" s="1" t="str">
        <f>IFERROR(__xludf.DUMMYFUNCTION("""COMPUTED_VALUE"""),"5 Ways to Get Your Sales Team Excited About CRM Adoption")</f>
        <v>5 Ways to Get Your Sales Team Excited About CRM Adoption</v>
      </c>
      <c r="E62" s="12">
        <f>IFERROR(__xludf.DUMMYFUNCTION("""COMPUTED_VALUE"""),42901.72168981482)</f>
        <v>42901.72169</v>
      </c>
    </row>
    <row r="63">
      <c r="A63" s="7" t="str">
        <f>IFERROR(__xludf.DUMMYFUNCTION("""COMPUTED_VALUE"""),"https://www.method.me/blog/replace-quickbooks-customer-manager/")</f>
        <v>https://www.method.me/blog/replace-quickbooks-customer-manager/</v>
      </c>
      <c r="B63" s="1" t="str">
        <f>IFERROR(__xludf.DUMMYFUNCTION("""COMPUTED_VALUE"""),"Listicle - QuickBooks")</f>
        <v>Listicle - QuickBooks</v>
      </c>
      <c r="C63" s="1" t="str">
        <f>IFERROR(__xludf.DUMMYFUNCTION("""COMPUTED_VALUE"""),"Blog")</f>
        <v>Blog</v>
      </c>
      <c r="D63" s="1" t="str">
        <f>IFERROR(__xludf.DUMMYFUNCTION("""COMPUTED_VALUE"""),"5 Signs You’ve Outgrown QuickBooks Customer Manager")</f>
        <v>5 Signs You’ve Outgrown QuickBooks Customer Manager</v>
      </c>
      <c r="E63" s="12">
        <f>IFERROR(__xludf.DUMMYFUNCTION("""COMPUTED_VALUE"""),42935.45318287037)</f>
        <v>42935.45318</v>
      </c>
    </row>
    <row r="64">
      <c r="A64" s="7" t="str">
        <f>IFERROR(__xludf.DUMMYFUNCTION("""COMPUTED_VALUE"""),"https://www.method.me/blog/contract-estimate-process/")</f>
        <v>https://www.method.me/blog/contract-estimate-process/</v>
      </c>
      <c r="B64" s="1" t="str">
        <f>IFERROR(__xludf.DUMMYFUNCTION("""COMPUTED_VALUE"""),"Method - Customer / Partner Success")</f>
        <v>Method - Customer / Partner Success</v>
      </c>
      <c r="C64" s="1" t="str">
        <f>IFERROR(__xludf.DUMMYFUNCTION("""COMPUTED_VALUE"""),"Blog")</f>
        <v>Blog</v>
      </c>
      <c r="D64" s="1" t="str">
        <f>IFERROR(__xludf.DUMMYFUNCTION("""COMPUTED_VALUE"""),"A Simplified Estimate Process for Allegro Design Co")</f>
        <v>A Simplified Estimate Process for Allegro Design Co</v>
      </c>
      <c r="E64" s="12">
        <f>IFERROR(__xludf.DUMMYFUNCTION("""COMPUTED_VALUE"""),43074.4146412037)</f>
        <v>43074.41464</v>
      </c>
    </row>
    <row r="65">
      <c r="A65" s="7" t="str">
        <f>IFERROR(__xludf.DUMMYFUNCTION("""COMPUTED_VALUE"""),"https://www.method.me/blog/purchase-order-process/")</f>
        <v>https://www.method.me/blog/purchase-order-process/</v>
      </c>
      <c r="B65" s="1" t="str">
        <f>IFERROR(__xludf.DUMMYFUNCTION("""COMPUTED_VALUE"""),"Method - Customer / Partner Success")</f>
        <v>Method - Customer / Partner Success</v>
      </c>
      <c r="C65" s="1" t="str">
        <f>IFERROR(__xludf.DUMMYFUNCTION("""COMPUTED_VALUE"""),"Blog")</f>
        <v>Blog</v>
      </c>
      <c r="D65" s="1" t="str">
        <f>IFERROR(__xludf.DUMMYFUNCTION("""COMPUTED_VALUE"""),"How a Creative Service Business Streamlined Their Purchase Order Process")</f>
        <v>How a Creative Service Business Streamlined Their Purchase Order Process</v>
      </c>
      <c r="E65" s="12">
        <f>IFERROR(__xludf.DUMMYFUNCTION("""COMPUTED_VALUE"""),43089.70543981482)</f>
        <v>43089.70544</v>
      </c>
    </row>
    <row r="66">
      <c r="A66" s="7" t="str">
        <f>IFERROR(__xludf.DUMMYFUNCTION("""COMPUTED_VALUE"""),"https://www.method.me/blog/education-crm-helps-breaking-barrier-bring-language-learning-across-globe/")</f>
        <v>https://www.method.me/blog/education-crm-helps-breaking-barrier-bring-language-learning-across-globe/</v>
      </c>
      <c r="B66" s="1" t="str">
        <f>IFERROR(__xludf.DUMMYFUNCTION("""COMPUTED_VALUE"""),"Method - Customer / Partner Success")</f>
        <v>Method - Customer / Partner Success</v>
      </c>
      <c r="C66" s="1" t="str">
        <f>IFERROR(__xludf.DUMMYFUNCTION("""COMPUTED_VALUE"""),"Blog")</f>
        <v>Blog</v>
      </c>
      <c r="D66" s="1" t="str">
        <f>IFERROR(__xludf.DUMMYFUNCTION("""COMPUTED_VALUE"""),"How an Education CRM Helps ‘Breaking the Barrier’ Bring Language Learning Across the Globe")</f>
        <v>How an Education CRM Helps ‘Breaking the Barrier’ Bring Language Learning Across the Globe</v>
      </c>
      <c r="E66" s="12">
        <f>IFERROR(__xludf.DUMMYFUNCTION("""COMPUTED_VALUE"""),43126.54408564815)</f>
        <v>43126.54409</v>
      </c>
    </row>
    <row r="67">
      <c r="A67" s="7" t="str">
        <f>IFERROR(__xludf.DUMMYFUNCTION("""COMPUTED_VALUE"""),"https://www.method.me/blog/3-ways-accept-estimates-online/")</f>
        <v>https://www.method.me/blog/3-ways-accept-estimates-online/</v>
      </c>
      <c r="B67" s="1" t="str">
        <f>IFERROR(__xludf.DUMMYFUNCTION("""COMPUTED_VALUE"""),"QuickBooks - How-to")</f>
        <v>QuickBooks - How-to</v>
      </c>
      <c r="C67" s="1" t="str">
        <f>IFERROR(__xludf.DUMMYFUNCTION("""COMPUTED_VALUE"""),"Blog")</f>
        <v>Blog</v>
      </c>
      <c r="D67" s="1" t="str">
        <f>IFERROR(__xludf.DUMMYFUNCTION("""COMPUTED_VALUE"""),"2 ways for customers to accept QuickBooks estimates online")</f>
        <v>2 ways for customers to accept QuickBooks estimates online</v>
      </c>
      <c r="E67" s="12">
        <f>IFERROR(__xludf.DUMMYFUNCTION("""COMPUTED_VALUE"""),43130.66596064815)</f>
        <v>43130.66596</v>
      </c>
    </row>
    <row r="68">
      <c r="A68" s="7" t="str">
        <f>IFERROR(__xludf.DUMMYFUNCTION("""COMPUTED_VALUE"""),"https://www.method.me/blog/negative-inventory-quantity-in-quickbooks-online/")</f>
        <v>https://www.method.me/blog/negative-inventory-quantity-in-quickbooks-online/</v>
      </c>
      <c r="B68" s="1" t="str">
        <f>IFERROR(__xludf.DUMMYFUNCTION("""COMPUTED_VALUE"""),"QuickBooks - How-to")</f>
        <v>QuickBooks - How-to</v>
      </c>
      <c r="C68" s="1" t="str">
        <f>IFERROR(__xludf.DUMMYFUNCTION("""COMPUTED_VALUE"""),"Blog")</f>
        <v>Blog</v>
      </c>
      <c r="D68" s="1" t="str">
        <f>IFERROR(__xludf.DUMMYFUNCTION("""COMPUTED_VALUE"""),"How to fix negative QuickBooks Online inventory: What we learned")</f>
        <v>How to fix negative QuickBooks Online inventory: What we learned</v>
      </c>
      <c r="E68" s="12">
        <f>IFERROR(__xludf.DUMMYFUNCTION("""COMPUTED_VALUE"""),43137.69951388889)</f>
        <v>43137.69951</v>
      </c>
    </row>
    <row r="69">
      <c r="A69" s="7" t="str">
        <f>IFERROR(__xludf.DUMMYFUNCTION("""COMPUTED_VALUE"""),"https://www.method.me/blog/lead-generation-form-wordpress/")</f>
        <v>https://www.method.me/blog/lead-generation-form-wordpress/</v>
      </c>
      <c r="B69" s="1" t="str">
        <f>IFERROR(__xludf.DUMMYFUNCTION("""COMPUTED_VALUE"""),"Sales / Marketing / Lead gen")</f>
        <v>Sales / Marketing / Lead gen</v>
      </c>
      <c r="C69" s="1" t="str">
        <f>IFERROR(__xludf.DUMMYFUNCTION("""COMPUTED_VALUE"""),"Blog")</f>
        <v>Blog</v>
      </c>
      <c r="D69" s="1" t="str">
        <f>IFERROR(__xludf.DUMMYFUNCTION("""COMPUTED_VALUE"""),"Lead Generation Forms for Your WordPress Website")</f>
        <v>Lead Generation Forms for Your WordPress Website</v>
      </c>
      <c r="E69" s="12">
        <f>IFERROR(__xludf.DUMMYFUNCTION("""COMPUTED_VALUE"""),43142.92717592593)</f>
        <v>43142.92718</v>
      </c>
    </row>
    <row r="70">
      <c r="A70" s="7" t="str">
        <f>IFERROR(__xludf.DUMMYFUNCTION("""COMPUTED_VALUE"""),"https://www.method.me/blog/5-benefits-of-estimating-software-that-integrates-with-quickbooks/")</f>
        <v>https://www.method.me/blog/5-benefits-of-estimating-software-that-integrates-with-quickbooks/</v>
      </c>
      <c r="B70" s="1" t="str">
        <f>IFERROR(__xludf.DUMMYFUNCTION("""COMPUTED_VALUE"""),"Listicle - QuickBooks")</f>
        <v>Listicle - QuickBooks</v>
      </c>
      <c r="C70" s="1" t="str">
        <f>IFERROR(__xludf.DUMMYFUNCTION("""COMPUTED_VALUE"""),"Blog")</f>
        <v>Blog</v>
      </c>
      <c r="D70" s="1" t="str">
        <f>IFERROR(__xludf.DUMMYFUNCTION("""COMPUTED_VALUE"""),"5 perks of construction estimating software that integrates with QuickBooks")</f>
        <v>5 perks of construction estimating software that integrates with QuickBooks</v>
      </c>
      <c r="E70" s="12">
        <f>IFERROR(__xludf.DUMMYFUNCTION("""COMPUTED_VALUE"""),43167.63253472222)</f>
        <v>43167.63253</v>
      </c>
    </row>
    <row r="71">
      <c r="A71" s="7" t="str">
        <f>IFERROR(__xludf.DUMMYFUNCTION("""COMPUTED_VALUE"""),"https://www.method.me/blog/quickbooks-accountant-apps-program/")</f>
        <v>https://www.method.me/blog/quickbooks-accountant-apps-program/</v>
      </c>
      <c r="B71" s="1" t="str">
        <f>IFERROR(__xludf.DUMMYFUNCTION("""COMPUTED_VALUE"""),"Method - Product Updates")</f>
        <v>Method - Product Updates</v>
      </c>
      <c r="C71" s="1" t="str">
        <f>IFERROR(__xludf.DUMMYFUNCTION("""COMPUTED_VALUE"""),"Blog")</f>
        <v>Blog</v>
      </c>
      <c r="D71" s="1" t="str">
        <f>IFERROR(__xludf.DUMMYFUNCTION("""COMPUTED_VALUE"""),"New! Method:CRM joins the QuickBooks Accountant Apps Program")</f>
        <v>New! Method:CRM joins the QuickBooks Accountant Apps Program</v>
      </c>
      <c r="E71" s="12">
        <f>IFERROR(__xludf.DUMMYFUNCTION("""COMPUTED_VALUE"""),43168.67607638889)</f>
        <v>43168.67608</v>
      </c>
    </row>
    <row r="72">
      <c r="A72" s="7" t="str">
        <f>IFERROR(__xludf.DUMMYFUNCTION("""COMPUTED_VALUE"""),"https://www.method.me/blog/quickbooks-customer-portal/")</f>
        <v>https://www.method.me/blog/quickbooks-customer-portal/</v>
      </c>
      <c r="B72" s="1" t="str">
        <f>IFERROR(__xludf.DUMMYFUNCTION("""COMPUTED_VALUE"""),"Listicle - General")</f>
        <v>Listicle - General</v>
      </c>
      <c r="C72" s="1" t="str">
        <f>IFERROR(__xludf.DUMMYFUNCTION("""COMPUTED_VALUE"""),"Blog")</f>
        <v>Blog</v>
      </c>
      <c r="D72" s="1" t="str">
        <f>IFERROR(__xludf.DUMMYFUNCTION("""COMPUTED_VALUE"""),"5 reasons why an online customer portal reduces admin work")</f>
        <v>5 reasons why an online customer portal reduces admin work</v>
      </c>
      <c r="E72" s="12">
        <f>IFERROR(__xludf.DUMMYFUNCTION("""COMPUTED_VALUE"""),43171.61145833333)</f>
        <v>43171.61146</v>
      </c>
    </row>
    <row r="73">
      <c r="A73" s="7" t="str">
        <f>IFERROR(__xludf.DUMMYFUNCTION("""COMPUTED_VALUE"""),"https://www.method.me/blog/your-top-5-quickbooks-sync-questions-answered/")</f>
        <v>https://www.method.me/blog/your-top-5-quickbooks-sync-questions-answered/</v>
      </c>
      <c r="B73" s="1" t="str">
        <f>IFERROR(__xludf.DUMMYFUNCTION("""COMPUTED_VALUE"""),"Listicle - QuickBooks")</f>
        <v>Listicle - QuickBooks</v>
      </c>
      <c r="C73" s="1" t="str">
        <f>IFERROR(__xludf.DUMMYFUNCTION("""COMPUTED_VALUE"""),"Blog")</f>
        <v>Blog</v>
      </c>
      <c r="D73" s="1" t="str">
        <f>IFERROR(__xludf.DUMMYFUNCTION("""COMPUTED_VALUE"""),"Your Top 5 QuickBooks Sync Questions Answered")</f>
        <v>Your Top 5 QuickBooks Sync Questions Answered</v>
      </c>
      <c r="E73" s="12">
        <f>IFERROR(__xludf.DUMMYFUNCTION("""COMPUTED_VALUE"""),43182.62548611111)</f>
        <v>43182.62549</v>
      </c>
    </row>
    <row r="74">
      <c r="A74" s="7" t="str">
        <f>IFERROR(__xludf.DUMMYFUNCTION("""COMPUTED_VALUE"""),"https://www.method.me/blog/small-business-lead-management-opportunity-management/")</f>
        <v>https://www.method.me/blog/small-business-lead-management-opportunity-management/</v>
      </c>
      <c r="B74" s="1" t="str">
        <f>IFERROR(__xludf.DUMMYFUNCTION("""COMPUTED_VALUE"""),"CRM")</f>
        <v>CRM</v>
      </c>
      <c r="C74" s="1" t="str">
        <f>IFERROR(__xludf.DUMMYFUNCTION("""COMPUTED_VALUE"""),"Blog")</f>
        <v>Blog</v>
      </c>
      <c r="D74" s="1" t="str">
        <f>IFERROR(__xludf.DUMMYFUNCTION("""COMPUTED_VALUE"""),"Business Opportunity Lead – What is Lead and Opportunity in CRM")</f>
        <v>Business Opportunity Lead – What is Lead and Opportunity in CRM</v>
      </c>
      <c r="E74" s="12">
        <f>IFERROR(__xludf.DUMMYFUNCTION("""COMPUTED_VALUE"""),43188.57795138889)</f>
        <v>43188.57795</v>
      </c>
    </row>
    <row r="75">
      <c r="A75" s="7" t="str">
        <f>IFERROR(__xludf.DUMMYFUNCTION("""COMPUTED_VALUE"""),"https://www.method.me/blog/lead-tracking-best-practices/")</f>
        <v>https://www.method.me/blog/lead-tracking-best-practices/</v>
      </c>
      <c r="B75" s="1" t="str">
        <f>IFERROR(__xludf.DUMMYFUNCTION("""COMPUTED_VALUE"""),"QuickBooks - General")</f>
        <v>QuickBooks - General</v>
      </c>
      <c r="C75" s="1" t="str">
        <f>IFERROR(__xludf.DUMMYFUNCTION("""COMPUTED_VALUE"""),"Blog")</f>
        <v>Blog</v>
      </c>
      <c r="D75" s="1" t="str">
        <f>IFERROR(__xludf.DUMMYFUNCTION("""COMPUTED_VALUE"""),"Lead Tracking Best Practices for Small Businesses Using QuickBooks")</f>
        <v>Lead Tracking Best Practices for Small Businesses Using QuickBooks</v>
      </c>
      <c r="E75" s="12">
        <f>IFERROR(__xludf.DUMMYFUNCTION("""COMPUTED_VALUE"""),43201.63429398148)</f>
        <v>43201.63429</v>
      </c>
    </row>
    <row r="76">
      <c r="A76" s="7" t="str">
        <f>IFERROR(__xludf.DUMMYFUNCTION("""COMPUTED_VALUE"""),"https://www.method.me/blog/small-business-opportunity-management/")</f>
        <v>https://www.method.me/blog/small-business-opportunity-management/</v>
      </c>
      <c r="B76" s="1" t="str">
        <f>IFERROR(__xludf.DUMMYFUNCTION("""COMPUTED_VALUE"""),"Listicle - General")</f>
        <v>Listicle - General</v>
      </c>
      <c r="C76" s="1" t="str">
        <f>IFERROR(__xludf.DUMMYFUNCTION("""COMPUTED_VALUE"""),"Blog")</f>
        <v>Blog</v>
      </c>
      <c r="D76" s="1" t="str">
        <f>IFERROR(__xludf.DUMMYFUNCTION("""COMPUTED_VALUE"""),"5 best practices for sales opportunity management")</f>
        <v>5 best practices for sales opportunity management</v>
      </c>
      <c r="E76" s="12">
        <f>IFERROR(__xludf.DUMMYFUNCTION("""COMPUTED_VALUE"""),43207.55222222222)</f>
        <v>43207.55222</v>
      </c>
    </row>
    <row r="77">
      <c r="A77" s="7" t="str">
        <f>IFERROR(__xludf.DUMMYFUNCTION("""COMPUTED_VALUE"""),"https://www.method.me/blog/essential-lead-marketing-campaigns/")</f>
        <v>https://www.method.me/blog/essential-lead-marketing-campaigns/</v>
      </c>
      <c r="B77" s="1" t="str">
        <f>IFERROR(__xludf.DUMMYFUNCTION("""COMPUTED_VALUE"""),"Listicle - General")</f>
        <v>Listicle - General</v>
      </c>
      <c r="C77" s="1" t="str">
        <f>IFERROR(__xludf.DUMMYFUNCTION("""COMPUTED_VALUE"""),"Blog")</f>
        <v>Blog</v>
      </c>
      <c r="D77" s="1" t="str">
        <f>IFERROR(__xludf.DUMMYFUNCTION("""COMPUTED_VALUE"""),"3 Essential Lead Marketing Campaigns to Keep Your Leads Warm")</f>
        <v>3 Essential Lead Marketing Campaigns to Keep Your Leads Warm</v>
      </c>
      <c r="E77" s="12">
        <f>IFERROR(__xludf.DUMMYFUNCTION("""COMPUTED_VALUE"""),43214.49554398148)</f>
        <v>43214.49554</v>
      </c>
    </row>
    <row r="78">
      <c r="A78" s="7" t="str">
        <f>IFERROR(__xludf.DUMMYFUNCTION("""COMPUTED_VALUE"""),"https://www.method.me/blog/customer-follow-up-repeat-business/")</f>
        <v>https://www.method.me/blog/customer-follow-up-repeat-business/</v>
      </c>
      <c r="B78" s="1" t="str">
        <f>IFERROR(__xludf.DUMMYFUNCTION("""COMPUTED_VALUE"""),"Sales / Marketing / Lead gen")</f>
        <v>Sales / Marketing / Lead gen</v>
      </c>
      <c r="C78" s="1" t="str">
        <f>IFERROR(__xludf.DUMMYFUNCTION("""COMPUTED_VALUE"""),"Blog")</f>
        <v>Blog</v>
      </c>
      <c r="D78" s="1" t="str">
        <f>IFERROR(__xludf.DUMMYFUNCTION("""COMPUTED_VALUE"""),"Customer Follow-Up Emails to Drive Repeat Business")</f>
        <v>Customer Follow-Up Emails to Drive Repeat Business</v>
      </c>
      <c r="E78" s="12">
        <f>IFERROR(__xludf.DUMMYFUNCTION("""COMPUTED_VALUE"""),43217.55236111111)</f>
        <v>43217.55236</v>
      </c>
    </row>
    <row r="79">
      <c r="A79" s="7" t="str">
        <f>IFERROR(__xludf.DUMMYFUNCTION("""COMPUTED_VALUE"""),"https://www.method.me/blog/small-business-closing-sales/")</f>
        <v>https://www.method.me/blog/small-business-closing-sales/</v>
      </c>
      <c r="B79" s="1" t="str">
        <f>IFERROR(__xludf.DUMMYFUNCTION("""COMPUTED_VALUE"""),"Listicle - General")</f>
        <v>Listicle - General</v>
      </c>
      <c r="C79" s="1" t="str">
        <f>IFERROR(__xludf.DUMMYFUNCTION("""COMPUTED_VALUE"""),"Blog")</f>
        <v>Blog</v>
      </c>
      <c r="D79" s="1" t="str">
        <f>IFERROR(__xludf.DUMMYFUNCTION("""COMPUTED_VALUE"""),"Closing sales made simple: 5 tips for small business sales reps")</f>
        <v>Closing sales made simple: 5 tips for small business sales reps</v>
      </c>
      <c r="E79" s="12">
        <f>IFERROR(__xludf.DUMMYFUNCTION("""COMPUTED_VALUE"""),43221.42490740741)</f>
        <v>43221.42491</v>
      </c>
    </row>
    <row r="80">
      <c r="A80" s="7" t="str">
        <f>IFERROR(__xludf.DUMMYFUNCTION("""COMPUTED_VALUE"""),"https://www.method.me/blog/outlook-email-gadget/")</f>
        <v>https://www.method.me/blog/outlook-email-gadget/</v>
      </c>
      <c r="B80" s="1" t="str">
        <f>IFERROR(__xludf.DUMMYFUNCTION("""COMPUTED_VALUE"""),"Method - Product Updates")</f>
        <v>Method - Product Updates</v>
      </c>
      <c r="C80" s="1" t="str">
        <f>IFERROR(__xludf.DUMMYFUNCTION("""COMPUTED_VALUE"""),"Blog")</f>
        <v>Blog</v>
      </c>
      <c r="D80" s="1" t="str">
        <f>IFERROR(__xludf.DUMMYFUNCTION("""COMPUTED_VALUE"""),"Method’s Outlook Email Gadget is Now Available!!")</f>
        <v>Method’s Outlook Email Gadget is Now Available!!</v>
      </c>
      <c r="E80" s="12">
        <f>IFERROR(__xludf.DUMMYFUNCTION("""COMPUTED_VALUE"""),43223.50244212963)</f>
        <v>43223.50244</v>
      </c>
    </row>
    <row r="81">
      <c r="A81" s="7" t="str">
        <f>IFERROR(__xludf.DUMMYFUNCTION("""COMPUTED_VALUE"""),"https://www.method.me/blog/top-5-sales-pipeline-questions-answered/")</f>
        <v>https://www.method.me/blog/top-5-sales-pipeline-questions-answered/</v>
      </c>
      <c r="B81" s="1" t="str">
        <f>IFERROR(__xludf.DUMMYFUNCTION("""COMPUTED_VALUE"""),"Listicle - General")</f>
        <v>Listicle - General</v>
      </c>
      <c r="C81" s="1" t="str">
        <f>IFERROR(__xludf.DUMMYFUNCTION("""COMPUTED_VALUE"""),"Blog")</f>
        <v>Blog</v>
      </c>
      <c r="D81" s="1" t="str">
        <f>IFERROR(__xludf.DUMMYFUNCTION("""COMPUTED_VALUE"""),"Your Top 5 Sales Pipeline Questions, Answered")</f>
        <v>Your Top 5 Sales Pipeline Questions, Answered</v>
      </c>
      <c r="E81" s="12">
        <f>IFERROR(__xludf.DUMMYFUNCTION("""COMPUTED_VALUE"""),43228.617164351854)</f>
        <v>43228.61716</v>
      </c>
    </row>
    <row r="82">
      <c r="A82" s="7" t="str">
        <f>IFERROR(__xludf.DUMMYFUNCTION("""COMPUTED_VALUE"""),"https://www.method.me/blog/getting-ready-for-gdpr/")</f>
        <v>https://www.method.me/blog/getting-ready-for-gdpr/</v>
      </c>
      <c r="B82" s="1" t="str">
        <f>IFERROR(__xludf.DUMMYFUNCTION("""COMPUTED_VALUE"""),"Method - Product Updates")</f>
        <v>Method - Product Updates</v>
      </c>
      <c r="C82" s="1" t="str">
        <f>IFERROR(__xludf.DUMMYFUNCTION("""COMPUTED_VALUE"""),"Blog")</f>
        <v>Blog</v>
      </c>
      <c r="D82" s="1" t="str">
        <f>IFERROR(__xludf.DUMMYFUNCTION("""COMPUTED_VALUE"""),"How Method is Getting Ready for GDPR")</f>
        <v>How Method is Getting Ready for GDPR</v>
      </c>
      <c r="E82" s="12">
        <f>IFERROR(__xludf.DUMMYFUNCTION("""COMPUTED_VALUE"""),43238.686944444446)</f>
        <v>43238.68694</v>
      </c>
    </row>
    <row r="83">
      <c r="A83" s="7" t="str">
        <f>IFERROR(__xludf.DUMMYFUNCTION("""COMPUTED_VALUE"""),"https://www.method.me/blog/best-customer-email-campaigns/")</f>
        <v>https://www.method.me/blog/best-customer-email-campaigns/</v>
      </c>
      <c r="B83" s="1" t="str">
        <f>IFERROR(__xludf.DUMMYFUNCTION("""COMPUTED_VALUE"""),"Sales / Marketing / Lead gen")</f>
        <v>Sales / Marketing / Lead gen</v>
      </c>
      <c r="C83" s="1" t="str">
        <f>IFERROR(__xludf.DUMMYFUNCTION("""COMPUTED_VALUE"""),"Blog")</f>
        <v>Blog</v>
      </c>
      <c r="D83" s="1" t="str">
        <f>IFERROR(__xludf.DUMMYFUNCTION("""COMPUTED_VALUE"""),"The Best Email Campaigns to Keep Customers Coming Back")</f>
        <v>The Best Email Campaigns to Keep Customers Coming Back</v>
      </c>
      <c r="E83" s="12">
        <f>IFERROR(__xludf.DUMMYFUNCTION("""COMPUTED_VALUE"""),43249.344826388886)</f>
        <v>43249.34483</v>
      </c>
    </row>
    <row r="84">
      <c r="A84" s="7" t="str">
        <f>IFERROR(__xludf.DUMMYFUNCTION("""COMPUTED_VALUE"""),"https://www.method.me/blog/upselling-and-cross-selling-with-quickbooks-crm/")</f>
        <v>https://www.method.me/blog/upselling-and-cross-selling-with-quickbooks-crm/</v>
      </c>
      <c r="B84" s="1" t="str">
        <f>IFERROR(__xludf.DUMMYFUNCTION("""COMPUTED_VALUE"""),"CRM")</f>
        <v>CRM</v>
      </c>
      <c r="C84" s="1" t="str">
        <f>IFERROR(__xludf.DUMMYFUNCTION("""COMPUTED_VALUE"""),"Blog")</f>
        <v>Blog</v>
      </c>
      <c r="D84" s="1" t="str">
        <f>IFERROR(__xludf.DUMMYFUNCTION("""COMPUTED_VALUE"""),"Effective Upselling and Cross-Selling With a QuickBooks CRM")</f>
        <v>Effective Upselling and Cross-Selling With a QuickBooks CRM</v>
      </c>
      <c r="E84" s="12">
        <f>IFERROR(__xludf.DUMMYFUNCTION("""COMPUTED_VALUE"""),43258.447905092595)</f>
        <v>43258.44791</v>
      </c>
    </row>
    <row r="85">
      <c r="A85" s="7" t="str">
        <f>IFERROR(__xludf.DUMMYFUNCTION("""COMPUTED_VALUE"""),"https://www.method.me/blog/small-business-online-payment-gateways/")</f>
        <v>https://www.method.me/blog/small-business-online-payment-gateways/</v>
      </c>
      <c r="B85" s="1" t="str">
        <f>IFERROR(__xludf.DUMMYFUNCTION("""COMPUTED_VALUE"""),"Listicle - QuickBooks")</f>
        <v>Listicle - QuickBooks</v>
      </c>
      <c r="C85" s="1" t="str">
        <f>IFERROR(__xludf.DUMMYFUNCTION("""COMPUTED_VALUE"""),"Blog")</f>
        <v>Blog</v>
      </c>
      <c r="D85" s="1" t="str">
        <f>IFERROR(__xludf.DUMMYFUNCTION("""COMPUTED_VALUE"""),"Best QuickBooks payment gateway for small businesses")</f>
        <v>Best QuickBooks payment gateway for small businesses</v>
      </c>
      <c r="E85" s="12">
        <f>IFERROR(__xludf.DUMMYFUNCTION("""COMPUTED_VALUE"""),43263.37568287037)</f>
        <v>43263.37568</v>
      </c>
    </row>
    <row r="86">
      <c r="A86" s="7" t="str">
        <f>IFERROR(__xludf.DUMMYFUNCTION("""COMPUTED_VALUE"""),"https://www.method.me/blog/customer-convenience-customer-portal/")</f>
        <v>https://www.method.me/blog/customer-convenience-customer-portal/</v>
      </c>
      <c r="B86" s="1" t="str">
        <f>IFERROR(__xludf.DUMMYFUNCTION("""COMPUTED_VALUE"""),"QuickBooks - How-to")</f>
        <v>QuickBooks - How-to</v>
      </c>
      <c r="C86" s="1" t="str">
        <f>IFERROR(__xludf.DUMMYFUNCTION("""COMPUTED_VALUE"""),"Blog")</f>
        <v>Blog</v>
      </c>
      <c r="D86" s="1" t="str">
        <f>IFERROR(__xludf.DUMMYFUNCTION("""COMPUTED_VALUE"""),"How to set up a QuickBooks customer portal")</f>
        <v>How to set up a QuickBooks customer portal</v>
      </c>
      <c r="E86" s="12">
        <f>IFERROR(__xludf.DUMMYFUNCTION("""COMPUTED_VALUE"""),43270.37563657408)</f>
        <v>43270.37564</v>
      </c>
    </row>
    <row r="87">
      <c r="A87" s="7" t="str">
        <f>IFERROR(__xludf.DUMMYFUNCTION("""COMPUTED_VALUE"""),"https://www.method.me/blog/delegating-tasks-as-business-owner/")</f>
        <v>https://www.method.me/blog/delegating-tasks-as-business-owner/</v>
      </c>
      <c r="B87" s="1" t="str">
        <f>IFERROR(__xludf.DUMMYFUNCTION("""COMPUTED_VALUE"""),"Small business / Nonprofit")</f>
        <v>Small business / Nonprofit</v>
      </c>
      <c r="C87" s="1" t="str">
        <f>IFERROR(__xludf.DUMMYFUNCTION("""COMPUTED_VALUE"""),"Blog")</f>
        <v>Blog</v>
      </c>
      <c r="D87" s="1" t="str">
        <f>IFERROR(__xludf.DUMMYFUNCTION("""COMPUTED_VALUE"""),"The secret to delegating tasks as a small business owner")</f>
        <v>The secret to delegating tasks as a small business owner</v>
      </c>
      <c r="E87" s="12">
        <f>IFERROR(__xludf.DUMMYFUNCTION("""COMPUTED_VALUE"""),43277.40613425926)</f>
        <v>43277.40613</v>
      </c>
    </row>
    <row r="88">
      <c r="A88" s="7" t="str">
        <f>IFERROR(__xludf.DUMMYFUNCTION("""COMPUTED_VALUE"""),"https://www.method.me/blog/going-paperless-business-success/")</f>
        <v>https://www.method.me/blog/going-paperless-business-success/</v>
      </c>
      <c r="B88" s="1" t="str">
        <f>IFERROR(__xludf.DUMMYFUNCTION("""COMPUTED_VALUE"""),"Misc. info")</f>
        <v>Misc. info</v>
      </c>
      <c r="C88" s="1" t="str">
        <f>IFERROR(__xludf.DUMMYFUNCTION("""COMPUTED_VALUE"""),"Blog")</f>
        <v>Blog</v>
      </c>
      <c r="D88" s="1" t="str">
        <f>IFERROR(__xludf.DUMMYFUNCTION("""COMPUTED_VALUE"""),"Why Going Paperless is the Key to Business Success")</f>
        <v>Why Going Paperless is the Key to Business Success</v>
      </c>
      <c r="E88" s="12">
        <f>IFERROR(__xludf.DUMMYFUNCTION("""COMPUTED_VALUE"""),43291.40828703704)</f>
        <v>43291.40829</v>
      </c>
    </row>
    <row r="89">
      <c r="A89" s="7" t="str">
        <f>IFERROR(__xludf.DUMMYFUNCTION("""COMPUTED_VALUE"""),"https://www.method.me/blog/customer-engagement-email-marketing/")</f>
        <v>https://www.method.me/blog/customer-engagement-email-marketing/</v>
      </c>
      <c r="B89" s="1" t="str">
        <f>IFERROR(__xludf.DUMMYFUNCTION("""COMPUTED_VALUE"""),"Listicle - General")</f>
        <v>Listicle - General</v>
      </c>
      <c r="C89" s="1" t="str">
        <f>IFERROR(__xludf.DUMMYFUNCTION("""COMPUTED_VALUE"""),"Blog")</f>
        <v>Blog</v>
      </c>
      <c r="D89" s="1" t="str">
        <f>IFERROR(__xludf.DUMMYFUNCTION("""COMPUTED_VALUE"""),"4 Ways to Increase Customer Engagement Through Email Marketing")</f>
        <v>4 Ways to Increase Customer Engagement Through Email Marketing</v>
      </c>
      <c r="E89" s="12">
        <f>IFERROR(__xludf.DUMMYFUNCTION("""COMPUTED_VALUE"""),43298.37516203704)</f>
        <v>43298.37516</v>
      </c>
    </row>
    <row r="90">
      <c r="A90" s="7" t="str">
        <f>IFERROR(__xludf.DUMMYFUNCTION("""COMPUTED_VALUE"""),"https://www.method.me/blog/revamp-vendor-relationship-management/")</f>
        <v>https://www.method.me/blog/revamp-vendor-relationship-management/</v>
      </c>
      <c r="B90" s="1" t="str">
        <f>IFERROR(__xludf.DUMMYFUNCTION("""COMPUTED_VALUE"""),"Listicle - General")</f>
        <v>Listicle - General</v>
      </c>
      <c r="C90" s="1" t="str">
        <f>IFERROR(__xludf.DUMMYFUNCTION("""COMPUTED_VALUE"""),"Blog")</f>
        <v>Blog</v>
      </c>
      <c r="D90" s="1" t="str">
        <f>IFERROR(__xludf.DUMMYFUNCTION("""COMPUTED_VALUE"""),"4 Tips to Revamp Your Vendor Relationship Management")</f>
        <v>4 Tips to Revamp Your Vendor Relationship Management</v>
      </c>
      <c r="E90" s="12">
        <f>IFERROR(__xludf.DUMMYFUNCTION("""COMPUTED_VALUE"""),43305.375601851854)</f>
        <v>43305.3756</v>
      </c>
    </row>
    <row r="91">
      <c r="A91" s="7" t="str">
        <f>IFERROR(__xludf.DUMMYFUNCTION("""COMPUTED_VALUE"""),"https://www.method.me/blog/better-accounts-receivable-process/")</f>
        <v>https://www.method.me/blog/better-accounts-receivable-process/</v>
      </c>
      <c r="B91" s="1" t="str">
        <f>IFERROR(__xludf.DUMMYFUNCTION("""COMPUTED_VALUE"""),"Accounting")</f>
        <v>Accounting</v>
      </c>
      <c r="C91" s="1" t="str">
        <f>IFERROR(__xludf.DUMMYFUNCTION("""COMPUTED_VALUE"""),"Blog")</f>
        <v>Blog</v>
      </c>
      <c r="D91" s="1" t="str">
        <f>IFERROR(__xludf.DUMMYFUNCTION("""COMPUTED_VALUE"""),"Must-Read Tips for a Better Accounts Receivable Process")</f>
        <v>Must-Read Tips for a Better Accounts Receivable Process</v>
      </c>
      <c r="E91" s="12">
        <f>IFERROR(__xludf.DUMMYFUNCTION("""COMPUTED_VALUE"""),43312.37541666667)</f>
        <v>43312.37542</v>
      </c>
    </row>
    <row r="92">
      <c r="A92" s="7" t="str">
        <f>IFERROR(__xludf.DUMMYFUNCTION("""COMPUTED_VALUE"""),"https://www.method.me/blog/what-is-crm-api/")</f>
        <v>https://www.method.me/blog/what-is-crm-api/</v>
      </c>
      <c r="B92" s="1" t="str">
        <f>IFERROR(__xludf.DUMMYFUNCTION("""COMPUTED_VALUE"""),"CRM")</f>
        <v>CRM</v>
      </c>
      <c r="C92" s="1" t="str">
        <f>IFERROR(__xludf.DUMMYFUNCTION("""COMPUTED_VALUE"""),"Blog")</f>
        <v>Blog</v>
      </c>
      <c r="D92" s="1" t="str">
        <f>IFERROR(__xludf.DUMMYFUNCTION("""COMPUTED_VALUE"""),"Unlocking the power of customer relationship management (CRM) through application programming interfaces (APIs)")</f>
        <v>Unlocking the power of customer relationship management (CRM) through application programming interfaces (APIs)</v>
      </c>
      <c r="E92" s="12">
        <f>IFERROR(__xludf.DUMMYFUNCTION("""COMPUTED_VALUE"""),43326.37546296296)</f>
        <v>43326.37546</v>
      </c>
    </row>
    <row r="93">
      <c r="A93" s="7" t="str">
        <f>IFERROR(__xludf.DUMMYFUNCTION("""COMPUTED_VALUE"""),"https://www.method.me/blog/lead-management-software-marketers/")</f>
        <v>https://www.method.me/blog/lead-management-software-marketers/</v>
      </c>
      <c r="B93" s="1" t="str">
        <f>IFERROR(__xludf.DUMMYFUNCTION("""COMPUTED_VALUE"""),"Sales / Marketing / Lead gen")</f>
        <v>Sales / Marketing / Lead gen</v>
      </c>
      <c r="C93" s="1" t="str">
        <f>IFERROR(__xludf.DUMMYFUNCTION("""COMPUTED_VALUE"""),"Blog")</f>
        <v>Blog</v>
      </c>
      <c r="D93" s="1" t="str">
        <f>IFERROR(__xludf.DUMMYFUNCTION("""COMPUTED_VALUE"""),"Benefits of lead management software for marketers")</f>
        <v>Benefits of lead management software for marketers</v>
      </c>
      <c r="E93" s="12">
        <f>IFERROR(__xludf.DUMMYFUNCTION("""COMPUTED_VALUE"""),43327.37564814815)</f>
        <v>43327.37565</v>
      </c>
    </row>
    <row r="94">
      <c r="A94" s="7" t="str">
        <f>IFERROR(__xludf.DUMMYFUNCTION("""COMPUTED_VALUE"""),"https://www.method.me/blog/manage-sales-reps/")</f>
        <v>https://www.method.me/blog/manage-sales-reps/</v>
      </c>
      <c r="B94" s="1" t="str">
        <f>IFERROR(__xludf.DUMMYFUNCTION("""COMPUTED_VALUE"""),"Sales / Marketing / Lead gen")</f>
        <v>Sales / Marketing / Lead gen</v>
      </c>
      <c r="C94" s="1" t="str">
        <f>IFERROR(__xludf.DUMMYFUNCTION("""COMPUTED_VALUE"""),"Blog")</f>
        <v>Blog</v>
      </c>
      <c r="D94" s="1" t="str">
        <f>IFERROR(__xludf.DUMMYFUNCTION("""COMPUTED_VALUE"""),"How to Manage Inside and Outside Sales Reps")</f>
        <v>How to Manage Inside and Outside Sales Reps</v>
      </c>
      <c r="E94" s="12">
        <f>IFERROR(__xludf.DUMMYFUNCTION("""COMPUTED_VALUE"""),43329.375601851854)</f>
        <v>43329.3756</v>
      </c>
    </row>
    <row r="95">
      <c r="A95" s="7" t="str">
        <f>IFERROR(__xludf.DUMMYFUNCTION("""COMPUTED_VALUE"""),"https://www.method.me/blog/gmail-integrations-for-sales/")</f>
        <v>https://www.method.me/blog/gmail-integrations-for-sales/</v>
      </c>
      <c r="B95" s="1" t="str">
        <f>IFERROR(__xludf.DUMMYFUNCTION("""COMPUTED_VALUE"""),"Listicle - Software / Software overview")</f>
        <v>Listicle - Software / Software overview</v>
      </c>
      <c r="C95" s="1" t="str">
        <f>IFERROR(__xludf.DUMMYFUNCTION("""COMPUTED_VALUE"""),"Blog")</f>
        <v>Blog</v>
      </c>
      <c r="D95" s="1" t="str">
        <f>IFERROR(__xludf.DUMMYFUNCTION("""COMPUTED_VALUE"""),"6 Gmail Integrations to Improve Your Sales Capabilities")</f>
        <v>6 Gmail Integrations to Improve Your Sales Capabilities</v>
      </c>
      <c r="E95" s="12">
        <f>IFERROR(__xludf.DUMMYFUNCTION("""COMPUTED_VALUE"""),43332.3755787037)</f>
        <v>43332.37558</v>
      </c>
    </row>
    <row r="96">
      <c r="A96" s="7" t="str">
        <f>IFERROR(__xludf.DUMMYFUNCTION("""COMPUTED_VALUE"""),"https://www.method.me/blog/crm-free-trial-checklist/")</f>
        <v>https://www.method.me/blog/crm-free-trial-checklist/</v>
      </c>
      <c r="B96" s="1" t="str">
        <f>IFERROR(__xludf.DUMMYFUNCTION("""COMPUTED_VALUE"""),"CRM")</f>
        <v>CRM</v>
      </c>
      <c r="C96" s="1" t="str">
        <f>IFERROR(__xludf.DUMMYFUNCTION("""COMPUTED_VALUE"""),"Blog")</f>
        <v>Blog</v>
      </c>
      <c r="D96" s="1" t="str">
        <f>IFERROR(__xludf.DUMMYFUNCTION("""COMPUTED_VALUE"""),"Checklist for Making the Most of Your CRM Free Trial")</f>
        <v>Checklist for Making the Most of Your CRM Free Trial</v>
      </c>
      <c r="E96" s="12">
        <f>IFERROR(__xludf.DUMMYFUNCTION("""COMPUTED_VALUE"""),43333.375625)</f>
        <v>43333.37563</v>
      </c>
    </row>
    <row r="97">
      <c r="A97" s="7" t="str">
        <f>IFERROR(__xludf.DUMMYFUNCTION("""COMPUTED_VALUE"""),"https://www.method.me/blog/agency-crm-key-features/")</f>
        <v>https://www.method.me/blog/agency-crm-key-features/</v>
      </c>
      <c r="B97" s="1" t="str">
        <f>IFERROR(__xludf.DUMMYFUNCTION("""COMPUTED_VALUE"""),"Listicle - CRM")</f>
        <v>Listicle - CRM</v>
      </c>
      <c r="C97" s="1" t="str">
        <f>IFERROR(__xludf.DUMMYFUNCTION("""COMPUTED_VALUE"""),"Blog")</f>
        <v>Blog</v>
      </c>
      <c r="D97" s="1" t="str">
        <f>IFERROR(__xludf.DUMMYFUNCTION("""COMPUTED_VALUE"""),"Features to Look for in a CRM for Creative Agencies")</f>
        <v>Features to Look for in a CRM for Creative Agencies</v>
      </c>
      <c r="E97" s="12">
        <f>IFERROR(__xludf.DUMMYFUNCTION("""COMPUTED_VALUE"""),43335.3755787037)</f>
        <v>43335.37558</v>
      </c>
    </row>
    <row r="98">
      <c r="A98" s="7" t="str">
        <f>IFERROR(__xludf.DUMMYFUNCTION("""COMPUTED_VALUE"""),"https://www.method.me/blog/sales-management-books/")</f>
        <v>https://www.method.me/blog/sales-management-books/</v>
      </c>
      <c r="B98" s="1" t="str">
        <f>IFERROR(__xludf.DUMMYFUNCTION("""COMPUTED_VALUE"""),"Listicle - General")</f>
        <v>Listicle - General</v>
      </c>
      <c r="C98" s="1" t="str">
        <f>IFERROR(__xludf.DUMMYFUNCTION("""COMPUTED_VALUE"""),"Blog")</f>
        <v>Blog</v>
      </c>
      <c r="D98" s="1" t="str">
        <f>IFERROR(__xludf.DUMMYFUNCTION("""COMPUTED_VALUE"""),"9 Inspiring Books to Improve Your Success as a Sales Manager")</f>
        <v>9 Inspiring Books to Improve Your Success as a Sales Manager</v>
      </c>
      <c r="E98" s="12">
        <f>IFERROR(__xludf.DUMMYFUNCTION("""COMPUTED_VALUE"""),43336.37509259259)</f>
        <v>43336.37509</v>
      </c>
    </row>
    <row r="99">
      <c r="A99" s="7" t="str">
        <f>IFERROR(__xludf.DUMMYFUNCTION("""COMPUTED_VALUE"""),"https://www.method.me/blog/education-crm-for-back-to-school/")</f>
        <v>https://www.method.me/blog/education-crm-for-back-to-school/</v>
      </c>
      <c r="B99" s="1" t="str">
        <f>IFERROR(__xludf.DUMMYFUNCTION("""COMPUTED_VALUE"""),"Listicle - CRM")</f>
        <v>Listicle - CRM</v>
      </c>
      <c r="C99" s="1" t="str">
        <f>IFERROR(__xludf.DUMMYFUNCTION("""COMPUTED_VALUE"""),"Blog")</f>
        <v>Blog</v>
      </c>
      <c r="D99" s="1" t="str">
        <f>IFERROR(__xludf.DUMMYFUNCTION("""COMPUTED_VALUE"""),"6 Ways CRM Software Helps Education Companies Handle the Back-to-School Rush")</f>
        <v>6 Ways CRM Software Helps Education Companies Handle the Back-to-School Rush</v>
      </c>
      <c r="E99" s="12">
        <f>IFERROR(__xludf.DUMMYFUNCTION("""COMPUTED_VALUE"""),43339.37530092592)</f>
        <v>43339.3753</v>
      </c>
    </row>
    <row r="100">
      <c r="A100" s="7" t="str">
        <f>IFERROR(__xludf.DUMMYFUNCTION("""COMPUTED_VALUE"""),"https://www.method.me/blog/sales-follow-up-emails/")</f>
        <v>https://www.method.me/blog/sales-follow-up-emails/</v>
      </c>
      <c r="B100" s="1" t="str">
        <f>IFERROR(__xludf.DUMMYFUNCTION("""COMPUTED_VALUE"""),"Listicle - General")</f>
        <v>Listicle - General</v>
      </c>
      <c r="C100" s="1" t="str">
        <f>IFERROR(__xludf.DUMMYFUNCTION("""COMPUTED_VALUE"""),"Blog")</f>
        <v>Blog</v>
      </c>
      <c r="D100" s="1" t="str">
        <f>IFERROR(__xludf.DUMMYFUNCTION("""COMPUTED_VALUE"""),"Sales Follow-Up Emails to Convert Leads Into Customers")</f>
        <v>Sales Follow-Up Emails to Convert Leads Into Customers</v>
      </c>
      <c r="E100" s="12">
        <f>IFERROR(__xludf.DUMMYFUNCTION("""COMPUTED_VALUE"""),43340.3755787037)</f>
        <v>43340.37558</v>
      </c>
    </row>
    <row r="101">
      <c r="A101" s="7" t="str">
        <f>IFERROR(__xludf.DUMMYFUNCTION("""COMPUTED_VALUE"""),"https://www.method.me/blog/nonprofit-donor-retention/")</f>
        <v>https://www.method.me/blog/nonprofit-donor-retention/</v>
      </c>
      <c r="B101" s="1" t="str">
        <f>IFERROR(__xludf.DUMMYFUNCTION("""COMPUTED_VALUE"""),"Small business / Nonprofit")</f>
        <v>Small business / Nonprofit</v>
      </c>
      <c r="C101" s="1" t="str">
        <f>IFERROR(__xludf.DUMMYFUNCTION("""COMPUTED_VALUE"""),"Blog")</f>
        <v>Blog</v>
      </c>
      <c r="D101" s="1" t="str">
        <f>IFERROR(__xludf.DUMMYFUNCTION("""COMPUTED_VALUE"""),"How to Improve Donor Retention for Nonprofits")</f>
        <v>How to Improve Donor Retention for Nonprofits</v>
      </c>
      <c r="E101" s="12">
        <f>IFERROR(__xludf.DUMMYFUNCTION("""COMPUTED_VALUE"""),43341.375625)</f>
        <v>43341.37563</v>
      </c>
    </row>
    <row r="102">
      <c r="A102" s="7" t="str">
        <f>IFERROR(__xludf.DUMMYFUNCTION("""COMPUTED_VALUE"""),"https://www.method.me/blog/accounting-crm-key-features/")</f>
        <v>https://www.method.me/blog/accounting-crm-key-features/</v>
      </c>
      <c r="B102" s="1" t="str">
        <f>IFERROR(__xludf.DUMMYFUNCTION("""COMPUTED_VALUE"""),"Listicle - CRM")</f>
        <v>Listicle - CRM</v>
      </c>
      <c r="C102" s="1" t="str">
        <f>IFERROR(__xludf.DUMMYFUNCTION("""COMPUTED_VALUE"""),"Blog")</f>
        <v>Blog</v>
      </c>
      <c r="D102" s="1" t="str">
        <f>IFERROR(__xludf.DUMMYFUNCTION("""COMPUTED_VALUE"""),"7 essential features of CRM software for accountants")</f>
        <v>7 essential features of CRM software for accountants</v>
      </c>
      <c r="E102" s="12">
        <f>IFERROR(__xludf.DUMMYFUNCTION("""COMPUTED_VALUE"""),43342.375)</f>
        <v>43342.375</v>
      </c>
    </row>
    <row r="103">
      <c r="A103" s="7" t="str">
        <f>IFERROR(__xludf.DUMMYFUNCTION("""COMPUTED_VALUE"""),"https://www.method.me/blog/marketing-books/")</f>
        <v>https://www.method.me/blog/marketing-books/</v>
      </c>
      <c r="B103" s="1" t="str">
        <f>IFERROR(__xludf.DUMMYFUNCTION("""COMPUTED_VALUE"""),"Listicle - General")</f>
        <v>Listicle - General</v>
      </c>
      <c r="C103" s="1" t="str">
        <f>IFERROR(__xludf.DUMMYFUNCTION("""COMPUTED_VALUE"""),"Blog")</f>
        <v>Blog</v>
      </c>
      <c r="D103" s="1" t="str">
        <f>IFERROR(__xludf.DUMMYFUNCTION("""COMPUTED_VALUE"""),"8 Books Small Business Marketers Need to Read")</f>
        <v>8 Books Small Business Marketers Need to Read</v>
      </c>
      <c r="E103" s="12">
        <f>IFERROR(__xludf.DUMMYFUNCTION("""COMPUTED_VALUE"""),43343.37550925926)</f>
        <v>43343.37551</v>
      </c>
    </row>
    <row r="104">
      <c r="A104" s="7" t="str">
        <f>IFERROR(__xludf.DUMMYFUNCTION("""COMPUTED_VALUE"""),"https://www.method.me/blog/construction-crm-key-features/")</f>
        <v>https://www.method.me/blog/construction-crm-key-features/</v>
      </c>
      <c r="B104" s="1" t="str">
        <f>IFERROR(__xludf.DUMMYFUNCTION("""COMPUTED_VALUE"""),"Listicle - CRM")</f>
        <v>Listicle - CRM</v>
      </c>
      <c r="C104" s="1" t="str">
        <f>IFERROR(__xludf.DUMMYFUNCTION("""COMPUTED_VALUE"""),"Blog")</f>
        <v>Blog</v>
      </c>
      <c r="D104" s="1" t="str">
        <f>IFERROR(__xludf.DUMMYFUNCTION("""COMPUTED_VALUE"""),"Key features of a construction CRM")</f>
        <v>Key features of a construction CRM</v>
      </c>
      <c r="E104" s="12">
        <f>IFERROR(__xludf.DUMMYFUNCTION("""COMPUTED_VALUE"""),43348.3752662037)</f>
        <v>43348.37527</v>
      </c>
    </row>
    <row r="105">
      <c r="A105" s="7" t="str">
        <f>IFERROR(__xludf.DUMMYFUNCTION("""COMPUTED_VALUE"""),"https://www.method.me/blog/books-for-small-business-owners/")</f>
        <v>https://www.method.me/blog/books-for-small-business-owners/</v>
      </c>
      <c r="B105" s="1" t="str">
        <f>IFERROR(__xludf.DUMMYFUNCTION("""COMPUTED_VALUE"""),"Listicle - General")</f>
        <v>Listicle - General</v>
      </c>
      <c r="C105" s="1" t="str">
        <f>IFERROR(__xludf.DUMMYFUNCTION("""COMPUTED_VALUE"""),"Blog")</f>
        <v>Blog</v>
      </c>
      <c r="D105" s="1" t="str">
        <f>IFERROR(__xludf.DUMMYFUNCTION("""COMPUTED_VALUE"""),"7 Must-Read Books for Small Business Owners and Entrepreneurs")</f>
        <v>7 Must-Read Books for Small Business Owners and Entrepreneurs</v>
      </c>
      <c r="E105" s="12">
        <f>IFERROR(__xludf.DUMMYFUNCTION("""COMPUTED_VALUE"""),43349.37547453704)</f>
        <v>43349.37547</v>
      </c>
    </row>
    <row r="106">
      <c r="A106" s="7" t="str">
        <f>IFERROR(__xludf.DUMMYFUNCTION("""COMPUTED_VALUE"""),"https://www.method.me/blog/paypal-credit-card-payments/")</f>
        <v>https://www.method.me/blog/paypal-credit-card-payments/</v>
      </c>
      <c r="B106" s="1" t="str">
        <f>IFERROR(__xludf.DUMMYFUNCTION("""COMPUTED_VALUE"""),"General how-to")</f>
        <v>General how-to</v>
      </c>
      <c r="C106" s="1" t="str">
        <f>IFERROR(__xludf.DUMMYFUNCTION("""COMPUTED_VALUE"""),"Blog")</f>
        <v>Blog</v>
      </c>
      <c r="D106" s="1" t="str">
        <f>IFERROR(__xludf.DUMMYFUNCTION("""COMPUTED_VALUE"""),"How to Accept PayPal Credit Card Payments")</f>
        <v>How to Accept PayPal Credit Card Payments</v>
      </c>
      <c r="E106" s="12">
        <f>IFERROR(__xludf.DUMMYFUNCTION("""COMPUTED_VALUE"""),43350.375497685185)</f>
        <v>43350.3755</v>
      </c>
    </row>
    <row r="107">
      <c r="A107" s="7" t="str">
        <f>IFERROR(__xludf.DUMMYFUNCTION("""COMPUTED_VALUE"""),"https://www.method.me/blog/top-method-sales-crm-features-for-sales-reps/")</f>
        <v>https://www.method.me/blog/top-method-sales-crm-features-for-sales-reps/</v>
      </c>
      <c r="B107" s="1" t="str">
        <f>IFERROR(__xludf.DUMMYFUNCTION("""COMPUTED_VALUE"""),"Listicle - Method")</f>
        <v>Listicle - Method</v>
      </c>
      <c r="C107" s="1" t="str">
        <f>IFERROR(__xludf.DUMMYFUNCTION("""COMPUTED_VALUE"""),"Blog")</f>
        <v>Blog</v>
      </c>
      <c r="D107" s="1" t="str">
        <f>IFERROR(__xludf.DUMMYFUNCTION("""COMPUTED_VALUE"""),"Top 5 Method:CRM features for sales reps")</f>
        <v>Top 5 Method:CRM features for sales reps</v>
      </c>
      <c r="E107" s="12">
        <f>IFERROR(__xludf.DUMMYFUNCTION("""COMPUTED_VALUE"""),43353.375451388885)</f>
        <v>43353.37545</v>
      </c>
    </row>
    <row r="108">
      <c r="A108" s="7" t="str">
        <f>IFERROR(__xludf.DUMMYFUNCTION("""COMPUTED_VALUE"""),"https://www.method.me/blog/outlook-add-ins-for-sales/")</f>
        <v>https://www.method.me/blog/outlook-add-ins-for-sales/</v>
      </c>
      <c r="B108" s="1" t="str">
        <f>IFERROR(__xludf.DUMMYFUNCTION("""COMPUTED_VALUE"""),"Listicle - Software / Software overview")</f>
        <v>Listicle - Software / Software overview</v>
      </c>
      <c r="C108" s="1" t="str">
        <f>IFERROR(__xludf.DUMMYFUNCTION("""COMPUTED_VALUE"""),"Blog")</f>
        <v>Blog</v>
      </c>
      <c r="D108" s="1" t="str">
        <f>IFERROR(__xludf.DUMMYFUNCTION("""COMPUTED_VALUE"""),"Best Outlook Add-Ins for Sales Reps")</f>
        <v>Best Outlook Add-Ins for Sales Reps</v>
      </c>
      <c r="E108" s="12">
        <f>IFERROR(__xludf.DUMMYFUNCTION("""COMPUTED_VALUE"""),43355.375393518516)</f>
        <v>43355.37539</v>
      </c>
    </row>
    <row r="109">
      <c r="A109" s="7" t="str">
        <f>IFERROR(__xludf.DUMMYFUNCTION("""COMPUTED_VALUE"""),"https://www.method.me/blog/books-for-accountants-and-bookkeepers/")</f>
        <v>https://www.method.me/blog/books-for-accountants-and-bookkeepers/</v>
      </c>
      <c r="B109" s="1" t="str">
        <f>IFERROR(__xludf.DUMMYFUNCTION("""COMPUTED_VALUE"""),"Listicle - General")</f>
        <v>Listicle - General</v>
      </c>
      <c r="C109" s="1" t="str">
        <f>IFERROR(__xludf.DUMMYFUNCTION("""COMPUTED_VALUE"""),"Blog")</f>
        <v>Blog</v>
      </c>
      <c r="D109" s="1" t="str">
        <f>IFERROR(__xludf.DUMMYFUNCTION("""COMPUTED_VALUE"""),"13 must-read books for accountants and bookkeepers")</f>
        <v>13 must-read books for accountants and bookkeepers</v>
      </c>
      <c r="E109" s="12">
        <f>IFERROR(__xludf.DUMMYFUNCTION("""COMPUTED_VALUE"""),43356.375555555554)</f>
        <v>43356.37556</v>
      </c>
    </row>
    <row r="110">
      <c r="A110" s="7" t="str">
        <f>IFERROR(__xludf.DUMMYFUNCTION("""COMPUTED_VALUE"""),"https://www.method.me/blog/crm-comparison-method-vs-zoho/")</f>
        <v>https://www.method.me/blog/crm-comparison-method-vs-zoho/</v>
      </c>
      <c r="B110" s="1" t="str">
        <f>IFERROR(__xludf.DUMMYFUNCTION("""COMPUTED_VALUE"""),"Method - Competitor Comparison")</f>
        <v>Method - Competitor Comparison</v>
      </c>
      <c r="C110" s="1" t="str">
        <f>IFERROR(__xludf.DUMMYFUNCTION("""COMPUTED_VALUE"""),"Blog")</f>
        <v>Blog</v>
      </c>
      <c r="D110" s="1" t="str">
        <f>IFERROR(__xludf.DUMMYFUNCTION("""COMPUTED_VALUE"""),"CRM Comparison: Method vs. Zoho")</f>
        <v>CRM Comparison: Method vs. Zoho</v>
      </c>
      <c r="E110" s="12">
        <f>IFERROR(__xludf.DUMMYFUNCTION("""COMPUTED_VALUE"""),43357.37519675926)</f>
        <v>43357.3752</v>
      </c>
    </row>
    <row r="111">
      <c r="A111" s="7" t="str">
        <f>IFERROR(__xludf.DUMMYFUNCTION("""COMPUTED_VALUE"""),"https://www.method.me/blog/how-to-set-sales-goals/")</f>
        <v>https://www.method.me/blog/how-to-set-sales-goals/</v>
      </c>
      <c r="B111" s="1" t="str">
        <f>IFERROR(__xludf.DUMMYFUNCTION("""COMPUTED_VALUE"""),"Misc. info")</f>
        <v>Misc. info</v>
      </c>
      <c r="C111" s="1" t="str">
        <f>IFERROR(__xludf.DUMMYFUNCTION("""COMPUTED_VALUE"""),"Blog")</f>
        <v>Blog</v>
      </c>
      <c r="D111" s="1" t="str">
        <f>IFERROR(__xludf.DUMMYFUNCTION("""COMPUTED_VALUE"""),"Setting SMART goals: A step-by-step guide to achieving successful sales goals")</f>
        <v>Setting SMART goals: A step-by-step guide to achieving successful sales goals</v>
      </c>
      <c r="E111" s="12">
        <f>IFERROR(__xludf.DUMMYFUNCTION("""COMPUTED_VALUE"""),43360.37530092592)</f>
        <v>43360.3753</v>
      </c>
    </row>
    <row r="112">
      <c r="A112" s="7" t="str">
        <f>IFERROR(__xludf.DUMMYFUNCTION("""COMPUTED_VALUE"""),"https://www.method.me/blog/stop-using-excel-as-a-crm/")</f>
        <v>https://www.method.me/blog/stop-using-excel-as-a-crm/</v>
      </c>
      <c r="B112" s="1" t="str">
        <f>IFERROR(__xludf.DUMMYFUNCTION("""COMPUTED_VALUE"""),"Listicle - CRM")</f>
        <v>Listicle - CRM</v>
      </c>
      <c r="C112" s="1" t="str">
        <f>IFERROR(__xludf.DUMMYFUNCTION("""COMPUTED_VALUE"""),"Blog")</f>
        <v>Blog</v>
      </c>
      <c r="D112" s="1" t="str">
        <f>IFERROR(__xludf.DUMMYFUNCTION("""COMPUTED_VALUE"""),"6 reasons to stop using Excel as a CRM")</f>
        <v>6 reasons to stop using Excel as a CRM</v>
      </c>
      <c r="E112" s="12">
        <f>IFERROR(__xludf.DUMMYFUNCTION("""COMPUTED_VALUE"""),43362.375543981485)</f>
        <v>43362.37554</v>
      </c>
    </row>
    <row r="113">
      <c r="A113" s="7" t="str">
        <f>IFERROR(__xludf.DUMMYFUNCTION("""COMPUTED_VALUE"""),"https://www.method.me/blog/how-to-generate-leads-for-manufacturing-businesses/")</f>
        <v>https://www.method.me/blog/how-to-generate-leads-for-manufacturing-businesses/</v>
      </c>
      <c r="B113" s="1" t="str">
        <f>IFERROR(__xludf.DUMMYFUNCTION("""COMPUTED_VALUE"""),"Sales / Marketing / Lead gen")</f>
        <v>Sales / Marketing / Lead gen</v>
      </c>
      <c r="C113" s="1" t="str">
        <f>IFERROR(__xludf.DUMMYFUNCTION("""COMPUTED_VALUE"""),"Blog")</f>
        <v>Blog</v>
      </c>
      <c r="D113" s="1" t="str">
        <f>IFERROR(__xludf.DUMMYFUNCTION("""COMPUTED_VALUE"""),"How To Generate Leads For Manufacturing Businesses")</f>
        <v>How To Generate Leads For Manufacturing Businesses</v>
      </c>
      <c r="E113" s="12">
        <f>IFERROR(__xludf.DUMMYFUNCTION("""COMPUTED_VALUE"""),43363.375543981485)</f>
        <v>43363.37554</v>
      </c>
    </row>
    <row r="114">
      <c r="A114" s="7" t="str">
        <f>IFERROR(__xludf.DUMMYFUNCTION("""COMPUTED_VALUE"""),"https://www.method.me/blog/books-for-quickbooks-pro-advisors/")</f>
        <v>https://www.method.me/blog/books-for-quickbooks-pro-advisors/</v>
      </c>
      <c r="B114" s="1" t="str">
        <f>IFERROR(__xludf.DUMMYFUNCTION("""COMPUTED_VALUE"""),"Listicle - QuickBooks")</f>
        <v>Listicle - QuickBooks</v>
      </c>
      <c r="C114" s="1" t="str">
        <f>IFERROR(__xludf.DUMMYFUNCTION("""COMPUTED_VALUE"""),"Blog")</f>
        <v>Blog</v>
      </c>
      <c r="D114" s="1" t="str">
        <f>IFERROR(__xludf.DUMMYFUNCTION("""COMPUTED_VALUE"""),"The 7 best QuickBooks books for successful ProAdvisors")</f>
        <v>The 7 best QuickBooks books for successful ProAdvisors</v>
      </c>
      <c r="E114" s="12">
        <f>IFERROR(__xludf.DUMMYFUNCTION("""COMPUTED_VALUE"""),43364.37515046296)</f>
        <v>43364.37515</v>
      </c>
    </row>
    <row r="115">
      <c r="A115" s="7" t="str">
        <f>IFERROR(__xludf.DUMMYFUNCTION("""COMPUTED_VALUE"""),"https://www.method.me/blog/4-ways-to-improve-customer-retention/")</f>
        <v>https://www.method.me/blog/4-ways-to-improve-customer-retention/</v>
      </c>
      <c r="B115" s="1" t="str">
        <f>IFERROR(__xludf.DUMMYFUNCTION("""COMPUTED_VALUE"""),"Listicle - General")</f>
        <v>Listicle - General</v>
      </c>
      <c r="C115" s="1" t="str">
        <f>IFERROR(__xludf.DUMMYFUNCTION("""COMPUTED_VALUE"""),"Blog")</f>
        <v>Blog</v>
      </c>
      <c r="D115" s="1" t="str">
        <f>IFERROR(__xludf.DUMMYFUNCTION("""COMPUTED_VALUE"""),"From Casual Buyer to Loyal Fan: 4 Ways to Improve Customer Retention")</f>
        <v>From Casual Buyer to Loyal Fan: 4 Ways to Improve Customer Retention</v>
      </c>
      <c r="E115" s="12">
        <f>IFERROR(__xludf.DUMMYFUNCTION("""COMPUTED_VALUE"""),43368.3750462963)</f>
        <v>43368.37505</v>
      </c>
    </row>
    <row r="116">
      <c r="A116" s="7" t="str">
        <f>IFERROR(__xludf.DUMMYFUNCTION("""COMPUTED_VALUE"""),"https://www.method.me/blog/how-to-create-online-donation-pages/")</f>
        <v>https://www.method.me/blog/how-to-create-online-donation-pages/</v>
      </c>
      <c r="B116" s="1" t="str">
        <f>IFERROR(__xludf.DUMMYFUNCTION("""COMPUTED_VALUE"""),"General how-to")</f>
        <v>General how-to</v>
      </c>
      <c r="C116" s="1" t="str">
        <f>IFERROR(__xludf.DUMMYFUNCTION("""COMPUTED_VALUE"""),"Blog")</f>
        <v>Blog</v>
      </c>
      <c r="D116" s="1" t="str">
        <f>IFERROR(__xludf.DUMMYFUNCTION("""COMPUTED_VALUE"""),"How to Create Effective Online Donation Pages")</f>
        <v>How to Create Effective Online Donation Pages</v>
      </c>
      <c r="E116" s="12">
        <f>IFERROR(__xludf.DUMMYFUNCTION("""COMPUTED_VALUE"""),43369.375185185185)</f>
        <v>43369.37519</v>
      </c>
    </row>
    <row r="117">
      <c r="A117" s="7" t="str">
        <f>IFERROR(__xludf.DUMMYFUNCTION("""COMPUTED_VALUE"""),"https://www.method.me/blog/new-sync-engine-for-quickbooks-desktop/")</f>
        <v>https://www.method.me/blog/new-sync-engine-for-quickbooks-desktop/</v>
      </c>
      <c r="B117" s="1" t="str">
        <f>IFERROR(__xludf.DUMMYFUNCTION("""COMPUTED_VALUE"""),"Method - Product Updates")</f>
        <v>Method - Product Updates</v>
      </c>
      <c r="C117" s="1" t="str">
        <f>IFERROR(__xludf.DUMMYFUNCTION("""COMPUTED_VALUE"""),"Blog")</f>
        <v>Blog</v>
      </c>
      <c r="D117" s="1" t="str">
        <f>IFERROR(__xludf.DUMMYFUNCTION("""COMPUTED_VALUE"""),"New! An Improved Method Sync Engine for QuickBooks Desktop")</f>
        <v>New! An Improved Method Sync Engine for QuickBooks Desktop</v>
      </c>
      <c r="E117" s="12">
        <f>IFERROR(__xludf.DUMMYFUNCTION("""COMPUTED_VALUE"""),43370.56303240741)</f>
        <v>43370.56303</v>
      </c>
    </row>
    <row r="118">
      <c r="A118" s="7" t="str">
        <f>IFERROR(__xludf.DUMMYFUNCTION("""COMPUTED_VALUE"""),"https://www.method.me/blog/essential-podcasts-for-sales-reps/")</f>
        <v>https://www.method.me/blog/essential-podcasts-for-sales-reps/</v>
      </c>
      <c r="B118" s="1" t="str">
        <f>IFERROR(__xludf.DUMMYFUNCTION("""COMPUTED_VALUE"""),"Listicle - General")</f>
        <v>Listicle - General</v>
      </c>
      <c r="C118" s="1" t="str">
        <f>IFERROR(__xludf.DUMMYFUNCTION("""COMPUTED_VALUE"""),"Blog")</f>
        <v>Blog</v>
      </c>
      <c r="D118" s="1" t="str">
        <f>IFERROR(__xludf.DUMMYFUNCTION("""COMPUTED_VALUE"""),"7 Essential Podcasts for Sales Reps")</f>
        <v>7 Essential Podcasts for Sales Reps</v>
      </c>
      <c r="E118" s="12">
        <f>IFERROR(__xludf.DUMMYFUNCTION("""COMPUTED_VALUE"""),43374.37519675926)</f>
        <v>43374.3752</v>
      </c>
    </row>
    <row r="119">
      <c r="A119" s="7" t="str">
        <f>IFERROR(__xludf.DUMMYFUNCTION("""COMPUTED_VALUE"""),"https://www.method.me/blog/do-more-with-your-quickbooks-data/")</f>
        <v>https://www.method.me/blog/do-more-with-your-quickbooks-data/</v>
      </c>
      <c r="B119" s="1" t="str">
        <f>IFERROR(__xludf.DUMMYFUNCTION("""COMPUTED_VALUE"""),"Listicle - Method")</f>
        <v>Listicle - Method</v>
      </c>
      <c r="C119" s="1" t="str">
        <f>IFERROR(__xludf.DUMMYFUNCTION("""COMPUTED_VALUE"""),"Blog")</f>
        <v>Blog</v>
      </c>
      <c r="D119" s="1" t="str">
        <f>IFERROR(__xludf.DUMMYFUNCTION("""COMPUTED_VALUE"""),"4 ways Method:CRM helps you do more with your QuickBooks data")</f>
        <v>4 ways Method:CRM helps you do more with your QuickBooks data</v>
      </c>
      <c r="E119" s="12">
        <f>IFERROR(__xludf.DUMMYFUNCTION("""COMPUTED_VALUE"""),43375.375231481485)</f>
        <v>43375.37523</v>
      </c>
    </row>
    <row r="120">
      <c r="A120" s="7" t="str">
        <f>IFERROR(__xludf.DUMMYFUNCTION("""COMPUTED_VALUE"""),"https://www.method.me/blog/5-signs-that-your-client-is-unhappy/")</f>
        <v>https://www.method.me/blog/5-signs-that-your-client-is-unhappy/</v>
      </c>
      <c r="B120" s="1" t="str">
        <f>IFERROR(__xludf.DUMMYFUNCTION("""COMPUTED_VALUE"""),"Listicle - General")</f>
        <v>Listicle - General</v>
      </c>
      <c r="C120" s="1" t="str">
        <f>IFERROR(__xludf.DUMMYFUNCTION("""COMPUTED_VALUE"""),"Blog")</f>
        <v>Blog</v>
      </c>
      <c r="D120" s="1" t="str">
        <f>IFERROR(__xludf.DUMMYFUNCTION("""COMPUTED_VALUE"""),"5 Signs That Your Client is Unhappy (And How to Keep Them Around!)")</f>
        <v>5 Signs That Your Client is Unhappy (And How to Keep Them Around!)</v>
      </c>
      <c r="E120" s="12">
        <f>IFERROR(__xludf.DUMMYFUNCTION("""COMPUTED_VALUE"""),43376.3752662037)</f>
        <v>43376.37527</v>
      </c>
    </row>
    <row r="121">
      <c r="A121" s="7" t="str">
        <f>IFERROR(__xludf.DUMMYFUNCTION("""COMPUTED_VALUE"""),"https://www.method.me/blog/upgrade-your-lead-management-with-a-quickbooks-crm/")</f>
        <v>https://www.method.me/blog/upgrade-your-lead-management-with-a-quickbooks-crm/</v>
      </c>
      <c r="B121" s="1" t="str">
        <f>IFERROR(__xludf.DUMMYFUNCTION("""COMPUTED_VALUE"""),"CRM")</f>
        <v>CRM</v>
      </c>
      <c r="C121" s="1" t="str">
        <f>IFERROR(__xludf.DUMMYFUNCTION("""COMPUTED_VALUE"""),"Blog")</f>
        <v>Blog</v>
      </c>
      <c r="D121" s="1" t="str">
        <f>IFERROR(__xludf.DUMMYFUNCTION("""COMPUTED_VALUE"""),"How to upgrade your lead management process with a QuickBooks CRM")</f>
        <v>How to upgrade your lead management process with a QuickBooks CRM</v>
      </c>
      <c r="E121" s="12">
        <f>IFERROR(__xludf.DUMMYFUNCTION("""COMPUTED_VALUE"""),43377.35476851852)</f>
        <v>43377.35477</v>
      </c>
    </row>
    <row r="122">
      <c r="A122" s="7" t="str">
        <f>IFERROR(__xludf.DUMMYFUNCTION("""COMPUTED_VALUE"""),"https://www.method.me/blog/sales-metrics-to-track-for-business-success/")</f>
        <v>https://www.method.me/blog/sales-metrics-to-track-for-business-success/</v>
      </c>
      <c r="B122" s="1" t="str">
        <f>IFERROR(__xludf.DUMMYFUNCTION("""COMPUTED_VALUE"""),"Listicle - General")</f>
        <v>Listicle - General</v>
      </c>
      <c r="C122" s="1" t="str">
        <f>IFERROR(__xludf.DUMMYFUNCTION("""COMPUTED_VALUE"""),"Blog")</f>
        <v>Blog</v>
      </c>
      <c r="D122" s="1" t="str">
        <f>IFERROR(__xludf.DUMMYFUNCTION("""COMPUTED_VALUE"""),"The 5 Sales Metrics You Need to Track for Business Success")</f>
        <v>The 5 Sales Metrics You Need to Track for Business Success</v>
      </c>
      <c r="E122" s="12">
        <f>IFERROR(__xludf.DUMMYFUNCTION("""COMPUTED_VALUE"""),43378.35428240741)</f>
        <v>43378.35428</v>
      </c>
    </row>
    <row r="123">
      <c r="A123" s="7" t="str">
        <f>IFERROR(__xludf.DUMMYFUNCTION("""COMPUTED_VALUE"""),"https://www.method.me/blog/organization-tips-for-small-business-owners/")</f>
        <v>https://www.method.me/blog/organization-tips-for-small-business-owners/</v>
      </c>
      <c r="B123" s="1" t="str">
        <f>IFERROR(__xludf.DUMMYFUNCTION("""COMPUTED_VALUE"""),"Small business / Nonprofit")</f>
        <v>Small business / Nonprofit</v>
      </c>
      <c r="C123" s="1" t="str">
        <f>IFERROR(__xludf.DUMMYFUNCTION("""COMPUTED_VALUE"""),"Blog")</f>
        <v>Blog</v>
      </c>
      <c r="D123" s="1" t="str">
        <f>IFERROR(__xludf.DUMMYFUNCTION("""COMPUTED_VALUE"""),"How to Stay Organized at Work as a Small Business Owner")</f>
        <v>How to Stay Organized at Work as a Small Business Owner</v>
      </c>
      <c r="E123" s="12">
        <f>IFERROR(__xludf.DUMMYFUNCTION("""COMPUTED_VALUE"""),43381.34385416667)</f>
        <v>43381.34385</v>
      </c>
    </row>
    <row r="124">
      <c r="A124" s="7" t="str">
        <f>IFERROR(__xludf.DUMMYFUNCTION("""COMPUTED_VALUE"""),"https://www.method.me/blog/better-customer-management-with-quickbooks-crm/")</f>
        <v>https://www.method.me/blog/better-customer-management-with-quickbooks-crm/</v>
      </c>
      <c r="B124" s="1" t="str">
        <f>IFERROR(__xludf.DUMMYFUNCTION("""COMPUTED_VALUE"""),"CRM")</f>
        <v>CRM</v>
      </c>
      <c r="C124" s="1" t="str">
        <f>IFERROR(__xludf.DUMMYFUNCTION("""COMPUTED_VALUE"""),"Blog")</f>
        <v>Blog</v>
      </c>
      <c r="D124" s="1" t="str">
        <f>IFERROR(__xludf.DUMMYFUNCTION("""COMPUTED_VALUE"""),"Is QuickBooks a CRM? Why you need a customer management system")</f>
        <v>Is QuickBooks a CRM? Why you need a customer management system</v>
      </c>
      <c r="E124" s="12">
        <f>IFERROR(__xludf.DUMMYFUNCTION("""COMPUTED_VALUE"""),43382.344375)</f>
        <v>43382.34438</v>
      </c>
    </row>
    <row r="125">
      <c r="A125" s="7" t="str">
        <f>IFERROR(__xludf.DUMMYFUNCTION("""COMPUTED_VALUE"""),"https://www.method.me/blog/create-an-integrated-app-ecosystem-with-method/")</f>
        <v>https://www.method.me/blog/create-an-integrated-app-ecosystem-with-method/</v>
      </c>
      <c r="B125" s="1" t="str">
        <f>IFERROR(__xludf.DUMMYFUNCTION("""COMPUTED_VALUE"""),"Listicle - CRM")</f>
        <v>Listicle - CRM</v>
      </c>
      <c r="C125" s="1" t="str">
        <f>IFERROR(__xludf.DUMMYFUNCTION("""COMPUTED_VALUE"""),"Blog")</f>
        <v>Blog</v>
      </c>
      <c r="D125" s="1" t="str">
        <f>IFERROR(__xludf.DUMMYFUNCTION("""COMPUTED_VALUE"""),"5 ways to work more productively with CRM software integration")</f>
        <v>5 ways to work more productively with CRM software integration</v>
      </c>
      <c r="E125" s="12">
        <f>IFERROR(__xludf.DUMMYFUNCTION("""COMPUTED_VALUE"""),43384.34376157408)</f>
        <v>43384.34376</v>
      </c>
    </row>
    <row r="126">
      <c r="A126" s="7" t="str">
        <f>IFERROR(__xludf.DUMMYFUNCTION("""COMPUTED_VALUE"""),"https://www.method.me/blog/how-to-generate-leads-for-marketing-agencies/")</f>
        <v>https://www.method.me/blog/how-to-generate-leads-for-marketing-agencies/</v>
      </c>
      <c r="B126" s="1" t="str">
        <f>IFERROR(__xludf.DUMMYFUNCTION("""COMPUTED_VALUE"""),"Sales / Marketing / Lead gen")</f>
        <v>Sales / Marketing / Lead gen</v>
      </c>
      <c r="C126" s="1" t="str">
        <f>IFERROR(__xludf.DUMMYFUNCTION("""COMPUTED_VALUE"""),"Blog")</f>
        <v>Blog</v>
      </c>
      <c r="D126" s="1" t="str">
        <f>IFERROR(__xludf.DUMMYFUNCTION("""COMPUTED_VALUE"""),"How to Generate Leads for Marketing Agencies")</f>
        <v>How to Generate Leads for Marketing Agencies</v>
      </c>
      <c r="E126" s="12">
        <f>IFERROR(__xludf.DUMMYFUNCTION("""COMPUTED_VALUE"""),43388.34412037037)</f>
        <v>43388.34412</v>
      </c>
    </row>
    <row r="127">
      <c r="A127" s="7" t="str">
        <f>IFERROR(__xludf.DUMMYFUNCTION("""COMPUTED_VALUE"""),"https://www.method.me/blog/how-method-crm-helps-businesses-create-optimal-workflows/")</f>
        <v>https://www.method.me/blog/how-method-crm-helps-businesses-create-optimal-workflows/</v>
      </c>
      <c r="B127" s="1" t="str">
        <f>IFERROR(__xludf.DUMMYFUNCTION("""COMPUTED_VALUE"""),"Method - Customer / Partner Success")</f>
        <v>Method - Customer / Partner Success</v>
      </c>
      <c r="C127" s="1" t="str">
        <f>IFERROR(__xludf.DUMMYFUNCTION("""COMPUTED_VALUE"""),"Blog")</f>
        <v>Blog</v>
      </c>
      <c r="D127" s="1" t="str">
        <f>IFERROR(__xludf.DUMMYFUNCTION("""COMPUTED_VALUE"""),"How Method’s customizable CRM helps you take back control of your business")</f>
        <v>How Method’s customizable CRM helps you take back control of your business</v>
      </c>
      <c r="E127" s="12">
        <f>IFERROR(__xludf.DUMMYFUNCTION("""COMPUTED_VALUE"""),43389.34431712963)</f>
        <v>43389.34432</v>
      </c>
    </row>
    <row r="128">
      <c r="A128" s="7" t="str">
        <f>IFERROR(__xludf.DUMMYFUNCTION("""COMPUTED_VALUE"""),"https://www.method.me/blog/conquering-customer-service-issues/")</f>
        <v>https://www.method.me/blog/conquering-customer-service-issues/</v>
      </c>
      <c r="B128" s="1" t="str">
        <f>IFERROR(__xludf.DUMMYFUNCTION("""COMPUTED_VALUE"""),"Listicle - General")</f>
        <v>Listicle - General</v>
      </c>
      <c r="C128" s="1" t="str">
        <f>IFERROR(__xludf.DUMMYFUNCTION("""COMPUTED_VALUE"""),"Blog")</f>
        <v>Blog</v>
      </c>
      <c r="D128" s="1" t="str">
        <f>IFERROR(__xludf.DUMMYFUNCTION("""COMPUTED_VALUE"""),"Conquering Customer Service Issues: 9 Tips to Build Customer Loyalty")</f>
        <v>Conquering Customer Service Issues: 9 Tips to Build Customer Loyalty</v>
      </c>
      <c r="E128" s="12">
        <f>IFERROR(__xludf.DUMMYFUNCTION("""COMPUTED_VALUE"""),43390.34410879629)</f>
        <v>43390.34411</v>
      </c>
    </row>
    <row r="129">
      <c r="A129" s="7" t="str">
        <f>IFERROR(__xludf.DUMMYFUNCTION("""COMPUTED_VALUE"""),"https://www.method.me/blog/crm-comparison-method-vs-insightly/")</f>
        <v>https://www.method.me/blog/crm-comparison-method-vs-insightly/</v>
      </c>
      <c r="B129" s="1" t="str">
        <f>IFERROR(__xludf.DUMMYFUNCTION("""COMPUTED_VALUE"""),"Method - Product Updates")</f>
        <v>Method - Product Updates</v>
      </c>
      <c r="C129" s="1" t="str">
        <f>IFERROR(__xludf.DUMMYFUNCTION("""COMPUTED_VALUE"""),"Blog")</f>
        <v>Blog</v>
      </c>
      <c r="D129" s="1" t="str">
        <f>IFERROR(__xludf.DUMMYFUNCTION("""COMPUTED_VALUE"""),"Method:CRM vs. Insightly QuickBooks integration")</f>
        <v>Method:CRM vs. Insightly QuickBooks integration</v>
      </c>
      <c r="E129" s="12">
        <f>IFERROR(__xludf.DUMMYFUNCTION("""COMPUTED_VALUE"""),43391.34438657408)</f>
        <v>43391.34439</v>
      </c>
    </row>
    <row r="130">
      <c r="A130" s="7" t="str">
        <f>IFERROR(__xludf.DUMMYFUNCTION("""COMPUTED_VALUE"""),"https://www.method.me/blog/organization-for-accountants-bookkeepers/")</f>
        <v>https://www.method.me/blog/organization-for-accountants-bookkeepers/</v>
      </c>
      <c r="B130" s="1" t="str">
        <f>IFERROR(__xludf.DUMMYFUNCTION("""COMPUTED_VALUE"""),"Accounting")</f>
        <v>Accounting</v>
      </c>
      <c r="C130" s="1" t="str">
        <f>IFERROR(__xludf.DUMMYFUNCTION("""COMPUTED_VALUE"""),"Blog")</f>
        <v>Blog</v>
      </c>
      <c r="D130" s="1" t="str">
        <f>IFERROR(__xludf.DUMMYFUNCTION("""COMPUTED_VALUE"""),"Organization tips for accountants and bookkeepers")</f>
        <v>Organization tips for accountants and bookkeepers</v>
      </c>
      <c r="E130" s="12">
        <f>IFERROR(__xludf.DUMMYFUNCTION("""COMPUTED_VALUE"""),43392.34391203704)</f>
        <v>43392.34391</v>
      </c>
    </row>
    <row r="131">
      <c r="A131" s="7" t="str">
        <f>IFERROR(__xludf.DUMMYFUNCTION("""COMPUTED_VALUE"""),"https://www.method.me/blog/10-great-holiday-fundraising-campaigns-for-nonprofits/")</f>
        <v>https://www.method.me/blog/10-great-holiday-fundraising-campaigns-for-nonprofits/</v>
      </c>
      <c r="B131" s="1" t="str">
        <f>IFERROR(__xludf.DUMMYFUNCTION("""COMPUTED_VALUE"""),"Listicle - General")</f>
        <v>Listicle - General</v>
      </c>
      <c r="C131" s="1" t="str">
        <f>IFERROR(__xludf.DUMMYFUNCTION("""COMPUTED_VALUE"""),"Blog")</f>
        <v>Blog</v>
      </c>
      <c r="D131" s="1" t="str">
        <f>IFERROR(__xludf.DUMMYFUNCTION("""COMPUTED_VALUE"""),"10 Great Holiday Fundraising Campaigns for Nonprofits")</f>
        <v>10 Great Holiday Fundraising Campaigns for Nonprofits</v>
      </c>
      <c r="E131" s="12">
        <f>IFERROR(__xludf.DUMMYFUNCTION("""COMPUTED_VALUE"""),43395.34375)</f>
        <v>43395.34375</v>
      </c>
    </row>
    <row r="132">
      <c r="A132" s="7" t="str">
        <f>IFERROR(__xludf.DUMMYFUNCTION("""COMPUTED_VALUE"""),"https://www.method.me/blog/black-friday-marketing-strategy/")</f>
        <v>https://www.method.me/blog/black-friday-marketing-strategy/</v>
      </c>
      <c r="B132" s="1" t="str">
        <f>IFERROR(__xludf.DUMMYFUNCTION("""COMPUTED_VALUE"""),"General how-to")</f>
        <v>General how-to</v>
      </c>
      <c r="C132" s="1" t="str">
        <f>IFERROR(__xludf.DUMMYFUNCTION("""COMPUTED_VALUE"""),"Blog")</f>
        <v>Blog</v>
      </c>
      <c r="D132" s="1" t="str">
        <f>IFERROR(__xludf.DUMMYFUNCTION("""COMPUTED_VALUE"""),"How to make your Black Friday marketing strategy successful")</f>
        <v>How to make your Black Friday marketing strategy successful</v>
      </c>
      <c r="E132" s="12">
        <f>IFERROR(__xludf.DUMMYFUNCTION("""COMPUTED_VALUE"""),43397.34375)</f>
        <v>43397.34375</v>
      </c>
    </row>
    <row r="133">
      <c r="A133" s="7" t="str">
        <f>IFERROR(__xludf.DUMMYFUNCTION("""COMPUTED_VALUE"""),"https://www.method.me/blog/importance-of-sales-pipeline-stages/")</f>
        <v>https://www.method.me/blog/importance-of-sales-pipeline-stages/</v>
      </c>
      <c r="B133" s="1" t="str">
        <f>IFERROR(__xludf.DUMMYFUNCTION("""COMPUTED_VALUE"""),"Sales / Marketing / Lead gen")</f>
        <v>Sales / Marketing / Lead gen</v>
      </c>
      <c r="C133" s="1" t="str">
        <f>IFERROR(__xludf.DUMMYFUNCTION("""COMPUTED_VALUE"""),"Blog")</f>
        <v>Blog</v>
      </c>
      <c r="D133" s="1" t="str">
        <f>IFERROR(__xludf.DUMMYFUNCTION("""COMPUTED_VALUE"""),"How understanding the different stages of the sales pipeline can help you maximize your revenue and achieve your business goals")</f>
        <v>How understanding the different stages of the sales pipeline can help you maximize your revenue and achieve your business goals</v>
      </c>
      <c r="E133" s="12">
        <f>IFERROR(__xludf.DUMMYFUNCTION("""COMPUTED_VALUE"""),43398.34375)</f>
        <v>43398.34375</v>
      </c>
    </row>
    <row r="134">
      <c r="A134" s="7" t="str">
        <f>IFERROR(__xludf.DUMMYFUNCTION("""COMPUTED_VALUE"""),"https://www.method.me/blog/best-podcasts-for-accountants-and-bookkeepers/")</f>
        <v>https://www.method.me/blog/best-podcasts-for-accountants-and-bookkeepers/</v>
      </c>
      <c r="B134" s="1" t="str">
        <f>IFERROR(__xludf.DUMMYFUNCTION("""COMPUTED_VALUE"""),"Listicle - General")</f>
        <v>Listicle - General</v>
      </c>
      <c r="C134" s="1" t="str">
        <f>IFERROR(__xludf.DUMMYFUNCTION("""COMPUTED_VALUE"""),"Blog")</f>
        <v>Blog</v>
      </c>
      <c r="D134" s="1" t="str">
        <f>IFERROR(__xludf.DUMMYFUNCTION("""COMPUTED_VALUE"""),"Listen Up! 8 Awesome Podcasts for Accountants and Bookkeepers")</f>
        <v>Listen Up! 8 Awesome Podcasts for Accountants and Bookkeepers</v>
      </c>
      <c r="E134" s="12">
        <f>IFERROR(__xludf.DUMMYFUNCTION("""COMPUTED_VALUE"""),43399.458333333336)</f>
        <v>43399.45833</v>
      </c>
    </row>
    <row r="135">
      <c r="A135" s="7" t="str">
        <f>IFERROR(__xludf.DUMMYFUNCTION("""COMPUTED_VALUE"""),"https://www.method.me/blog/quickbooks-connect-san-jose-fireside-chat-invitation/")</f>
        <v>https://www.method.me/blog/quickbooks-connect-san-jose-fireside-chat-invitation/</v>
      </c>
      <c r="B135" s="1" t="str">
        <f>IFERROR(__xludf.DUMMYFUNCTION("""COMPUTED_VALUE"""),"Conference / Event")</f>
        <v>Conference / Event</v>
      </c>
      <c r="C135" s="1" t="str">
        <f>IFERROR(__xludf.DUMMYFUNCTION("""COMPUTED_VALUE"""),"Blog")</f>
        <v>Blog</v>
      </c>
      <c r="D135" s="1" t="str">
        <f>IFERROR(__xludf.DUMMYFUNCTION("""COMPUTED_VALUE"""),"You’re invited: Fireside chat at QuickBooks Connect San Jose")</f>
        <v>You’re invited: Fireside chat at QuickBooks Connect San Jose</v>
      </c>
      <c r="E135" s="12">
        <f>IFERROR(__xludf.DUMMYFUNCTION("""COMPUTED_VALUE"""),43402.59722222222)</f>
        <v>43402.59722</v>
      </c>
    </row>
    <row r="136">
      <c r="A136" s="7" t="str">
        <f>IFERROR(__xludf.DUMMYFUNCTION("""COMPUTED_VALUE"""),"https://www.method.me/blog/updates-to-web-to-lead-app/")</f>
        <v>https://www.method.me/blog/updates-to-web-to-lead-app/</v>
      </c>
      <c r="B136" s="1" t="str">
        <f>IFERROR(__xludf.DUMMYFUNCTION("""COMPUTED_VALUE"""),"Method - Product Updates")</f>
        <v>Method - Product Updates</v>
      </c>
      <c r="C136" s="1" t="str">
        <f>IFERROR(__xludf.DUMMYFUNCTION("""COMPUTED_VALUE"""),"Blog")</f>
        <v>Blog</v>
      </c>
      <c r="D136" s="1" t="str">
        <f>IFERROR(__xludf.DUMMYFUNCTION("""COMPUTED_VALUE"""),"New! Updates to the Web to Lead App")</f>
        <v>New! Updates to the Web to Lead App</v>
      </c>
      <c r="E136" s="12">
        <f>IFERROR(__xludf.DUMMYFUNCTION("""COMPUTED_VALUE"""),43403.34375)</f>
        <v>43403.34375</v>
      </c>
    </row>
    <row r="137">
      <c r="A137" s="7" t="str">
        <f>IFERROR(__xludf.DUMMYFUNCTION("""COMPUTED_VALUE"""),"https://www.method.me/blog/9-tips-for-excellent-donor-thank-you-letters/")</f>
        <v>https://www.method.me/blog/9-tips-for-excellent-donor-thank-you-letters/</v>
      </c>
      <c r="B137" s="1" t="str">
        <f>IFERROR(__xludf.DUMMYFUNCTION("""COMPUTED_VALUE"""),"Listicle - General")</f>
        <v>Listicle - General</v>
      </c>
      <c r="C137" s="1" t="str">
        <f>IFERROR(__xludf.DUMMYFUNCTION("""COMPUTED_VALUE"""),"Blog")</f>
        <v>Blog</v>
      </c>
      <c r="D137" s="1" t="str">
        <f>IFERROR(__xludf.DUMMYFUNCTION("""COMPUTED_VALUE"""),"9 Tips to Help Nonprofits Send Excellent Donor Thank You Letters")</f>
        <v>9 Tips to Help Nonprofits Send Excellent Donor Thank You Letters</v>
      </c>
      <c r="E137" s="12">
        <f>IFERROR(__xludf.DUMMYFUNCTION("""COMPUTED_VALUE"""),43404.34375)</f>
        <v>43404.34375</v>
      </c>
    </row>
    <row r="138">
      <c r="A138" s="7" t="str">
        <f>IFERROR(__xludf.DUMMYFUNCTION("""COMPUTED_VALUE"""),"https://www.method.me/blog/crm-comparison-method-vs-salesforce/")</f>
        <v>https://www.method.me/blog/crm-comparison-method-vs-salesforce/</v>
      </c>
      <c r="B138" s="1" t="str">
        <f>IFERROR(__xludf.DUMMYFUNCTION("""COMPUTED_VALUE"""),"Method - Competitor Comparison")</f>
        <v>Method - Competitor Comparison</v>
      </c>
      <c r="C138" s="1" t="str">
        <f>IFERROR(__xludf.DUMMYFUNCTION("""COMPUTED_VALUE"""),"Blog")</f>
        <v>Blog</v>
      </c>
      <c r="D138" s="1" t="str">
        <f>IFERROR(__xludf.DUMMYFUNCTION("""COMPUTED_VALUE"""),"&lt;strong&gt;CRM comparison: Method vs. Salesforce small business solutions&lt;/strong&gt;")</f>
        <v>&lt;strong&gt;CRM comparison: Method vs. Salesforce small business solutions&lt;/strong&gt;</v>
      </c>
      <c r="E138" s="12">
        <f>IFERROR(__xludf.DUMMYFUNCTION("""COMPUTED_VALUE"""),43406.34375)</f>
        <v>43406.34375</v>
      </c>
    </row>
    <row r="139">
      <c r="A139" s="7" t="str">
        <f>IFERROR(__xludf.DUMMYFUNCTION("""COMPUTED_VALUE"""),"https://www.method.me/blog/6-lead-generation-tips-for-accounting-firms/")</f>
        <v>https://www.method.me/blog/6-lead-generation-tips-for-accounting-firms/</v>
      </c>
      <c r="B139" s="1" t="str">
        <f>IFERROR(__xludf.DUMMYFUNCTION("""COMPUTED_VALUE"""),"Listicle - General")</f>
        <v>Listicle - General</v>
      </c>
      <c r="C139" s="1" t="str">
        <f>IFERROR(__xludf.DUMMYFUNCTION("""COMPUTED_VALUE"""),"Blog")</f>
        <v>Blog</v>
      </c>
      <c r="D139" s="1" t="str">
        <f>IFERROR(__xludf.DUMMYFUNCTION("""COMPUTED_VALUE"""),"6 Lead Generation Tips for Accounting Firms")</f>
        <v>6 Lead Generation Tips for Accounting Firms</v>
      </c>
      <c r="E139" s="12">
        <f>IFERROR(__xludf.DUMMYFUNCTION("""COMPUTED_VALUE"""),43412.34375)</f>
        <v>43412.34375</v>
      </c>
    </row>
    <row r="140">
      <c r="A140" s="7" t="str">
        <f>IFERROR(__xludf.DUMMYFUNCTION("""COMPUTED_VALUE"""),"https://www.method.me/blog/method-crm-overview-infographic/")</f>
        <v>https://www.method.me/blog/method-crm-overview-infographic/</v>
      </c>
      <c r="B140" s="1" t="str">
        <f>IFERROR(__xludf.DUMMYFUNCTION("""COMPUTED_VALUE"""),"Method - Product Updates")</f>
        <v>Method - Product Updates</v>
      </c>
      <c r="C140" s="1" t="str">
        <f>IFERROR(__xludf.DUMMYFUNCTION("""COMPUTED_VALUE"""),"Blog")</f>
        <v>Blog</v>
      </c>
      <c r="D140" s="1" t="str">
        <f>IFERROR(__xludf.DUMMYFUNCTION("""COMPUTED_VALUE"""),"An Overview of Method:CRM [Infographic]")</f>
        <v>An Overview of Method:CRM [Infographic]</v>
      </c>
      <c r="E140" s="12">
        <f>IFERROR(__xludf.DUMMYFUNCTION("""COMPUTED_VALUE"""),43413.34375)</f>
        <v>43413.34375</v>
      </c>
    </row>
    <row r="141">
      <c r="A141" s="7" t="str">
        <f>IFERROR(__xludf.DUMMYFUNCTION("""COMPUTED_VALUE"""),"https://www.method.me/blog/3-strategies-to-plan-top-notch-fundraising-events/")</f>
        <v>https://www.method.me/blog/3-strategies-to-plan-top-notch-fundraising-events/</v>
      </c>
      <c r="B141" s="1" t="str">
        <f>IFERROR(__xludf.DUMMYFUNCTION("""COMPUTED_VALUE"""),"Listicle - General")</f>
        <v>Listicle - General</v>
      </c>
      <c r="C141" s="1" t="str">
        <f>IFERROR(__xludf.DUMMYFUNCTION("""COMPUTED_VALUE"""),"Blog")</f>
        <v>Blog</v>
      </c>
      <c r="D141" s="1" t="str">
        <f>IFERROR(__xludf.DUMMYFUNCTION("""COMPUTED_VALUE"""),"3 Strategies to Plan Top-Notch Fundraising Events")</f>
        <v>3 Strategies to Plan Top-Notch Fundraising Events</v>
      </c>
      <c r="E141" s="12">
        <f>IFERROR(__xludf.DUMMYFUNCTION("""COMPUTED_VALUE"""),43416.34375)</f>
        <v>43416.34375</v>
      </c>
    </row>
    <row r="142">
      <c r="A142" s="7" t="str">
        <f>IFERROR(__xludf.DUMMYFUNCTION("""COMPUTED_VALUE"""),"https://www.method.me/blog/top-10-highlights-from-quickbooks-connect-san-jose/")</f>
        <v>https://www.method.me/blog/top-10-highlights-from-quickbooks-connect-san-jose/</v>
      </c>
      <c r="B142" s="1" t="str">
        <f>IFERROR(__xludf.DUMMYFUNCTION("""COMPUTED_VALUE"""),"Conference / Event")</f>
        <v>Conference / Event</v>
      </c>
      <c r="C142" s="1" t="str">
        <f>IFERROR(__xludf.DUMMYFUNCTION("""COMPUTED_VALUE"""),"Blog")</f>
        <v>Blog</v>
      </c>
      <c r="D142" s="1" t="str">
        <f>IFERROR(__xludf.DUMMYFUNCTION("""COMPUTED_VALUE"""),"Top 10 Highlights from QuickBooks Connect San Jose")</f>
        <v>Top 10 Highlights from QuickBooks Connect San Jose</v>
      </c>
      <c r="E142" s="12">
        <f>IFERROR(__xludf.DUMMYFUNCTION("""COMPUTED_VALUE"""),43417.34409722222)</f>
        <v>43417.3441</v>
      </c>
    </row>
    <row r="143">
      <c r="A143" s="7" t="str">
        <f>IFERROR(__xludf.DUMMYFUNCTION("""COMPUTED_VALUE"""),"https://www.method.me/blog/fireside-chat-building-a-profitable-accounting-technology-stack-video/")</f>
        <v>https://www.method.me/blog/fireside-chat-building-a-profitable-accounting-technology-stack-video/</v>
      </c>
      <c r="B143" s="1" t="str">
        <f>IFERROR(__xludf.DUMMYFUNCTION("""COMPUTED_VALUE"""),"Conference / Event")</f>
        <v>Conference / Event</v>
      </c>
      <c r="C143" s="1" t="str">
        <f>IFERROR(__xludf.DUMMYFUNCTION("""COMPUTED_VALUE"""),"Blog")</f>
        <v>Blog</v>
      </c>
      <c r="D143" s="1" t="str">
        <f>IFERROR(__xludf.DUMMYFUNCTION("""COMPUTED_VALUE"""),"Fireside Chat: Building a Profitable Accounting Technology Stack [Video]")</f>
        <v>Fireside Chat: Building a Profitable Accounting Technology Stack [Video]</v>
      </c>
      <c r="E143" s="12">
        <f>IFERROR(__xludf.DUMMYFUNCTION("""COMPUTED_VALUE"""),43418.34375)</f>
        <v>43418.34375</v>
      </c>
    </row>
    <row r="144">
      <c r="A144" s="7" t="str">
        <f>IFERROR(__xludf.DUMMYFUNCTION("""COMPUTED_VALUE"""),"https://www.method.me/blog/working-with-the-gig-economy-mariette-martinez-at-quickbooks-connect/")</f>
        <v>https://www.method.me/blog/working-with-the-gig-economy-mariette-martinez-at-quickbooks-connect/</v>
      </c>
      <c r="B144" s="1" t="str">
        <f>IFERROR(__xludf.DUMMYFUNCTION("""COMPUTED_VALUE"""),"Conference / Event")</f>
        <v>Conference / Event</v>
      </c>
      <c r="C144" s="1" t="str">
        <f>IFERROR(__xludf.DUMMYFUNCTION("""COMPUTED_VALUE"""),"Blog")</f>
        <v>Blog</v>
      </c>
      <c r="D144" s="1" t="str">
        <f>IFERROR(__xludf.DUMMYFUNCTION("""COMPUTED_VALUE"""),"Working With the Gig Economy: Mariette Martinez at QuickBooks Connect")</f>
        <v>Working With the Gig Economy: Mariette Martinez at QuickBooks Connect</v>
      </c>
      <c r="E144" s="12">
        <f>IFERROR(__xludf.DUMMYFUNCTION("""COMPUTED_VALUE"""),43419.34375)</f>
        <v>43419.34375</v>
      </c>
    </row>
    <row r="145">
      <c r="A145" s="7" t="str">
        <f>IFERROR(__xludf.DUMMYFUNCTION("""COMPUTED_VALUE"""),"https://www.method.me/blog/the-role-of-the-transformative-advisor-an-interview-with-joe-woodard/")</f>
        <v>https://www.method.me/blog/the-role-of-the-transformative-advisor-an-interview-with-joe-woodard/</v>
      </c>
      <c r="B145" s="1" t="str">
        <f>IFERROR(__xludf.DUMMYFUNCTION("""COMPUTED_VALUE"""),"Misc. info")</f>
        <v>Misc. info</v>
      </c>
      <c r="C145" s="1" t="str">
        <f>IFERROR(__xludf.DUMMYFUNCTION("""COMPUTED_VALUE"""),"Blog")</f>
        <v>Blog</v>
      </c>
      <c r="D145" s="1" t="str">
        <f>IFERROR(__xludf.DUMMYFUNCTION("""COMPUTED_VALUE"""),"The Role of the Transformative Advisor: An Interview With Joe Woodard [Video]")</f>
        <v>The Role of the Transformative Advisor: An Interview With Joe Woodard [Video]</v>
      </c>
      <c r="E145" s="12">
        <f>IFERROR(__xludf.DUMMYFUNCTION("""COMPUTED_VALUE"""),43419.542083333334)</f>
        <v>43419.54208</v>
      </c>
    </row>
    <row r="146">
      <c r="A146" s="7" t="str">
        <f>IFERROR(__xludf.DUMMYFUNCTION("""COMPUTED_VALUE"""),"https://www.method.me/blog/the-art-of-extreme-productivity-joe-woodard-at-quickbooks-connect/")</f>
        <v>https://www.method.me/blog/the-art-of-extreme-productivity-joe-woodard-at-quickbooks-connect/</v>
      </c>
      <c r="B146" s="1" t="str">
        <f>IFERROR(__xludf.DUMMYFUNCTION("""COMPUTED_VALUE"""),"Conference / Event")</f>
        <v>Conference / Event</v>
      </c>
      <c r="C146" s="1" t="str">
        <f>IFERROR(__xludf.DUMMYFUNCTION("""COMPUTED_VALUE"""),"Blog")</f>
        <v>Blog</v>
      </c>
      <c r="D146" s="1" t="str">
        <f>IFERROR(__xludf.DUMMYFUNCTION("""COMPUTED_VALUE"""),"The Art of Extreme Productivity: Joe Woodard at QuickBooks Connect")</f>
        <v>The Art of Extreme Productivity: Joe Woodard at QuickBooks Connect</v>
      </c>
      <c r="E146" s="12">
        <f>IFERROR(__xludf.DUMMYFUNCTION("""COMPUTED_VALUE"""),43423.34375)</f>
        <v>43423.34375</v>
      </c>
    </row>
    <row r="147">
      <c r="A147" s="7" t="str">
        <f>IFERROR(__xludf.DUMMYFUNCTION("""COMPUTED_VALUE"""),"https://www.method.me/blog/selecting-the-right-app-heather-satterley-at-quickbooks-connect/")</f>
        <v>https://www.method.me/blog/selecting-the-right-app-heather-satterley-at-quickbooks-connect/</v>
      </c>
      <c r="B147" s="1" t="str">
        <f>IFERROR(__xludf.DUMMYFUNCTION("""COMPUTED_VALUE"""),"Conference / Event")</f>
        <v>Conference / Event</v>
      </c>
      <c r="C147" s="1" t="str">
        <f>IFERROR(__xludf.DUMMYFUNCTION("""COMPUTED_VALUE"""),"Blog")</f>
        <v>Blog</v>
      </c>
      <c r="D147" s="1" t="str">
        <f>IFERROR(__xludf.DUMMYFUNCTION("""COMPUTED_VALUE"""),"Selecting the Right App: Heather Satterley at QuickBooks Connect")</f>
        <v>Selecting the Right App: Heather Satterley at QuickBooks Connect</v>
      </c>
      <c r="E147" s="12">
        <f>IFERROR(__xludf.DUMMYFUNCTION("""COMPUTED_VALUE"""),43425.34375)</f>
        <v>43425.34375</v>
      </c>
    </row>
    <row r="148">
      <c r="A148" s="7" t="str">
        <f>IFERROR(__xludf.DUMMYFUNCTION("""COMPUTED_VALUE"""),"https://www.method.me/blog/mastering-the-art-of-social-media-veronica-wasek-at-quickbooks-connect/")</f>
        <v>https://www.method.me/blog/mastering-the-art-of-social-media-veronica-wasek-at-quickbooks-connect/</v>
      </c>
      <c r="B148" s="1" t="str">
        <f>IFERROR(__xludf.DUMMYFUNCTION("""COMPUTED_VALUE"""),"Conference / Event")</f>
        <v>Conference / Event</v>
      </c>
      <c r="C148" s="1" t="str">
        <f>IFERROR(__xludf.DUMMYFUNCTION("""COMPUTED_VALUE"""),"Blog")</f>
        <v>Blog</v>
      </c>
      <c r="D148" s="1" t="str">
        <f>IFERROR(__xludf.DUMMYFUNCTION("""COMPUTED_VALUE"""),"Mastering the Art of Social Media: Veronica Wasek at QuickBooks Connect")</f>
        <v>Mastering the Art of Social Media: Veronica Wasek at QuickBooks Connect</v>
      </c>
      <c r="E148" s="12">
        <f>IFERROR(__xludf.DUMMYFUNCTION("""COMPUTED_VALUE"""),43425.541666666664)</f>
        <v>43425.54167</v>
      </c>
    </row>
    <row r="149">
      <c r="A149" s="7" t="str">
        <f>IFERROR(__xludf.DUMMYFUNCTION("""COMPUTED_VALUE"""),"https://www.method.me/blog/how-to-pursue-continuing-education-as-a-certified-public-accountant/")</f>
        <v>https://www.method.me/blog/how-to-pursue-continuing-education-as-a-certified-public-accountant/</v>
      </c>
      <c r="B149" s="1" t="str">
        <f>IFERROR(__xludf.DUMMYFUNCTION("""COMPUTED_VALUE"""),"General how-to")</f>
        <v>General how-to</v>
      </c>
      <c r="C149" s="1" t="str">
        <f>IFERROR(__xludf.DUMMYFUNCTION("""COMPUTED_VALUE"""),"Blog")</f>
        <v>Blog</v>
      </c>
      <c r="D149" s="1" t="str">
        <f>IFERROR(__xludf.DUMMYFUNCTION("""COMPUTED_VALUE"""),"How to Pursue Continuing Education as a Certified Public Accountant")</f>
        <v>How to Pursue Continuing Education as a Certified Public Accountant</v>
      </c>
      <c r="E149" s="12">
        <f>IFERROR(__xludf.DUMMYFUNCTION("""COMPUTED_VALUE"""),43430.34439814815)</f>
        <v>43430.3444</v>
      </c>
    </row>
    <row r="150">
      <c r="A150" s="7" t="str">
        <f>IFERROR(__xludf.DUMMYFUNCTION("""COMPUTED_VALUE"""),"https://www.method.me/blog/does-your-agency-need-a-crm-or-project-management-software/")</f>
        <v>https://www.method.me/blog/does-your-agency-need-a-crm-or-project-management-software/</v>
      </c>
      <c r="B150" s="1" t="str">
        <f>IFERROR(__xludf.DUMMYFUNCTION("""COMPUTED_VALUE"""),"CRM")</f>
        <v>CRM</v>
      </c>
      <c r="C150" s="1" t="str">
        <f>IFERROR(__xludf.DUMMYFUNCTION("""COMPUTED_VALUE"""),"Blog")</f>
        <v>Blog</v>
      </c>
      <c r="D150" s="1" t="str">
        <f>IFERROR(__xludf.DUMMYFUNCTION("""COMPUTED_VALUE"""),"Does Your Agency Need a CRM or Project Management Software?")</f>
        <v>Does Your Agency Need a CRM or Project Management Software?</v>
      </c>
      <c r="E150" s="12">
        <f>IFERROR(__xludf.DUMMYFUNCTION("""COMPUTED_VALUE"""),43433.34375)</f>
        <v>43433.34375</v>
      </c>
    </row>
    <row r="151">
      <c r="A151" s="7" t="str">
        <f>IFERROR(__xludf.DUMMYFUNCTION("""COMPUTED_VALUE"""),"https://www.method.me/blog/how-a-quickbooks-crm-helped-fuji-mats-streamline-customer-management/")</f>
        <v>https://www.method.me/blog/how-a-quickbooks-crm-helped-fuji-mats-streamline-customer-management/</v>
      </c>
      <c r="B151" s="1" t="str">
        <f>IFERROR(__xludf.DUMMYFUNCTION("""COMPUTED_VALUE"""),"CRM")</f>
        <v>CRM</v>
      </c>
      <c r="C151" s="1" t="str">
        <f>IFERROR(__xludf.DUMMYFUNCTION("""COMPUTED_VALUE"""),"Blog")</f>
        <v>Blog</v>
      </c>
      <c r="D151" s="1" t="str">
        <f>IFERROR(__xludf.DUMMYFUNCTION("""COMPUTED_VALUE"""),"How a QuickBooks CRM Helped FUJI Mats Streamline Customer Management")</f>
        <v>How a QuickBooks CRM Helped FUJI Mats Streamline Customer Management</v>
      </c>
      <c r="E151" s="12">
        <f>IFERROR(__xludf.DUMMYFUNCTION("""COMPUTED_VALUE"""),43439.34385416667)</f>
        <v>43439.34385</v>
      </c>
    </row>
    <row r="152">
      <c r="A152" s="7" t="str">
        <f>IFERROR(__xludf.DUMMYFUNCTION("""COMPUTED_VALUE"""),"https://www.method.me/blog/recap-intuit-small-business-hackathon-toronto/")</f>
        <v>https://www.method.me/blog/recap-intuit-small-business-hackathon-toronto/</v>
      </c>
      <c r="B152" s="1" t="str">
        <f>IFERROR(__xludf.DUMMYFUNCTION("""COMPUTED_VALUE"""),"Conference / Event")</f>
        <v>Conference / Event</v>
      </c>
      <c r="C152" s="1" t="str">
        <f>IFERROR(__xludf.DUMMYFUNCTION("""COMPUTED_VALUE"""),"Blog")</f>
        <v>Blog</v>
      </c>
      <c r="D152" s="1" t="str">
        <f>IFERROR(__xludf.DUMMYFUNCTION("""COMPUTED_VALUE"""),"Recap: Intuit Small Business Hackathon Toronto")</f>
        <v>Recap: Intuit Small Business Hackathon Toronto</v>
      </c>
      <c r="E152" s="12">
        <f>IFERROR(__xludf.DUMMYFUNCTION("""COMPUTED_VALUE"""),43441.34375)</f>
        <v>43441.34375</v>
      </c>
    </row>
    <row r="153">
      <c r="A153" s="7" t="str">
        <f>IFERROR(__xludf.DUMMYFUNCTION("""COMPUTED_VALUE"""),"https://www.method.me/blog/growing-your-business-through-content-marketing-bram-warshafsky-at-quickbooks-connect/")</f>
        <v>https://www.method.me/blog/growing-your-business-through-content-marketing-bram-warshafsky-at-quickbooks-connect/</v>
      </c>
      <c r="B153" s="1" t="str">
        <f>IFERROR(__xludf.DUMMYFUNCTION("""COMPUTED_VALUE"""),"Conference / Event")</f>
        <v>Conference / Event</v>
      </c>
      <c r="C153" s="1" t="str">
        <f>IFERROR(__xludf.DUMMYFUNCTION("""COMPUTED_VALUE"""),"Blog")</f>
        <v>Blog</v>
      </c>
      <c r="D153" s="1" t="str">
        <f>IFERROR(__xludf.DUMMYFUNCTION("""COMPUTED_VALUE"""),"Growing Your Business Through Content Marketing: Bram Warshafsky at QuickBooks Connect")</f>
        <v>Growing Your Business Through Content Marketing: Bram Warshafsky at QuickBooks Connect</v>
      </c>
      <c r="E153" s="12">
        <f>IFERROR(__xludf.DUMMYFUNCTION("""COMPUTED_VALUE"""),43446.425578703704)</f>
        <v>43446.42558</v>
      </c>
    </row>
    <row r="154">
      <c r="A154" s="7" t="str">
        <f>IFERROR(__xludf.DUMMYFUNCTION("""COMPUTED_VALUE"""),"https://www.method.me/blog/making-the-most-of-quickbooks-online-accountant-qb-hq-at-quickbooks-connect/")</f>
        <v>https://www.method.me/blog/making-the-most-of-quickbooks-online-accountant-qb-hq-at-quickbooks-connect/</v>
      </c>
      <c r="B154" s="1" t="str">
        <f>IFERROR(__xludf.DUMMYFUNCTION("""COMPUTED_VALUE"""),"Conference / Event")</f>
        <v>Conference / Event</v>
      </c>
      <c r="C154" s="1" t="str">
        <f>IFERROR(__xludf.DUMMYFUNCTION("""COMPUTED_VALUE"""),"Blog")</f>
        <v>Blog</v>
      </c>
      <c r="D154" s="1" t="str">
        <f>IFERROR(__xludf.DUMMYFUNCTION("""COMPUTED_VALUE"""),"Making the Most of QuickBooks Online Accountant: QB-HQ at QuickBooks Connect")</f>
        <v>Making the Most of QuickBooks Online Accountant: QB-HQ at QuickBooks Connect</v>
      </c>
      <c r="E154" s="12">
        <f>IFERROR(__xludf.DUMMYFUNCTION("""COMPUTED_VALUE"""),43451.34375)</f>
        <v>43451.34375</v>
      </c>
    </row>
    <row r="155">
      <c r="A155" s="7" t="str">
        <f>IFERROR(__xludf.DUMMYFUNCTION("""COMPUTED_VALUE"""),"https://www.method.me/blog/how-to-succeed-as-an-entrepreneur-bram-warshafsky-at-quickbooks-connect/")</f>
        <v>https://www.method.me/blog/how-to-succeed-as-an-entrepreneur-bram-warshafsky-at-quickbooks-connect/</v>
      </c>
      <c r="B155" s="1" t="str">
        <f>IFERROR(__xludf.DUMMYFUNCTION("""COMPUTED_VALUE"""),"Conference / Event")</f>
        <v>Conference / Event</v>
      </c>
      <c r="C155" s="1" t="str">
        <f>IFERROR(__xludf.DUMMYFUNCTION("""COMPUTED_VALUE"""),"Blog")</f>
        <v>Blog</v>
      </c>
      <c r="D155" s="1" t="str">
        <f>IFERROR(__xludf.DUMMYFUNCTION("""COMPUTED_VALUE"""),"How to Succeed as an Entrepreneur: Bram Warshafsky at QuickBooks Connect")</f>
        <v>How to Succeed as an Entrepreneur: Bram Warshafsky at QuickBooks Connect</v>
      </c>
      <c r="E155" s="12">
        <f>IFERROR(__xludf.DUMMYFUNCTION("""COMPUTED_VALUE"""),43454.34375)</f>
        <v>43454.34375</v>
      </c>
    </row>
    <row r="156">
      <c r="A156" s="7" t="str">
        <f>IFERROR(__xludf.DUMMYFUNCTION("""COMPUTED_VALUE"""),"https://www.method.me/blog/new-recurring-activities-in-method-crm/")</f>
        <v>https://www.method.me/blog/new-recurring-activities-in-method-crm/</v>
      </c>
      <c r="B156" s="1" t="str">
        <f>IFERROR(__xludf.DUMMYFUNCTION("""COMPUTED_VALUE"""),"Method - Product Updates")</f>
        <v>Method - Product Updates</v>
      </c>
      <c r="C156" s="1" t="str">
        <f>IFERROR(__xludf.DUMMYFUNCTION("""COMPUTED_VALUE"""),"Blog")</f>
        <v>Blog</v>
      </c>
      <c r="D156" s="1" t="str">
        <f>IFERROR(__xludf.DUMMYFUNCTION("""COMPUTED_VALUE"""),"New! Recurring Activities in Method:CRM")</f>
        <v>New! Recurring Activities in Method:CRM</v>
      </c>
      <c r="E156" s="12">
        <f>IFERROR(__xludf.DUMMYFUNCTION("""COMPUTED_VALUE"""),43454.52130787037)</f>
        <v>43454.52131</v>
      </c>
    </row>
    <row r="157">
      <c r="A157" s="7" t="str">
        <f>IFERROR(__xludf.DUMMYFUNCTION("""COMPUTED_VALUE"""),"https://www.method.me/blog/lead-generation-for-construction-companies/")</f>
        <v>https://www.method.me/blog/lead-generation-for-construction-companies/</v>
      </c>
      <c r="B157" s="1" t="str">
        <f>IFERROR(__xludf.DUMMYFUNCTION("""COMPUTED_VALUE"""),"Listicle - General")</f>
        <v>Listicle - General</v>
      </c>
      <c r="C157" s="1" t="str">
        <f>IFERROR(__xludf.DUMMYFUNCTION("""COMPUTED_VALUE"""),"Blog")</f>
        <v>Blog</v>
      </c>
      <c r="D157" s="1" t="str">
        <f>IFERROR(__xludf.DUMMYFUNCTION("""COMPUTED_VALUE"""),"6 Lead Generation Best Practices for Construction Companies")</f>
        <v>6 Lead Generation Best Practices for Construction Companies</v>
      </c>
      <c r="E157" s="12">
        <f>IFERROR(__xludf.DUMMYFUNCTION("""COMPUTED_VALUE"""),43467.34375)</f>
        <v>43467.34375</v>
      </c>
    </row>
    <row r="158">
      <c r="A158" s="7" t="str">
        <f>IFERROR(__xludf.DUMMYFUNCTION("""COMPUTED_VALUE"""),"https://www.method.me/blog/how-accounting-firms-can-use-crm-software-to-drive-business-growth/")</f>
        <v>https://www.method.me/blog/how-accounting-firms-can-use-crm-software-to-drive-business-growth/</v>
      </c>
      <c r="B158" s="1" t="str">
        <f>IFERROR(__xludf.DUMMYFUNCTION("""COMPUTED_VALUE"""),"CRM")</f>
        <v>CRM</v>
      </c>
      <c r="C158" s="1" t="str">
        <f>IFERROR(__xludf.DUMMYFUNCTION("""COMPUTED_VALUE"""),"Blog")</f>
        <v>Blog</v>
      </c>
      <c r="D158" s="1" t="str">
        <f>IFERROR(__xludf.DUMMYFUNCTION("""COMPUTED_VALUE"""),"How accounting firms can use CRM software to drive business growth")</f>
        <v>How accounting firms can use CRM software to drive business growth</v>
      </c>
      <c r="E158" s="12">
        <f>IFERROR(__xludf.DUMMYFUNCTION("""COMPUTED_VALUE"""),43472.34375)</f>
        <v>43472.34375</v>
      </c>
    </row>
    <row r="159">
      <c r="A159" s="7" t="str">
        <f>IFERROR(__xludf.DUMMYFUNCTION("""COMPUTED_VALUE"""),"https://www.method.me/blog/extending-the-life-of-your-construction-accounting-software/")</f>
        <v>https://www.method.me/blog/extending-the-life-of-your-construction-accounting-software/</v>
      </c>
      <c r="B159" s="1" t="str">
        <f>IFERROR(__xludf.DUMMYFUNCTION("""COMPUTED_VALUE"""),"Field services / Contractors")</f>
        <v>Field services / Contractors</v>
      </c>
      <c r="C159" s="1" t="str">
        <f>IFERROR(__xludf.DUMMYFUNCTION("""COMPUTED_VALUE"""),"Blog")</f>
        <v>Blog</v>
      </c>
      <c r="D159" s="1" t="str">
        <f>IFERROR(__xludf.DUMMYFUNCTION("""COMPUTED_VALUE"""),"Extending The Life of Your Construction Accounting Software")</f>
        <v>Extending The Life of Your Construction Accounting Software</v>
      </c>
      <c r="E159" s="12">
        <f>IFERROR(__xludf.DUMMYFUNCTION("""COMPUTED_VALUE"""),43473.39981481482)</f>
        <v>43473.39981</v>
      </c>
    </row>
    <row r="160">
      <c r="A160" s="7" t="str">
        <f>IFERROR(__xludf.DUMMYFUNCTION("""COMPUTED_VALUE"""),"https://www.method.me/blog/how-to-use-segmentation-for-successful-email-marketing/")</f>
        <v>https://www.method.me/blog/how-to-use-segmentation-for-successful-email-marketing/</v>
      </c>
      <c r="B160" s="1" t="str">
        <f>IFERROR(__xludf.DUMMYFUNCTION("""COMPUTED_VALUE"""),"General how-to")</f>
        <v>General how-to</v>
      </c>
      <c r="C160" s="1" t="str">
        <f>IFERROR(__xludf.DUMMYFUNCTION("""COMPUTED_VALUE"""),"Blog")</f>
        <v>Blog</v>
      </c>
      <c r="D160" s="1" t="str">
        <f>IFERROR(__xludf.DUMMYFUNCTION("""COMPUTED_VALUE"""),"How to Use Segmentation for Successful Email Marketing")</f>
        <v>How to Use Segmentation for Successful Email Marketing</v>
      </c>
      <c r="E160" s="12">
        <f>IFERROR(__xludf.DUMMYFUNCTION("""COMPUTED_VALUE"""),43474.34375)</f>
        <v>43474.34375</v>
      </c>
    </row>
    <row r="161">
      <c r="A161" s="7" t="str">
        <f>IFERROR(__xludf.DUMMYFUNCTION("""COMPUTED_VALUE"""),"https://www.method.me/blog/benefits-of-crm-software-for-independent-consultants/")</f>
        <v>https://www.method.me/blog/benefits-of-crm-software-for-independent-consultants/</v>
      </c>
      <c r="B161" s="1" t="str">
        <f>IFERROR(__xludf.DUMMYFUNCTION("""COMPUTED_VALUE"""),"Listicle - CRM")</f>
        <v>Listicle - CRM</v>
      </c>
      <c r="C161" s="1" t="str">
        <f>IFERROR(__xludf.DUMMYFUNCTION("""COMPUTED_VALUE"""),"Blog")</f>
        <v>Blog</v>
      </c>
      <c r="D161" s="1" t="str">
        <f>IFERROR(__xludf.DUMMYFUNCTION("""COMPUTED_VALUE"""),"Benefits of CRM Software for Independent Consultants")</f>
        <v>Benefits of CRM Software for Independent Consultants</v>
      </c>
      <c r="E161" s="12">
        <f>IFERROR(__xludf.DUMMYFUNCTION("""COMPUTED_VALUE"""),43476.34375)</f>
        <v>43476.34375</v>
      </c>
    </row>
    <row r="162">
      <c r="A162" s="7" t="str">
        <f>IFERROR(__xludf.DUMMYFUNCTION("""COMPUTED_VALUE"""),"https://www.method.me/blog/construction-project-success-crm-solution/")</f>
        <v>https://www.method.me/blog/construction-project-success-crm-solution/</v>
      </c>
      <c r="B162" s="1" t="str">
        <f>IFERROR(__xludf.DUMMYFUNCTION("""COMPUTED_VALUE"""),"CRM")</f>
        <v>CRM</v>
      </c>
      <c r="C162" s="1" t="str">
        <f>IFERROR(__xludf.DUMMYFUNCTION("""COMPUTED_VALUE"""),"Blog")</f>
        <v>Blog</v>
      </c>
      <c r="D162" s="1" t="str">
        <f>IFERROR(__xludf.DUMMYFUNCTION("""COMPUTED_VALUE"""),"Why CRM solutions increase construction project success")</f>
        <v>Why CRM solutions increase construction project success</v>
      </c>
      <c r="E162" s="12">
        <f>IFERROR(__xludf.DUMMYFUNCTION("""COMPUTED_VALUE"""),43480.34375)</f>
        <v>43480.34375</v>
      </c>
    </row>
    <row r="163">
      <c r="A163" s="7" t="str">
        <f>IFERROR(__xludf.DUMMYFUNCTION("""COMPUTED_VALUE"""),"https://www.method.me/blog/essential-features-of-a-nonprofit-crm/")</f>
        <v>https://www.method.me/blog/essential-features-of-a-nonprofit-crm/</v>
      </c>
      <c r="B163" s="1" t="str">
        <f>IFERROR(__xludf.DUMMYFUNCTION("""COMPUTED_VALUE"""),"CRM")</f>
        <v>CRM</v>
      </c>
      <c r="C163" s="1" t="str">
        <f>IFERROR(__xludf.DUMMYFUNCTION("""COMPUTED_VALUE"""),"Blog")</f>
        <v>Blog</v>
      </c>
      <c r="D163" s="1" t="str">
        <f>IFERROR(__xludf.DUMMYFUNCTION("""COMPUTED_VALUE"""),"Essential Features of a Nonprofit CRM")</f>
        <v>Essential Features of a Nonprofit CRM</v>
      </c>
      <c r="E163" s="12">
        <f>IFERROR(__xludf.DUMMYFUNCTION("""COMPUTED_VALUE"""),43481.34375)</f>
        <v>43481.34375</v>
      </c>
    </row>
    <row r="164">
      <c r="A164" s="7" t="str">
        <f>IFERROR(__xludf.DUMMYFUNCTION("""COMPUTED_VALUE"""),"https://www.method.me/blog/how-to-drive-efficiencies-in-the-modern-manufacturing-sector/")</f>
        <v>https://www.method.me/blog/how-to-drive-efficiencies-in-the-modern-manufacturing-sector/</v>
      </c>
      <c r="B164" s="1" t="str">
        <f>IFERROR(__xludf.DUMMYFUNCTION("""COMPUTED_VALUE"""),"General how-to")</f>
        <v>General how-to</v>
      </c>
      <c r="C164" s="1" t="str">
        <f>IFERROR(__xludf.DUMMYFUNCTION("""COMPUTED_VALUE"""),"Blog")</f>
        <v>Blog</v>
      </c>
      <c r="D164" s="1" t="str">
        <f>IFERROR(__xludf.DUMMYFUNCTION("""COMPUTED_VALUE"""),"How to Drive Efficiencies in the Modern Manufacturing Sector")</f>
        <v>How to Drive Efficiencies in the Modern Manufacturing Sector</v>
      </c>
      <c r="E164" s="12">
        <f>IFERROR(__xludf.DUMMYFUNCTION("""COMPUTED_VALUE"""),43482.34375)</f>
        <v>43482.34375</v>
      </c>
    </row>
    <row r="165">
      <c r="A165" s="7" t="str">
        <f>IFERROR(__xludf.DUMMYFUNCTION("""COMPUTED_VALUE"""),"https://www.method.me/blog/how-to-creatively-motivate-your-fundraisers/")</f>
        <v>https://www.method.me/blog/how-to-creatively-motivate-your-fundraisers/</v>
      </c>
      <c r="B165" s="1" t="str">
        <f>IFERROR(__xludf.DUMMYFUNCTION("""COMPUTED_VALUE"""),"General how-to")</f>
        <v>General how-to</v>
      </c>
      <c r="C165" s="1" t="str">
        <f>IFERROR(__xludf.DUMMYFUNCTION("""COMPUTED_VALUE"""),"Blog")</f>
        <v>Blog</v>
      </c>
      <c r="D165" s="1" t="str">
        <f>IFERROR(__xludf.DUMMYFUNCTION("""COMPUTED_VALUE"""),"How to Creatively Motivate Your Fundraisers")</f>
        <v>How to Creatively Motivate Your Fundraisers</v>
      </c>
      <c r="E165" s="12">
        <f>IFERROR(__xludf.DUMMYFUNCTION("""COMPUTED_VALUE"""),43487.34375)</f>
        <v>43487.34375</v>
      </c>
    </row>
    <row r="166">
      <c r="A166" s="7" t="str">
        <f>IFERROR(__xludf.DUMMYFUNCTION("""COMPUTED_VALUE"""),"https://www.method.me/blog/uber-and-airbnb-lessons-from-sharing-economy-success-stories/")</f>
        <v>https://www.method.me/blog/uber-and-airbnb-lessons-from-sharing-economy-success-stories/</v>
      </c>
      <c r="B166" s="1" t="str">
        <f>IFERROR(__xludf.DUMMYFUNCTION("""COMPUTED_VALUE"""),"Misc. info")</f>
        <v>Misc. info</v>
      </c>
      <c r="C166" s="1" t="str">
        <f>IFERROR(__xludf.DUMMYFUNCTION("""COMPUTED_VALUE"""),"Blog")</f>
        <v>Blog</v>
      </c>
      <c r="D166" s="1" t="str">
        <f>IFERROR(__xludf.DUMMYFUNCTION("""COMPUTED_VALUE"""),"Uber and Airbnb: Lessons from Sharing Economy Success Stories")</f>
        <v>Uber and Airbnb: Lessons from Sharing Economy Success Stories</v>
      </c>
      <c r="E166" s="12">
        <f>IFERROR(__xludf.DUMMYFUNCTION("""COMPUTED_VALUE"""),43493.34375)</f>
        <v>43493.34375</v>
      </c>
    </row>
    <row r="167">
      <c r="A167" s="7" t="str">
        <f>IFERROR(__xludf.DUMMYFUNCTION("""COMPUTED_VALUE"""),"https://www.method.me/blog/3-brand-storytelling-lessons-for-every-business/")</f>
        <v>https://www.method.me/blog/3-brand-storytelling-lessons-for-every-business/</v>
      </c>
      <c r="B167" s="1" t="str">
        <f>IFERROR(__xludf.DUMMYFUNCTION("""COMPUTED_VALUE"""),"Listicle - General")</f>
        <v>Listicle - General</v>
      </c>
      <c r="C167" s="1" t="str">
        <f>IFERROR(__xludf.DUMMYFUNCTION("""COMPUTED_VALUE"""),"Blog")</f>
        <v>Blog</v>
      </c>
      <c r="D167" s="1" t="str">
        <f>IFERROR(__xludf.DUMMYFUNCTION("""COMPUTED_VALUE"""),"3 Brand Storytelling Lessons for Every Business")</f>
        <v>3 Brand Storytelling Lessons for Every Business</v>
      </c>
      <c r="E167" s="12">
        <f>IFERROR(__xludf.DUMMYFUNCTION("""COMPUTED_VALUE"""),43494.43090277778)</f>
        <v>43494.4309</v>
      </c>
    </row>
    <row r="168">
      <c r="A168" s="7" t="str">
        <f>IFERROR(__xludf.DUMMYFUNCTION("""COMPUTED_VALUE"""),"https://www.method.me/blog/how-to-build-a-successful-consulting-practice/")</f>
        <v>https://www.method.me/blog/how-to-build-a-successful-consulting-practice/</v>
      </c>
      <c r="B168" s="1" t="str">
        <f>IFERROR(__xludf.DUMMYFUNCTION("""COMPUTED_VALUE"""),"General how-to")</f>
        <v>General how-to</v>
      </c>
      <c r="C168" s="1" t="str">
        <f>IFERROR(__xludf.DUMMYFUNCTION("""COMPUTED_VALUE"""),"Blog")</f>
        <v>Blog</v>
      </c>
      <c r="D168" s="1" t="str">
        <f>IFERROR(__xludf.DUMMYFUNCTION("""COMPUTED_VALUE"""),"How to Build a Successful Consulting Practice")</f>
        <v>How to Build a Successful Consulting Practice</v>
      </c>
      <c r="E168" s="12">
        <f>IFERROR(__xludf.DUMMYFUNCTION("""COMPUTED_VALUE"""),43495.34375)</f>
        <v>43495.34375</v>
      </c>
    </row>
    <row r="169">
      <c r="A169" s="7" t="str">
        <f>IFERROR(__xludf.DUMMYFUNCTION("""COMPUTED_VALUE"""),"https://www.method.me/blog/big-impact-on-a-small-budget-social-media-tips-for-nonprofits/")</f>
        <v>https://www.method.me/blog/big-impact-on-a-small-budget-social-media-tips-for-nonprofits/</v>
      </c>
      <c r="B169" s="1" t="str">
        <f>IFERROR(__xludf.DUMMYFUNCTION("""COMPUTED_VALUE"""),"Small business / Nonprofit")</f>
        <v>Small business / Nonprofit</v>
      </c>
      <c r="C169" s="1" t="str">
        <f>IFERROR(__xludf.DUMMYFUNCTION("""COMPUTED_VALUE"""),"Blog")</f>
        <v>Blog</v>
      </c>
      <c r="D169" s="1" t="str">
        <f>IFERROR(__xludf.DUMMYFUNCTION("""COMPUTED_VALUE"""),"Big Impact on a Small Budget: Social Media Tips for Nonprofits")</f>
        <v>Big Impact on a Small Budget: Social Media Tips for Nonprofits</v>
      </c>
      <c r="E169" s="12">
        <f>IFERROR(__xludf.DUMMYFUNCTION("""COMPUTED_VALUE"""),43497.34375)</f>
        <v>43497.34375</v>
      </c>
    </row>
    <row r="170">
      <c r="A170" s="7" t="str">
        <f>IFERROR(__xludf.DUMMYFUNCTION("""COMPUTED_VALUE"""),"https://www.method.me/blog/6-questions-to-ask-when-selecting-a-crm/")</f>
        <v>https://www.method.me/blog/6-questions-to-ask-when-selecting-a-crm/</v>
      </c>
      <c r="B170" s="1" t="str">
        <f>IFERROR(__xludf.DUMMYFUNCTION("""COMPUTED_VALUE"""),"Listicle - CRM")</f>
        <v>Listicle - CRM</v>
      </c>
      <c r="C170" s="1" t="str">
        <f>IFERROR(__xludf.DUMMYFUNCTION("""COMPUTED_VALUE"""),"Blog")</f>
        <v>Blog</v>
      </c>
      <c r="D170" s="1" t="str">
        <f>IFERROR(__xludf.DUMMYFUNCTION("""COMPUTED_VALUE"""),"6 Questions to Ask When Selecting a CRM")</f>
        <v>6 Questions to Ask When Selecting a CRM</v>
      </c>
      <c r="E170" s="12">
        <f>IFERROR(__xludf.DUMMYFUNCTION("""COMPUTED_VALUE"""),43500.34375)</f>
        <v>43500.34375</v>
      </c>
    </row>
    <row r="171">
      <c r="A171" s="7" t="str">
        <f>IFERROR(__xludf.DUMMYFUNCTION("""COMPUTED_VALUE"""),"https://www.method.me/blog/what-your-nonprofit-board-should-know-about-crm-software/")</f>
        <v>https://www.method.me/blog/what-your-nonprofit-board-should-know-about-crm-software/</v>
      </c>
      <c r="B171" s="1" t="str">
        <f>IFERROR(__xludf.DUMMYFUNCTION("""COMPUTED_VALUE"""),"CRM")</f>
        <v>CRM</v>
      </c>
      <c r="C171" s="1" t="str">
        <f>IFERROR(__xludf.DUMMYFUNCTION("""COMPUTED_VALUE"""),"Blog")</f>
        <v>Blog</v>
      </c>
      <c r="D171" s="1" t="str">
        <f>IFERROR(__xludf.DUMMYFUNCTION("""COMPUTED_VALUE"""),"What Your Nonprofit Board Should Know About CRM Software")</f>
        <v>What Your Nonprofit Board Should Know About CRM Software</v>
      </c>
      <c r="E171" s="12">
        <f>IFERROR(__xludf.DUMMYFUNCTION("""COMPUTED_VALUE"""),43501.70945601852)</f>
        <v>43501.70946</v>
      </c>
    </row>
    <row r="172">
      <c r="A172" s="7" t="str">
        <f>IFERROR(__xludf.DUMMYFUNCTION("""COMPUTED_VALUE"""),"https://www.method.me/blog/accounting-trends-international-business/")</f>
        <v>https://www.method.me/blog/accounting-trends-international-business/</v>
      </c>
      <c r="B172" s="1" t="str">
        <f>IFERROR(__xludf.DUMMYFUNCTION("""COMPUTED_VALUE"""),"Listicle - General")</f>
        <v>Listicle - General</v>
      </c>
      <c r="C172" s="1" t="str">
        <f>IFERROR(__xludf.DUMMYFUNCTION("""COMPUTED_VALUE"""),"Blog")</f>
        <v>Blog</v>
      </c>
      <c r="D172" s="1" t="str">
        <f>IFERROR(__xludf.DUMMYFUNCTION("""COMPUTED_VALUE"""),"Business Going Global: 5 International Business Trends for Accountants to Watch")</f>
        <v>Business Going Global: 5 International Business Trends for Accountants to Watch</v>
      </c>
      <c r="E172" s="12">
        <f>IFERROR(__xludf.DUMMYFUNCTION("""COMPUTED_VALUE"""),43502.60077546296)</f>
        <v>43502.60078</v>
      </c>
    </row>
    <row r="173">
      <c r="A173" s="7" t="str">
        <f>IFERROR(__xludf.DUMMYFUNCTION("""COMPUTED_VALUE"""),"https://www.method.me/blog/nonprofit-peer-to-peer-fundraising-a-guide-in-10-questions/")</f>
        <v>https://www.method.me/blog/nonprofit-peer-to-peer-fundraising-a-guide-in-10-questions/</v>
      </c>
      <c r="B173" s="1" t="str">
        <f>IFERROR(__xludf.DUMMYFUNCTION("""COMPUTED_VALUE"""),"Small business / Nonprofit")</f>
        <v>Small business / Nonprofit</v>
      </c>
      <c r="C173" s="1" t="str">
        <f>IFERROR(__xludf.DUMMYFUNCTION("""COMPUTED_VALUE"""),"Blog")</f>
        <v>Blog</v>
      </c>
      <c r="D173" s="1" t="str">
        <f>IFERROR(__xludf.DUMMYFUNCTION("""COMPUTED_VALUE"""),"Nonprofit Peer-to-Peer Fundraising: A Guide in 10 Questions")</f>
        <v>Nonprofit Peer-to-Peer Fundraising: A Guide in 10 Questions</v>
      </c>
      <c r="E173" s="12">
        <f>IFERROR(__xludf.DUMMYFUNCTION("""COMPUTED_VALUE"""),43503.34375)</f>
        <v>43503.34375</v>
      </c>
    </row>
    <row r="174">
      <c r="A174" s="7" t="str">
        <f>IFERROR(__xludf.DUMMYFUNCTION("""COMPUTED_VALUE"""),"https://www.method.me/blog/how-to-use-your-crm-to-optimize-influencer-marketing/")</f>
        <v>https://www.method.me/blog/how-to-use-your-crm-to-optimize-influencer-marketing/</v>
      </c>
      <c r="B174" s="1" t="str">
        <f>IFERROR(__xludf.DUMMYFUNCTION("""COMPUTED_VALUE"""),"CRM")</f>
        <v>CRM</v>
      </c>
      <c r="C174" s="1" t="str">
        <f>IFERROR(__xludf.DUMMYFUNCTION("""COMPUTED_VALUE"""),"Blog")</f>
        <v>Blog</v>
      </c>
      <c r="D174" s="1" t="str">
        <f>IFERROR(__xludf.DUMMYFUNCTION("""COMPUTED_VALUE"""),"How to get the most out of a CRM for influencer marketing")</f>
        <v>How to get the most out of a CRM for influencer marketing</v>
      </c>
      <c r="E174" s="12">
        <f>IFERROR(__xludf.DUMMYFUNCTION("""COMPUTED_VALUE"""),43504.40070601852)</f>
        <v>43504.40071</v>
      </c>
    </row>
    <row r="175">
      <c r="A175" s="7" t="str">
        <f>IFERROR(__xludf.DUMMYFUNCTION("""COMPUTED_VALUE"""),"https://www.method.me/blog/disruption-in-the-consulting-industry-challenges-and-changes-in-a-transforming-sector/")</f>
        <v>https://www.method.me/blog/disruption-in-the-consulting-industry-challenges-and-changes-in-a-transforming-sector/</v>
      </c>
      <c r="B175" s="1" t="str">
        <f>IFERROR(__xludf.DUMMYFUNCTION("""COMPUTED_VALUE"""),"Misc. info")</f>
        <v>Misc. info</v>
      </c>
      <c r="C175" s="1" t="str">
        <f>IFERROR(__xludf.DUMMYFUNCTION("""COMPUTED_VALUE"""),"Blog")</f>
        <v>Blog</v>
      </c>
      <c r="D175" s="1" t="str">
        <f>IFERROR(__xludf.DUMMYFUNCTION("""COMPUTED_VALUE"""),"Disruption in the Consulting Industry: Challenges and Changes in a Transforming Sector")</f>
        <v>Disruption in the Consulting Industry: Challenges and Changes in a Transforming Sector</v>
      </c>
      <c r="E175" s="12">
        <f>IFERROR(__xludf.DUMMYFUNCTION("""COMPUTED_VALUE"""),43507.404386574075)</f>
        <v>43507.40439</v>
      </c>
    </row>
    <row r="176">
      <c r="A176" s="7" t="str">
        <f>IFERROR(__xludf.DUMMYFUNCTION("""COMPUTED_VALUE"""),"https://www.method.me/blog/how-nonprofits-can-use-crm-software-to-develop-an-effective-marketing-strategy/")</f>
        <v>https://www.method.me/blog/how-nonprofits-can-use-crm-software-to-develop-an-effective-marketing-strategy/</v>
      </c>
      <c r="B176" s="1" t="str">
        <f>IFERROR(__xludf.DUMMYFUNCTION("""COMPUTED_VALUE"""),"CRM")</f>
        <v>CRM</v>
      </c>
      <c r="C176" s="1" t="str">
        <f>IFERROR(__xludf.DUMMYFUNCTION("""COMPUTED_VALUE"""),"Blog")</f>
        <v>Blog</v>
      </c>
      <c r="D176" s="1" t="str">
        <f>IFERROR(__xludf.DUMMYFUNCTION("""COMPUTED_VALUE"""),"How Nonprofits Can Use CRM Software to Develop an Effective Marketing Strategy")</f>
        <v>How Nonprofits Can Use CRM Software to Develop an Effective Marketing Strategy</v>
      </c>
      <c r="E176" s="12">
        <f>IFERROR(__xludf.DUMMYFUNCTION("""COMPUTED_VALUE"""),43508.3437962963)</f>
        <v>43508.3438</v>
      </c>
    </row>
    <row r="177">
      <c r="A177" s="7" t="str">
        <f>IFERROR(__xludf.DUMMYFUNCTION("""COMPUTED_VALUE"""),"https://www.method.me/blog/how-to-ensure-crm-initiatives-drive-strong-roi/")</f>
        <v>https://www.method.me/blog/how-to-ensure-crm-initiatives-drive-strong-roi/</v>
      </c>
      <c r="B177" s="1" t="str">
        <f>IFERROR(__xludf.DUMMYFUNCTION("""COMPUTED_VALUE"""),"CRM")</f>
        <v>CRM</v>
      </c>
      <c r="C177" s="1" t="str">
        <f>IFERROR(__xludf.DUMMYFUNCTION("""COMPUTED_VALUE"""),"Blog")</f>
        <v>Blog</v>
      </c>
      <c r="D177" s="1" t="str">
        <f>IFERROR(__xludf.DUMMYFUNCTION("""COMPUTED_VALUE"""),"How to Ensure CRM Initiatives Drive Strong ROI")</f>
        <v>How to Ensure CRM Initiatives Drive Strong ROI</v>
      </c>
      <c r="E177" s="12">
        <f>IFERROR(__xludf.DUMMYFUNCTION("""COMPUTED_VALUE"""),43509.479050925926)</f>
        <v>43509.47905</v>
      </c>
    </row>
    <row r="178">
      <c r="A178" s="7" t="str">
        <f>IFERROR(__xludf.DUMMYFUNCTION("""COMPUTED_VALUE"""),"https://www.method.me/blog/why-client-experience-is-key-for-consultants/")</f>
        <v>https://www.method.me/blog/why-client-experience-is-key-for-consultants/</v>
      </c>
      <c r="B178" s="1" t="str">
        <f>IFERROR(__xludf.DUMMYFUNCTION("""COMPUTED_VALUE"""),"Misc. info")</f>
        <v>Misc. info</v>
      </c>
      <c r="C178" s="1" t="str">
        <f>IFERROR(__xludf.DUMMYFUNCTION("""COMPUTED_VALUE"""),"Blog")</f>
        <v>Blog</v>
      </c>
      <c r="D178" s="1" t="str">
        <f>IFERROR(__xludf.DUMMYFUNCTION("""COMPUTED_VALUE"""),"Why Client Experience is a Key Differentiator for Consultants")</f>
        <v>Why Client Experience is a Key Differentiator for Consultants</v>
      </c>
      <c r="E178" s="12">
        <f>IFERROR(__xludf.DUMMYFUNCTION("""COMPUTED_VALUE"""),43515.34375)</f>
        <v>43515.34375</v>
      </c>
    </row>
    <row r="179">
      <c r="A179" s="7" t="str">
        <f>IFERROR(__xludf.DUMMYFUNCTION("""COMPUTED_VALUE"""),"https://www.method.me/blog/6-steps-for-successful-crm-implementation/")</f>
        <v>https://www.method.me/blog/6-steps-for-successful-crm-implementation/</v>
      </c>
      <c r="B179" s="1" t="str">
        <f>IFERROR(__xludf.DUMMYFUNCTION("""COMPUTED_VALUE"""),"Listicle - CRM")</f>
        <v>Listicle - CRM</v>
      </c>
      <c r="C179" s="1" t="str">
        <f>IFERROR(__xludf.DUMMYFUNCTION("""COMPUTED_VALUE"""),"Blog")</f>
        <v>Blog</v>
      </c>
      <c r="D179" s="1" t="str">
        <f>IFERROR(__xludf.DUMMYFUNCTION("""COMPUTED_VALUE"""),"6 Steps for Successful CRM Implementation")</f>
        <v>6 Steps for Successful CRM Implementation</v>
      </c>
      <c r="E179" s="12">
        <f>IFERROR(__xludf.DUMMYFUNCTION("""COMPUTED_VALUE"""),43517.34375)</f>
        <v>43517.34375</v>
      </c>
    </row>
    <row r="180">
      <c r="A180" s="7" t="str">
        <f>IFERROR(__xludf.DUMMYFUNCTION("""COMPUTED_VALUE"""),"https://www.method.me/blog/how-digital-transformation-is-driving-business-change/")</f>
        <v>https://www.method.me/blog/how-digital-transformation-is-driving-business-change/</v>
      </c>
      <c r="B180" s="1" t="str">
        <f>IFERROR(__xludf.DUMMYFUNCTION("""COMPUTED_VALUE"""),"Misc. info")</f>
        <v>Misc. info</v>
      </c>
      <c r="C180" s="1" t="str">
        <f>IFERROR(__xludf.DUMMYFUNCTION("""COMPUTED_VALUE"""),"Blog")</f>
        <v>Blog</v>
      </c>
      <c r="D180" s="1" t="str">
        <f>IFERROR(__xludf.DUMMYFUNCTION("""COMPUTED_VALUE"""),"How Digital Transformation is Driving Business Change")</f>
        <v>How Digital Transformation is Driving Business Change</v>
      </c>
      <c r="E180" s="12">
        <f>IFERROR(__xludf.DUMMYFUNCTION("""COMPUTED_VALUE"""),43521.34375)</f>
        <v>43521.34375</v>
      </c>
    </row>
    <row r="181">
      <c r="A181" s="7" t="str">
        <f>IFERROR(__xludf.DUMMYFUNCTION("""COMPUTED_VALUE"""),"https://www.method.me/blog/how-accountants-provide-value-added-services/")</f>
        <v>https://www.method.me/blog/how-accountants-provide-value-added-services/</v>
      </c>
      <c r="B181" s="1" t="str">
        <f>IFERROR(__xludf.DUMMYFUNCTION("""COMPUTED_VALUE"""),"Accounting")</f>
        <v>Accounting</v>
      </c>
      <c r="C181" s="1" t="str">
        <f>IFERROR(__xludf.DUMMYFUNCTION("""COMPUTED_VALUE"""),"Blog")</f>
        <v>Blog</v>
      </c>
      <c r="D181" s="1" t="str">
        <f>IFERROR(__xludf.DUMMYFUNCTION("""COMPUTED_VALUE"""),"More Than Just Number-Crunchers: How Accountants Provide Value-Added Services")</f>
        <v>More Than Just Number-Crunchers: How Accountants Provide Value-Added Services</v>
      </c>
      <c r="E181" s="12">
        <f>IFERROR(__xludf.DUMMYFUNCTION("""COMPUTED_VALUE"""),43523.34375)</f>
        <v>43523.34375</v>
      </c>
    </row>
    <row r="182">
      <c r="A182" s="7" t="str">
        <f>IFERROR(__xludf.DUMMYFUNCTION("""COMPUTED_VALUE"""),"https://www.method.me/blog/understanding-the-power-of-big-data-in-business/")</f>
        <v>https://www.method.me/blog/understanding-the-power-of-big-data-in-business/</v>
      </c>
      <c r="B182" s="1" t="str">
        <f>IFERROR(__xludf.DUMMYFUNCTION("""COMPUTED_VALUE"""),"Misc. info")</f>
        <v>Misc. info</v>
      </c>
      <c r="C182" s="1" t="str">
        <f>IFERROR(__xludf.DUMMYFUNCTION("""COMPUTED_VALUE"""),"Blog")</f>
        <v>Blog</v>
      </c>
      <c r="D182" s="1" t="str">
        <f>IFERROR(__xludf.DUMMYFUNCTION("""COMPUTED_VALUE"""),"Understanding the Power of Big Data in Business")</f>
        <v>Understanding the Power of Big Data in Business</v>
      </c>
      <c r="E182" s="12">
        <f>IFERROR(__xludf.DUMMYFUNCTION("""COMPUTED_VALUE"""),43525.34390046296)</f>
        <v>43525.3439</v>
      </c>
    </row>
    <row r="183">
      <c r="A183" s="7" t="str">
        <f>IFERROR(__xludf.DUMMYFUNCTION("""COMPUTED_VALUE"""),"https://www.method.me/blog/sales-team-crm-software-benefits/")</f>
        <v>https://www.method.me/blog/sales-team-crm-software-benefits/</v>
      </c>
      <c r="B183" s="1" t="str">
        <f>IFERROR(__xludf.DUMMYFUNCTION("""COMPUTED_VALUE"""),"Listicle - CRM")</f>
        <v>Listicle - CRM</v>
      </c>
      <c r="C183" s="1" t="str">
        <f>IFERROR(__xludf.DUMMYFUNCTION("""COMPUTED_VALUE"""),"Blog")</f>
        <v>Blog</v>
      </c>
      <c r="D183" s="1" t="str">
        <f>IFERROR(__xludf.DUMMYFUNCTION("""COMPUTED_VALUE"""),"5 Benefits of CRM Software for Sales Teams")</f>
        <v>5 Benefits of CRM Software for Sales Teams</v>
      </c>
      <c r="E183" s="12">
        <f>IFERROR(__xludf.DUMMYFUNCTION("""COMPUTED_VALUE"""),43528.34375)</f>
        <v>43528.34375</v>
      </c>
    </row>
    <row r="184">
      <c r="A184" s="7" t="str">
        <f>IFERROR(__xludf.DUMMYFUNCTION("""COMPUTED_VALUE"""),"https://www.method.me/blog/avoid-construction-client-miscommunications/")</f>
        <v>https://www.method.me/blog/avoid-construction-client-miscommunications/</v>
      </c>
      <c r="B184" s="1" t="str">
        <f>IFERROR(__xludf.DUMMYFUNCTION("""COMPUTED_VALUE"""),"Listicle - General")</f>
        <v>Listicle - General</v>
      </c>
      <c r="C184" s="1" t="str">
        <f>IFERROR(__xludf.DUMMYFUNCTION("""COMPUTED_VALUE"""),"Blog")</f>
        <v>Blog</v>
      </c>
      <c r="D184" s="1" t="str">
        <f>IFERROR(__xludf.DUMMYFUNCTION("""COMPUTED_VALUE"""),"9 Ways to Avoid Miscommunications with Construction Clients")</f>
        <v>9 Ways to Avoid Miscommunications with Construction Clients</v>
      </c>
      <c r="E184" s="12">
        <f>IFERROR(__xludf.DUMMYFUNCTION("""COMPUTED_VALUE"""),43530.34375)</f>
        <v>43530.34375</v>
      </c>
    </row>
    <row r="185">
      <c r="A185" s="7" t="str">
        <f>IFERROR(__xludf.DUMMYFUNCTION("""COMPUTED_VALUE"""),"https://www.method.me/blog/4-lessons-from-faang-companies/")</f>
        <v>https://www.method.me/blog/4-lessons-from-faang-companies/</v>
      </c>
      <c r="B185" s="1" t="str">
        <f>IFERROR(__xludf.DUMMYFUNCTION("""COMPUTED_VALUE"""),"Listicle - General")</f>
        <v>Listicle - General</v>
      </c>
      <c r="C185" s="1" t="str">
        <f>IFERROR(__xludf.DUMMYFUNCTION("""COMPUTED_VALUE"""),"Blog")</f>
        <v>Blog</v>
      </c>
      <c r="D185" s="1" t="str">
        <f>IFERROR(__xludf.DUMMYFUNCTION("""COMPUTED_VALUE"""),"4 lessons to learn from the FAANG companies")</f>
        <v>4 lessons to learn from the FAANG companies</v>
      </c>
      <c r="E185" s="12">
        <f>IFERROR(__xludf.DUMMYFUNCTION("""COMPUTED_VALUE"""),43532.34375)</f>
        <v>43532.34375</v>
      </c>
    </row>
    <row r="186">
      <c r="A186" s="7" t="str">
        <f>IFERROR(__xludf.DUMMYFUNCTION("""COMPUTED_VALUE"""),"https://www.method.me/blog/4-benefits-of-a-360-degree-customer-view/")</f>
        <v>https://www.method.me/blog/4-benefits-of-a-360-degree-customer-view/</v>
      </c>
      <c r="B186" s="1" t="str">
        <f>IFERROR(__xludf.DUMMYFUNCTION("""COMPUTED_VALUE"""),"Listicle - General")</f>
        <v>Listicle - General</v>
      </c>
      <c r="C186" s="1" t="str">
        <f>IFERROR(__xludf.DUMMYFUNCTION("""COMPUTED_VALUE"""),"Blog")</f>
        <v>Blog</v>
      </c>
      <c r="D186" s="1" t="str">
        <f>IFERROR(__xludf.DUMMYFUNCTION("""COMPUTED_VALUE"""),"4 Benefits of a 360-Degree Customer View")</f>
        <v>4 Benefits of a 360-Degree Customer View</v>
      </c>
      <c r="E186" s="12">
        <f>IFERROR(__xludf.DUMMYFUNCTION("""COMPUTED_VALUE"""),43536.34375)</f>
        <v>43536.34375</v>
      </c>
    </row>
    <row r="187">
      <c r="A187" s="7" t="str">
        <f>IFERROR(__xludf.DUMMYFUNCTION("""COMPUTED_VALUE"""),"https://www.method.me/blog/4-business-benefits-of-enhanced-mobility/")</f>
        <v>https://www.method.me/blog/4-business-benefits-of-enhanced-mobility/</v>
      </c>
      <c r="B187" s="1" t="str">
        <f>IFERROR(__xludf.DUMMYFUNCTION("""COMPUTED_VALUE"""),"Listicle - General")</f>
        <v>Listicle - General</v>
      </c>
      <c r="C187" s="1" t="str">
        <f>IFERROR(__xludf.DUMMYFUNCTION("""COMPUTED_VALUE"""),"Blog")</f>
        <v>Blog</v>
      </c>
      <c r="D187" s="1" t="str">
        <f>IFERROR(__xludf.DUMMYFUNCTION("""COMPUTED_VALUE"""),"4 Business Benefits of Enhanced Mobility")</f>
        <v>4 Business Benefits of Enhanced Mobility</v>
      </c>
      <c r="E187" s="12">
        <f>IFERROR(__xludf.DUMMYFUNCTION("""COMPUTED_VALUE"""),43542.34375)</f>
        <v>43542.34375</v>
      </c>
    </row>
    <row r="188">
      <c r="A188" s="7" t="str">
        <f>IFERROR(__xludf.DUMMYFUNCTION("""COMPUTED_VALUE"""),"https://www.method.me/blog/leveraging-cloud-technology-in-the-construction-industry/")</f>
        <v>https://www.method.me/blog/leveraging-cloud-technology-in-the-construction-industry/</v>
      </c>
      <c r="B188" s="1" t="str">
        <f>IFERROR(__xludf.DUMMYFUNCTION("""COMPUTED_VALUE"""),"Field services / Contractors")</f>
        <v>Field services / Contractors</v>
      </c>
      <c r="C188" s="1" t="str">
        <f>IFERROR(__xludf.DUMMYFUNCTION("""COMPUTED_VALUE"""),"Blog")</f>
        <v>Blog</v>
      </c>
      <c r="D188" s="1" t="str">
        <f>IFERROR(__xludf.DUMMYFUNCTION("""COMPUTED_VALUE"""),"Leveraging Cloud Technology in the Construction Industry")</f>
        <v>Leveraging Cloud Technology in the Construction Industry</v>
      </c>
      <c r="E188" s="12">
        <f>IFERROR(__xludf.DUMMYFUNCTION("""COMPUTED_VALUE"""),43546.34375)</f>
        <v>43546.34375</v>
      </c>
    </row>
    <row r="189">
      <c r="A189" s="7" t="str">
        <f>IFERROR(__xludf.DUMMYFUNCTION("""COMPUTED_VALUE"""),"https://www.method.me/blog/5-best-practices-for-running-a-nonprofit/")</f>
        <v>https://www.method.me/blog/5-best-practices-for-running-a-nonprofit/</v>
      </c>
      <c r="B189" s="1" t="str">
        <f>IFERROR(__xludf.DUMMYFUNCTION("""COMPUTED_VALUE"""),"Listicle - General")</f>
        <v>Listicle - General</v>
      </c>
      <c r="C189" s="1" t="str">
        <f>IFERROR(__xludf.DUMMYFUNCTION("""COMPUTED_VALUE"""),"Blog")</f>
        <v>Blog</v>
      </c>
      <c r="D189" s="1" t="str">
        <f>IFERROR(__xludf.DUMMYFUNCTION("""COMPUTED_VALUE"""),"5 Best Practices for Running a Nonprofit")</f>
        <v>5 Best Practices for Running a Nonprofit</v>
      </c>
      <c r="E189" s="12">
        <f>IFERROR(__xludf.DUMMYFUNCTION("""COMPUTED_VALUE"""),43553.34375)</f>
        <v>43553.34375</v>
      </c>
    </row>
    <row r="190">
      <c r="A190" s="7" t="str">
        <f>IFERROR(__xludf.DUMMYFUNCTION("""COMPUTED_VALUE"""),"https://www.method.me/blog/changes-faced-by-small-businesses-in-2019/")</f>
        <v>https://www.method.me/blog/changes-faced-by-small-businesses-in-2019/</v>
      </c>
      <c r="B190" s="1" t="str">
        <f>IFERROR(__xludf.DUMMYFUNCTION("""COMPUTED_VALUE"""),"Small business / Nonprofit")</f>
        <v>Small business / Nonprofit</v>
      </c>
      <c r="C190" s="1" t="str">
        <f>IFERROR(__xludf.DUMMYFUNCTION("""COMPUTED_VALUE"""),"Blog")</f>
        <v>Blog</v>
      </c>
      <c r="D190" s="1" t="str">
        <f>IFERROR(__xludf.DUMMYFUNCTION("""COMPUTED_VALUE"""),"Changes Faced by Small Businesses in 2019")</f>
        <v>Changes Faced by Small Businesses in 2019</v>
      </c>
      <c r="E190" s="12">
        <f>IFERROR(__xludf.DUMMYFUNCTION("""COMPUTED_VALUE"""),43557.38806712963)</f>
        <v>43557.38807</v>
      </c>
    </row>
    <row r="191">
      <c r="A191" s="7" t="str">
        <f>IFERROR(__xludf.DUMMYFUNCTION("""COMPUTED_VALUE"""),"https://www.method.me/blog/the-smart-manufacturing-transformation/")</f>
        <v>https://www.method.me/blog/the-smart-manufacturing-transformation/</v>
      </c>
      <c r="B191" s="1" t="str">
        <f>IFERROR(__xludf.DUMMYFUNCTION("""COMPUTED_VALUE"""),"MWD")</f>
        <v>MWD</v>
      </c>
      <c r="C191" s="1" t="str">
        <f>IFERROR(__xludf.DUMMYFUNCTION("""COMPUTED_VALUE"""),"Blog")</f>
        <v>Blog</v>
      </c>
      <c r="D191" s="1" t="str">
        <f>IFERROR(__xludf.DUMMYFUNCTION("""COMPUTED_VALUE"""),"The smart manufacturing transformation")</f>
        <v>The smart manufacturing transformation</v>
      </c>
      <c r="E191" s="12">
        <f>IFERROR(__xludf.DUMMYFUNCTION("""COMPUTED_VALUE"""),43559.34375)</f>
        <v>43559.34375</v>
      </c>
    </row>
    <row r="192">
      <c r="A192" s="7" t="str">
        <f>IFERROR(__xludf.DUMMYFUNCTION("""COMPUTED_VALUE"""),"https://www.method.me/blog/4-tips-to-develop-a-strong-leadership-vision/")</f>
        <v>https://www.method.me/blog/4-tips-to-develop-a-strong-leadership-vision/</v>
      </c>
      <c r="B192" s="1" t="str">
        <f>IFERROR(__xludf.DUMMYFUNCTION("""COMPUTED_VALUE"""),"Listicle - General")</f>
        <v>Listicle - General</v>
      </c>
      <c r="C192" s="1" t="str">
        <f>IFERROR(__xludf.DUMMYFUNCTION("""COMPUTED_VALUE"""),"Blog")</f>
        <v>Blog</v>
      </c>
      <c r="D192" s="1" t="str">
        <f>IFERROR(__xludf.DUMMYFUNCTION("""COMPUTED_VALUE"""),"4 tips to develop a strong leadership vision")</f>
        <v>4 tips to develop a strong leadership vision</v>
      </c>
      <c r="E192" s="12">
        <f>IFERROR(__xludf.DUMMYFUNCTION("""COMPUTED_VALUE"""),43564.34375)</f>
        <v>43564.34375</v>
      </c>
    </row>
    <row r="193">
      <c r="A193" s="7" t="str">
        <f>IFERROR(__xludf.DUMMYFUNCTION("""COMPUTED_VALUE"""),"https://www.method.me/blog/6-insights-on-the-construction-industry-in-2019/")</f>
        <v>https://www.method.me/blog/6-insights-on-the-construction-industry-in-2019/</v>
      </c>
      <c r="B193" s="1" t="str">
        <f>IFERROR(__xludf.DUMMYFUNCTION("""COMPUTED_VALUE"""),"Listicle - General")</f>
        <v>Listicle - General</v>
      </c>
      <c r="C193" s="1" t="str">
        <f>IFERROR(__xludf.DUMMYFUNCTION("""COMPUTED_VALUE"""),"Blog")</f>
        <v>Blog</v>
      </c>
      <c r="D193" s="1" t="str">
        <f>IFERROR(__xludf.DUMMYFUNCTION("""COMPUTED_VALUE"""),"6 Insights on the Construction Industry in 2020")</f>
        <v>6 Insights on the Construction Industry in 2020</v>
      </c>
      <c r="E193" s="12">
        <f>IFERROR(__xludf.DUMMYFUNCTION("""COMPUTED_VALUE"""),43566.34375)</f>
        <v>43566.34375</v>
      </c>
    </row>
    <row r="194">
      <c r="A194" s="7" t="str">
        <f>IFERROR(__xludf.DUMMYFUNCTION("""COMPUTED_VALUE"""),"https://www.method.me/blog/top-11-blogs-for-small-business-owners/")</f>
        <v>https://www.method.me/blog/top-11-blogs-for-small-business-owners/</v>
      </c>
      <c r="B194" s="1" t="str">
        <f>IFERROR(__xludf.DUMMYFUNCTION("""COMPUTED_VALUE"""),"Listicle - General")</f>
        <v>Listicle - General</v>
      </c>
      <c r="C194" s="1" t="str">
        <f>IFERROR(__xludf.DUMMYFUNCTION("""COMPUTED_VALUE"""),"Blog")</f>
        <v>Blog</v>
      </c>
      <c r="D194" s="1" t="str">
        <f>IFERROR(__xludf.DUMMYFUNCTION("""COMPUTED_VALUE"""),"Top 11 Blogs for Small Business Owners")</f>
        <v>Top 11 Blogs for Small Business Owners</v>
      </c>
      <c r="E194" s="12">
        <f>IFERROR(__xludf.DUMMYFUNCTION("""COMPUTED_VALUE"""),43571.40277777778)</f>
        <v>43571.40278</v>
      </c>
    </row>
    <row r="195">
      <c r="A195" s="7" t="str">
        <f>IFERROR(__xludf.DUMMYFUNCTION("""COMPUTED_VALUE"""),"https://www.method.me/blog/7-emerging-trends-in-b2b-ecommerce-2/")</f>
        <v>https://www.method.me/blog/7-emerging-trends-in-b2b-ecommerce-2/</v>
      </c>
      <c r="B195" s="1" t="str">
        <f>IFERROR(__xludf.DUMMYFUNCTION("""COMPUTED_VALUE"""),"Listicle - General")</f>
        <v>Listicle - General</v>
      </c>
      <c r="C195" s="1" t="str">
        <f>IFERROR(__xludf.DUMMYFUNCTION("""COMPUTED_VALUE"""),"Blog")</f>
        <v>Blog</v>
      </c>
      <c r="D195" s="1" t="str">
        <f>IFERROR(__xludf.DUMMYFUNCTION("""COMPUTED_VALUE"""),"7 emerging trends in B2B Ecommerce")</f>
        <v>7 emerging trends in B2B Ecommerce</v>
      </c>
      <c r="E195" s="12">
        <f>IFERROR(__xludf.DUMMYFUNCTION("""COMPUTED_VALUE"""),43578.429930555554)</f>
        <v>43578.42993</v>
      </c>
    </row>
    <row r="196">
      <c r="A196" s="7" t="str">
        <f>IFERROR(__xludf.DUMMYFUNCTION("""COMPUTED_VALUE"""),"https://www.method.me/blog/how-to-optimize-your-website-for-conversion-2/")</f>
        <v>https://www.method.me/blog/how-to-optimize-your-website-for-conversion-2/</v>
      </c>
      <c r="B196" s="1" t="str">
        <f>IFERROR(__xludf.DUMMYFUNCTION("""COMPUTED_VALUE"""),"General how-to")</f>
        <v>General how-to</v>
      </c>
      <c r="C196" s="1" t="str">
        <f>IFERROR(__xludf.DUMMYFUNCTION("""COMPUTED_VALUE"""),"Blog")</f>
        <v>Blog</v>
      </c>
      <c r="D196" s="1" t="str">
        <f>IFERROR(__xludf.DUMMYFUNCTION("""COMPUTED_VALUE"""),"How to Optimize Your Website for Conversion")</f>
        <v>How to Optimize Your Website for Conversion</v>
      </c>
      <c r="E196" s="12">
        <f>IFERROR(__xludf.DUMMYFUNCTION("""COMPUTED_VALUE"""),43580.471296296295)</f>
        <v>43580.4713</v>
      </c>
    </row>
    <row r="197">
      <c r="A197" s="7" t="str">
        <f>IFERROR(__xludf.DUMMYFUNCTION("""COMPUTED_VALUE"""),"https://www.method.me/blog/method-crm-reimagined-new-user-interface/")</f>
        <v>https://www.method.me/blog/method-crm-reimagined-new-user-interface/</v>
      </c>
      <c r="B197" s="1" t="str">
        <f>IFERROR(__xludf.DUMMYFUNCTION("""COMPUTED_VALUE"""),"Method - Product Updates")</f>
        <v>Method - Product Updates</v>
      </c>
      <c r="C197" s="1" t="str">
        <f>IFERROR(__xludf.DUMMYFUNCTION("""COMPUTED_VALUE"""),"Blog")</f>
        <v>Blog</v>
      </c>
      <c r="D197" s="1" t="str">
        <f>IFERROR(__xludf.DUMMYFUNCTION("""COMPUTED_VALUE"""),"Method:CRM, Reimagined!")</f>
        <v>Method:CRM, Reimagined!</v>
      </c>
      <c r="E197" s="12">
        <f>IFERROR(__xludf.DUMMYFUNCTION("""COMPUTED_VALUE"""),43581.51273148148)</f>
        <v>43581.51273</v>
      </c>
    </row>
    <row r="198">
      <c r="A198" s="7" t="str">
        <f>IFERROR(__xludf.DUMMYFUNCTION("""COMPUTED_VALUE"""),"https://www.method.me/blog/how-nonprofits-can-reduce-inefficiencies-with-a-customizable-crm-free-ebook/")</f>
        <v>https://www.method.me/blog/how-nonprofits-can-reduce-inefficiencies-with-a-customizable-crm-free-ebook/</v>
      </c>
      <c r="B198" s="1" t="str">
        <f>IFERROR(__xludf.DUMMYFUNCTION("""COMPUTED_VALUE"""),"CRM")</f>
        <v>CRM</v>
      </c>
      <c r="C198" s="1" t="str">
        <f>IFERROR(__xludf.DUMMYFUNCTION("""COMPUTED_VALUE"""),"Blog")</f>
        <v>Blog</v>
      </c>
      <c r="D198" s="1" t="str">
        <f>IFERROR(__xludf.DUMMYFUNCTION("""COMPUTED_VALUE"""),"How Nonprofits Can Reduce Inefficiencies with a Customizable CRM [Free Ebook]")</f>
        <v>How Nonprofits Can Reduce Inefficiencies with a Customizable CRM [Free Ebook]</v>
      </c>
      <c r="E198" s="12">
        <f>IFERROR(__xludf.DUMMYFUNCTION("""COMPUTED_VALUE"""),43585.43344907407)</f>
        <v>43585.43345</v>
      </c>
    </row>
    <row r="199">
      <c r="A199" s="7" t="str">
        <f>IFERROR(__xludf.DUMMYFUNCTION("""COMPUTED_VALUE"""),"https://www.method.me/crm-quickbooks/enterprise/")</f>
        <v>https://www.method.me/crm-quickbooks/enterprise/</v>
      </c>
      <c r="B199" s="1" t="str">
        <f>IFERROR(__xludf.DUMMYFUNCTION("""COMPUTED_VALUE"""),"/crm-quickbooks/")</f>
        <v>/crm-quickbooks/</v>
      </c>
      <c r="C199" s="1" t="str">
        <f>IFERROR(__xludf.DUMMYFUNCTION("""COMPUTED_VALUE"""),"Other page")</f>
        <v>Other page</v>
      </c>
      <c r="D199" s="1" t="str">
        <f>IFERROR(__xludf.DUMMYFUNCTION("""COMPUTED_VALUE"""),"QBDT Enterprise")</f>
        <v>QBDT Enterprise</v>
      </c>
      <c r="E199" s="12">
        <f>IFERROR(__xludf.DUMMYFUNCTION("""COMPUTED_VALUE"""),43585.443402777775)</f>
        <v>43585.4434</v>
      </c>
    </row>
    <row r="200">
      <c r="A200" s="7" t="str">
        <f>IFERROR(__xludf.DUMMYFUNCTION("""COMPUTED_VALUE"""),"https://www.method.me/blog/what-canadian-employers-should-know-about-legalized-cannabis-use/")</f>
        <v>https://www.method.me/blog/what-canadian-employers-should-know-about-legalized-cannabis-use/</v>
      </c>
      <c r="B200" s="1" t="str">
        <f>IFERROR(__xludf.DUMMYFUNCTION("""COMPUTED_VALUE"""),"Misc. info")</f>
        <v>Misc. info</v>
      </c>
      <c r="C200" s="1" t="str">
        <f>IFERROR(__xludf.DUMMYFUNCTION("""COMPUTED_VALUE"""),"Blog")</f>
        <v>Blog</v>
      </c>
      <c r="D200" s="1" t="str">
        <f>IFERROR(__xludf.DUMMYFUNCTION("""COMPUTED_VALUE"""),"What Canadian Employers Should Know About Legalized Cannabis Use")</f>
        <v>What Canadian Employers Should Know About Legalized Cannabis Use</v>
      </c>
      <c r="E200" s="12">
        <f>IFERROR(__xludf.DUMMYFUNCTION("""COMPUTED_VALUE"""),43587.719189814816)</f>
        <v>43587.71919</v>
      </c>
    </row>
    <row r="201">
      <c r="A201" s="7" t="str">
        <f>IFERROR(__xludf.DUMMYFUNCTION("""COMPUTED_VALUE"""),"https://www.method.me/crm-quickbooks/lead-management-software/")</f>
        <v>https://www.method.me/crm-quickbooks/lead-management-software/</v>
      </c>
      <c r="B201" s="1" t="str">
        <f>IFERROR(__xludf.DUMMYFUNCTION("""COMPUTED_VALUE"""),"/crm-quickbooks/")</f>
        <v>/crm-quickbooks/</v>
      </c>
      <c r="C201" s="1" t="str">
        <f>IFERROR(__xludf.DUMMYFUNCTION("""COMPUTED_VALUE"""),"Other page")</f>
        <v>Other page</v>
      </c>
      <c r="D201" s="1" t="str">
        <f>IFERROR(__xludf.DUMMYFUNCTION("""COMPUTED_VALUE"""),"Lead Management")</f>
        <v>Lead Management</v>
      </c>
      <c r="E201" s="12">
        <f>IFERROR(__xludf.DUMMYFUNCTION("""COMPUTED_VALUE"""),43592.465532407405)</f>
        <v>43592.46553</v>
      </c>
    </row>
    <row r="202">
      <c r="A202" s="7" t="str">
        <f>IFERROR(__xludf.DUMMYFUNCTION("""COMPUTED_VALUE"""),"https://www.method.me/crm-quickbooks/customer-management-software/")</f>
        <v>https://www.method.me/crm-quickbooks/customer-management-software/</v>
      </c>
      <c r="B202" s="1" t="str">
        <f>IFERROR(__xludf.DUMMYFUNCTION("""COMPUTED_VALUE"""),"/crm-quickbooks/")</f>
        <v>/crm-quickbooks/</v>
      </c>
      <c r="C202" s="1" t="str">
        <f>IFERROR(__xludf.DUMMYFUNCTION("""COMPUTED_VALUE"""),"Other page")</f>
        <v>Other page</v>
      </c>
      <c r="D202" s="1" t="str">
        <f>IFERROR(__xludf.DUMMYFUNCTION("""COMPUTED_VALUE"""),"Customer Management")</f>
        <v>Customer Management</v>
      </c>
      <c r="E202" s="12">
        <f>IFERROR(__xludf.DUMMYFUNCTION("""COMPUTED_VALUE"""),43592.55200231481)</f>
        <v>43592.552</v>
      </c>
    </row>
    <row r="203">
      <c r="A203" s="7" t="str">
        <f>IFERROR(__xludf.DUMMYFUNCTION("""COMPUTED_VALUE"""),"https://www.method.me/industries/accounting-crm-software/")</f>
        <v>https://www.method.me/industries/accounting-crm-software/</v>
      </c>
      <c r="B203" s="1" t="str">
        <f>IFERROR(__xludf.DUMMYFUNCTION("""COMPUTED_VALUE"""),"Industries page")</f>
        <v>Industries page</v>
      </c>
      <c r="C203" s="1" t="str">
        <f>IFERROR(__xludf.DUMMYFUNCTION("""COMPUTED_VALUE"""),"Other page")</f>
        <v>Other page</v>
      </c>
      <c r="D203" s="1" t="str">
        <f>IFERROR(__xludf.DUMMYFUNCTION("""COMPUTED_VALUE"""),"Accounting")</f>
        <v>Accounting</v>
      </c>
      <c r="E203" s="12">
        <f>IFERROR(__xludf.DUMMYFUNCTION("""COMPUTED_VALUE"""),43601.71976851852)</f>
        <v>43601.71977</v>
      </c>
    </row>
    <row r="204">
      <c r="A204" s="7" t="str">
        <f>IFERROR(__xludf.DUMMYFUNCTION("""COMPUTED_VALUE"""),"https://www.method.me/industries/construction-crm-software/")</f>
        <v>https://www.method.me/industries/construction-crm-software/</v>
      </c>
      <c r="B204" s="1" t="str">
        <f>IFERROR(__xludf.DUMMYFUNCTION("""COMPUTED_VALUE"""),"Industries page")</f>
        <v>Industries page</v>
      </c>
      <c r="C204" s="1" t="str">
        <f>IFERROR(__xludf.DUMMYFUNCTION("""COMPUTED_VALUE"""),"Other page")</f>
        <v>Other page</v>
      </c>
      <c r="D204" s="1" t="str">
        <f>IFERROR(__xludf.DUMMYFUNCTION("""COMPUTED_VALUE"""),"Construction")</f>
        <v>Construction</v>
      </c>
      <c r="E204" s="12">
        <f>IFERROR(__xludf.DUMMYFUNCTION("""COMPUTED_VALUE"""),43601.772986111115)</f>
        <v>43601.77299</v>
      </c>
    </row>
    <row r="205">
      <c r="A205" s="7" t="str">
        <f>IFERROR(__xludf.DUMMYFUNCTION("""COMPUTED_VALUE"""),"https://www.method.me/blog/how-to-find-great-employees-in-the-modern-economy/")</f>
        <v>https://www.method.me/blog/how-to-find-great-employees-in-the-modern-economy/</v>
      </c>
      <c r="B205" s="1" t="str">
        <f>IFERROR(__xludf.DUMMYFUNCTION("""COMPUTED_VALUE"""),"General how-to")</f>
        <v>General how-to</v>
      </c>
      <c r="C205" s="1" t="str">
        <f>IFERROR(__xludf.DUMMYFUNCTION("""COMPUTED_VALUE"""),"Blog")</f>
        <v>Blog</v>
      </c>
      <c r="D205" s="1" t="str">
        <f>IFERROR(__xludf.DUMMYFUNCTION("""COMPUTED_VALUE"""),"How to find great employees in the modern economy")</f>
        <v>How to find great employees in the modern economy</v>
      </c>
      <c r="E205" s="12">
        <f>IFERROR(__xludf.DUMMYFUNCTION("""COMPUTED_VALUE"""),43607.38564814815)</f>
        <v>43607.38565</v>
      </c>
    </row>
    <row r="206">
      <c r="A206" s="7" t="str">
        <f>IFERROR(__xludf.DUMMYFUNCTION("""COMPUTED_VALUE"""),"https://www.method.me/blog/3-trends-changing-the-future-of-logistics/")</f>
        <v>https://www.method.me/blog/3-trends-changing-the-future-of-logistics/</v>
      </c>
      <c r="B206" s="1" t="str">
        <f>IFERROR(__xludf.DUMMYFUNCTION("""COMPUTED_VALUE"""),"Listicle - General")</f>
        <v>Listicle - General</v>
      </c>
      <c r="C206" s="1" t="str">
        <f>IFERROR(__xludf.DUMMYFUNCTION("""COMPUTED_VALUE"""),"Blog")</f>
        <v>Blog</v>
      </c>
      <c r="D206" s="1" t="str">
        <f>IFERROR(__xludf.DUMMYFUNCTION("""COMPUTED_VALUE"""),"3 trends changing the future of logistics")</f>
        <v>3 trends changing the future of logistics</v>
      </c>
      <c r="E206" s="12">
        <f>IFERROR(__xludf.DUMMYFUNCTION("""COMPUTED_VALUE"""),43609.38700231481)</f>
        <v>43609.387</v>
      </c>
    </row>
    <row r="207">
      <c r="A207" s="7" t="str">
        <f>IFERROR(__xludf.DUMMYFUNCTION("""COMPUTED_VALUE"""),"https://www.method.me/blog/how-to-turn-your-small-business-into-a-big-business/")</f>
        <v>https://www.method.me/blog/how-to-turn-your-small-business-into-a-big-business/</v>
      </c>
      <c r="B207" s="1" t="str">
        <f>IFERROR(__xludf.DUMMYFUNCTION("""COMPUTED_VALUE"""),"Small business / Nonprofit")</f>
        <v>Small business / Nonprofit</v>
      </c>
      <c r="C207" s="1" t="str">
        <f>IFERROR(__xludf.DUMMYFUNCTION("""COMPUTED_VALUE"""),"Blog")</f>
        <v>Blog</v>
      </c>
      <c r="D207" s="1" t="str">
        <f>IFERROR(__xludf.DUMMYFUNCTION("""COMPUTED_VALUE"""),"How to Turn Your Small Business Into a Big Business")</f>
        <v>How to Turn Your Small Business Into a Big Business</v>
      </c>
      <c r="E207" s="12">
        <f>IFERROR(__xludf.DUMMYFUNCTION("""COMPUTED_VALUE"""),43613.44905092593)</f>
        <v>43613.44905</v>
      </c>
    </row>
    <row r="208">
      <c r="A208" s="7" t="str">
        <f>IFERROR(__xludf.DUMMYFUNCTION("""COMPUTED_VALUE"""),"https://www.method.me/blog/3-surprising-ways-the-internet-of-things-will-impact-business/")</f>
        <v>https://www.method.me/blog/3-surprising-ways-the-internet-of-things-will-impact-business/</v>
      </c>
      <c r="B208" s="1" t="str">
        <f>IFERROR(__xludf.DUMMYFUNCTION("""COMPUTED_VALUE"""),"Listicle - General")</f>
        <v>Listicle - General</v>
      </c>
      <c r="C208" s="1" t="str">
        <f>IFERROR(__xludf.DUMMYFUNCTION("""COMPUTED_VALUE"""),"Blog")</f>
        <v>Blog</v>
      </c>
      <c r="D208" s="1" t="str">
        <f>IFERROR(__xludf.DUMMYFUNCTION("""COMPUTED_VALUE"""),"3 Surprising Ways the Internet of Things Will Impact Business")</f>
        <v>3 Surprising Ways the Internet of Things Will Impact Business</v>
      </c>
      <c r="E208" s="12">
        <f>IFERROR(__xludf.DUMMYFUNCTION("""COMPUTED_VALUE"""),43615.38309027778)</f>
        <v>43615.38309</v>
      </c>
    </row>
    <row r="209">
      <c r="A209" s="7" t="str">
        <f>IFERROR(__xludf.DUMMYFUNCTION("""COMPUTED_VALUE"""),"https://www.method.me/blog/best-charity-auction-item-ideas/")</f>
        <v>https://www.method.me/blog/best-charity-auction-item-ideas/</v>
      </c>
      <c r="B209" s="1" t="str">
        <f>IFERROR(__xludf.DUMMYFUNCTION("""COMPUTED_VALUE"""),"Listicle - General")</f>
        <v>Listicle - General</v>
      </c>
      <c r="C209" s="1" t="str">
        <f>IFERROR(__xludf.DUMMYFUNCTION("""COMPUTED_VALUE"""),"Blog")</f>
        <v>Blog</v>
      </c>
      <c r="D209" s="1" t="str">
        <f>IFERROR(__xludf.DUMMYFUNCTION("""COMPUTED_VALUE"""),"11 Awesome Ideas for Charity Auction Items")</f>
        <v>11 Awesome Ideas for Charity Auction Items</v>
      </c>
      <c r="E209" s="12">
        <f>IFERROR(__xludf.DUMMYFUNCTION("""COMPUTED_VALUE"""),43620.38979166667)</f>
        <v>43620.38979</v>
      </c>
    </row>
    <row r="210">
      <c r="A210" s="7" t="str">
        <f>IFERROR(__xludf.DUMMYFUNCTION("""COMPUTED_VALUE"""),"https://www.method.me/blog/the-transformative-power-of-artificial-intelligence/")</f>
        <v>https://www.method.me/blog/the-transformative-power-of-artificial-intelligence/</v>
      </c>
      <c r="B210" s="1" t="str">
        <f>IFERROR(__xludf.DUMMYFUNCTION("""COMPUTED_VALUE"""),"Misc. info")</f>
        <v>Misc. info</v>
      </c>
      <c r="C210" s="1" t="str">
        <f>IFERROR(__xludf.DUMMYFUNCTION("""COMPUTED_VALUE"""),"Blog")</f>
        <v>Blog</v>
      </c>
      <c r="D210" s="1" t="str">
        <f>IFERROR(__xludf.DUMMYFUNCTION("""COMPUTED_VALUE"""),"The Transformative Power of Artificial Intelligence")</f>
        <v>The Transformative Power of Artificial Intelligence</v>
      </c>
      <c r="E210" s="12">
        <f>IFERROR(__xludf.DUMMYFUNCTION("""COMPUTED_VALUE"""),43622.428090277775)</f>
        <v>43622.42809</v>
      </c>
    </row>
    <row r="211">
      <c r="A211" s="7" t="str">
        <f>IFERROR(__xludf.DUMMYFUNCTION("""COMPUTED_VALUE"""),"https://www.method.me/blog/how-to-forecast-your-small-business-revenue/")</f>
        <v>https://www.method.me/blog/how-to-forecast-your-small-business-revenue/</v>
      </c>
      <c r="B211" s="1" t="str">
        <f>IFERROR(__xludf.DUMMYFUNCTION("""COMPUTED_VALUE"""),"Small business / Nonprofit")</f>
        <v>Small business / Nonprofit</v>
      </c>
      <c r="C211" s="1" t="str">
        <f>IFERROR(__xludf.DUMMYFUNCTION("""COMPUTED_VALUE"""),"Blog")</f>
        <v>Blog</v>
      </c>
      <c r="D211" s="1" t="str">
        <f>IFERROR(__xludf.DUMMYFUNCTION("""COMPUTED_VALUE"""),"How to Forecast Your Small Business Revenue")</f>
        <v>How to Forecast Your Small Business Revenue</v>
      </c>
      <c r="E211" s="12">
        <f>IFERROR(__xludf.DUMMYFUNCTION("""COMPUTED_VALUE"""),43627.39166666667)</f>
        <v>43627.39167</v>
      </c>
    </row>
    <row r="212">
      <c r="A212" s="7" t="str">
        <f>IFERROR(__xludf.DUMMYFUNCTION("""COMPUTED_VALUE"""),"https://www.method.me/blog/join-method-crm-at-scaling-new-heights-2019/")</f>
        <v>https://www.method.me/blog/join-method-crm-at-scaling-new-heights-2019/</v>
      </c>
      <c r="B212" s="1" t="str">
        <f>IFERROR(__xludf.DUMMYFUNCTION("""COMPUTED_VALUE"""),"Conference / Event")</f>
        <v>Conference / Event</v>
      </c>
      <c r="C212" s="1" t="str">
        <f>IFERROR(__xludf.DUMMYFUNCTION("""COMPUTED_VALUE"""),"Blog")</f>
        <v>Blog</v>
      </c>
      <c r="D212" s="1" t="str">
        <f>IFERROR(__xludf.DUMMYFUNCTION("""COMPUTED_VALUE"""),"Join Method:CRM at Scaling New Heights 2019!")</f>
        <v>Join Method:CRM at Scaling New Heights 2019!</v>
      </c>
      <c r="E212" s="12">
        <f>IFERROR(__xludf.DUMMYFUNCTION("""COMPUTED_VALUE"""),43628.465891203705)</f>
        <v>43628.46589</v>
      </c>
    </row>
    <row r="213">
      <c r="A213" s="7" t="str">
        <f>IFERROR(__xludf.DUMMYFUNCTION("""COMPUTED_VALUE"""),"https://www.method.me/blog/4-innovations-changing-the-wholesale-and-distribution-industry/")</f>
        <v>https://www.method.me/blog/4-innovations-changing-the-wholesale-and-distribution-industry/</v>
      </c>
      <c r="B213" s="1" t="str">
        <f>IFERROR(__xludf.DUMMYFUNCTION("""COMPUTED_VALUE"""),"Listicle - General")</f>
        <v>Listicle - General</v>
      </c>
      <c r="C213" s="1" t="str">
        <f>IFERROR(__xludf.DUMMYFUNCTION("""COMPUTED_VALUE"""),"Blog")</f>
        <v>Blog</v>
      </c>
      <c r="D213" s="1" t="str">
        <f>IFERROR(__xludf.DUMMYFUNCTION("""COMPUTED_VALUE"""),"4 innovations changing the wholesale distribution industry")</f>
        <v>4 innovations changing the wholesale distribution industry</v>
      </c>
      <c r="E213" s="12">
        <f>IFERROR(__xludf.DUMMYFUNCTION("""COMPUTED_VALUE"""),43629.40902777778)</f>
        <v>43629.40903</v>
      </c>
    </row>
    <row r="214">
      <c r="A214" s="7" t="str">
        <f>IFERROR(__xludf.DUMMYFUNCTION("""COMPUTED_VALUE"""),"https://www.method.me/blog/4-ways-to-stay-productive-as-a-freelancer/")</f>
        <v>https://www.method.me/blog/4-ways-to-stay-productive-as-a-freelancer/</v>
      </c>
      <c r="B214" s="1" t="str">
        <f>IFERROR(__xludf.DUMMYFUNCTION("""COMPUTED_VALUE"""),"Conference / Event")</f>
        <v>Conference / Event</v>
      </c>
      <c r="C214" s="1" t="str">
        <f>IFERROR(__xludf.DUMMYFUNCTION("""COMPUTED_VALUE"""),"Blog")</f>
        <v>Blog</v>
      </c>
      <c r="D214" s="1" t="str">
        <f>IFERROR(__xludf.DUMMYFUNCTION("""COMPUTED_VALUE"""),"4 Ways to Stay Productive as a Freelancer")</f>
        <v>4 Ways to Stay Productive as a Freelancer</v>
      </c>
      <c r="E214" s="12">
        <f>IFERROR(__xludf.DUMMYFUNCTION("""COMPUTED_VALUE"""),43637.437210648146)</f>
        <v>43637.43721</v>
      </c>
    </row>
    <row r="215">
      <c r="A215" s="7" t="str">
        <f>IFERROR(__xludf.DUMMYFUNCTION("""COMPUTED_VALUE"""),"https://www.method.me/blog/how-blockchain-could-impact-your-business/")</f>
        <v>https://www.method.me/blog/how-blockchain-could-impact-your-business/</v>
      </c>
      <c r="B215" s="1" t="str">
        <f>IFERROR(__xludf.DUMMYFUNCTION("""COMPUTED_VALUE"""),"Misc. info")</f>
        <v>Misc. info</v>
      </c>
      <c r="C215" s="1" t="str">
        <f>IFERROR(__xludf.DUMMYFUNCTION("""COMPUTED_VALUE"""),"Blog")</f>
        <v>Blog</v>
      </c>
      <c r="D215" s="1" t="str">
        <f>IFERROR(__xludf.DUMMYFUNCTION("""COMPUTED_VALUE"""),"How Blockchain Could Impact Your Business")</f>
        <v>How Blockchain Could Impact Your Business</v>
      </c>
      <c r="E215" s="12">
        <f>IFERROR(__xludf.DUMMYFUNCTION("""COMPUTED_VALUE"""),43641.40278935185)</f>
        <v>43641.40279</v>
      </c>
    </row>
    <row r="216">
      <c r="A216" s="7" t="str">
        <f>IFERROR(__xludf.DUMMYFUNCTION("""COMPUTED_VALUE"""),"https://www.method.me/blog/top-6-highlights-from-scaling-new-heights-2019/")</f>
        <v>https://www.method.me/blog/top-6-highlights-from-scaling-new-heights-2019/</v>
      </c>
      <c r="B216" s="1" t="str">
        <f>IFERROR(__xludf.DUMMYFUNCTION("""COMPUTED_VALUE"""),"Conference / Event")</f>
        <v>Conference / Event</v>
      </c>
      <c r="C216" s="1" t="str">
        <f>IFERROR(__xludf.DUMMYFUNCTION("""COMPUTED_VALUE"""),"Blog")</f>
        <v>Blog</v>
      </c>
      <c r="D216" s="1" t="str">
        <f>IFERROR(__xludf.DUMMYFUNCTION("""COMPUTED_VALUE"""),"Top 6 highlights from Scaling New Heights 2019")</f>
        <v>Top 6 highlights from Scaling New Heights 2019</v>
      </c>
      <c r="E216" s="12">
        <f>IFERROR(__xludf.DUMMYFUNCTION("""COMPUTED_VALUE"""),43642.41203703704)</f>
        <v>43642.41204</v>
      </c>
    </row>
    <row r="217">
      <c r="A217" s="7" t="str">
        <f>IFERROR(__xludf.DUMMYFUNCTION("""COMPUTED_VALUE"""),"https://www.method.me/blog/5-tips-for-marketing-your-nonprofit-event/")</f>
        <v>https://www.method.me/blog/5-tips-for-marketing-your-nonprofit-event/</v>
      </c>
      <c r="B217" s="1" t="str">
        <f>IFERROR(__xludf.DUMMYFUNCTION("""COMPUTED_VALUE"""),"Listicle - General")</f>
        <v>Listicle - General</v>
      </c>
      <c r="C217" s="1" t="str">
        <f>IFERROR(__xludf.DUMMYFUNCTION("""COMPUTED_VALUE"""),"Blog")</f>
        <v>Blog</v>
      </c>
      <c r="D217" s="1" t="str">
        <f>IFERROR(__xludf.DUMMYFUNCTION("""COMPUTED_VALUE"""),"Marketing Your Nonprofit Event: 5 Tech Tips to Draw a Crowd")</f>
        <v>Marketing Your Nonprofit Event: 5 Tech Tips to Draw a Crowd</v>
      </c>
      <c r="E217" s="12">
        <f>IFERROR(__xludf.DUMMYFUNCTION("""COMPUTED_VALUE"""),43643.63873842593)</f>
        <v>43643.63874</v>
      </c>
    </row>
    <row r="218">
      <c r="A218" s="7" t="str">
        <f>IFERROR(__xludf.DUMMYFUNCTION("""COMPUTED_VALUE"""),"https://www.method.me/blog/3-things-to-prioritize-when-writing-a-business-plan/")</f>
        <v>https://www.method.me/blog/3-things-to-prioritize-when-writing-a-business-plan/</v>
      </c>
      <c r="B218" s="1" t="str">
        <f>IFERROR(__xludf.DUMMYFUNCTION("""COMPUTED_VALUE"""),"Listicle - General")</f>
        <v>Listicle - General</v>
      </c>
      <c r="C218" s="1" t="str">
        <f>IFERROR(__xludf.DUMMYFUNCTION("""COMPUTED_VALUE"""),"Blog")</f>
        <v>Blog</v>
      </c>
      <c r="D218" s="1" t="str">
        <f>IFERROR(__xludf.DUMMYFUNCTION("""COMPUTED_VALUE"""),"3 Things to Prioritize When Writing a Business Plan")</f>
        <v>3 Things to Prioritize When Writing a Business Plan</v>
      </c>
      <c r="E218" s="12">
        <f>IFERROR(__xludf.DUMMYFUNCTION("""COMPUTED_VALUE"""),43648.48688657407)</f>
        <v>43648.48689</v>
      </c>
    </row>
    <row r="219">
      <c r="A219" s="7" t="str">
        <f>IFERROR(__xludf.DUMMYFUNCTION("""COMPUTED_VALUE"""),"https://www.method.me/blog/5-tips-for-accountants-working-with-medical-or-dental-practices/")</f>
        <v>https://www.method.me/blog/5-tips-for-accountants-working-with-medical-or-dental-practices/</v>
      </c>
      <c r="B219" s="1" t="str">
        <f>IFERROR(__xludf.DUMMYFUNCTION("""COMPUTED_VALUE"""),"Listicle - General")</f>
        <v>Listicle - General</v>
      </c>
      <c r="C219" s="1" t="str">
        <f>IFERROR(__xludf.DUMMYFUNCTION("""COMPUTED_VALUE"""),"Blog")</f>
        <v>Blog</v>
      </c>
      <c r="D219" s="1" t="str">
        <f>IFERROR(__xludf.DUMMYFUNCTION("""COMPUTED_VALUE"""),"5 Tips for Accountants Working with Medical or Dental Practices")</f>
        <v>5 Tips for Accountants Working with Medical or Dental Practices</v>
      </c>
      <c r="E219" s="12">
        <f>IFERROR(__xludf.DUMMYFUNCTION("""COMPUTED_VALUE"""),43650.38358796296)</f>
        <v>43650.38359</v>
      </c>
    </row>
    <row r="220">
      <c r="A220" s="7" t="str">
        <f>IFERROR(__xludf.DUMMYFUNCTION("""COMPUTED_VALUE"""),"https://www.method.me/blog/after-the-sales-pitch-post-sales-call-practices-to-help-you-close-the-deal/")</f>
        <v>https://www.method.me/blog/after-the-sales-pitch-post-sales-call-practices-to-help-you-close-the-deal/</v>
      </c>
      <c r="B220" s="1" t="str">
        <f>IFERROR(__xludf.DUMMYFUNCTION("""COMPUTED_VALUE"""),"Sales / Marketing / Lead gen")</f>
        <v>Sales / Marketing / Lead gen</v>
      </c>
      <c r="C220" s="1" t="str">
        <f>IFERROR(__xludf.DUMMYFUNCTION("""COMPUTED_VALUE"""),"Blog")</f>
        <v>Blog</v>
      </c>
      <c r="D220" s="1" t="str">
        <f>IFERROR(__xludf.DUMMYFUNCTION("""COMPUTED_VALUE"""),"After the Sales Pitch: Post-Sales Call Practices to Help You Close the Deal")</f>
        <v>After the Sales Pitch: Post-Sales Call Practices to Help You Close the Deal</v>
      </c>
      <c r="E220" s="12">
        <f>IFERROR(__xludf.DUMMYFUNCTION("""COMPUTED_VALUE"""),43655.41501157408)</f>
        <v>43655.41501</v>
      </c>
    </row>
    <row r="221">
      <c r="A221" s="7" t="str">
        <f>IFERROR(__xludf.DUMMYFUNCTION("""COMPUTED_VALUE"""),"https://www.method.me/industries/manufacturing-crm-software/")</f>
        <v>https://www.method.me/industries/manufacturing-crm-software/</v>
      </c>
      <c r="B221" s="1" t="str">
        <f>IFERROR(__xludf.DUMMYFUNCTION("""COMPUTED_VALUE"""),"Industries page")</f>
        <v>Industries page</v>
      </c>
      <c r="C221" s="1" t="str">
        <f>IFERROR(__xludf.DUMMYFUNCTION("""COMPUTED_VALUE"""),"Other page")</f>
        <v>Other page</v>
      </c>
      <c r="D221" s="1" t="str">
        <f>IFERROR(__xludf.DUMMYFUNCTION("""COMPUTED_VALUE"""),"Manufacturing")</f>
        <v>Manufacturing</v>
      </c>
      <c r="E221" s="12">
        <f>IFERROR(__xludf.DUMMYFUNCTION("""COMPUTED_VALUE"""),43724.581875)</f>
        <v>43724.58188</v>
      </c>
    </row>
    <row r="222">
      <c r="A222" s="7" t="str">
        <f>IFERROR(__xludf.DUMMYFUNCTION("""COMPUTED_VALUE"""),"https://www.method.me/partners/program-details/")</f>
        <v>https://www.method.me/partners/program-details/</v>
      </c>
      <c r="B222" s="1" t="str">
        <f>IFERROR(__xludf.DUMMYFUNCTION("""COMPUTED_VALUE"""),"Partner page")</f>
        <v>Partner page</v>
      </c>
      <c r="C222" s="1" t="str">
        <f>IFERROR(__xludf.DUMMYFUNCTION("""COMPUTED_VALUE"""),"Other page")</f>
        <v>Other page</v>
      </c>
      <c r="D222" s="1" t="str">
        <f>IFERROR(__xludf.DUMMYFUNCTION("""COMPUTED_VALUE"""),"Be a Partner")</f>
        <v>Be a Partner</v>
      </c>
      <c r="E222" s="12">
        <f>IFERROR(__xludf.DUMMYFUNCTION("""COMPUTED_VALUE"""),43724.63552083333)</f>
        <v>43724.63552</v>
      </c>
    </row>
    <row r="223">
      <c r="A223" s="7" t="str">
        <f>IFERROR(__xludf.DUMMYFUNCTION("""COMPUTED_VALUE"""),"https://www.method.me/crm-quickbooks/custom-crm-software/")</f>
        <v>https://www.method.me/crm-quickbooks/custom-crm-software/</v>
      </c>
      <c r="B223" s="1" t="str">
        <f>IFERROR(__xludf.DUMMYFUNCTION("""COMPUTED_VALUE"""),"/crm-quickbooks/")</f>
        <v>/crm-quickbooks/</v>
      </c>
      <c r="C223" s="1" t="str">
        <f>IFERROR(__xludf.DUMMYFUNCTION("""COMPUTED_VALUE"""),"Other page")</f>
        <v>Other page</v>
      </c>
      <c r="D223" s="1" t="str">
        <f>IFERROR(__xludf.DUMMYFUNCTION("""COMPUTED_VALUE"""),"Custom CRM")</f>
        <v>Custom CRM</v>
      </c>
      <c r="E223" s="12">
        <f>IFERROR(__xludf.DUMMYFUNCTION("""COMPUTED_VALUE"""),43724.71236111111)</f>
        <v>43724.71236</v>
      </c>
    </row>
    <row r="224">
      <c r="A224" s="7" t="str">
        <f>IFERROR(__xludf.DUMMYFUNCTION("""COMPUTED_VALUE"""),"https://www.method.me/customization-services/")</f>
        <v>https://www.method.me/customization-services/</v>
      </c>
      <c r="B224" s="1" t="str">
        <f>IFERROR(__xludf.DUMMYFUNCTION("""COMPUTED_VALUE"""),"Other page")</f>
        <v>Other page</v>
      </c>
      <c r="C224" s="1" t="str">
        <f>IFERROR(__xludf.DUMMYFUNCTION("""COMPUTED_VALUE"""),"Other page")</f>
        <v>Other page</v>
      </c>
      <c r="D224" s="1" t="str">
        <f>IFERROR(__xludf.DUMMYFUNCTION("""COMPUTED_VALUE"""),"Customization Services")</f>
        <v>Customization Services</v>
      </c>
      <c r="E224" s="12">
        <f>IFERROR(__xludf.DUMMYFUNCTION("""COMPUTED_VALUE"""),43724.78204861111)</f>
        <v>43724.78205</v>
      </c>
    </row>
    <row r="225">
      <c r="A225" s="7" t="str">
        <f>IFERROR(__xludf.DUMMYFUNCTION("""COMPUTED_VALUE"""),"https://www.method.me/crm-quickbooks/")</f>
        <v>https://www.method.me/crm-quickbooks/</v>
      </c>
      <c r="B225" s="1" t="str">
        <f>IFERROR(__xludf.DUMMYFUNCTION("""COMPUTED_VALUE"""),"/crm-quickbooks/")</f>
        <v>/crm-quickbooks/</v>
      </c>
      <c r="C225" s="1" t="str">
        <f>IFERROR(__xludf.DUMMYFUNCTION("""COMPUTED_VALUE"""),"Other page")</f>
        <v>Other page</v>
      </c>
      <c r="D225" s="1" t="str">
        <f>IFERROR(__xludf.DUMMYFUNCTION("""COMPUTED_VALUE"""),"The Best QuickBooks CRM for Small Business")</f>
        <v>The Best QuickBooks CRM for Small Business</v>
      </c>
      <c r="E225" s="12">
        <f>IFERROR(__xludf.DUMMYFUNCTION("""COMPUTED_VALUE"""),43725.64341435185)</f>
        <v>43725.64341</v>
      </c>
    </row>
    <row r="226">
      <c r="A226" s="7" t="str">
        <f>IFERROR(__xludf.DUMMYFUNCTION("""COMPUTED_VALUE"""),"https://www.method.me/features/gmail/")</f>
        <v>https://www.method.me/features/gmail/</v>
      </c>
      <c r="B226" s="1" t="str">
        <f>IFERROR(__xludf.DUMMYFUNCTION("""COMPUTED_VALUE"""),"Features page")</f>
        <v>Features page</v>
      </c>
      <c r="C226" s="1" t="str">
        <f>IFERROR(__xludf.DUMMYFUNCTION("""COMPUTED_VALUE"""),"Other page")</f>
        <v>Other page</v>
      </c>
      <c r="D226" s="1" t="str">
        <f>IFERROR(__xludf.DUMMYFUNCTION("""COMPUTED_VALUE"""),"Gmail")</f>
        <v>Gmail</v>
      </c>
      <c r="E226" s="12">
        <f>IFERROR(__xludf.DUMMYFUNCTION("""COMPUTED_VALUE"""),43725.727627314816)</f>
        <v>43725.72763</v>
      </c>
    </row>
    <row r="227">
      <c r="A227" s="7" t="str">
        <f>IFERROR(__xludf.DUMMYFUNCTION("""COMPUTED_VALUE"""),"https://www.method.me/features/google-calendar/")</f>
        <v>https://www.method.me/features/google-calendar/</v>
      </c>
      <c r="B227" s="1" t="str">
        <f>IFERROR(__xludf.DUMMYFUNCTION("""COMPUTED_VALUE"""),"Features page")</f>
        <v>Features page</v>
      </c>
      <c r="C227" s="1" t="str">
        <f>IFERROR(__xludf.DUMMYFUNCTION("""COMPUTED_VALUE"""),"Other page")</f>
        <v>Other page</v>
      </c>
      <c r="D227" s="1" t="str">
        <f>IFERROR(__xludf.DUMMYFUNCTION("""COMPUTED_VALUE"""),"Google Calendar")</f>
        <v>Google Calendar</v>
      </c>
      <c r="E227" s="12">
        <f>IFERROR(__xludf.DUMMYFUNCTION("""COMPUTED_VALUE"""),43725.79232638889)</f>
        <v>43725.79233</v>
      </c>
    </row>
    <row r="228">
      <c r="A228" s="7" t="str">
        <f>IFERROR(__xludf.DUMMYFUNCTION("""COMPUTED_VALUE"""),"https://www.method.me/features/mailchimp/")</f>
        <v>https://www.method.me/features/mailchimp/</v>
      </c>
      <c r="B228" s="1" t="str">
        <f>IFERROR(__xludf.DUMMYFUNCTION("""COMPUTED_VALUE"""),"Features page")</f>
        <v>Features page</v>
      </c>
      <c r="C228" s="1" t="str">
        <f>IFERROR(__xludf.DUMMYFUNCTION("""COMPUTED_VALUE"""),"Other page")</f>
        <v>Other page</v>
      </c>
      <c r="D228" s="1" t="str">
        <f>IFERROR(__xludf.DUMMYFUNCTION("""COMPUTED_VALUE"""),"Mailchimp")</f>
        <v>Mailchimp</v>
      </c>
      <c r="E228" s="12">
        <f>IFERROR(__xludf.DUMMYFUNCTION("""COMPUTED_VALUE"""),43725.808657407404)</f>
        <v>43725.80866</v>
      </c>
    </row>
    <row r="229">
      <c r="A229" s="7" t="str">
        <f>IFERROR(__xludf.DUMMYFUNCTION("""COMPUTED_VALUE"""),"https://www.method.me/features/outlook/")</f>
        <v>https://www.method.me/features/outlook/</v>
      </c>
      <c r="B229" s="1" t="str">
        <f>IFERROR(__xludf.DUMMYFUNCTION("""COMPUTED_VALUE"""),"Features page")</f>
        <v>Features page</v>
      </c>
      <c r="C229" s="1" t="str">
        <f>IFERROR(__xludf.DUMMYFUNCTION("""COMPUTED_VALUE"""),"Other page")</f>
        <v>Other page</v>
      </c>
      <c r="D229" s="1" t="str">
        <f>IFERROR(__xludf.DUMMYFUNCTION("""COMPUTED_VALUE"""),"Outlook")</f>
        <v>Outlook</v>
      </c>
      <c r="E229" s="12">
        <f>IFERROR(__xludf.DUMMYFUNCTION("""COMPUTED_VALUE"""),43726.45825231481)</f>
        <v>43726.45825</v>
      </c>
    </row>
    <row r="230">
      <c r="A230" s="7" t="str">
        <f>IFERROR(__xludf.DUMMYFUNCTION("""COMPUTED_VALUE"""),"https://www.method.me/contact-us/")</f>
        <v>https://www.method.me/contact-us/</v>
      </c>
      <c r="B230" s="1" t="str">
        <f>IFERROR(__xludf.DUMMYFUNCTION("""COMPUTED_VALUE"""),"Other page")</f>
        <v>Other page</v>
      </c>
      <c r="C230" s="1" t="str">
        <f>IFERROR(__xludf.DUMMYFUNCTION("""COMPUTED_VALUE"""),"Other page")</f>
        <v>Other page</v>
      </c>
      <c r="D230" s="1" t="str">
        <f>IFERROR(__xludf.DUMMYFUNCTION("""COMPUTED_VALUE"""),"Contact Us")</f>
        <v>Contact Us</v>
      </c>
      <c r="E230" s="12">
        <f>IFERROR(__xludf.DUMMYFUNCTION("""COMPUTED_VALUE"""),43732.550358796296)</f>
        <v>43732.55036</v>
      </c>
    </row>
    <row r="231">
      <c r="A231" s="7" t="str">
        <f>IFERROR(__xludf.DUMMYFUNCTION("""COMPUTED_VALUE"""),"https://www.method.me/features/")</f>
        <v>https://www.method.me/features/</v>
      </c>
      <c r="B231" s="1" t="str">
        <f>IFERROR(__xludf.DUMMYFUNCTION("""COMPUTED_VALUE"""),"Features page")</f>
        <v>Features page</v>
      </c>
      <c r="C231" s="1" t="str">
        <f>IFERROR(__xludf.DUMMYFUNCTION("""COMPUTED_VALUE"""),"Other page")</f>
        <v>Other page</v>
      </c>
      <c r="D231" s="1" t="str">
        <f>IFERROR(__xludf.DUMMYFUNCTION("""COMPUTED_VALUE"""),"Features")</f>
        <v>Features</v>
      </c>
      <c r="E231" s="12">
        <f>IFERROR(__xludf.DUMMYFUNCTION("""COMPUTED_VALUE"""),43733.47222222222)</f>
        <v>43733.47222</v>
      </c>
    </row>
    <row r="232">
      <c r="A232" s="7" t="str">
        <f>IFERROR(__xludf.DUMMYFUNCTION("""COMPUTED_VALUE"""),"https://www.method.me/legal/terms-of-service/")</f>
        <v>https://www.method.me/legal/terms-of-service/</v>
      </c>
      <c r="B232" s="1" t="str">
        <f>IFERROR(__xludf.DUMMYFUNCTION("""COMPUTED_VALUE"""),"Other page")</f>
        <v>Other page</v>
      </c>
      <c r="C232" s="1" t="str">
        <f>IFERROR(__xludf.DUMMYFUNCTION("""COMPUTED_VALUE"""),"Other page")</f>
        <v>Other page</v>
      </c>
      <c r="D232" s="1" t="str">
        <f>IFERROR(__xludf.DUMMYFUNCTION("""COMPUTED_VALUE"""),"Terms of Service")</f>
        <v>Terms of Service</v>
      </c>
      <c r="E232" s="12">
        <f>IFERROR(__xludf.DUMMYFUNCTION("""COMPUTED_VALUE"""),43734.511979166666)</f>
        <v>43734.51198</v>
      </c>
    </row>
    <row r="233">
      <c r="A233" s="7" t="str">
        <f>IFERROR(__xludf.DUMMYFUNCTION("""COMPUTED_VALUE"""),"https://www.method.me/refer/")</f>
        <v>https://www.method.me/refer/</v>
      </c>
      <c r="B233" s="1" t="str">
        <f>IFERROR(__xludf.DUMMYFUNCTION("""COMPUTED_VALUE"""),"Partner page")</f>
        <v>Partner page</v>
      </c>
      <c r="C233" s="1" t="str">
        <f>IFERROR(__xludf.DUMMYFUNCTION("""COMPUTED_VALUE"""),"Other page")</f>
        <v>Other page</v>
      </c>
      <c r="D233" s="1" t="str">
        <f>IFERROR(__xludf.DUMMYFUNCTION("""COMPUTED_VALUE"""),"Free Trial (Partner)")</f>
        <v>Free Trial (Partner)</v>
      </c>
      <c r="E233" s="12">
        <f>IFERROR(__xludf.DUMMYFUNCTION("""COMPUTED_VALUE"""),43734.57084490741)</f>
        <v>43734.57084</v>
      </c>
    </row>
    <row r="234">
      <c r="A234" s="7" t="str">
        <f>IFERROR(__xludf.DUMMYFUNCTION("""COMPUTED_VALUE"""),"https://www.method.me/nonprofit-crm/")</f>
        <v>https://www.method.me/nonprofit-crm/</v>
      </c>
      <c r="B234" s="1" t="str">
        <f>IFERROR(__xludf.DUMMYFUNCTION("""COMPUTED_VALUE"""),"Other page")</f>
        <v>Other page</v>
      </c>
      <c r="C234" s="1" t="str">
        <f>IFERROR(__xludf.DUMMYFUNCTION("""COMPUTED_VALUE"""),"Other page")</f>
        <v>Other page</v>
      </c>
      <c r="D234" s="1" t="str">
        <f>IFERROR(__xludf.DUMMYFUNCTION("""COMPUTED_VALUE"""),"Donor")</f>
        <v>Donor</v>
      </c>
      <c r="E234" s="12">
        <f>IFERROR(__xludf.DUMMYFUNCTION("""COMPUTED_VALUE"""),43734.5796875)</f>
        <v>43734.57969</v>
      </c>
    </row>
    <row r="235">
      <c r="A235" s="7" t="str">
        <f>IFERROR(__xludf.DUMMYFUNCTION("""COMPUTED_VALUE"""),"https://www.method.me/findpartner/")</f>
        <v>https://www.method.me/findpartner/</v>
      </c>
      <c r="B235" s="1" t="str">
        <f>IFERROR(__xludf.DUMMYFUNCTION("""COMPUTED_VALUE"""),"Partner page")</f>
        <v>Partner page</v>
      </c>
      <c r="C235" s="1" t="str">
        <f>IFERROR(__xludf.DUMMYFUNCTION("""COMPUTED_VALUE"""),"Other page")</f>
        <v>Other page</v>
      </c>
      <c r="D235" s="1" t="str">
        <f>IFERROR(__xludf.DUMMYFUNCTION("""COMPUTED_VALUE"""),"Find a Partner")</f>
        <v>Find a Partner</v>
      </c>
      <c r="E235" s="12">
        <f>IFERROR(__xludf.DUMMYFUNCTION("""COMPUTED_VALUE"""),43734.64672453704)</f>
        <v>43734.64672</v>
      </c>
    </row>
    <row r="236">
      <c r="A236" s="7" t="str">
        <f>IFERROR(__xludf.DUMMYFUNCTION("""COMPUTED_VALUE"""),"https://www.method.me/crm-quickbooks/quickbooks-sync-faq/")</f>
        <v>https://www.method.me/crm-quickbooks/quickbooks-sync-faq/</v>
      </c>
      <c r="B236" s="1" t="str">
        <f>IFERROR(__xludf.DUMMYFUNCTION("""COMPUTED_VALUE"""),"/crm-quickbooks/")</f>
        <v>/crm-quickbooks/</v>
      </c>
      <c r="C236" s="1" t="str">
        <f>IFERROR(__xludf.DUMMYFUNCTION("""COMPUTED_VALUE"""),"Other page")</f>
        <v>Other page</v>
      </c>
      <c r="D236" s="1" t="str">
        <f>IFERROR(__xludf.DUMMYFUNCTION("""COMPUTED_VALUE"""),"QuickBooks Sync FAQ")</f>
        <v>QuickBooks Sync FAQ</v>
      </c>
      <c r="E236" s="12">
        <f>IFERROR(__xludf.DUMMYFUNCTION("""COMPUTED_VALUE"""),43734.712372685186)</f>
        <v>43734.71237</v>
      </c>
    </row>
    <row r="237">
      <c r="A237" s="7" t="str">
        <f>IFERROR(__xludf.DUMMYFUNCTION("""COMPUTED_VALUE"""),"https://www.method.me/about-us/")</f>
        <v>https://www.method.me/about-us/</v>
      </c>
      <c r="B237" s="1" t="str">
        <f>IFERROR(__xludf.DUMMYFUNCTION("""COMPUTED_VALUE"""),"Other page")</f>
        <v>Other page</v>
      </c>
      <c r="C237" s="1" t="str">
        <f>IFERROR(__xludf.DUMMYFUNCTION("""COMPUTED_VALUE"""),"Other page")</f>
        <v>Other page</v>
      </c>
      <c r="D237" s="1" t="str">
        <f>IFERROR(__xludf.DUMMYFUNCTION("""COMPUTED_VALUE"""),"About Us")</f>
        <v>About Us</v>
      </c>
      <c r="E237" s="12">
        <f>IFERROR(__xludf.DUMMYFUNCTION("""COMPUTED_VALUE"""),43734.79077546296)</f>
        <v>43734.79078</v>
      </c>
    </row>
    <row r="238">
      <c r="A238" s="7" t="str">
        <f>IFERROR(__xludf.DUMMYFUNCTION("""COMPUTED_VALUE"""),"https://www.method.me/customer-success/erazorbits/")</f>
        <v>https://www.method.me/customer-success/erazorbits/</v>
      </c>
      <c r="B238" s="1" t="str">
        <f>IFERROR(__xludf.DUMMYFUNCTION("""COMPUTED_VALUE"""),"Method - Customer / Partner Success")</f>
        <v>Method - Customer / Partner Success</v>
      </c>
      <c r="C238" s="1" t="str">
        <f>IFERROR(__xludf.DUMMYFUNCTION("""COMPUTED_VALUE"""),"Other page")</f>
        <v>Other page</v>
      </c>
      <c r="D238" s="1" t="str">
        <f>IFERROR(__xludf.DUMMYFUNCTION("""COMPUTED_VALUE"""),"Erazor Bits")</f>
        <v>Erazor Bits</v>
      </c>
      <c r="E238" s="12">
        <f>IFERROR(__xludf.DUMMYFUNCTION("""COMPUTED_VALUE"""),43735.432337962964)</f>
        <v>43735.43234</v>
      </c>
    </row>
    <row r="239">
      <c r="A239" s="7" t="str">
        <f>IFERROR(__xludf.DUMMYFUNCTION("""COMPUTED_VALUE"""),"https://www.method.me/customer-success/")</f>
        <v>https://www.method.me/customer-success/</v>
      </c>
      <c r="B239" s="1" t="str">
        <f>IFERROR(__xludf.DUMMYFUNCTION("""COMPUTED_VALUE"""),"Method - Customer / Partner Success")</f>
        <v>Method - Customer / Partner Success</v>
      </c>
      <c r="C239" s="1" t="str">
        <f>IFERROR(__xludf.DUMMYFUNCTION("""COMPUTED_VALUE"""),"Other page")</f>
        <v>Other page</v>
      </c>
      <c r="D239" s="1" t="str">
        <f>IFERROR(__xludf.DUMMYFUNCTION("""COMPUTED_VALUE"""),"Customer Stories Home")</f>
        <v>Customer Stories Home</v>
      </c>
      <c r="E239" s="12">
        <f>IFERROR(__xludf.DUMMYFUNCTION("""COMPUTED_VALUE"""),43735.46060185185)</f>
        <v>43735.4606</v>
      </c>
    </row>
    <row r="240">
      <c r="A240" s="7" t="str">
        <f>IFERROR(__xludf.DUMMYFUNCTION("""COMPUTED_VALUE"""),"https://www.method.me/customer-success/")</f>
        <v>https://www.method.me/customer-success/</v>
      </c>
      <c r="B240" s="1" t="str">
        <f>IFERROR(__xludf.DUMMYFUNCTION("""COMPUTED_VALUE"""),"Other page")</f>
        <v>Other page</v>
      </c>
      <c r="C240" s="1" t="str">
        <f>IFERROR(__xludf.DUMMYFUNCTION("""COMPUTED_VALUE"""),"Other page")</f>
        <v>Other page</v>
      </c>
      <c r="D240" s="1" t="str">
        <f>IFERROR(__xludf.DUMMYFUNCTION("""COMPUTED_VALUE"""),"Customer Stories Home")</f>
        <v>Customer Stories Home</v>
      </c>
      <c r="E240" s="12">
        <f>IFERROR(__xludf.DUMMYFUNCTION("""COMPUTED_VALUE"""),43735.46060185185)</f>
        <v>43735.4606</v>
      </c>
    </row>
    <row r="241">
      <c r="A241" s="7" t="str">
        <f>IFERROR(__xludf.DUMMYFUNCTION("""COMPUTED_VALUE"""),"https://www.method.me/blog/")</f>
        <v>https://www.method.me/blog/</v>
      </c>
      <c r="B241" s="1" t="str">
        <f>IFERROR(__xludf.DUMMYFUNCTION("""COMPUTED_VALUE"""),"Other page")</f>
        <v>Other page</v>
      </c>
      <c r="C241" s="1" t="str">
        <f>IFERROR(__xludf.DUMMYFUNCTION("""COMPUTED_VALUE"""),"Other page")</f>
        <v>Other page</v>
      </c>
      <c r="D241" s="1" t="str">
        <f>IFERROR(__xludf.DUMMYFUNCTION("""COMPUTED_VALUE"""),"Blog")</f>
        <v>Blog</v>
      </c>
      <c r="E241" s="12">
        <f>IFERROR(__xludf.DUMMYFUNCTION("""COMPUTED_VALUE"""),43735.50050925926)</f>
        <v>43735.50051</v>
      </c>
    </row>
    <row r="242">
      <c r="A242" s="7" t="str">
        <f>IFERROR(__xludf.DUMMYFUNCTION("""COMPUTED_VALUE"""),"https://www.method.me/legal/privacy-policy/")</f>
        <v>https://www.method.me/legal/privacy-policy/</v>
      </c>
      <c r="B242" s="1" t="str">
        <f>IFERROR(__xludf.DUMMYFUNCTION("""COMPUTED_VALUE"""),"Other page")</f>
        <v>Other page</v>
      </c>
      <c r="C242" s="1" t="str">
        <f>IFERROR(__xludf.DUMMYFUNCTION("""COMPUTED_VALUE"""),"Other page")</f>
        <v>Other page</v>
      </c>
      <c r="D242" s="1" t="str">
        <f>IFERROR(__xludf.DUMMYFUNCTION("""COMPUTED_VALUE"""),"Privacy Policy")</f>
        <v>Privacy Policy</v>
      </c>
      <c r="E242" s="12">
        <f>IFERROR(__xludf.DUMMYFUNCTION("""COMPUTED_VALUE"""),43735.71653935185)</f>
        <v>43735.71654</v>
      </c>
    </row>
    <row r="243">
      <c r="A243" s="7" t="str">
        <f>IFERROR(__xludf.DUMMYFUNCTION("""COMPUTED_VALUE"""),"https://www.method.me/legal/security-and-backup/")</f>
        <v>https://www.method.me/legal/security-and-backup/</v>
      </c>
      <c r="B243" s="1" t="str">
        <f>IFERROR(__xludf.DUMMYFUNCTION("""COMPUTED_VALUE"""),"Other page")</f>
        <v>Other page</v>
      </c>
      <c r="C243" s="1" t="str">
        <f>IFERROR(__xludf.DUMMYFUNCTION("""COMPUTED_VALUE"""),"Other page")</f>
        <v>Other page</v>
      </c>
      <c r="D243" s="1" t="str">
        <f>IFERROR(__xludf.DUMMYFUNCTION("""COMPUTED_VALUE"""),"Security and Backup")</f>
        <v>Security and Backup</v>
      </c>
      <c r="E243" s="12">
        <f>IFERROR(__xludf.DUMMYFUNCTION("""COMPUTED_VALUE"""),43735.73421296296)</f>
        <v>43735.73421</v>
      </c>
    </row>
    <row r="244">
      <c r="A244" s="7" t="str">
        <f>IFERROR(__xludf.DUMMYFUNCTION("""COMPUTED_VALUE"""),"https://www.method.me/legal/")</f>
        <v>https://www.method.me/legal/</v>
      </c>
      <c r="B244" s="1" t="str">
        <f>IFERROR(__xludf.DUMMYFUNCTION("""COMPUTED_VALUE"""),"Other page")</f>
        <v>Other page</v>
      </c>
      <c r="C244" s="1" t="str">
        <f>IFERROR(__xludf.DUMMYFUNCTION("""COMPUTED_VALUE"""),"Other page")</f>
        <v>Other page</v>
      </c>
      <c r="D244" s="1" t="str">
        <f>IFERROR(__xludf.DUMMYFUNCTION("""COMPUTED_VALUE"""),"Legal")</f>
        <v>Legal</v>
      </c>
      <c r="E244" s="12">
        <f>IFERROR(__xludf.DUMMYFUNCTION("""COMPUTED_VALUE"""),43738.393425925926)</f>
        <v>43738.39343</v>
      </c>
    </row>
    <row r="245">
      <c r="A245" s="7" t="str">
        <f>IFERROR(__xludf.DUMMYFUNCTION("""COMPUTED_VALUE"""),"https://www.method.me/features/api/")</f>
        <v>https://www.method.me/features/api/</v>
      </c>
      <c r="B245" s="1" t="str">
        <f>IFERROR(__xludf.DUMMYFUNCTION("""COMPUTED_VALUE"""),"Features page")</f>
        <v>Features page</v>
      </c>
      <c r="C245" s="1" t="str">
        <f>IFERROR(__xludf.DUMMYFUNCTION("""COMPUTED_VALUE"""),"Other page")</f>
        <v>Other page</v>
      </c>
      <c r="D245" s="1" t="str">
        <f>IFERROR(__xludf.DUMMYFUNCTION("""COMPUTED_VALUE"""),"QuickBooks CRM API for developers")</f>
        <v>QuickBooks CRM API for developers</v>
      </c>
      <c r="E245" s="12">
        <f>IFERROR(__xludf.DUMMYFUNCTION("""COMPUTED_VALUE"""),43738.40173611111)</f>
        <v>43738.40174</v>
      </c>
    </row>
    <row r="246">
      <c r="A246" s="7" t="str">
        <f>IFERROR(__xludf.DUMMYFUNCTION("""COMPUTED_VALUE"""),"https://www.method.me/customer-success/digital-signage-resolutions/")</f>
        <v>https://www.method.me/customer-success/digital-signage-resolutions/</v>
      </c>
      <c r="B246" s="1" t="str">
        <f>IFERROR(__xludf.DUMMYFUNCTION("""COMPUTED_VALUE"""),"Method - Customer / Partner Success")</f>
        <v>Method - Customer / Partner Success</v>
      </c>
      <c r="C246" s="1" t="str">
        <f>IFERROR(__xludf.DUMMYFUNCTION("""COMPUTED_VALUE"""),"Other page")</f>
        <v>Other page</v>
      </c>
      <c r="D246" s="1" t="str">
        <f>IFERROR(__xludf.DUMMYFUNCTION("""COMPUTED_VALUE"""),"Digital Signage Resolutions")</f>
        <v>Digital Signage Resolutions</v>
      </c>
      <c r="E246" s="12">
        <f>IFERROR(__xludf.DUMMYFUNCTION("""COMPUTED_VALUE"""),43739.41633101852)</f>
        <v>43739.41633</v>
      </c>
    </row>
    <row r="247">
      <c r="A247" s="7" t="str">
        <f>IFERROR(__xludf.DUMMYFUNCTION("""COMPUTED_VALUE"""),"https://www.method.me/customer-success/digital-signage-resolutions/")</f>
        <v>https://www.method.me/customer-success/digital-signage-resolutions/</v>
      </c>
      <c r="B247" s="1" t="str">
        <f>IFERROR(__xludf.DUMMYFUNCTION("""COMPUTED_VALUE"""),"Other page")</f>
        <v>Other page</v>
      </c>
      <c r="C247" s="1" t="str">
        <f>IFERROR(__xludf.DUMMYFUNCTION("""COMPUTED_VALUE"""),"Other page")</f>
        <v>Other page</v>
      </c>
      <c r="D247" s="1" t="str">
        <f>IFERROR(__xludf.DUMMYFUNCTION("""COMPUTED_VALUE"""),"Digital Signage Resolutions")</f>
        <v>Digital Signage Resolutions</v>
      </c>
      <c r="E247" s="12">
        <f>IFERROR(__xludf.DUMMYFUNCTION("""COMPUTED_VALUE"""),43739.41633101852)</f>
        <v>43739.41633</v>
      </c>
    </row>
    <row r="248">
      <c r="A248" s="7" t="str">
        <f>IFERROR(__xludf.DUMMYFUNCTION("""COMPUTED_VALUE"""),"https://www.method.me/customer-success/doody-calls/")</f>
        <v>https://www.method.me/customer-success/doody-calls/</v>
      </c>
      <c r="B248" s="1" t="str">
        <f>IFERROR(__xludf.DUMMYFUNCTION("""COMPUTED_VALUE"""),"Method - Customer / Partner Success")</f>
        <v>Method - Customer / Partner Success</v>
      </c>
      <c r="C248" s="1" t="str">
        <f>IFERROR(__xludf.DUMMYFUNCTION("""COMPUTED_VALUE"""),"Other page")</f>
        <v>Other page</v>
      </c>
      <c r="D248" s="1" t="str">
        <f>IFERROR(__xludf.DUMMYFUNCTION("""COMPUTED_VALUE"""),"Doody Calls")</f>
        <v>Doody Calls</v>
      </c>
      <c r="E248" s="12">
        <f>IFERROR(__xludf.DUMMYFUNCTION("""COMPUTED_VALUE"""),43739.42637731481)</f>
        <v>43739.42638</v>
      </c>
    </row>
    <row r="249">
      <c r="A249" s="7" t="str">
        <f>IFERROR(__xludf.DUMMYFUNCTION("""COMPUTED_VALUE"""),"https://www.method.me/customer-success/guard-up/")</f>
        <v>https://www.method.me/customer-success/guard-up/</v>
      </c>
      <c r="B249" s="1" t="str">
        <f>IFERROR(__xludf.DUMMYFUNCTION("""COMPUTED_VALUE"""),"Method - Customer / Partner Success")</f>
        <v>Method - Customer / Partner Success</v>
      </c>
      <c r="C249" s="1" t="str">
        <f>IFERROR(__xludf.DUMMYFUNCTION("""COMPUTED_VALUE"""),"Other page")</f>
        <v>Other page</v>
      </c>
      <c r="D249" s="1" t="str">
        <f>IFERROR(__xludf.DUMMYFUNCTION("""COMPUTED_VALUE"""),"Guard Up!")</f>
        <v>Guard Up!</v>
      </c>
      <c r="E249" s="12">
        <f>IFERROR(__xludf.DUMMYFUNCTION("""COMPUTED_VALUE"""),43739.42686342593)</f>
        <v>43739.42686</v>
      </c>
    </row>
    <row r="250">
      <c r="A250" s="7" t="str">
        <f>IFERROR(__xludf.DUMMYFUNCTION("""COMPUTED_VALUE"""),"https://www.method.me/customer-success/healthlinc/")</f>
        <v>https://www.method.me/customer-success/healthlinc/</v>
      </c>
      <c r="B250" s="1" t="str">
        <f>IFERROR(__xludf.DUMMYFUNCTION("""COMPUTED_VALUE"""),"Method - Customer / Partner Success")</f>
        <v>Method - Customer / Partner Success</v>
      </c>
      <c r="C250" s="1" t="str">
        <f>IFERROR(__xludf.DUMMYFUNCTION("""COMPUTED_VALUE"""),"Other page")</f>
        <v>Other page</v>
      </c>
      <c r="D250" s="1" t="str">
        <f>IFERROR(__xludf.DUMMYFUNCTION("""COMPUTED_VALUE"""),"HealthLinc Medical Equipment")</f>
        <v>HealthLinc Medical Equipment</v>
      </c>
      <c r="E250" s="12">
        <f>IFERROR(__xludf.DUMMYFUNCTION("""COMPUTED_VALUE"""),43739.427395833336)</f>
        <v>43739.4274</v>
      </c>
    </row>
    <row r="251">
      <c r="A251" s="7" t="str">
        <f>IFERROR(__xludf.DUMMYFUNCTION("""COMPUTED_VALUE"""),"https://www.method.me/customer-success/gtm-landscaping/")</f>
        <v>https://www.method.me/customer-success/gtm-landscaping/</v>
      </c>
      <c r="B251" s="1" t="str">
        <f>IFERROR(__xludf.DUMMYFUNCTION("""COMPUTED_VALUE"""),"Method - Customer / Partner Success")</f>
        <v>Method - Customer / Partner Success</v>
      </c>
      <c r="C251" s="1" t="str">
        <f>IFERROR(__xludf.DUMMYFUNCTION("""COMPUTED_VALUE"""),"Other page")</f>
        <v>Other page</v>
      </c>
      <c r="D251" s="1" t="str">
        <f>IFERROR(__xludf.DUMMYFUNCTION("""COMPUTED_VALUE"""),"GTM Landscaping")</f>
        <v>GTM Landscaping</v>
      </c>
      <c r="E251" s="12">
        <f>IFERROR(__xludf.DUMMYFUNCTION("""COMPUTED_VALUE"""),43739.42799768518)</f>
        <v>43739.428</v>
      </c>
    </row>
    <row r="252">
      <c r="A252" s="7" t="str">
        <f>IFERROR(__xludf.DUMMYFUNCTION("""COMPUTED_VALUE"""),"https://www.method.me/customer-success/sky-products/")</f>
        <v>https://www.method.me/customer-success/sky-products/</v>
      </c>
      <c r="B252" s="1" t="str">
        <f>IFERROR(__xludf.DUMMYFUNCTION("""COMPUTED_VALUE"""),"Method - Customer / Partner Success")</f>
        <v>Method - Customer / Partner Success</v>
      </c>
      <c r="C252" s="1" t="str">
        <f>IFERROR(__xludf.DUMMYFUNCTION("""COMPUTED_VALUE"""),"Other page")</f>
        <v>Other page</v>
      </c>
      <c r="D252" s="1" t="str">
        <f>IFERROR(__xludf.DUMMYFUNCTION("""COMPUTED_VALUE"""),"Sky Products")</f>
        <v>Sky Products</v>
      </c>
      <c r="E252" s="12">
        <f>IFERROR(__xludf.DUMMYFUNCTION("""COMPUTED_VALUE"""),43739.42851851852)</f>
        <v>43739.42852</v>
      </c>
    </row>
    <row r="253">
      <c r="A253" s="7" t="str">
        <f>IFERROR(__xludf.DUMMYFUNCTION("""COMPUTED_VALUE"""),"https://www.method.me/features/email-campaigns/")</f>
        <v>https://www.method.me/features/email-campaigns/</v>
      </c>
      <c r="B253" s="1" t="str">
        <f>IFERROR(__xludf.DUMMYFUNCTION("""COMPUTED_VALUE"""),"Features page")</f>
        <v>Features page</v>
      </c>
      <c r="C253" s="1" t="str">
        <f>IFERROR(__xludf.DUMMYFUNCTION("""COMPUTED_VALUE"""),"Other page")</f>
        <v>Other page</v>
      </c>
      <c r="D253" s="1" t="str">
        <f>IFERROR(__xludf.DUMMYFUNCTION("""COMPUTED_VALUE"""),"CRM Email Campaigns")</f>
        <v>CRM Email Campaigns</v>
      </c>
      <c r="E253" s="12">
        <f>IFERROR(__xludf.DUMMYFUNCTION("""COMPUTED_VALUE"""),43739.46800925926)</f>
        <v>43739.46801</v>
      </c>
    </row>
    <row r="254">
      <c r="A254" s="7" t="str">
        <f>IFERROR(__xludf.DUMMYFUNCTION("""COMPUTED_VALUE"""),"https://www.method.me/features/mobile-app/")</f>
        <v>https://www.method.me/features/mobile-app/</v>
      </c>
      <c r="B254" s="1" t="str">
        <f>IFERROR(__xludf.DUMMYFUNCTION("""COMPUTED_VALUE"""),"Features page")</f>
        <v>Features page</v>
      </c>
      <c r="C254" s="1" t="str">
        <f>IFERROR(__xludf.DUMMYFUNCTION("""COMPUTED_VALUE"""),"Other page")</f>
        <v>Other page</v>
      </c>
      <c r="D254" s="1" t="str">
        <f>IFERROR(__xludf.DUMMYFUNCTION("""COMPUTED_VALUE"""),"QuickBooks CRM App for Samsung, Android, iPhone &amp; iPad")</f>
        <v>QuickBooks CRM App for Samsung, Android, iPhone &amp; iPad</v>
      </c>
      <c r="E254" s="12">
        <f>IFERROR(__xludf.DUMMYFUNCTION("""COMPUTED_VALUE"""),43739.479108796295)</f>
        <v>43739.47911</v>
      </c>
    </row>
    <row r="255">
      <c r="A255" s="7" t="str">
        <f>IFERROR(__xludf.DUMMYFUNCTION("""COMPUTED_VALUE"""),"https://www.method.me/features/outlook/")</f>
        <v>https://www.method.me/features/outlook/</v>
      </c>
      <c r="B255" s="1" t="str">
        <f>IFERROR(__xludf.DUMMYFUNCTION("""COMPUTED_VALUE"""),"Features page")</f>
        <v>Features page</v>
      </c>
      <c r="C255" s="1" t="str">
        <f>IFERROR(__xludf.DUMMYFUNCTION("""COMPUTED_VALUE"""),"Other page")</f>
        <v>Other page</v>
      </c>
      <c r="D255" s="1" t="str">
        <f>IFERROR(__xludf.DUMMYFUNCTION("""COMPUTED_VALUE"""),"CRM portals")</f>
        <v>CRM portals</v>
      </c>
      <c r="E255" s="12">
        <f>IFERROR(__xludf.DUMMYFUNCTION("""COMPUTED_VALUE"""),43739.48898148148)</f>
        <v>43739.48898</v>
      </c>
    </row>
    <row r="256">
      <c r="A256" s="7" t="str">
        <f>IFERROR(__xludf.DUMMYFUNCTION("""COMPUTED_VALUE"""),"https://www.method.me/features/payment-gateways/")</f>
        <v>https://www.method.me/features/payment-gateways/</v>
      </c>
      <c r="B256" s="1" t="str">
        <f>IFERROR(__xludf.DUMMYFUNCTION("""COMPUTED_VALUE"""),"Features page")</f>
        <v>Features page</v>
      </c>
      <c r="C256" s="1" t="str">
        <f>IFERROR(__xludf.DUMMYFUNCTION("""COMPUTED_VALUE"""),"Other page")</f>
        <v>Other page</v>
      </c>
      <c r="D256" s="1" t="str">
        <f>IFERROR(__xludf.DUMMYFUNCTION("""COMPUTED_VALUE"""),"Accept credit card payments in your CRM")</f>
        <v>Accept credit card payments in your CRM</v>
      </c>
      <c r="E256" s="12">
        <f>IFERROR(__xludf.DUMMYFUNCTION("""COMPUTED_VALUE"""),43739.49537037037)</f>
        <v>43739.49537</v>
      </c>
    </row>
    <row r="257">
      <c r="A257" s="7" t="str">
        <f>IFERROR(__xludf.DUMMYFUNCTION("""COMPUTED_VALUE"""),"https://www.method.me/refer/nonprofit/")</f>
        <v>https://www.method.me/refer/nonprofit/</v>
      </c>
      <c r="B257" s="1" t="str">
        <f>IFERROR(__xludf.DUMMYFUNCTION("""COMPUTED_VALUE"""),"Partner page")</f>
        <v>Partner page</v>
      </c>
      <c r="C257" s="1" t="str">
        <f>IFERROR(__xludf.DUMMYFUNCTION("""COMPUTED_VALUE"""),"Other page")</f>
        <v>Other page</v>
      </c>
      <c r="D257" s="1" t="str">
        <f>IFERROR(__xludf.DUMMYFUNCTION("""COMPUTED_VALUE"""),"Free Trial (Donor Partner)")</f>
        <v>Free Trial (Donor Partner)</v>
      </c>
      <c r="E257" s="12">
        <f>IFERROR(__xludf.DUMMYFUNCTION("""COMPUTED_VALUE"""),43740.55803240741)</f>
        <v>43740.55803</v>
      </c>
    </row>
    <row r="258">
      <c r="A258" s="7" t="str">
        <f>IFERROR(__xludf.DUMMYFUNCTION("""COMPUTED_VALUE"""),"https://www.method.me/about-us/team/")</f>
        <v>https://www.method.me/about-us/team/</v>
      </c>
      <c r="B258" s="1" t="str">
        <f>IFERROR(__xludf.DUMMYFUNCTION("""COMPUTED_VALUE"""),"Other page")</f>
        <v>Other page</v>
      </c>
      <c r="C258" s="1" t="str">
        <f>IFERROR(__xludf.DUMMYFUNCTION("""COMPUTED_VALUE"""),"Other page")</f>
        <v>Other page</v>
      </c>
      <c r="D258" s="1" t="str">
        <f>IFERROR(__xludf.DUMMYFUNCTION("""COMPUTED_VALUE"""),"Meet the Team")</f>
        <v>Meet the Team</v>
      </c>
      <c r="E258" s="12">
        <f>IFERROR(__xludf.DUMMYFUNCTION("""COMPUTED_VALUE"""),43741.525300925925)</f>
        <v>43741.5253</v>
      </c>
    </row>
    <row r="259">
      <c r="A259" s="7" t="str">
        <f>IFERROR(__xludf.DUMMYFUNCTION("""COMPUTED_VALUE"""),"https://www.method.me/blog/convert-screen-routines-to-app-routines/")</f>
        <v>https://www.method.me/blog/convert-screen-routines-to-app-routines/</v>
      </c>
      <c r="B259" s="1" t="str">
        <f>IFERROR(__xludf.DUMMYFUNCTION("""COMPUTED_VALUE"""),"Method - Product Updates")</f>
        <v>Method - Product Updates</v>
      </c>
      <c r="C259" s="1" t="str">
        <f>IFERROR(__xludf.DUMMYFUNCTION("""COMPUTED_VALUE"""),"Blog")</f>
        <v>Blog</v>
      </c>
      <c r="D259" s="1" t="str">
        <f>IFERROR(__xludf.DUMMYFUNCTION("""COMPUTED_VALUE"""),"[New!] Convert Screen Routines to App Routines")</f>
        <v>[New!] Convert Screen Routines to App Routines</v>
      </c>
      <c r="E259" s="12">
        <f>IFERROR(__xludf.DUMMYFUNCTION("""COMPUTED_VALUE"""),43818.633425925924)</f>
        <v>43818.63343</v>
      </c>
    </row>
    <row r="260">
      <c r="A260" s="7" t="str">
        <f>IFERROR(__xludf.DUMMYFUNCTION("""COMPUTED_VALUE"""),"https://www.method.me/blog/why-excel-accounting-is-a-threat-to-your-business/")</f>
        <v>https://www.method.me/blog/why-excel-accounting-is-a-threat-to-your-business/</v>
      </c>
      <c r="B260" s="1" t="str">
        <f>IFERROR(__xludf.DUMMYFUNCTION("""COMPUTED_VALUE"""),"Accounting")</f>
        <v>Accounting</v>
      </c>
      <c r="C260" s="1" t="str">
        <f>IFERROR(__xludf.DUMMYFUNCTION("""COMPUTED_VALUE"""),"Blog")</f>
        <v>Blog</v>
      </c>
      <c r="D260" s="1" t="str">
        <f>IFERROR(__xludf.DUMMYFUNCTION("""COMPUTED_VALUE"""),"Why Excel accounting is a threat to your business")</f>
        <v>Why Excel accounting is a threat to your business</v>
      </c>
      <c r="E260" s="12">
        <f>IFERROR(__xludf.DUMMYFUNCTION("""COMPUTED_VALUE"""),43872.52276620371)</f>
        <v>43872.52277</v>
      </c>
    </row>
    <row r="261">
      <c r="A261" s="7" t="str">
        <f>IFERROR(__xludf.DUMMYFUNCTION("""COMPUTED_VALUE"""),"https://www.method.me/blog/ultimate-small-business-year-end-checklist/")</f>
        <v>https://www.method.me/blog/ultimate-small-business-year-end-checklist/</v>
      </c>
      <c r="B261" s="1" t="str">
        <f>IFERROR(__xludf.DUMMYFUNCTION("""COMPUTED_VALUE"""),"Small business / Nonprofit")</f>
        <v>Small business / Nonprofit</v>
      </c>
      <c r="C261" s="1" t="str">
        <f>IFERROR(__xludf.DUMMYFUNCTION("""COMPUTED_VALUE"""),"Blog")</f>
        <v>Blog</v>
      </c>
      <c r="D261" s="1" t="str">
        <f>IFERROR(__xludf.DUMMYFUNCTION("""COMPUTED_VALUE"""),"The Ultimate Small Business Year End Checklist")</f>
        <v>The Ultimate Small Business Year End Checklist</v>
      </c>
      <c r="E261" s="12">
        <f>IFERROR(__xludf.DUMMYFUNCTION("""COMPUTED_VALUE"""),43874.48888888889)</f>
        <v>43874.48889</v>
      </c>
    </row>
    <row r="262">
      <c r="A262" s="7" t="str">
        <f>IFERROR(__xludf.DUMMYFUNCTION("""COMPUTED_VALUE"""),"https://www.method.me/blog/method-crm-features-to-get-excited-about/")</f>
        <v>https://www.method.me/blog/method-crm-features-to-get-excited-about/</v>
      </c>
      <c r="B262" s="1" t="str">
        <f>IFERROR(__xludf.DUMMYFUNCTION("""COMPUTED_VALUE"""),"Method - Product Updates")</f>
        <v>Method - Product Updates</v>
      </c>
      <c r="C262" s="1" t="str">
        <f>IFERROR(__xludf.DUMMYFUNCTION("""COMPUTED_VALUE"""),"Blog")</f>
        <v>Blog</v>
      </c>
      <c r="D262" s="1" t="str">
        <f>IFERROR(__xludf.DUMMYFUNCTION("""COMPUTED_VALUE"""),"Method:CRM features to get excited about in 2020")</f>
        <v>Method:CRM features to get excited about in 2020</v>
      </c>
      <c r="E262" s="12">
        <f>IFERROR(__xludf.DUMMYFUNCTION("""COMPUTED_VALUE"""),43881.430555555555)</f>
        <v>43881.43056</v>
      </c>
    </row>
    <row r="263">
      <c r="A263" s="7" t="str">
        <f>IFERROR(__xludf.DUMMYFUNCTION("""COMPUTED_VALUE"""),"https://www.method.me/blog/how-to-improve-customer-service/")</f>
        <v>https://www.method.me/blog/how-to-improve-customer-service/</v>
      </c>
      <c r="B263" s="1" t="str">
        <f>IFERROR(__xludf.DUMMYFUNCTION("""COMPUTED_VALUE"""),"Small business / Nonprofit")</f>
        <v>Small business / Nonprofit</v>
      </c>
      <c r="C263" s="1" t="str">
        <f>IFERROR(__xludf.DUMMYFUNCTION("""COMPUTED_VALUE"""),"Blog")</f>
        <v>Blog</v>
      </c>
      <c r="D263" s="1" t="str">
        <f>IFERROR(__xludf.DUMMYFUNCTION("""COMPUTED_VALUE"""),"How Small Businesses Can Win Against the Big Guys")</f>
        <v>How Small Businesses Can Win Against the Big Guys</v>
      </c>
      <c r="E263" s="12">
        <f>IFERROR(__xludf.DUMMYFUNCTION("""COMPUTED_VALUE"""),43897.708333333336)</f>
        <v>43897.70833</v>
      </c>
    </row>
    <row r="264">
      <c r="A264" s="7" t="str">
        <f>IFERROR(__xludf.DUMMYFUNCTION("""COMPUTED_VALUE"""),"https://www.method.me/blog/product-update-march-2020/")</f>
        <v>https://www.method.me/blog/product-update-march-2020/</v>
      </c>
      <c r="B264" s="1" t="str">
        <f>IFERROR(__xludf.DUMMYFUNCTION("""COMPUTED_VALUE"""),"Method - Product Updates")</f>
        <v>Method - Product Updates</v>
      </c>
      <c r="C264" s="1" t="str">
        <f>IFERROR(__xludf.DUMMYFUNCTION("""COMPUTED_VALUE"""),"Blog")</f>
        <v>Blog</v>
      </c>
      <c r="D264" s="1" t="str">
        <f>IFERROR(__xludf.DUMMYFUNCTION("""COMPUTED_VALUE"""),"Everything you need to know about Method’s Updated Experience")</f>
        <v>Everything you need to know about Method’s Updated Experience</v>
      </c>
      <c r="E264" s="12">
        <f>IFERROR(__xludf.DUMMYFUNCTION("""COMPUTED_VALUE"""),43900.38627314815)</f>
        <v>43900.38627</v>
      </c>
    </row>
    <row r="265">
      <c r="A265" s="7" t="str">
        <f>IFERROR(__xludf.DUMMYFUNCTION("""COMPUTED_VALUE"""),"https://www.method.me/blog/accounting-data/")</f>
        <v>https://www.method.me/blog/accounting-data/</v>
      </c>
      <c r="B265" s="1" t="str">
        <f>IFERROR(__xludf.DUMMYFUNCTION("""COMPUTED_VALUE"""),"Accounting")</f>
        <v>Accounting</v>
      </c>
      <c r="C265" s="1" t="str">
        <f>IFERROR(__xludf.DUMMYFUNCTION("""COMPUTED_VALUE"""),"Blog")</f>
        <v>Blog</v>
      </c>
      <c r="D265" s="1" t="str">
        <f>IFERROR(__xludf.DUMMYFUNCTION("""COMPUTED_VALUE"""),"The Value of Shared Accounting Data")</f>
        <v>The Value of Shared Accounting Data</v>
      </c>
      <c r="E265" s="12">
        <f>IFERROR(__xludf.DUMMYFUNCTION("""COMPUTED_VALUE"""),43903.70894675926)</f>
        <v>43903.70895</v>
      </c>
    </row>
    <row r="266">
      <c r="A266" s="7" t="str">
        <f>IFERROR(__xludf.DUMMYFUNCTION("""COMPUTED_VALUE"""),"https://www.method.me/blog/lead-gen-form/")</f>
        <v>https://www.method.me/blog/lead-gen-form/</v>
      </c>
      <c r="B266" s="1" t="str">
        <f>IFERROR(__xludf.DUMMYFUNCTION("""COMPUTED_VALUE"""),"Sales / Marketing / Lead gen")</f>
        <v>Sales / Marketing / Lead gen</v>
      </c>
      <c r="C266" s="1" t="str">
        <f>IFERROR(__xludf.DUMMYFUNCTION("""COMPUTED_VALUE"""),"Blog")</f>
        <v>Blog</v>
      </c>
      <c r="D266" s="1" t="str">
        <f>IFERROR(__xludf.DUMMYFUNCTION("""COMPUTED_VALUE"""),"How Automation Helps You Get the Most from a Lead Gen Form")</f>
        <v>How Automation Helps You Get the Most from a Lead Gen Form</v>
      </c>
      <c r="E266" s="12">
        <f>IFERROR(__xludf.DUMMYFUNCTION("""COMPUTED_VALUE"""),43908.71712962963)</f>
        <v>43908.71713</v>
      </c>
    </row>
    <row r="267">
      <c r="A267" s="7" t="str">
        <f>IFERROR(__xludf.DUMMYFUNCTION("""COMPUTED_VALUE"""),"https://www.method.me/values/")</f>
        <v>https://www.method.me/values/</v>
      </c>
      <c r="B267" s="1" t="str">
        <f>IFERROR(__xludf.DUMMYFUNCTION("""COMPUTED_VALUE"""),"Other page")</f>
        <v>Other page</v>
      </c>
      <c r="C267" s="1" t="str">
        <f>IFERROR(__xludf.DUMMYFUNCTION("""COMPUTED_VALUE"""),"Other page")</f>
        <v>Other page</v>
      </c>
      <c r="D267" s="1" t="str">
        <f>IFERROR(__xludf.DUMMYFUNCTION("""COMPUTED_VALUE"""),"Values")</f>
        <v>Values</v>
      </c>
      <c r="E267" s="12">
        <f>IFERROR(__xludf.DUMMYFUNCTION("""COMPUTED_VALUE"""),43909.64586805556)</f>
        <v>43909.64587</v>
      </c>
    </row>
    <row r="268">
      <c r="A268" s="7" t="str">
        <f>IFERROR(__xludf.DUMMYFUNCTION("""COMPUTED_VALUE"""),"https://www.method.me/blog/sales-workflow/")</f>
        <v>https://www.method.me/blog/sales-workflow/</v>
      </c>
      <c r="B268" s="1" t="str">
        <f>IFERROR(__xludf.DUMMYFUNCTION("""COMPUTED_VALUE"""),"Sales / Marketing / Lead gen")</f>
        <v>Sales / Marketing / Lead gen</v>
      </c>
      <c r="C268" s="1" t="str">
        <f>IFERROR(__xludf.DUMMYFUNCTION("""COMPUTED_VALUE"""),"Blog")</f>
        <v>Blog</v>
      </c>
      <c r="D268" s="1" t="str">
        <f>IFERROR(__xludf.DUMMYFUNCTION("""COMPUTED_VALUE"""),"Sales workflow secrets you don’t want to miss out on")</f>
        <v>Sales workflow secrets you don’t want to miss out on</v>
      </c>
      <c r="E268" s="12">
        <f>IFERROR(__xludf.DUMMYFUNCTION("""COMPUTED_VALUE"""),43910.535208333335)</f>
        <v>43910.53521</v>
      </c>
    </row>
    <row r="269">
      <c r="A269" s="7" t="str">
        <f>IFERROR(__xludf.DUMMYFUNCTION("""COMPUTED_VALUE"""),"https://www.method.me/blog/covid-small-business-resources/")</f>
        <v>https://www.method.me/blog/covid-small-business-resources/</v>
      </c>
      <c r="B269" s="1" t="str">
        <f>IFERROR(__xludf.DUMMYFUNCTION("""COMPUTED_VALUE"""),"Misc. info")</f>
        <v>Misc. info</v>
      </c>
      <c r="C269" s="1" t="str">
        <f>IFERROR(__xludf.DUMMYFUNCTION("""COMPUTED_VALUE"""),"Blog")</f>
        <v>Blog</v>
      </c>
      <c r="D269" s="1" t="str">
        <f>IFERROR(__xludf.DUMMYFUNCTION("""COMPUTED_VALUE"""),"COVID 19 business resources to get you through the pandemic")</f>
        <v>COVID 19 business resources to get you through the pandemic</v>
      </c>
      <c r="E269" s="12">
        <f>IFERROR(__xludf.DUMMYFUNCTION("""COMPUTED_VALUE"""),43914.634780092594)</f>
        <v>43914.63478</v>
      </c>
    </row>
    <row r="270">
      <c r="A270" s="7" t="str">
        <f>IFERROR(__xludf.DUMMYFUNCTION("""COMPUTED_VALUE"""),"https://www.method.me/legal/fair-usage-policy/")</f>
        <v>https://www.method.me/legal/fair-usage-policy/</v>
      </c>
      <c r="B270" s="1" t="str">
        <f>IFERROR(__xludf.DUMMYFUNCTION("""COMPUTED_VALUE"""),"Other page")</f>
        <v>Other page</v>
      </c>
      <c r="C270" s="1" t="str">
        <f>IFERROR(__xludf.DUMMYFUNCTION("""COMPUTED_VALUE"""),"Other page")</f>
        <v>Other page</v>
      </c>
      <c r="D270" s="1" t="str">
        <f>IFERROR(__xludf.DUMMYFUNCTION("""COMPUTED_VALUE"""),"Fair Usage Policy")</f>
        <v>Fair Usage Policy</v>
      </c>
      <c r="E270" s="12">
        <f>IFERROR(__xludf.DUMMYFUNCTION("""COMPUTED_VALUE"""),43916.38476851852)</f>
        <v>43916.38477</v>
      </c>
    </row>
    <row r="271">
      <c r="A271" s="7" t="str">
        <f>IFERROR(__xludf.DUMMYFUNCTION("""COMPUTED_VALUE"""),"https://www.method.me/blog/sales-strategy/")</f>
        <v>https://www.method.me/blog/sales-strategy/</v>
      </c>
      <c r="B271" s="1" t="str">
        <f>IFERROR(__xludf.DUMMYFUNCTION("""COMPUTED_VALUE"""),"Sales / Marketing / Lead gen")</f>
        <v>Sales / Marketing / Lead gen</v>
      </c>
      <c r="C271" s="1" t="str">
        <f>IFERROR(__xludf.DUMMYFUNCTION("""COMPUTED_VALUE"""),"Blog")</f>
        <v>Blog</v>
      </c>
      <c r="D271" s="1" t="str">
        <f>IFERROR(__xludf.DUMMYFUNCTION("""COMPUTED_VALUE"""),"The Insider Tips You Need to Perfect Your Sales Strategy")</f>
        <v>The Insider Tips You Need to Perfect Your Sales Strategy</v>
      </c>
      <c r="E271" s="12">
        <f>IFERROR(__xludf.DUMMYFUNCTION("""COMPUTED_VALUE"""),43916.67487268519)</f>
        <v>43916.67487</v>
      </c>
    </row>
    <row r="272">
      <c r="A272" s="7" t="str">
        <f>IFERROR(__xludf.DUMMYFUNCTION("""COMPUTED_VALUE"""),"https://www.method.me/blog/coronavirus-stimulus-package/")</f>
        <v>https://www.method.me/blog/coronavirus-stimulus-package/</v>
      </c>
      <c r="B272" s="1" t="str">
        <f>IFERROR(__xludf.DUMMYFUNCTION("""COMPUTED_VALUE"""),"Small business / Nonprofit")</f>
        <v>Small business / Nonprofit</v>
      </c>
      <c r="C272" s="1" t="str">
        <f>IFERROR(__xludf.DUMMYFUNCTION("""COMPUTED_VALUE"""),"Blog")</f>
        <v>Blog</v>
      </c>
      <c r="D272" s="1" t="str">
        <f>IFERROR(__xludf.DUMMYFUNCTION("""COMPUTED_VALUE"""),"Coronavirus stimulus package: What small businesses need to know")</f>
        <v>Coronavirus stimulus package: What small businesses need to know</v>
      </c>
      <c r="E272" s="12">
        <f>IFERROR(__xludf.DUMMYFUNCTION("""COMPUTED_VALUE"""),43921.45684027778)</f>
        <v>43921.45684</v>
      </c>
    </row>
    <row r="273">
      <c r="A273" s="7" t="str">
        <f>IFERROR(__xludf.DUMMYFUNCTION("""COMPUTED_VALUE"""),"https://www.method.me/blog/work-from-home-apps/")</f>
        <v>https://www.method.me/blog/work-from-home-apps/</v>
      </c>
      <c r="B273" s="1" t="str">
        <f>IFERROR(__xludf.DUMMYFUNCTION("""COMPUTED_VALUE"""),"Listicle - Software / Software overview")</f>
        <v>Listicle - Software / Software overview</v>
      </c>
      <c r="C273" s="1" t="str">
        <f>IFERROR(__xludf.DUMMYFUNCTION("""COMPUTED_VALUE"""),"Blog")</f>
        <v>Blog</v>
      </c>
      <c r="D273" s="1" t="str">
        <f>IFERROR(__xludf.DUMMYFUNCTION("""COMPUTED_VALUE"""),"8 work from home apps to increase your productivity")</f>
        <v>8 work from home apps to increase your productivity</v>
      </c>
      <c r="E273" s="12">
        <f>IFERROR(__xludf.DUMMYFUNCTION("""COMPUTED_VALUE"""),43923.51356481481)</f>
        <v>43923.51356</v>
      </c>
    </row>
    <row r="274">
      <c r="A274" s="7" t="str">
        <f>IFERROR(__xludf.DUMMYFUNCTION("""COMPUTED_VALUE"""),"https://www.method.me/blog/5-step-sales-process/")</f>
        <v>https://www.method.me/blog/5-step-sales-process/</v>
      </c>
      <c r="B274" s="1" t="str">
        <f>IFERROR(__xludf.DUMMYFUNCTION("""COMPUTED_VALUE"""),"Sales / Marketing / Lead gen")</f>
        <v>Sales / Marketing / Lead gen</v>
      </c>
      <c r="C274" s="1" t="str">
        <f>IFERROR(__xludf.DUMMYFUNCTION("""COMPUTED_VALUE"""),"Blog")</f>
        <v>Blog</v>
      </c>
      <c r="D274" s="1" t="str">
        <f>IFERROR(__xludf.DUMMYFUNCTION("""COMPUTED_VALUE"""),"Mastering Sales Process Steps — 5 Steps That Will Boost Your Bottom Line")</f>
        <v>Mastering Sales Process Steps — 5 Steps That Will Boost Your Bottom Line</v>
      </c>
      <c r="E274" s="12">
        <f>IFERROR(__xludf.DUMMYFUNCTION("""COMPUTED_VALUE"""),43929.4369212963)</f>
        <v>43929.43692</v>
      </c>
    </row>
    <row r="275">
      <c r="A275" s="7" t="str">
        <f>IFERROR(__xludf.DUMMYFUNCTION("""COMPUTED_VALUE"""),"https://www.method.me/crm-quickbooks/quickbooks-remote-access/")</f>
        <v>https://www.method.me/crm-quickbooks/quickbooks-remote-access/</v>
      </c>
      <c r="B275" s="1" t="str">
        <f>IFERROR(__xludf.DUMMYFUNCTION("""COMPUTED_VALUE"""),"/crm-quickbooks/")</f>
        <v>/crm-quickbooks/</v>
      </c>
      <c r="C275" s="1" t="str">
        <f>IFERROR(__xludf.DUMMYFUNCTION("""COMPUTED_VALUE"""),"Other page")</f>
        <v>Other page</v>
      </c>
      <c r="D275" s="1" t="str">
        <f>IFERROR(__xludf.DUMMYFUNCTION("""COMPUTED_VALUE"""),"QuickBooks remote access made easy")</f>
        <v>QuickBooks remote access made easy</v>
      </c>
      <c r="E275" s="12">
        <f>IFERROR(__xludf.DUMMYFUNCTION("""COMPUTED_VALUE"""),43929.569236111114)</f>
        <v>43929.56924</v>
      </c>
    </row>
    <row r="276">
      <c r="A276" s="7" t="str">
        <f>IFERROR(__xludf.DUMMYFUNCTION("""COMPUTED_VALUE"""),"https://www.method.me/covid-19-business-resources/")</f>
        <v>https://www.method.me/covid-19-business-resources/</v>
      </c>
      <c r="B276" s="1" t="str">
        <f>IFERROR(__xludf.DUMMYFUNCTION("""COMPUTED_VALUE"""),"Other page")</f>
        <v>Other page</v>
      </c>
      <c r="C276" s="1" t="str">
        <f>IFERROR(__xludf.DUMMYFUNCTION("""COMPUTED_VALUE"""),"Other page")</f>
        <v>Other page</v>
      </c>
      <c r="D276" s="1" t="str">
        <f>IFERROR(__xludf.DUMMYFUNCTION("""COMPUTED_VALUE"""),"COVID-19 Resources for Small Businesses")</f>
        <v>COVID-19 Resources for Small Businesses</v>
      </c>
      <c r="E276" s="12">
        <f>IFERROR(__xludf.DUMMYFUNCTION("""COMPUTED_VALUE"""),43929.677037037036)</f>
        <v>43929.67704</v>
      </c>
    </row>
    <row r="277">
      <c r="A277" s="7" t="str">
        <f>IFERROR(__xludf.DUMMYFUNCTION("""COMPUTED_VALUE"""),"https://www.method.me/blog/quickbooks-paycheck-protection-program/")</f>
        <v>https://www.method.me/blog/quickbooks-paycheck-protection-program/</v>
      </c>
      <c r="B277" s="1" t="str">
        <f>IFERROR(__xludf.DUMMYFUNCTION("""COMPUTED_VALUE"""),"QuickBooks - How-to")</f>
        <v>QuickBooks - How-to</v>
      </c>
      <c r="C277" s="1" t="str">
        <f>IFERROR(__xludf.DUMMYFUNCTION("""COMPUTED_VALUE"""),"Blog")</f>
        <v>Blog</v>
      </c>
      <c r="D277" s="1" t="str">
        <f>IFERROR(__xludf.DUMMYFUNCTION("""COMPUTED_VALUE"""),"QuickBooks paycheck protection program: what you need to know")</f>
        <v>QuickBooks paycheck protection program: what you need to know</v>
      </c>
      <c r="E277" s="12">
        <f>IFERROR(__xludf.DUMMYFUNCTION("""COMPUTED_VALUE"""),43935.5187037037)</f>
        <v>43935.5187</v>
      </c>
    </row>
    <row r="278">
      <c r="A278" s="7" t="str">
        <f>IFERROR(__xludf.DUMMYFUNCTION("""COMPUTED_VALUE"""),"https://www.method.me/blog/quickbooks-crm-integration/")</f>
        <v>https://www.method.me/blog/quickbooks-crm-integration/</v>
      </c>
      <c r="B278" s="1" t="str">
        <f>IFERROR(__xludf.DUMMYFUNCTION("""COMPUTED_VALUE"""),"CRM")</f>
        <v>CRM</v>
      </c>
      <c r="C278" s="1" t="str">
        <f>IFERROR(__xludf.DUMMYFUNCTION("""COMPUTED_VALUE"""),"Blog")</f>
        <v>Blog</v>
      </c>
      <c r="D278" s="1" t="str">
        <f>IFERROR(__xludf.DUMMYFUNCTION("""COMPUTED_VALUE"""),"QuickBooks CRM integration: How to make the right choice")</f>
        <v>QuickBooks CRM integration: How to make the right choice</v>
      </c>
      <c r="E278" s="12">
        <f>IFERROR(__xludf.DUMMYFUNCTION("""COMPUTED_VALUE"""),43938.63318287037)</f>
        <v>43938.63318</v>
      </c>
    </row>
    <row r="279">
      <c r="A279" s="7" t="str">
        <f>IFERROR(__xludf.DUMMYFUNCTION("""COMPUTED_VALUE"""),"https://www.method.me/blog/field-services-update-april-2020/")</f>
        <v>https://www.method.me/blog/field-services-update-april-2020/</v>
      </c>
      <c r="B279" s="1" t="str">
        <f>IFERROR(__xludf.DUMMYFUNCTION("""COMPUTED_VALUE"""),"Method - Product Updates")</f>
        <v>Method - Product Updates</v>
      </c>
      <c r="C279" s="1" t="str">
        <f>IFERROR(__xludf.DUMMYFUNCTION("""COMPUTED_VALUE"""),"Blog")</f>
        <v>Blog</v>
      </c>
      <c r="D279" s="1" t="str">
        <f>IFERROR(__xludf.DUMMYFUNCTION("""COMPUTED_VALUE"""),"New Method:Field Services features are live")</f>
        <v>New Method:Field Services features are live</v>
      </c>
      <c r="E279" s="12">
        <f>IFERROR(__xludf.DUMMYFUNCTION("""COMPUTED_VALUE"""),43941.416666666664)</f>
        <v>43941.41667</v>
      </c>
    </row>
    <row r="280">
      <c r="A280" s="7" t="str">
        <f>IFERROR(__xludf.DUMMYFUNCTION("""COMPUTED_VALUE"""),"https://www.method.me/blog/tips-for-working-remotely/")</f>
        <v>https://www.method.me/blog/tips-for-working-remotely/</v>
      </c>
      <c r="B280" s="1" t="str">
        <f>IFERROR(__xludf.DUMMYFUNCTION("""COMPUTED_VALUE"""),"General how-to")</f>
        <v>General how-to</v>
      </c>
      <c r="C280" s="1" t="str">
        <f>IFERROR(__xludf.DUMMYFUNCTION("""COMPUTED_VALUE"""),"Blog")</f>
        <v>Blog</v>
      </c>
      <c r="D280" s="1" t="str">
        <f>IFERROR(__xludf.DUMMYFUNCTION("""COMPUTED_VALUE"""),"Tips for working remotely: How to get things done")</f>
        <v>Tips for working remotely: How to get things done</v>
      </c>
      <c r="E280" s="12">
        <f>IFERROR(__xludf.DUMMYFUNCTION("""COMPUTED_VALUE"""),43942.60869212963)</f>
        <v>43942.60869</v>
      </c>
    </row>
    <row r="281">
      <c r="A281" s="7" t="str">
        <f>IFERROR(__xludf.DUMMYFUNCTION("""COMPUTED_VALUE"""),"https://www.method.me/blog/sales-infographic/")</f>
        <v>https://www.method.me/blog/sales-infographic/</v>
      </c>
      <c r="B281" s="1" t="str">
        <f>IFERROR(__xludf.DUMMYFUNCTION("""COMPUTED_VALUE"""),"Sales / Marketing / Lead gen")</f>
        <v>Sales / Marketing / Lead gen</v>
      </c>
      <c r="C281" s="1" t="str">
        <f>IFERROR(__xludf.DUMMYFUNCTION("""COMPUTED_VALUE"""),"Blog")</f>
        <v>Blog</v>
      </c>
      <c r="D281" s="1" t="str">
        <f>IFERROR(__xludf.DUMMYFUNCTION("""COMPUTED_VALUE"""),"Sales infographic: The state of sales in 2020 and beyond")</f>
        <v>Sales infographic: The state of sales in 2020 and beyond</v>
      </c>
      <c r="E281" s="12">
        <f>IFERROR(__xludf.DUMMYFUNCTION("""COMPUTED_VALUE"""),43943.559965277775)</f>
        <v>43943.55997</v>
      </c>
    </row>
    <row r="282">
      <c r="A282" s="7" t="str">
        <f>IFERROR(__xludf.DUMMYFUNCTION("""COMPUTED_VALUE"""),"https://www.method.me/blog/manufacturing-sales-strategy/")</f>
        <v>https://www.method.me/blog/manufacturing-sales-strategy/</v>
      </c>
      <c r="B282" s="1" t="str">
        <f>IFERROR(__xludf.DUMMYFUNCTION("""COMPUTED_VALUE"""),"Sales / Marketing / Lead gen")</f>
        <v>Sales / Marketing / Lead gen</v>
      </c>
      <c r="C282" s="1" t="str">
        <f>IFERROR(__xludf.DUMMYFUNCTION("""COMPUTED_VALUE"""),"Blog")</f>
        <v>Blog</v>
      </c>
      <c r="D282" s="1" t="str">
        <f>IFERROR(__xludf.DUMMYFUNCTION("""COMPUTED_VALUE"""),"Manufacturing sales strategy – How to increase sales in manufacturing business")</f>
        <v>Manufacturing sales strategy – How to increase sales in manufacturing business</v>
      </c>
      <c r="E282" s="12">
        <f>IFERROR(__xludf.DUMMYFUNCTION("""COMPUTED_VALUE"""),43949.52898148148)</f>
        <v>43949.52898</v>
      </c>
    </row>
    <row r="283">
      <c r="A283" s="7" t="str">
        <f>IFERROR(__xludf.DUMMYFUNCTION("""COMPUTED_VALUE"""),"https://www.method.me/blog/what-does-crm-stand-for/")</f>
        <v>https://www.method.me/blog/what-does-crm-stand-for/</v>
      </c>
      <c r="B283" s="1" t="str">
        <f>IFERROR(__xludf.DUMMYFUNCTION("""COMPUTED_VALUE"""),"CRM")</f>
        <v>CRM</v>
      </c>
      <c r="C283" s="1" t="str">
        <f>IFERROR(__xludf.DUMMYFUNCTION("""COMPUTED_VALUE"""),"Blog")</f>
        <v>Blog</v>
      </c>
      <c r="D283" s="1" t="str">
        <f>IFERROR(__xludf.DUMMYFUNCTION("""COMPUTED_VALUE"""),"What CRM Stands For — A Definitive Guide")</f>
        <v>What CRM Stands For — A Definitive Guide</v>
      </c>
      <c r="E283" s="12">
        <f>IFERROR(__xludf.DUMMYFUNCTION("""COMPUTED_VALUE"""),43952.429768518516)</f>
        <v>43952.42977</v>
      </c>
    </row>
    <row r="284">
      <c r="A284" s="7" t="str">
        <f>IFERROR(__xludf.DUMMYFUNCTION("""COMPUTED_VALUE"""),"https://www.method.me/blog/look-for-distribution-crm/")</f>
        <v>https://www.method.me/blog/look-for-distribution-crm/</v>
      </c>
      <c r="B284" s="1" t="str">
        <f>IFERROR(__xludf.DUMMYFUNCTION("""COMPUTED_VALUE"""),"CRM")</f>
        <v>CRM</v>
      </c>
      <c r="C284" s="1" t="str">
        <f>IFERROR(__xludf.DUMMYFUNCTION("""COMPUTED_VALUE"""),"Blog")</f>
        <v>Blog</v>
      </c>
      <c r="D284" s="1" t="str">
        <f>IFERROR(__xludf.DUMMYFUNCTION("""COMPUTED_VALUE"""),"What to look for in your distribution CRM")</f>
        <v>What to look for in your distribution CRM</v>
      </c>
      <c r="E284" s="12">
        <f>IFERROR(__xludf.DUMMYFUNCTION("""COMPUTED_VALUE"""),43956.55583333333)</f>
        <v>43956.55583</v>
      </c>
    </row>
    <row r="285">
      <c r="A285" s="7" t="str">
        <f>IFERROR(__xludf.DUMMYFUNCTION("""COMPUTED_VALUE"""),"https://www.method.me/blog/ppp-loan-forgiveness/")</f>
        <v>https://www.method.me/blog/ppp-loan-forgiveness/</v>
      </c>
      <c r="B285" s="1" t="str">
        <f>IFERROR(__xludf.DUMMYFUNCTION("""COMPUTED_VALUE"""),"Misc. info")</f>
        <v>Misc. info</v>
      </c>
      <c r="C285" s="1" t="str">
        <f>IFERROR(__xludf.DUMMYFUNCTION("""COMPUTED_VALUE"""),"Blog")</f>
        <v>Blog</v>
      </c>
      <c r="D285" s="1" t="str">
        <f>IFERROR(__xludf.DUMMYFUNCTION("""COMPUTED_VALUE"""),"Paycheck Protection Program (PPP) loan forgiveness: What you need to know")</f>
        <v>Paycheck Protection Program (PPP) loan forgiveness: What you need to know</v>
      </c>
      <c r="E285" s="12">
        <f>IFERROR(__xludf.DUMMYFUNCTION("""COMPUTED_VALUE"""),43958.00069444445)</f>
        <v>43958.00069</v>
      </c>
    </row>
    <row r="286">
      <c r="A286" s="7" t="str">
        <f>IFERROR(__xludf.DUMMYFUNCTION("""COMPUTED_VALUE"""),"https://www.method.me/blog/crm-for-wholesale-choice/")</f>
        <v>https://www.method.me/blog/crm-for-wholesale-choice/</v>
      </c>
      <c r="B286" s="1" t="str">
        <f>IFERROR(__xludf.DUMMYFUNCTION("""COMPUTED_VALUE"""),"CRM")</f>
        <v>CRM</v>
      </c>
      <c r="C286" s="1" t="str">
        <f>IFERROR(__xludf.DUMMYFUNCTION("""COMPUTED_VALUE"""),"Blog")</f>
        <v>Blog</v>
      </c>
      <c r="D286" s="1" t="str">
        <f>IFERROR(__xludf.DUMMYFUNCTION("""COMPUTED_VALUE"""),"CRM for wholesale: How to make the right choice")</f>
        <v>CRM for wholesale: How to make the right choice</v>
      </c>
      <c r="E286" s="12">
        <f>IFERROR(__xludf.DUMMYFUNCTION("""COMPUTED_VALUE"""),43963.42521990741)</f>
        <v>43963.42522</v>
      </c>
    </row>
    <row r="287">
      <c r="A287" s="7" t="str">
        <f>IFERROR(__xludf.DUMMYFUNCTION("""COMPUTED_VALUE"""),"https://www.method.me/blog/product-update-may-2020/")</f>
        <v>https://www.method.me/blog/product-update-may-2020/</v>
      </c>
      <c r="B287" s="1" t="str">
        <f>IFERROR(__xludf.DUMMYFUNCTION("""COMPUTED_VALUE"""),"Method - Product Updates")</f>
        <v>Method - Product Updates</v>
      </c>
      <c r="C287" s="1" t="str">
        <f>IFERROR(__xludf.DUMMYFUNCTION("""COMPUTED_VALUE"""),"Blog")</f>
        <v>Blog</v>
      </c>
      <c r="D287" s="1" t="str">
        <f>IFERROR(__xludf.DUMMYFUNCTION("""COMPUTED_VALUE"""),"More information at a glance with Method’s updated experience")</f>
        <v>More information at a glance with Method’s updated experience</v>
      </c>
      <c r="E287" s="12">
        <f>IFERROR(__xludf.DUMMYFUNCTION("""COMPUTED_VALUE"""),43977.333333333336)</f>
        <v>43977.33333</v>
      </c>
    </row>
    <row r="288">
      <c r="A288" s="7" t="str">
        <f>IFERROR(__xludf.DUMMYFUNCTION("""COMPUTED_VALUE"""),"https://www.method.me/blog/sales-outreach/")</f>
        <v>https://www.method.me/blog/sales-outreach/</v>
      </c>
      <c r="B288" s="1" t="str">
        <f>IFERROR(__xludf.DUMMYFUNCTION("""COMPUTED_VALUE"""),"Sales / Marketing / Lead gen")</f>
        <v>Sales / Marketing / Lead gen</v>
      </c>
      <c r="C288" s="1" t="str">
        <f>IFERROR(__xludf.DUMMYFUNCTION("""COMPUTED_VALUE"""),"Blog")</f>
        <v>Blog</v>
      </c>
      <c r="D288" s="1" t="str">
        <f>IFERROR(__xludf.DUMMYFUNCTION("""COMPUTED_VALUE"""),"Sales outreach: How to grab prospect attention")</f>
        <v>Sales outreach: How to grab prospect attention</v>
      </c>
      <c r="E288" s="12">
        <f>IFERROR(__xludf.DUMMYFUNCTION("""COMPUTED_VALUE"""),43979.35)</f>
        <v>43979.35</v>
      </c>
    </row>
    <row r="289">
      <c r="A289" s="7" t="str">
        <f>IFERROR(__xludf.DUMMYFUNCTION("""COMPUTED_VALUE"""),"https://www.method.me/blog/small-business-recovery-plan/")</f>
        <v>https://www.method.me/blog/small-business-recovery-plan/</v>
      </c>
      <c r="B289" s="1" t="str">
        <f>IFERROR(__xludf.DUMMYFUNCTION("""COMPUTED_VALUE"""),"Small business / Nonprofit")</f>
        <v>Small business / Nonprofit</v>
      </c>
      <c r="C289" s="1" t="str">
        <f>IFERROR(__xludf.DUMMYFUNCTION("""COMPUTED_VALUE"""),"Blog")</f>
        <v>Blog</v>
      </c>
      <c r="D289" s="1" t="str">
        <f>IFERROR(__xludf.DUMMYFUNCTION("""COMPUTED_VALUE"""),"What you need to include in your small business recovery plan")</f>
        <v>What you need to include in your small business recovery plan</v>
      </c>
      <c r="E289" s="12">
        <f>IFERROR(__xludf.DUMMYFUNCTION("""COMPUTED_VALUE"""),43984.54855324074)</f>
        <v>43984.54855</v>
      </c>
    </row>
    <row r="290">
      <c r="A290" s="7" t="str">
        <f>IFERROR(__xludf.DUMMYFUNCTION("""COMPUTED_VALUE"""),"https://www.method.me/blog/wholesale-sales/")</f>
        <v>https://www.method.me/blog/wholesale-sales/</v>
      </c>
      <c r="B290" s="1" t="str">
        <f>IFERROR(__xludf.DUMMYFUNCTION("""COMPUTED_VALUE"""),"Sales / Marketing / Lead gen")</f>
        <v>Sales / Marketing / Lead gen</v>
      </c>
      <c r="C290" s="1" t="str">
        <f>IFERROR(__xludf.DUMMYFUNCTION("""COMPUTED_VALUE"""),"Blog")</f>
        <v>Blog</v>
      </c>
      <c r="D290" s="1" t="str">
        <f>IFERROR(__xludf.DUMMYFUNCTION("""COMPUTED_VALUE"""),"How to increase wholesale sales?")</f>
        <v>How to increase wholesale sales?</v>
      </c>
      <c r="E290" s="12">
        <f>IFERROR(__xludf.DUMMYFUNCTION("""COMPUTED_VALUE"""),43986.291666666664)</f>
        <v>43986.29167</v>
      </c>
    </row>
    <row r="291">
      <c r="A291" s="7" t="str">
        <f>IFERROR(__xludf.DUMMYFUNCTION("""COMPUTED_VALUE"""),"https://www.method.me/blog/small-business-survival/")</f>
        <v>https://www.method.me/blog/small-business-survival/</v>
      </c>
      <c r="B291" s="1" t="str">
        <f>IFERROR(__xludf.DUMMYFUNCTION("""COMPUTED_VALUE"""),"CRM")</f>
        <v>CRM</v>
      </c>
      <c r="C291" s="1" t="str">
        <f>IFERROR(__xludf.DUMMYFUNCTION("""COMPUTED_VALUE"""),"Blog")</f>
        <v>Blog</v>
      </c>
      <c r="D291" s="1" t="str">
        <f>IFERROR(__xludf.DUMMYFUNCTION("""COMPUTED_VALUE"""),"Small business survival: How a CRM can help you")</f>
        <v>Small business survival: How a CRM can help you</v>
      </c>
      <c r="E291" s="12">
        <f>IFERROR(__xludf.DUMMYFUNCTION("""COMPUTED_VALUE"""),44000.29583333333)</f>
        <v>44000.29583</v>
      </c>
    </row>
    <row r="292">
      <c r="A292" s="7" t="str">
        <f>IFERROR(__xludf.DUMMYFUNCTION("""COMPUTED_VALUE"""),"https://www.method.me/blog/small-business-reopening/")</f>
        <v>https://www.method.me/blog/small-business-reopening/</v>
      </c>
      <c r="B292" s="1" t="str">
        <f>IFERROR(__xludf.DUMMYFUNCTION("""COMPUTED_VALUE"""),"Small business / Nonprofit")</f>
        <v>Small business / Nonprofit</v>
      </c>
      <c r="C292" s="1" t="str">
        <f>IFERROR(__xludf.DUMMYFUNCTION("""COMPUTED_VALUE"""),"Blog")</f>
        <v>Blog</v>
      </c>
      <c r="D292" s="1" t="str">
        <f>IFERROR(__xludf.DUMMYFUNCTION("""COMPUTED_VALUE"""),"How to manage your small business reopening")</f>
        <v>How to manage your small business reopening</v>
      </c>
      <c r="E292" s="12">
        <f>IFERROR(__xludf.DUMMYFUNCTION("""COMPUTED_VALUE"""),44007.60377314815)</f>
        <v>44007.60377</v>
      </c>
    </row>
    <row r="293">
      <c r="A293" s="7" t="str">
        <f>IFERROR(__xludf.DUMMYFUNCTION("""COMPUTED_VALUE"""),"https://www.method.me/blog/customer-retention-strategies/")</f>
        <v>https://www.method.me/blog/customer-retention-strategies/</v>
      </c>
      <c r="B293" s="1" t="str">
        <f>IFERROR(__xludf.DUMMYFUNCTION("""COMPUTED_VALUE"""),"Listicle - General")</f>
        <v>Listicle - General</v>
      </c>
      <c r="C293" s="1" t="str">
        <f>IFERROR(__xludf.DUMMYFUNCTION("""COMPUTED_VALUE"""),"Blog")</f>
        <v>Blog</v>
      </c>
      <c r="D293" s="1" t="str">
        <f>IFERROR(__xludf.DUMMYFUNCTION("""COMPUTED_VALUE"""),"6 customer retention strategies you need to implement")</f>
        <v>6 customer retention strategies you need to implement</v>
      </c>
      <c r="E293" s="12">
        <f>IFERROR(__xludf.DUMMYFUNCTION("""COMPUTED_VALUE"""),44014.45049768518)</f>
        <v>44014.4505</v>
      </c>
    </row>
    <row r="294">
      <c r="A294" s="7" t="str">
        <f>IFERROR(__xludf.DUMMYFUNCTION("""COMPUTED_VALUE"""),"https://www.method.me/blog/construction-leads/")</f>
        <v>https://www.method.me/blog/construction-leads/</v>
      </c>
      <c r="B294" s="1" t="str">
        <f>IFERROR(__xludf.DUMMYFUNCTION("""COMPUTED_VALUE"""),"Sales / Marketing / Lead gen")</f>
        <v>Sales / Marketing / Lead gen</v>
      </c>
      <c r="C294" s="1" t="str">
        <f>IFERROR(__xludf.DUMMYFUNCTION("""COMPUTED_VALUE"""),"Blog")</f>
        <v>Blog</v>
      </c>
      <c r="D294" s="1" t="str">
        <f>IFERROR(__xludf.DUMMYFUNCTION("""COMPUTED_VALUE"""),"How to get construction leads for construction projects")</f>
        <v>How to get construction leads for construction projects</v>
      </c>
      <c r="E294" s="12">
        <f>IFERROR(__xludf.DUMMYFUNCTION("""COMPUTED_VALUE"""),44020.4765625)</f>
        <v>44020.47656</v>
      </c>
    </row>
    <row r="295">
      <c r="A295" s="7" t="str">
        <f>IFERROR(__xludf.DUMMYFUNCTION("""COMPUTED_VALUE"""),"https://www.method.me/customer-success/quickbooks-training/")</f>
        <v>https://www.method.me/customer-success/quickbooks-training/</v>
      </c>
      <c r="B295" s="1" t="str">
        <f>IFERROR(__xludf.DUMMYFUNCTION("""COMPUTED_VALUE"""),"Method - Customer / Partner Success")</f>
        <v>Method - Customer / Partner Success</v>
      </c>
      <c r="C295" s="1" t="str">
        <f>IFERROR(__xludf.DUMMYFUNCTION("""COMPUTED_VALUE"""),"Other page")</f>
        <v>Other page</v>
      </c>
      <c r="D295" s="1" t="str">
        <f>IFERROR(__xludf.DUMMYFUNCTION("""COMPUTED_VALUE"""),"Savvy Bird Consulting")</f>
        <v>Savvy Bird Consulting</v>
      </c>
      <c r="E295" s="12">
        <f>IFERROR(__xludf.DUMMYFUNCTION("""COMPUTED_VALUE"""),44025.45880787037)</f>
        <v>44025.45881</v>
      </c>
    </row>
    <row r="296">
      <c r="A296" s="7" t="str">
        <f>IFERROR(__xludf.DUMMYFUNCTION("""COMPUTED_VALUE"""),"https://www.method.me/blog/repeat-customer/")</f>
        <v>https://www.method.me/blog/repeat-customer/</v>
      </c>
      <c r="B296" s="1" t="str">
        <f>IFERROR(__xludf.DUMMYFUNCTION("""COMPUTED_VALUE"""),"CRM")</f>
        <v>CRM</v>
      </c>
      <c r="C296" s="1" t="str">
        <f>IFERROR(__xludf.DUMMYFUNCTION("""COMPUTED_VALUE"""),"Blog")</f>
        <v>Blog</v>
      </c>
      <c r="D296" s="1" t="str">
        <f>IFERROR(__xludf.DUMMYFUNCTION("""COMPUTED_VALUE"""),"How to get more repeat customers with a CRM solution")</f>
        <v>How to get more repeat customers with a CRM solution</v>
      </c>
      <c r="E296" s="12">
        <f>IFERROR(__xludf.DUMMYFUNCTION("""COMPUTED_VALUE"""),44027.29375)</f>
        <v>44027.29375</v>
      </c>
    </row>
    <row r="297">
      <c r="A297" s="7" t="str">
        <f>IFERROR(__xludf.DUMMYFUNCTION("""COMPUTED_VALUE"""),"https://www.method.me/partners/")</f>
        <v>https://www.method.me/partners/</v>
      </c>
      <c r="B297" s="1" t="str">
        <f>IFERROR(__xludf.DUMMYFUNCTION("""COMPUTED_VALUE"""),"Partner page")</f>
        <v>Partner page</v>
      </c>
      <c r="C297" s="1" t="str">
        <f>IFERROR(__xludf.DUMMYFUNCTION("""COMPUTED_VALUE"""),"Other page")</f>
        <v>Other page</v>
      </c>
      <c r="D297" s="1" t="str">
        <f>IFERROR(__xludf.DUMMYFUNCTION("""COMPUTED_VALUE"""),"Method:Partners")</f>
        <v>Method:Partners</v>
      </c>
      <c r="E297" s="12">
        <f>IFERROR(__xludf.DUMMYFUNCTION("""COMPUTED_VALUE"""),44036.612337962964)</f>
        <v>44036.61234</v>
      </c>
    </row>
    <row r="298">
      <c r="A298" s="7" t="str">
        <f>IFERROR(__xludf.DUMMYFUNCTION("""COMPUTED_VALUE"""),"https://www.method.me/blog/customer-retention-rate/")</f>
        <v>https://www.method.me/blog/customer-retention-rate/</v>
      </c>
      <c r="B298" s="1" t="str">
        <f>IFERROR(__xludf.DUMMYFUNCTION("""COMPUTED_VALUE"""),"Listicle - Method")</f>
        <v>Listicle - Method</v>
      </c>
      <c r="C298" s="1" t="str">
        <f>IFERROR(__xludf.DUMMYFUNCTION("""COMPUTED_VALUE"""),"Blog")</f>
        <v>Blog</v>
      </c>
      <c r="D298" s="1" t="str">
        <f>IFERROR(__xludf.DUMMYFUNCTION("""COMPUTED_VALUE"""),"3 easy ways to improve your customer retention rate with Method:CRM")</f>
        <v>3 easy ways to improve your customer retention rate with Method:CRM</v>
      </c>
      <c r="E298" s="12">
        <f>IFERROR(__xludf.DUMMYFUNCTION("""COMPUTED_VALUE"""),44049.44001157407)</f>
        <v>44049.44001</v>
      </c>
    </row>
    <row r="299">
      <c r="A299" s="7" t="str">
        <f>IFERROR(__xludf.DUMMYFUNCTION("""COMPUTED_VALUE"""),"https://www.method.me/blog/advantages-of-integrated-software-applications/")</f>
        <v>https://www.method.me/blog/advantages-of-integrated-software-applications/</v>
      </c>
      <c r="B299" s="1" t="str">
        <f>IFERROR(__xludf.DUMMYFUNCTION("""COMPUTED_VALUE"""),"Listicle - Method")</f>
        <v>Listicle - Method</v>
      </c>
      <c r="C299" s="1" t="str">
        <f>IFERROR(__xludf.DUMMYFUNCTION("""COMPUTED_VALUE"""),"Blog")</f>
        <v>Blog</v>
      </c>
      <c r="D299" s="1" t="str">
        <f>IFERROR(__xludf.DUMMYFUNCTION("""COMPUTED_VALUE"""),"10 Method zaps that will make your life easier")</f>
        <v>10 Method zaps that will make your life easier</v>
      </c>
      <c r="E299" s="12">
        <f>IFERROR(__xludf.DUMMYFUNCTION("""COMPUTED_VALUE"""),44054.333333333336)</f>
        <v>44054.33333</v>
      </c>
    </row>
    <row r="300">
      <c r="A300" s="7" t="str">
        <f>IFERROR(__xludf.DUMMYFUNCTION("""COMPUTED_VALUE"""),"https://www.method.me/crm-help-resources/")</f>
        <v>https://www.method.me/crm-help-resources/</v>
      </c>
      <c r="B300" s="1" t="str">
        <f>IFERROR(__xludf.DUMMYFUNCTION("""COMPUTED_VALUE"""),"Other page")</f>
        <v>Other page</v>
      </c>
      <c r="C300" s="1" t="str">
        <f>IFERROR(__xludf.DUMMYFUNCTION("""COMPUTED_VALUE"""),"Other page")</f>
        <v>Other page</v>
      </c>
      <c r="D300" s="1" t="str">
        <f>IFERROR(__xludf.DUMMYFUNCTION("""COMPUTED_VALUE"""),"Help Splash page")</f>
        <v>Help Splash page</v>
      </c>
      <c r="E300" s="12">
        <f>IFERROR(__xludf.DUMMYFUNCTION("""COMPUTED_VALUE"""),44068.41820601852)</f>
        <v>44068.41821</v>
      </c>
    </row>
    <row r="301">
      <c r="A301" s="7" t="str">
        <f>IFERROR(__xludf.DUMMYFUNCTION("""COMPUTED_VALUE"""),"https://www.method.me/blog/benefits-of-customer-retention/")</f>
        <v>https://www.method.me/blog/benefits-of-customer-retention/</v>
      </c>
      <c r="B301" s="1" t="str">
        <f>IFERROR(__xludf.DUMMYFUNCTION("""COMPUTED_VALUE"""),"Small business / Nonprofit")</f>
        <v>Small business / Nonprofit</v>
      </c>
      <c r="C301" s="1" t="str">
        <f>IFERROR(__xludf.DUMMYFUNCTION("""COMPUTED_VALUE"""),"Blog")</f>
        <v>Blog</v>
      </c>
      <c r="D301" s="1" t="str">
        <f>IFERROR(__xludf.DUMMYFUNCTION("""COMPUTED_VALUE"""),"Why customer retention is key to small business success [Infographic]")</f>
        <v>Why customer retention is key to small business success [Infographic]</v>
      </c>
      <c r="E301" s="12">
        <f>IFERROR(__xludf.DUMMYFUNCTION("""COMPUTED_VALUE"""),44068.69274305556)</f>
        <v>44068.69274</v>
      </c>
    </row>
    <row r="302">
      <c r="A302" s="7" t="str">
        <f>IFERROR(__xludf.DUMMYFUNCTION("""COMPUTED_VALUE"""),"https://www.method.me/features/zapier-crm/")</f>
        <v>https://www.method.me/features/zapier-crm/</v>
      </c>
      <c r="B302" s="1" t="str">
        <f>IFERROR(__xludf.DUMMYFUNCTION("""COMPUTED_VALUE"""),"Features page")</f>
        <v>Features page</v>
      </c>
      <c r="C302" s="1" t="str">
        <f>IFERROR(__xludf.DUMMYFUNCTION("""COMPUTED_VALUE"""),"Other page")</f>
        <v>Other page</v>
      </c>
      <c r="D302" s="1" t="str">
        <f>IFERROR(__xludf.DUMMYFUNCTION("""COMPUTED_VALUE"""),"Zapier CRM")</f>
        <v>Zapier CRM</v>
      </c>
      <c r="E302" s="12">
        <f>IFERROR(__xludf.DUMMYFUNCTION("""COMPUTED_VALUE"""),44083.40568287037)</f>
        <v>44083.40568</v>
      </c>
    </row>
    <row r="303">
      <c r="A303" s="7" t="str">
        <f>IFERROR(__xludf.DUMMYFUNCTION("""COMPUTED_VALUE"""),"https://www.method.me/blog/apps-for-quickbooks-desktop/")</f>
        <v>https://www.method.me/blog/apps-for-quickbooks-desktop/</v>
      </c>
      <c r="B303" s="1" t="str">
        <f>IFERROR(__xludf.DUMMYFUNCTION("""COMPUTED_VALUE"""),"Listicle - Software / Software overview")</f>
        <v>Listicle - Software / Software overview</v>
      </c>
      <c r="C303" s="1" t="str">
        <f>IFERROR(__xludf.DUMMYFUNCTION("""COMPUTED_VALUE"""),"Blog")</f>
        <v>Blog</v>
      </c>
      <c r="D303" s="1" t="str">
        <f>IFERROR(__xludf.DUMMYFUNCTION("""COMPUTED_VALUE"""),"Best apps for QuickBooks that will make your life easier")</f>
        <v>Best apps for QuickBooks that will make your life easier</v>
      </c>
      <c r="E303" s="12">
        <f>IFERROR(__xludf.DUMMYFUNCTION("""COMPUTED_VALUE"""),44096.456087962964)</f>
        <v>44096.45609</v>
      </c>
    </row>
    <row r="304">
      <c r="A304" s="7" t="str">
        <f>IFERROR(__xludf.DUMMYFUNCTION("""COMPUTED_VALUE"""),"https://www.method.me/blog/qbo-app/")</f>
        <v>https://www.method.me/blog/qbo-app/</v>
      </c>
      <c r="B304" s="1" t="str">
        <f>IFERROR(__xludf.DUMMYFUNCTION("""COMPUTED_VALUE"""),"Listicle - Software / Software overview")</f>
        <v>Listicle - Software / Software overview</v>
      </c>
      <c r="C304" s="1" t="str">
        <f>IFERROR(__xludf.DUMMYFUNCTION("""COMPUTED_VALUE"""),"Blog")</f>
        <v>Blog</v>
      </c>
      <c r="D304" s="1" t="str">
        <f>IFERROR(__xludf.DUMMYFUNCTION("""COMPUTED_VALUE"""),"The top 6 QuickBooks Online apps for your small business")</f>
        <v>The top 6 QuickBooks Online apps for your small business</v>
      </c>
      <c r="E304" s="12">
        <f>IFERROR(__xludf.DUMMYFUNCTION("""COMPUTED_VALUE"""),44098.291666666664)</f>
        <v>44098.29167</v>
      </c>
    </row>
    <row r="305">
      <c r="A305" s="7" t="str">
        <f>IFERROR(__xludf.DUMMYFUNCTION("""COMPUTED_VALUE"""),"https://www.method.me/blog/software-integrations/")</f>
        <v>https://www.method.me/blog/software-integrations/</v>
      </c>
      <c r="B305" s="1" t="str">
        <f>IFERROR(__xludf.DUMMYFUNCTION("""COMPUTED_VALUE"""),"Small business / Nonprofit")</f>
        <v>Small business / Nonprofit</v>
      </c>
      <c r="C305" s="1" t="str">
        <f>IFERROR(__xludf.DUMMYFUNCTION("""COMPUTED_VALUE"""),"Blog")</f>
        <v>Blog</v>
      </c>
      <c r="D305" s="1" t="str">
        <f>IFERROR(__xludf.DUMMYFUNCTION("""COMPUTED_VALUE"""),"How software integrations help small businesses succeed [Infographic]")</f>
        <v>How software integrations help small businesses succeed [Infographic]</v>
      </c>
      <c r="E305" s="12">
        <f>IFERROR(__xludf.DUMMYFUNCTION("""COMPUTED_VALUE"""),44103.291666666664)</f>
        <v>44103.29167</v>
      </c>
    </row>
    <row r="306">
      <c r="A306" s="7" t="str">
        <f>IFERROR(__xludf.DUMMYFUNCTION("""COMPUTED_VALUE"""),"https://www.method.me/blog/manufacturing-supply-chain-workflow/")</f>
        <v>https://www.method.me/blog/manufacturing-supply-chain-workflow/</v>
      </c>
      <c r="B306" s="1" t="str">
        <f>IFERROR(__xludf.DUMMYFUNCTION("""COMPUTED_VALUE"""),"General how-to")</f>
        <v>General how-to</v>
      </c>
      <c r="C306" s="1" t="str">
        <f>IFERROR(__xludf.DUMMYFUNCTION("""COMPUTED_VALUE"""),"Blog")</f>
        <v>Blog</v>
      </c>
      <c r="D306" s="1" t="str">
        <f>IFERROR(__xludf.DUMMYFUNCTION("""COMPUTED_VALUE"""),"How to perfect your manufacturing supply chain workflow")</f>
        <v>How to perfect your manufacturing supply chain workflow</v>
      </c>
      <c r="E306" s="12">
        <f>IFERROR(__xludf.DUMMYFUNCTION("""COMPUTED_VALUE"""),44120.514131944445)</f>
        <v>44120.51413</v>
      </c>
    </row>
    <row r="307">
      <c r="A307" s="7" t="str">
        <f>IFERROR(__xludf.DUMMYFUNCTION("""COMPUTED_VALUE"""),"https://www.method.me/blog/small-business-saturday-ideas/")</f>
        <v>https://www.method.me/blog/small-business-saturday-ideas/</v>
      </c>
      <c r="B307" s="1" t="str">
        <f>IFERROR(__xludf.DUMMYFUNCTION("""COMPUTED_VALUE"""),"Small business / Nonprofit")</f>
        <v>Small business / Nonprofit</v>
      </c>
      <c r="C307" s="1" t="str">
        <f>IFERROR(__xludf.DUMMYFUNCTION("""COMPUTED_VALUE"""),"Blog")</f>
        <v>Blog</v>
      </c>
      <c r="D307" s="1" t="str">
        <f>IFERROR(__xludf.DUMMYFUNCTION("""COMPUTED_VALUE"""),"Small Business Saturday ideas that will boost your sales")</f>
        <v>Small Business Saturday ideas that will boost your sales</v>
      </c>
      <c r="E307" s="12">
        <f>IFERROR(__xludf.DUMMYFUNCTION("""COMPUTED_VALUE"""),44133.42393518519)</f>
        <v>44133.42394</v>
      </c>
    </row>
    <row r="308">
      <c r="A308" s="7" t="str">
        <f>IFERROR(__xludf.DUMMYFUNCTION("""COMPUTED_VALUE"""),"https://www.method.me/blog/cyber-monday-tips/")</f>
        <v>https://www.method.me/blog/cyber-monday-tips/</v>
      </c>
      <c r="B308" s="1" t="str">
        <f>IFERROR(__xludf.DUMMYFUNCTION("""COMPUTED_VALUE"""),"Listicle - General")</f>
        <v>Listicle - General</v>
      </c>
      <c r="C308" s="1" t="str">
        <f>IFERROR(__xludf.DUMMYFUNCTION("""COMPUTED_VALUE"""),"Blog")</f>
        <v>Blog</v>
      </c>
      <c r="D308" s="1" t="str">
        <f>IFERROR(__xludf.DUMMYFUNCTION("""COMPUTED_VALUE"""),"5 Cyber Monday tips that will better your bottom line")</f>
        <v>5 Cyber Monday tips that will better your bottom line</v>
      </c>
      <c r="E308" s="12">
        <f>IFERROR(__xludf.DUMMYFUNCTION("""COMPUTED_VALUE"""),44144.46821759259)</f>
        <v>44144.46822</v>
      </c>
    </row>
    <row r="309">
      <c r="A309" s="7" t="str">
        <f>IFERROR(__xludf.DUMMYFUNCTION("""COMPUTED_VALUE"""),"https://www.method.me/industries/field-service-management-software/")</f>
        <v>https://www.method.me/industries/field-service-management-software/</v>
      </c>
      <c r="B309" s="1" t="str">
        <f>IFERROR(__xludf.DUMMYFUNCTION("""COMPUTED_VALUE"""),"Industries page")</f>
        <v>Industries page</v>
      </c>
      <c r="C309" s="1" t="str">
        <f>IFERROR(__xludf.DUMMYFUNCTION("""COMPUTED_VALUE"""),"Other page")</f>
        <v>Other page</v>
      </c>
      <c r="D309" s="1" t="str">
        <f>IFERROR(__xludf.DUMMYFUNCTION("""COMPUTED_VALUE"""),"Field Service")</f>
        <v>Field Service</v>
      </c>
      <c r="E309" s="12">
        <f>IFERROR(__xludf.DUMMYFUNCTION("""COMPUTED_VALUE"""),44161.38428240741)</f>
        <v>44161.38428</v>
      </c>
    </row>
    <row r="310">
      <c r="A310" s="7" t="str">
        <f>IFERROR(__xludf.DUMMYFUNCTION("""COMPUTED_VALUE"""),"https://www.method.me/crm-quickbooks/desktop/")</f>
        <v>https://www.method.me/crm-quickbooks/desktop/</v>
      </c>
      <c r="B310" s="1" t="str">
        <f>IFERROR(__xludf.DUMMYFUNCTION("""COMPUTED_VALUE"""),"/crm-quickbooks/")</f>
        <v>/crm-quickbooks/</v>
      </c>
      <c r="C310" s="1" t="str">
        <f>IFERROR(__xludf.DUMMYFUNCTION("""COMPUTED_VALUE"""),"Other page")</f>
        <v>Other page</v>
      </c>
      <c r="D310" s="1" t="str">
        <f>IFERROR(__xludf.DUMMYFUNCTION("""COMPUTED_VALUE"""),"The #1 CRM for QuickBooks Desktop users")</f>
        <v>The #1 CRM for QuickBooks Desktop users</v>
      </c>
      <c r="E310" s="12">
        <f>IFERROR(__xludf.DUMMYFUNCTION("""COMPUTED_VALUE"""),44180.61418981481)</f>
        <v>44180.61419</v>
      </c>
    </row>
    <row r="311">
      <c r="A311" s="7" t="str">
        <f>IFERROR(__xludf.DUMMYFUNCTION("""COMPUTED_VALUE"""),"https://www.method.me/blog/2020-year-in-review-the-top-5-method-moments/")</f>
        <v>https://www.method.me/blog/2020-year-in-review-the-top-5-method-moments/</v>
      </c>
      <c r="B311" s="1" t="str">
        <f>IFERROR(__xludf.DUMMYFUNCTION("""COMPUTED_VALUE"""),"Listicle - Method")</f>
        <v>Listicle - Method</v>
      </c>
      <c r="C311" s="1" t="str">
        <f>IFERROR(__xludf.DUMMYFUNCTION("""COMPUTED_VALUE"""),"Blog")</f>
        <v>Blog</v>
      </c>
      <c r="D311" s="1" t="str">
        <f>IFERROR(__xludf.DUMMYFUNCTION("""COMPUTED_VALUE"""),"2020 year in review: The top 5 Method moments")</f>
        <v>2020 year in review: The top 5 Method moments</v>
      </c>
      <c r="E311" s="12">
        <f>IFERROR(__xludf.DUMMYFUNCTION("""COMPUTED_VALUE"""),44188.48342592592)</f>
        <v>44188.48343</v>
      </c>
    </row>
    <row r="312">
      <c r="A312" s="7" t="str">
        <f>IFERROR(__xludf.DUMMYFUNCTION("""COMPUTED_VALUE"""),"https://www.method.me/blog/quickbooks-online-desktop-tips/")</f>
        <v>https://www.method.me/blog/quickbooks-online-desktop-tips/</v>
      </c>
      <c r="B312" s="1" t="str">
        <f>IFERROR(__xludf.DUMMYFUNCTION("""COMPUTED_VALUE"""),"Listicle - QuickBooks")</f>
        <v>Listicle - QuickBooks</v>
      </c>
      <c r="C312" s="1" t="str">
        <f>IFERROR(__xludf.DUMMYFUNCTION("""COMPUTED_VALUE"""),"Blog")</f>
        <v>Blog</v>
      </c>
      <c r="D312" s="1" t="str">
        <f>IFERROR(__xludf.DUMMYFUNCTION("""COMPUTED_VALUE"""),"The 3 tricks to a great 2024 with QuickBooks")</f>
        <v>The 3 tricks to a great 2024 with QuickBooks</v>
      </c>
      <c r="E312" s="12">
        <f>IFERROR(__xludf.DUMMYFUNCTION("""COMPUTED_VALUE"""),44203.53675925926)</f>
        <v>44203.53676</v>
      </c>
    </row>
    <row r="313">
      <c r="A313" s="7" t="str">
        <f>IFERROR(__xludf.DUMMYFUNCTION("""COMPUTED_VALUE"""),"https://www.method.me/blog/quickbooks-customize-invoice/")</f>
        <v>https://www.method.me/blog/quickbooks-customize-invoice/</v>
      </c>
      <c r="B313" s="1" t="str">
        <f>IFERROR(__xludf.DUMMYFUNCTION("""COMPUTED_VALUE"""),"QuickBooks - How-to")</f>
        <v>QuickBooks - How-to</v>
      </c>
      <c r="C313" s="1" t="str">
        <f>IFERROR(__xludf.DUMMYFUNCTION("""COMPUTED_VALUE"""),"Blog")</f>
        <v>Blog</v>
      </c>
      <c r="D313" s="1" t="str">
        <f>IFERROR(__xludf.DUMMYFUNCTION("""COMPUTED_VALUE"""),"How to customize invoices in QuickBooks Online")</f>
        <v>How to customize invoices in QuickBooks Online</v>
      </c>
      <c r="E313" s="12">
        <f>IFERROR(__xludf.DUMMYFUNCTION("""COMPUTED_VALUE"""),44224.53155092592)</f>
        <v>44224.53155</v>
      </c>
    </row>
    <row r="314">
      <c r="A314" s="7" t="str">
        <f>IFERROR(__xludf.DUMMYFUNCTION("""COMPUTED_VALUE"""),"https://www.method.me/blog/crm-reporting/")</f>
        <v>https://www.method.me/blog/crm-reporting/</v>
      </c>
      <c r="B314" s="1" t="str">
        <f>IFERROR(__xludf.DUMMYFUNCTION("""COMPUTED_VALUE"""),"Listicle - Method")</f>
        <v>Listicle - Method</v>
      </c>
      <c r="C314" s="1" t="str">
        <f>IFERROR(__xludf.DUMMYFUNCTION("""COMPUTED_VALUE"""),"Blog")</f>
        <v>Blog</v>
      </c>
      <c r="D314" s="1" t="str">
        <f>IFERROR(__xludf.DUMMYFUNCTION("""COMPUTED_VALUE"""),"4 ways reporting just got easier in Method:CRM")</f>
        <v>4 ways reporting just got easier in Method:CRM</v>
      </c>
      <c r="E314" s="12">
        <f>IFERROR(__xludf.DUMMYFUNCTION("""COMPUTED_VALUE"""),44230.47655092592)</f>
        <v>44230.47655</v>
      </c>
    </row>
    <row r="315">
      <c r="A315" s="7" t="str">
        <f>IFERROR(__xludf.DUMMYFUNCTION("""COMPUTED_VALUE"""),"https://www.method.me/blog/small-business-technology-trends/")</f>
        <v>https://www.method.me/blog/small-business-technology-trends/</v>
      </c>
      <c r="B315" s="1" t="str">
        <f>IFERROR(__xludf.DUMMYFUNCTION("""COMPUTED_VALUE"""),"Small business / Nonprofit")</f>
        <v>Small business / Nonprofit</v>
      </c>
      <c r="C315" s="1" t="str">
        <f>IFERROR(__xludf.DUMMYFUNCTION("""COMPUTED_VALUE"""),"Blog")</f>
        <v>Blog</v>
      </c>
      <c r="D315" s="1" t="str">
        <f>IFERROR(__xludf.DUMMYFUNCTION("""COMPUTED_VALUE"""),"Small business technology trends that will fuel your growth")</f>
        <v>Small business technology trends that will fuel your growth</v>
      </c>
      <c r="E315" s="12">
        <f>IFERROR(__xludf.DUMMYFUNCTION("""COMPUTED_VALUE"""),44239.441770833335)</f>
        <v>44239.44177</v>
      </c>
    </row>
    <row r="316">
      <c r="A316" s="7" t="str">
        <f>IFERROR(__xludf.DUMMYFUNCTION("""COMPUTED_VALUE"""),"https://www.method.me/blog/custom-reporting-quickbooks-online/")</f>
        <v>https://www.method.me/blog/custom-reporting-quickbooks-online/</v>
      </c>
      <c r="B316" s="1" t="str">
        <f>IFERROR(__xludf.DUMMYFUNCTION("""COMPUTED_VALUE"""),"QuickBooks - How-to")</f>
        <v>QuickBooks - How-to</v>
      </c>
      <c r="C316" s="1" t="str">
        <f>IFERROR(__xludf.DUMMYFUNCTION("""COMPUTED_VALUE"""),"Blog")</f>
        <v>Blog</v>
      </c>
      <c r="D316" s="1" t="str">
        <f>IFERROR(__xludf.DUMMYFUNCTION("""COMPUTED_VALUE"""),"Your guide to custom reports in QuickBooks Online")</f>
        <v>Your guide to custom reports in QuickBooks Online</v>
      </c>
      <c r="E316" s="12">
        <f>IFERROR(__xludf.DUMMYFUNCTION("""COMPUTED_VALUE"""),44249.518275462964)</f>
        <v>44249.51828</v>
      </c>
    </row>
    <row r="317">
      <c r="A317" s="7" t="str">
        <f>IFERROR(__xludf.DUMMYFUNCTION("""COMPUTED_VALUE"""),"https://www.method.me/blog/field-service-solution/")</f>
        <v>https://www.method.me/blog/field-service-solution/</v>
      </c>
      <c r="B317" s="1" t="str">
        <f>IFERROR(__xludf.DUMMYFUNCTION("""COMPUTED_VALUE"""),"Listicle - Method")</f>
        <v>Listicle - Method</v>
      </c>
      <c r="C317" s="1" t="str">
        <f>IFERROR(__xludf.DUMMYFUNCTION("""COMPUTED_VALUE"""),"Blog")</f>
        <v>Blog</v>
      </c>
      <c r="D317" s="1" t="str">
        <f>IFERROR(__xludf.DUMMYFUNCTION("""COMPUTED_VALUE"""),"5 features that make Method:Field Services a must-have solution")</f>
        <v>5 features that make Method:Field Services a must-have solution</v>
      </c>
      <c r="E317" s="12">
        <f>IFERROR(__xludf.DUMMYFUNCTION("""COMPUTED_VALUE"""),44264.6580787037)</f>
        <v>44264.65808</v>
      </c>
    </row>
    <row r="318">
      <c r="A318" s="7" t="str">
        <f>IFERROR(__xludf.DUMMYFUNCTION("""COMPUTED_VALUE"""),"https://www.method.me/small-business-resources/")</f>
        <v>https://www.method.me/small-business-resources/</v>
      </c>
      <c r="B318" s="1" t="str">
        <f>IFERROR(__xludf.DUMMYFUNCTION("""COMPUTED_VALUE"""),"Other page")</f>
        <v>Other page</v>
      </c>
      <c r="C318" s="1" t="str">
        <f>IFERROR(__xludf.DUMMYFUNCTION("""COMPUTED_VALUE"""),"Other page")</f>
        <v>Other page</v>
      </c>
      <c r="D318" s="1" t="str">
        <f>IFERROR(__xludf.DUMMYFUNCTION("""COMPUTED_VALUE"""),"Small business resources")</f>
        <v>Small business resources</v>
      </c>
      <c r="E318" s="12">
        <f>IFERROR(__xludf.DUMMYFUNCTION("""COMPUTED_VALUE"""),44266.58813657407)</f>
        <v>44266.58814</v>
      </c>
    </row>
    <row r="319">
      <c r="A319" s="7" t="str">
        <f>IFERROR(__xludf.DUMMYFUNCTION("""COMPUTED_VALUE"""),"https://www.method.me/blog/how-to-grow-a-small-business/")</f>
        <v>https://www.method.me/blog/how-to-grow-a-small-business/</v>
      </c>
      <c r="B319" s="1" t="str">
        <f>IFERROR(__xludf.DUMMYFUNCTION("""COMPUTED_VALUE"""),"Listicle - General")</f>
        <v>Listicle - General</v>
      </c>
      <c r="C319" s="1" t="str">
        <f>IFERROR(__xludf.DUMMYFUNCTION("""COMPUTED_VALUE"""),"Blog")</f>
        <v>Blog</v>
      </c>
      <c r="D319" s="1" t="str">
        <f>IFERROR(__xludf.DUMMYFUNCTION("""COMPUTED_VALUE"""),"10 tips on how to grow a small business in a niche industry")</f>
        <v>10 tips on how to grow a small business in a niche industry</v>
      </c>
      <c r="E319" s="12">
        <f>IFERROR(__xludf.DUMMYFUNCTION("""COMPUTED_VALUE"""),44266.723078703704)</f>
        <v>44266.72308</v>
      </c>
    </row>
    <row r="320">
      <c r="A320" s="7" t="str">
        <f>IFERROR(__xludf.DUMMYFUNCTION("""COMPUTED_VALUE"""),"https://www.method.me/videos/how-to-make-the-most-of-your-sales-workflows/")</f>
        <v>https://www.method.me/videos/how-to-make-the-most-of-your-sales-workflows/</v>
      </c>
      <c r="B320" s="1" t="str">
        <f>IFERROR(__xludf.DUMMYFUNCTION("""COMPUTED_VALUE"""),"Video page")</f>
        <v>Video page</v>
      </c>
      <c r="C320" s="1" t="str">
        <f>IFERROR(__xludf.DUMMYFUNCTION("""COMPUTED_VALUE"""),"Other page")</f>
        <v>Other page</v>
      </c>
      <c r="D320" s="1" t="str">
        <f>IFERROR(__xludf.DUMMYFUNCTION("""COMPUTED_VALUE"""),"How to make the most of your sales workflows")</f>
        <v>How to make the most of your sales workflows</v>
      </c>
      <c r="E320" s="12">
        <f>IFERROR(__xludf.DUMMYFUNCTION("""COMPUTED_VALUE"""),44267.48621527778)</f>
        <v>44267.48622</v>
      </c>
    </row>
    <row r="321">
      <c r="A321" s="7" t="str">
        <f>IFERROR(__xludf.DUMMYFUNCTION("""COMPUTED_VALUE"""),"https://www.method.me/videos/sales-outreach-strategies-that-get-results/")</f>
        <v>https://www.method.me/videos/sales-outreach-strategies-that-get-results/</v>
      </c>
      <c r="B321" s="1" t="str">
        <f>IFERROR(__xludf.DUMMYFUNCTION("""COMPUTED_VALUE"""),"Video page")</f>
        <v>Video page</v>
      </c>
      <c r="C321" s="1" t="str">
        <f>IFERROR(__xludf.DUMMYFUNCTION("""COMPUTED_VALUE"""),"Other page")</f>
        <v>Other page</v>
      </c>
      <c r="D321" s="1" t="str">
        <f>IFERROR(__xludf.DUMMYFUNCTION("""COMPUTED_VALUE"""),"Sales outreach strategies that get results")</f>
        <v>Sales outreach strategies that get results</v>
      </c>
      <c r="E321" s="12">
        <f>IFERROR(__xludf.DUMMYFUNCTION("""COMPUTED_VALUE"""),44267.502650462964)</f>
        <v>44267.50265</v>
      </c>
    </row>
    <row r="322">
      <c r="A322" s="7" t="str">
        <f>IFERROR(__xludf.DUMMYFUNCTION("""COMPUTED_VALUE"""),"https://www.method.me/videos/how-to-better-your-bottom-line-by-prioritizing-customer-retention/")</f>
        <v>https://www.method.me/videos/how-to-better-your-bottom-line-by-prioritizing-customer-retention/</v>
      </c>
      <c r="B322" s="1" t="str">
        <f>IFERROR(__xludf.DUMMYFUNCTION("""COMPUTED_VALUE"""),"Video page")</f>
        <v>Video page</v>
      </c>
      <c r="C322" s="1" t="str">
        <f>IFERROR(__xludf.DUMMYFUNCTION("""COMPUTED_VALUE"""),"Other page")</f>
        <v>Other page</v>
      </c>
      <c r="D322" s="1" t="str">
        <f>IFERROR(__xludf.DUMMYFUNCTION("""COMPUTED_VALUE"""),"How to better your bottom line by prioritizing customer retention")</f>
        <v>How to better your bottom line by prioritizing customer retention</v>
      </c>
      <c r="E322" s="12">
        <f>IFERROR(__xludf.DUMMYFUNCTION("""COMPUTED_VALUE"""),44267.51278935185)</f>
        <v>44267.51279</v>
      </c>
    </row>
    <row r="323">
      <c r="A323" s="7" t="str">
        <f>IFERROR(__xludf.DUMMYFUNCTION("""COMPUTED_VALUE"""),"https://www.method.me/videos/the-experts-weigh-in-how-to-make-the-most-of-quickbooks/")</f>
        <v>https://www.method.me/videos/the-experts-weigh-in-how-to-make-the-most-of-quickbooks/</v>
      </c>
      <c r="B323" s="1" t="str">
        <f>IFERROR(__xludf.DUMMYFUNCTION("""COMPUTED_VALUE"""),"Video page")</f>
        <v>Video page</v>
      </c>
      <c r="C323" s="1" t="str">
        <f>IFERROR(__xludf.DUMMYFUNCTION("""COMPUTED_VALUE"""),"Other page")</f>
        <v>Other page</v>
      </c>
      <c r="D323" s="1" t="str">
        <f>IFERROR(__xludf.DUMMYFUNCTION("""COMPUTED_VALUE"""),"The experts weigh in: How to make the most of QuickBooks")</f>
        <v>The experts weigh in: How to make the most of QuickBooks</v>
      </c>
      <c r="E323" s="12">
        <f>IFERROR(__xludf.DUMMYFUNCTION("""COMPUTED_VALUE"""),44267.51363425926)</f>
        <v>44267.51363</v>
      </c>
    </row>
    <row r="324">
      <c r="A324" s="7" t="str">
        <f>IFERROR(__xludf.DUMMYFUNCTION("""COMPUTED_VALUE"""),"https://www.method.me/videos/manufacturing-workflows-how-to-boost-productivity/")</f>
        <v>https://www.method.me/videos/manufacturing-workflows-how-to-boost-productivity/</v>
      </c>
      <c r="B324" s="1" t="str">
        <f>IFERROR(__xludf.DUMMYFUNCTION("""COMPUTED_VALUE"""),"Video page")</f>
        <v>Video page</v>
      </c>
      <c r="C324" s="1" t="str">
        <f>IFERROR(__xludf.DUMMYFUNCTION("""COMPUTED_VALUE"""),"Other page")</f>
        <v>Other page</v>
      </c>
      <c r="D324" s="1" t="str">
        <f>IFERROR(__xludf.DUMMYFUNCTION("""COMPUTED_VALUE"""),"Manufacturing workflows: How to boost productivity")</f>
        <v>Manufacturing workflows: How to boost productivity</v>
      </c>
      <c r="E324" s="12">
        <f>IFERROR(__xludf.DUMMYFUNCTION("""COMPUTED_VALUE"""),44267.517847222225)</f>
        <v>44267.51785</v>
      </c>
    </row>
    <row r="325">
      <c r="A325" s="7" t="str">
        <f>IFERROR(__xludf.DUMMYFUNCTION("""COMPUTED_VALUE"""),"https://www.method.me/videos/tech-trends-for-growth-minded-businesses/")</f>
        <v>https://www.method.me/videos/tech-trends-for-growth-minded-businesses/</v>
      </c>
      <c r="B325" s="1" t="str">
        <f>IFERROR(__xludf.DUMMYFUNCTION("""COMPUTED_VALUE"""),"Video page")</f>
        <v>Video page</v>
      </c>
      <c r="C325" s="1" t="str">
        <f>IFERROR(__xludf.DUMMYFUNCTION("""COMPUTED_VALUE"""),"Other page")</f>
        <v>Other page</v>
      </c>
      <c r="D325" s="1" t="str">
        <f>IFERROR(__xludf.DUMMYFUNCTION("""COMPUTED_VALUE"""),"Tech trends for growth-minded businesses")</f>
        <v>Tech trends for growth-minded businesses</v>
      </c>
      <c r="E325" s="12">
        <f>IFERROR(__xludf.DUMMYFUNCTION("""COMPUTED_VALUE"""),44267.52275462963)</f>
        <v>44267.52275</v>
      </c>
    </row>
    <row r="326">
      <c r="A326" s="7" t="str">
        <f>IFERROR(__xludf.DUMMYFUNCTION("""COMPUTED_VALUE"""),"https://www.method.me/videos/the-supply-chain-secrets-you-need-to-succeed/")</f>
        <v>https://www.method.me/videos/the-supply-chain-secrets-you-need-to-succeed/</v>
      </c>
      <c r="B326" s="1" t="str">
        <f>IFERROR(__xludf.DUMMYFUNCTION("""COMPUTED_VALUE"""),"Video page")</f>
        <v>Video page</v>
      </c>
      <c r="C326" s="1" t="str">
        <f>IFERROR(__xludf.DUMMYFUNCTION("""COMPUTED_VALUE"""),"Other page")</f>
        <v>Other page</v>
      </c>
      <c r="D326" s="1" t="str">
        <f>IFERROR(__xludf.DUMMYFUNCTION("""COMPUTED_VALUE"""),"The supply chain secrets you need to succeed")</f>
        <v>The supply chain secrets you need to succeed</v>
      </c>
      <c r="E326" s="12">
        <f>IFERROR(__xludf.DUMMYFUNCTION("""COMPUTED_VALUE"""),44267.52377314815)</f>
        <v>44267.52377</v>
      </c>
    </row>
    <row r="327">
      <c r="A327" s="7" t="str">
        <f>IFERROR(__xludf.DUMMYFUNCTION("""COMPUTED_VALUE"""),"https://www.method.me/blog/managing-an-efficient-supply-chain/")</f>
        <v>https://www.method.me/blog/managing-an-efficient-supply-chain/</v>
      </c>
      <c r="B327" s="1" t="str">
        <f>IFERROR(__xludf.DUMMYFUNCTION("""COMPUTED_VALUE"""),"Listicle - Method")</f>
        <v>Listicle - Method</v>
      </c>
      <c r="C327" s="1" t="str">
        <f>IFERROR(__xludf.DUMMYFUNCTION("""COMPUTED_VALUE"""),"Blog")</f>
        <v>Blog</v>
      </c>
      <c r="D327" s="1" t="str">
        <f>IFERROR(__xludf.DUMMYFUNCTION("""COMPUTED_VALUE"""),"Managing an efficient supply chain: 4 considerations from Method:CRM &amp; SOS Inventory")</f>
        <v>Managing an efficient supply chain: 4 considerations from Method:CRM &amp; SOS Inventory</v>
      </c>
      <c r="E327" s="12">
        <f>IFERROR(__xludf.DUMMYFUNCTION("""COMPUTED_VALUE"""),44274.385416666664)</f>
        <v>44274.38542</v>
      </c>
    </row>
    <row r="328">
      <c r="A328" s="7" t="str">
        <f>IFERROR(__xludf.DUMMYFUNCTION("""COMPUTED_VALUE"""),"https://www.method.me/blog/work-order-tracking/")</f>
        <v>https://www.method.me/blog/work-order-tracking/</v>
      </c>
      <c r="B328" s="1" t="str">
        <f>IFERROR(__xludf.DUMMYFUNCTION("""COMPUTED_VALUE"""),"Listicle - General")</f>
        <v>Listicle - General</v>
      </c>
      <c r="C328" s="1" t="str">
        <f>IFERROR(__xludf.DUMMYFUNCTION("""COMPUTED_VALUE"""),"Blog")</f>
        <v>Blog</v>
      </c>
      <c r="D328" s="1" t="str">
        <f>IFERROR(__xludf.DUMMYFUNCTION("""COMPUTED_VALUE"""),"Work order tracking: 4 keys to simplify your process")</f>
        <v>Work order tracking: 4 keys to simplify your process</v>
      </c>
      <c r="E328" s="12">
        <f>IFERROR(__xludf.DUMMYFUNCTION("""COMPUTED_VALUE"""),44280.705509259256)</f>
        <v>44280.70551</v>
      </c>
    </row>
    <row r="329">
      <c r="A329" s="7" t="str">
        <f>IFERROR(__xludf.DUMMYFUNCTION("""COMPUTED_VALUE"""),"https://www.method.me/blog/future-crm-trends/")</f>
        <v>https://www.method.me/blog/future-crm-trends/</v>
      </c>
      <c r="B329" s="1" t="str">
        <f>IFERROR(__xludf.DUMMYFUNCTION("""COMPUTED_VALUE"""),"CRM")</f>
        <v>CRM</v>
      </c>
      <c r="C329" s="1" t="str">
        <f>IFERROR(__xludf.DUMMYFUNCTION("""COMPUTED_VALUE"""),"Blog")</f>
        <v>Blog</v>
      </c>
      <c r="D329" s="1" t="str">
        <f>IFERROR(__xludf.DUMMYFUNCTION("""COMPUTED_VALUE"""),"Future CRM trends your small business needs to watch out for")</f>
        <v>Future CRM trends your small business needs to watch out for</v>
      </c>
      <c r="E329" s="12">
        <f>IFERROR(__xludf.DUMMYFUNCTION("""COMPUTED_VALUE"""),44305.63997685185)</f>
        <v>44305.63998</v>
      </c>
    </row>
    <row r="330">
      <c r="A330" s="7" t="str">
        <f>IFERROR(__xludf.DUMMYFUNCTION("""COMPUTED_VALUE"""),"https://www.method.me/videos/proadvisor-perspective-how-to-maximize-the-power-of-quickbooks-desktop/")</f>
        <v>https://www.method.me/videos/proadvisor-perspective-how-to-maximize-the-power-of-quickbooks-desktop/</v>
      </c>
      <c r="B330" s="1" t="str">
        <f>IFERROR(__xludf.DUMMYFUNCTION("""COMPUTED_VALUE"""),"Video page")</f>
        <v>Video page</v>
      </c>
      <c r="C330" s="1" t="str">
        <f>IFERROR(__xludf.DUMMYFUNCTION("""COMPUTED_VALUE"""),"Other page")</f>
        <v>Other page</v>
      </c>
      <c r="D330" s="1" t="str">
        <f>IFERROR(__xludf.DUMMYFUNCTION("""COMPUTED_VALUE"""),"ProAdvisor perspective: How to maximize the power of QuickBooks Desktop")</f>
        <v>ProAdvisor perspective: How to maximize the power of QuickBooks Desktop</v>
      </c>
      <c r="E330" s="12">
        <f>IFERROR(__xludf.DUMMYFUNCTION("""COMPUTED_VALUE"""),44312.6490162037)</f>
        <v>44312.64902</v>
      </c>
    </row>
    <row r="331">
      <c r="A331" s="7" t="str">
        <f>IFERROR(__xludf.DUMMYFUNCTION("""COMPUTED_VALUE"""),"https://www.method.me/crm-quickbooks/workflow-automation/")</f>
        <v>https://www.method.me/crm-quickbooks/workflow-automation/</v>
      </c>
      <c r="B331" s="1" t="str">
        <f>IFERROR(__xludf.DUMMYFUNCTION("""COMPUTED_VALUE"""),"/crm-quickbooks/")</f>
        <v>/crm-quickbooks/</v>
      </c>
      <c r="C331" s="1" t="str">
        <f>IFERROR(__xludf.DUMMYFUNCTION("""COMPUTED_VALUE"""),"Other page")</f>
        <v>Other page</v>
      </c>
      <c r="D331" s="1" t="str">
        <f>IFERROR(__xludf.DUMMYFUNCTION("""COMPUTED_VALUE"""),"CRM automation")</f>
        <v>CRM automation</v>
      </c>
      <c r="E331" s="12">
        <f>IFERROR(__xludf.DUMMYFUNCTION("""COMPUTED_VALUE"""),44329.703738425924)</f>
        <v>44329.70374</v>
      </c>
    </row>
    <row r="332">
      <c r="A332" s="7" t="str">
        <f>IFERROR(__xludf.DUMMYFUNCTION("""COMPUTED_VALUE"""),"https://www.method.me/crm-quickbooks/work-order-software/")</f>
        <v>https://www.method.me/crm-quickbooks/work-order-software/</v>
      </c>
      <c r="B332" s="1" t="str">
        <f>IFERROR(__xludf.DUMMYFUNCTION("""COMPUTED_VALUE"""),"/crm-quickbooks/")</f>
        <v>/crm-quickbooks/</v>
      </c>
      <c r="C332" s="1" t="str">
        <f>IFERROR(__xludf.DUMMYFUNCTION("""COMPUTED_VALUE"""),"Other page")</f>
        <v>Other page</v>
      </c>
      <c r="D332" s="1" t="str">
        <f>IFERROR(__xludf.DUMMYFUNCTION("""COMPUTED_VALUE"""),"Work Order Software")</f>
        <v>Work Order Software</v>
      </c>
      <c r="E332" s="12">
        <f>IFERROR(__xludf.DUMMYFUNCTION("""COMPUTED_VALUE"""),44330.638240740744)</f>
        <v>44330.63824</v>
      </c>
    </row>
    <row r="333">
      <c r="A333" s="7" t="str">
        <f>IFERROR(__xludf.DUMMYFUNCTION("""COMPUTED_VALUE"""),"https://www.method.me/crm-quickbooks/invoice-software/")</f>
        <v>https://www.method.me/crm-quickbooks/invoice-software/</v>
      </c>
      <c r="B333" s="1" t="str">
        <f>IFERROR(__xludf.DUMMYFUNCTION("""COMPUTED_VALUE"""),"/crm-quickbooks/")</f>
        <v>/crm-quickbooks/</v>
      </c>
      <c r="C333" s="1" t="str">
        <f>IFERROR(__xludf.DUMMYFUNCTION("""COMPUTED_VALUE"""),"Other page")</f>
        <v>Other page</v>
      </c>
      <c r="D333" s="1" t="str">
        <f>IFERROR(__xludf.DUMMYFUNCTION("""COMPUTED_VALUE"""),"Invoice software")</f>
        <v>Invoice software</v>
      </c>
      <c r="E333" s="12">
        <f>IFERROR(__xludf.DUMMYFUNCTION("""COMPUTED_VALUE"""),44333.63253472222)</f>
        <v>44333.63253</v>
      </c>
    </row>
    <row r="334">
      <c r="A334" s="7" t="str">
        <f>IFERROR(__xludf.DUMMYFUNCTION("""COMPUTED_VALUE"""),"https://www.method.me/crm-quickbooks/job-scheduling-software/")</f>
        <v>https://www.method.me/crm-quickbooks/job-scheduling-software/</v>
      </c>
      <c r="B334" s="1" t="str">
        <f>IFERROR(__xludf.DUMMYFUNCTION("""COMPUTED_VALUE"""),"/crm-quickbooks/")</f>
        <v>/crm-quickbooks/</v>
      </c>
      <c r="C334" s="1" t="str">
        <f>IFERROR(__xludf.DUMMYFUNCTION("""COMPUTED_VALUE"""),"Other page")</f>
        <v>Other page</v>
      </c>
      <c r="D334" s="1" t="str">
        <f>IFERROR(__xludf.DUMMYFUNCTION("""COMPUTED_VALUE"""),"Job scheduling software")</f>
        <v>Job scheduling software</v>
      </c>
      <c r="E334" s="12">
        <f>IFERROR(__xludf.DUMMYFUNCTION("""COMPUTED_VALUE"""),44333.67834490741)</f>
        <v>44333.67834</v>
      </c>
    </row>
    <row r="335">
      <c r="A335" s="7" t="str">
        <f>IFERROR(__xludf.DUMMYFUNCTION("""COMPUTED_VALUE"""),"https://www.method.me/crm-quickbooks/time-tracking-software/")</f>
        <v>https://www.method.me/crm-quickbooks/time-tracking-software/</v>
      </c>
      <c r="B335" s="1" t="str">
        <f>IFERROR(__xludf.DUMMYFUNCTION("""COMPUTED_VALUE"""),"/crm-quickbooks/")</f>
        <v>/crm-quickbooks/</v>
      </c>
      <c r="C335" s="1" t="str">
        <f>IFERROR(__xludf.DUMMYFUNCTION("""COMPUTED_VALUE"""),"Other page")</f>
        <v>Other page</v>
      </c>
      <c r="D335" s="1" t="str">
        <f>IFERROR(__xludf.DUMMYFUNCTION("""COMPUTED_VALUE"""),"Time tracking software")</f>
        <v>Time tracking software</v>
      </c>
      <c r="E335" s="12">
        <f>IFERROR(__xludf.DUMMYFUNCTION("""COMPUTED_VALUE"""),44336.51625)</f>
        <v>44336.51625</v>
      </c>
    </row>
    <row r="336">
      <c r="A336" s="7" t="str">
        <f>IFERROR(__xludf.DUMMYFUNCTION("""COMPUTED_VALUE"""),"https://www.method.me/blog/quickbooks-desktop-to-online/")</f>
        <v>https://www.method.me/blog/quickbooks-desktop-to-online/</v>
      </c>
      <c r="B336" s="1" t="str">
        <f>IFERROR(__xludf.DUMMYFUNCTION("""COMPUTED_VALUE"""),"QuickBooks - General")</f>
        <v>QuickBooks - General</v>
      </c>
      <c r="C336" s="1" t="str">
        <f>IFERROR(__xludf.DUMMYFUNCTION("""COMPUTED_VALUE"""),"Blog")</f>
        <v>Blog</v>
      </c>
      <c r="D336" s="1" t="str">
        <f>IFERROR(__xludf.DUMMYFUNCTION("""COMPUTED_VALUE"""),"Should I switch from QuickBooks Desktop to Online?")</f>
        <v>Should I switch from QuickBooks Desktop to Online?</v>
      </c>
      <c r="E336" s="12">
        <f>IFERROR(__xludf.DUMMYFUNCTION("""COMPUTED_VALUE"""),44342.73247685185)</f>
        <v>44342.73248</v>
      </c>
    </row>
    <row r="337">
      <c r="A337" s="7" t="str">
        <f>IFERROR(__xludf.DUMMYFUNCTION("""COMPUTED_VALUE"""),"https://www.method.me/blog/small-business-data-analytics/")</f>
        <v>https://www.method.me/blog/small-business-data-analytics/</v>
      </c>
      <c r="B337" s="1" t="str">
        <f>IFERROR(__xludf.DUMMYFUNCTION("""COMPUTED_VALUE"""),"Small business / Nonprofit")</f>
        <v>Small business / Nonprofit</v>
      </c>
      <c r="C337" s="1" t="str">
        <f>IFERROR(__xludf.DUMMYFUNCTION("""COMPUTED_VALUE"""),"Blog")</f>
        <v>Blog</v>
      </c>
      <c r="D337" s="1" t="str">
        <f>IFERROR(__xludf.DUMMYFUNCTION("""COMPUTED_VALUE"""),"Small business data analytics: Everything you need to know")</f>
        <v>Small business data analytics: Everything you need to know</v>
      </c>
      <c r="E337" s="12">
        <f>IFERROR(__xludf.DUMMYFUNCTION("""COMPUTED_VALUE"""),44354.739803240744)</f>
        <v>44354.7398</v>
      </c>
    </row>
    <row r="338">
      <c r="A338" s="7" t="str">
        <f>IFERROR(__xludf.DUMMYFUNCTION("""COMPUTED_VALUE"""),"https://www.method.me/accessibility-at-method/")</f>
        <v>https://www.method.me/accessibility-at-method/</v>
      </c>
      <c r="B338" s="1" t="str">
        <f>IFERROR(__xludf.DUMMYFUNCTION("""COMPUTED_VALUE"""),"Other page")</f>
        <v>Other page</v>
      </c>
      <c r="C338" s="1" t="str">
        <f>IFERROR(__xludf.DUMMYFUNCTION("""COMPUTED_VALUE"""),"Other page")</f>
        <v>Other page</v>
      </c>
      <c r="D338" s="1" t="str">
        <f>IFERROR(__xludf.DUMMYFUNCTION("""COMPUTED_VALUE"""),"Accessibility at Method")</f>
        <v>Accessibility at Method</v>
      </c>
      <c r="E338" s="12">
        <f>IFERROR(__xludf.DUMMYFUNCTION("""COMPUTED_VALUE"""),44375.56765046297)</f>
        <v>44375.56765</v>
      </c>
    </row>
    <row r="339">
      <c r="A339" s="7" t="str">
        <f>IFERROR(__xludf.DUMMYFUNCTION("""COMPUTED_VALUE"""),"https://www.method.me/blog/crm-sales-automation/")</f>
        <v>https://www.method.me/blog/crm-sales-automation/</v>
      </c>
      <c r="B339" s="1" t="str">
        <f>IFERROR(__xludf.DUMMYFUNCTION("""COMPUTED_VALUE"""),"Sales / Marketing / Lead gen")</f>
        <v>Sales / Marketing / Lead gen</v>
      </c>
      <c r="C339" s="1" t="str">
        <f>IFERROR(__xludf.DUMMYFUNCTION("""COMPUTED_VALUE"""),"Blog")</f>
        <v>Blog</v>
      </c>
      <c r="D339" s="1" t="str">
        <f>IFERROR(__xludf.DUMMYFUNCTION("""COMPUTED_VALUE"""),"Why sales automation is the way forward")</f>
        <v>Why sales automation is the way forward</v>
      </c>
      <c r="E339" s="12">
        <f>IFERROR(__xludf.DUMMYFUNCTION("""COMPUTED_VALUE"""),44384.51969907407)</f>
        <v>44384.5197</v>
      </c>
    </row>
    <row r="340">
      <c r="A340" s="7" t="str">
        <f>IFERROR(__xludf.DUMMYFUNCTION("""COMPUTED_VALUE"""),"https://www.method.me/blog/employee-time-tracking-software/")</f>
        <v>https://www.method.me/blog/employee-time-tracking-software/</v>
      </c>
      <c r="B340" s="1" t="str">
        <f>IFERROR(__xludf.DUMMYFUNCTION("""COMPUTED_VALUE"""),"Listicle - General")</f>
        <v>Listicle - General</v>
      </c>
      <c r="C340" s="1" t="str">
        <f>IFERROR(__xludf.DUMMYFUNCTION("""COMPUTED_VALUE"""),"Blog")</f>
        <v>Blog</v>
      </c>
      <c r="D340" s="1" t="str">
        <f>IFERROR(__xludf.DUMMYFUNCTION("""COMPUTED_VALUE"""),"4 ways employee time tracking software improves your bottom line")</f>
        <v>4 ways employee time tracking software improves your bottom line</v>
      </c>
      <c r="E340" s="12">
        <f>IFERROR(__xludf.DUMMYFUNCTION("""COMPUTED_VALUE"""),44389.375)</f>
        <v>44389.375</v>
      </c>
    </row>
    <row r="341">
      <c r="A341" s="7" t="str">
        <f>IFERROR(__xludf.DUMMYFUNCTION("""COMPUTED_VALUE"""),"https://www.method.me/videos/communication-tactics-that-skyrocket-sales-and-engage-customers/")</f>
        <v>https://www.method.me/videos/communication-tactics-that-skyrocket-sales-and-engage-customers/</v>
      </c>
      <c r="B341" s="1" t="str">
        <f>IFERROR(__xludf.DUMMYFUNCTION("""COMPUTED_VALUE"""),"Video page")</f>
        <v>Video page</v>
      </c>
      <c r="C341" s="1" t="str">
        <f>IFERROR(__xludf.DUMMYFUNCTION("""COMPUTED_VALUE"""),"Other page")</f>
        <v>Other page</v>
      </c>
      <c r="D341" s="1" t="str">
        <f>IFERROR(__xludf.DUMMYFUNCTION("""COMPUTED_VALUE"""),"Communication tactics that skyrocket sales and engage customers")</f>
        <v>Communication tactics that skyrocket sales and engage customers</v>
      </c>
      <c r="E341" s="12">
        <f>IFERROR(__xludf.DUMMYFUNCTION("""COMPUTED_VALUE"""),44389.39991898148)</f>
        <v>44389.39992</v>
      </c>
    </row>
    <row r="342">
      <c r="A342" s="7" t="str">
        <f>IFERROR(__xludf.DUMMYFUNCTION("""COMPUTED_VALUE"""),"https://www.method.me/blog/best-crm-workflow/")</f>
        <v>https://www.method.me/blog/best-crm-workflow/</v>
      </c>
      <c r="B342" s="1" t="str">
        <f>IFERROR(__xludf.DUMMYFUNCTION("""COMPUTED_VALUE"""),"Listicle - CRM")</f>
        <v>Listicle - CRM</v>
      </c>
      <c r="C342" s="1" t="str">
        <f>IFERROR(__xludf.DUMMYFUNCTION("""COMPUTED_VALUE"""),"Blog")</f>
        <v>Blog</v>
      </c>
      <c r="D342" s="1" t="str">
        <f>IFERROR(__xludf.DUMMYFUNCTION("""COMPUTED_VALUE"""),"The best CRM workflows for growing businesses")</f>
        <v>The best CRM workflows for growing businesses</v>
      </c>
      <c r="E342" s="12">
        <f>IFERROR(__xludf.DUMMYFUNCTION("""COMPUTED_VALUE"""),44392.395833333336)</f>
        <v>44392.39583</v>
      </c>
    </row>
    <row r="343">
      <c r="A343" s="7" t="str">
        <f>IFERROR(__xludf.DUMMYFUNCTION("""COMPUTED_VALUE"""),"https://www.method.me/crm-quickbooks/pricing/")</f>
        <v>https://www.method.me/crm-quickbooks/pricing/</v>
      </c>
      <c r="B343" s="1" t="str">
        <f>IFERROR(__xludf.DUMMYFUNCTION("""COMPUTED_VALUE"""),"/crm-quickbooks/")</f>
        <v>/crm-quickbooks/</v>
      </c>
      <c r="C343" s="1" t="str">
        <f>IFERROR(__xludf.DUMMYFUNCTION("""COMPUTED_VALUE"""),"Other page")</f>
        <v>Other page</v>
      </c>
      <c r="D343" s="1" t="str">
        <f>IFERROR(__xludf.DUMMYFUNCTION("""COMPUTED_VALUE"""),"Pricing")</f>
        <v>Pricing</v>
      </c>
      <c r="E343" s="12">
        <f>IFERROR(__xludf.DUMMYFUNCTION("""COMPUTED_VALUE"""),44392.60931712963)</f>
        <v>44392.60932</v>
      </c>
    </row>
    <row r="344">
      <c r="A344" s="7" t="str">
        <f>IFERROR(__xludf.DUMMYFUNCTION("""COMPUTED_VALUE"""),"https://www.method.me/blog/best-employee-time-tracking-app/")</f>
        <v>https://www.method.me/blog/best-employee-time-tracking-app/</v>
      </c>
      <c r="B344" s="1" t="str">
        <f>IFERROR(__xludf.DUMMYFUNCTION("""COMPUTED_VALUE"""),"Listicle - General")</f>
        <v>Listicle - General</v>
      </c>
      <c r="C344" s="1" t="str">
        <f>IFERROR(__xludf.DUMMYFUNCTION("""COMPUTED_VALUE"""),"Blog")</f>
        <v>Blog</v>
      </c>
      <c r="D344" s="1" t="str">
        <f>IFERROR(__xludf.DUMMYFUNCTION("""COMPUTED_VALUE"""),"The 6 features the best employee time tracking apps have")</f>
        <v>The 6 features the best employee time tracking apps have</v>
      </c>
      <c r="E344" s="12">
        <f>IFERROR(__xludf.DUMMYFUNCTION("""COMPUTED_VALUE"""),44397.375)</f>
        <v>44397.375</v>
      </c>
    </row>
    <row r="345">
      <c r="A345" s="7" t="str">
        <f>IFERROR(__xludf.DUMMYFUNCTION("""COMPUTED_VALUE"""),"https://www.method.me/blog/crm-for-workflow-automation/")</f>
        <v>https://www.method.me/blog/crm-for-workflow-automation/</v>
      </c>
      <c r="B345" s="1" t="str">
        <f>IFERROR(__xludf.DUMMYFUNCTION("""COMPUTED_VALUE"""),"Listicle - CRM")</f>
        <v>Listicle - CRM</v>
      </c>
      <c r="C345" s="1" t="str">
        <f>IFERROR(__xludf.DUMMYFUNCTION("""COMPUTED_VALUE"""),"Blog")</f>
        <v>Blog</v>
      </c>
      <c r="D345" s="1" t="str">
        <f>IFERROR(__xludf.DUMMYFUNCTION("""COMPUTED_VALUE"""),"Top contenders: CRM for workflow automation")</f>
        <v>Top contenders: CRM for workflow automation</v>
      </c>
      <c r="E345" s="12">
        <f>IFERROR(__xludf.DUMMYFUNCTION("""COMPUTED_VALUE"""),44399.395833333336)</f>
        <v>44399.39583</v>
      </c>
    </row>
    <row r="346">
      <c r="A346" s="7" t="str">
        <f>IFERROR(__xludf.DUMMYFUNCTION("""COMPUTED_VALUE"""),"https://www.method.me/blog/time-tracking-tool/")</f>
        <v>https://www.method.me/blog/time-tracking-tool/</v>
      </c>
      <c r="B346" s="1" t="str">
        <f>IFERROR(__xludf.DUMMYFUNCTION("""COMPUTED_VALUE"""),"Listicle - Method")</f>
        <v>Listicle - Method</v>
      </c>
      <c r="C346" s="1" t="str">
        <f>IFERROR(__xludf.DUMMYFUNCTION("""COMPUTED_VALUE"""),"Blog")</f>
        <v>Blog</v>
      </c>
      <c r="D346" s="1" t="str">
        <f>IFERROR(__xludf.DUMMYFUNCTION("""COMPUTED_VALUE"""),"Time tracking tools: 4 reasons why Method needs to be your #1 pick")</f>
        <v>Time tracking tools: 4 reasons why Method needs to be your #1 pick</v>
      </c>
      <c r="E346" s="12">
        <f>IFERROR(__xludf.DUMMYFUNCTION("""COMPUTED_VALUE"""),44404.375)</f>
        <v>44404.375</v>
      </c>
    </row>
    <row r="347">
      <c r="A347" s="7" t="str">
        <f>IFERROR(__xludf.DUMMYFUNCTION("""COMPUTED_VALUE"""),"https://www.method.me/blog/seo-for-accountants/")</f>
        <v>https://www.method.me/blog/seo-for-accountants/</v>
      </c>
      <c r="B347" s="1" t="str">
        <f>IFERROR(__xludf.DUMMYFUNCTION("""COMPUTED_VALUE"""),"Accounting")</f>
        <v>Accounting</v>
      </c>
      <c r="C347" s="1" t="str">
        <f>IFERROR(__xludf.DUMMYFUNCTION("""COMPUTED_VALUE"""),"Blog")</f>
        <v>Blog</v>
      </c>
      <c r="D347" s="1" t="str">
        <f>IFERROR(__xludf.DUMMYFUNCTION("""COMPUTED_VALUE"""),"Why SEO for accountants matters: 8 key takeaways")</f>
        <v>Why SEO for accountants matters: 8 key takeaways</v>
      </c>
      <c r="E347" s="12">
        <f>IFERROR(__xludf.DUMMYFUNCTION("""COMPUTED_VALUE"""),44406.395833333336)</f>
        <v>44406.39583</v>
      </c>
    </row>
    <row r="348">
      <c r="A348" s="7" t="str">
        <f>IFERROR(__xludf.DUMMYFUNCTION("""COMPUTED_VALUE"""),"https://www.method.me/crm-quickbooks/pricing/full-feature/")</f>
        <v>https://www.method.me/crm-quickbooks/pricing/full-feature/</v>
      </c>
      <c r="B348" s="1" t="str">
        <f>IFERROR(__xludf.DUMMYFUNCTION("""COMPUTED_VALUE"""),"/crm-quickbooks/")</f>
        <v>/crm-quickbooks/</v>
      </c>
      <c r="C348" s="1" t="str">
        <f>IFERROR(__xludf.DUMMYFUNCTION("""COMPUTED_VALUE"""),"Other page")</f>
        <v>Other page</v>
      </c>
      <c r="D348" s="1" t="str">
        <f>IFERROR(__xludf.DUMMYFUNCTION("""COMPUTED_VALUE"""),"Pricing full feature list")</f>
        <v>Pricing full feature list</v>
      </c>
      <c r="E348" s="12">
        <f>IFERROR(__xludf.DUMMYFUNCTION("""COMPUTED_VALUE"""),44406.67162037037)</f>
        <v>44406.67162</v>
      </c>
    </row>
    <row r="349">
      <c r="A349" s="7" t="str">
        <f>IFERROR(__xludf.DUMMYFUNCTION("""COMPUTED_VALUE"""),"https://www.method.me/blog/field-service-scheduling-software/")</f>
        <v>https://www.method.me/blog/field-service-scheduling-software/</v>
      </c>
      <c r="B349" s="1" t="str">
        <f>IFERROR(__xludf.DUMMYFUNCTION("""COMPUTED_VALUE"""),"QuickBooks - General")</f>
        <v>QuickBooks - General</v>
      </c>
      <c r="C349" s="1" t="str">
        <f>IFERROR(__xludf.DUMMYFUNCTION("""COMPUTED_VALUE"""),"Blog")</f>
        <v>Blog</v>
      </c>
      <c r="D349" s="1" t="str">
        <f>IFERROR(__xludf.DUMMYFUNCTION("""COMPUTED_VALUE"""),"Why field service scheduling software and QuickBooks are the perfect combination")</f>
        <v>Why field service scheduling software and QuickBooks are the perfect combination</v>
      </c>
      <c r="E349" s="12">
        <f>IFERROR(__xludf.DUMMYFUNCTION("""COMPUTED_VALUE"""),44426.693460648145)</f>
        <v>44426.69346</v>
      </c>
    </row>
    <row r="350">
      <c r="A350" s="7" t="str">
        <f>IFERROR(__xludf.DUMMYFUNCTION("""COMPUTED_VALUE"""),"https://www.method.me/features/estimates/")</f>
        <v>https://www.method.me/features/estimates/</v>
      </c>
      <c r="B350" s="1" t="str">
        <f>IFERROR(__xludf.DUMMYFUNCTION("""COMPUTED_VALUE"""),"Features page")</f>
        <v>Features page</v>
      </c>
      <c r="C350" s="1" t="str">
        <f>IFERROR(__xludf.DUMMYFUNCTION("""COMPUTED_VALUE"""),"Other page")</f>
        <v>Other page</v>
      </c>
      <c r="D350" s="1" t="str">
        <f>IFERROR(__xludf.DUMMYFUNCTION("""COMPUTED_VALUE"""),"Estimates")</f>
        <v>Estimates</v>
      </c>
      <c r="E350" s="12">
        <f>IFERROR(__xludf.DUMMYFUNCTION("""COMPUTED_VALUE"""),44448.394583333335)</f>
        <v>44448.39458</v>
      </c>
    </row>
    <row r="351">
      <c r="A351" s="7" t="str">
        <f>IFERROR(__xludf.DUMMYFUNCTION("""COMPUTED_VALUE"""),"https://www.method.me/pricing-guides/house-cleaning-estimate-form/")</f>
        <v>https://www.method.me/pricing-guides/house-cleaning-estimate-form/</v>
      </c>
      <c r="B351" s="1" t="str">
        <f>IFERROR(__xludf.DUMMYFUNCTION("""COMPUTED_VALUE"""),"Pricing guide")</f>
        <v>Pricing guide</v>
      </c>
      <c r="C351" s="1" t="str">
        <f>IFERROR(__xludf.DUMMYFUNCTION("""COMPUTED_VALUE"""),"Other page")</f>
        <v>Other page</v>
      </c>
      <c r="D351" s="1" t="str">
        <f>IFERROR(__xludf.DUMMYFUNCTION("""COMPUTED_VALUE"""),"How to give a house cleaning estimate: House cleaning estimate form")</f>
        <v>How to give a house cleaning estimate: House cleaning estimate form</v>
      </c>
      <c r="E351" s="12">
        <f>IFERROR(__xludf.DUMMYFUNCTION("""COMPUTED_VALUE"""),44454.51231481481)</f>
        <v>44454.51231</v>
      </c>
    </row>
    <row r="352">
      <c r="A352" s="7" t="str">
        <f>IFERROR(__xludf.DUMMYFUNCTION("""COMPUTED_VALUE"""),"https://www.method.me/pricing-guides/")</f>
        <v>https://www.method.me/pricing-guides/</v>
      </c>
      <c r="B352" s="1" t="str">
        <f>IFERROR(__xludf.DUMMYFUNCTION("""COMPUTED_VALUE"""),"Pricing guide")</f>
        <v>Pricing guide</v>
      </c>
      <c r="C352" s="1" t="str">
        <f>IFERROR(__xludf.DUMMYFUNCTION("""COMPUTED_VALUE"""),"Other page")</f>
        <v>Other page</v>
      </c>
      <c r="D352" s="1" t="str">
        <f>IFERROR(__xludf.DUMMYFUNCTION("""COMPUTED_VALUE"""),"The ultimate pricing guide for trades and services")</f>
        <v>The ultimate pricing guide for trades and services</v>
      </c>
      <c r="E352" s="12">
        <f>IFERROR(__xludf.DUMMYFUNCTION("""COMPUTED_VALUE"""),44456.48824074074)</f>
        <v>44456.48824</v>
      </c>
    </row>
    <row r="353">
      <c r="A353" s="7" t="str">
        <f>IFERROR(__xludf.DUMMYFUNCTION("""COMPUTED_VALUE"""),"https://www.method.me/pricing-guides/plumbing-estimates-example/")</f>
        <v>https://www.method.me/pricing-guides/plumbing-estimates-example/</v>
      </c>
      <c r="B353" s="1" t="str">
        <f>IFERROR(__xludf.DUMMYFUNCTION("""COMPUTED_VALUE"""),"Pricing guide")</f>
        <v>Pricing guide</v>
      </c>
      <c r="C353" s="1" t="str">
        <f>IFERROR(__xludf.DUMMYFUNCTION("""COMPUTED_VALUE"""),"Other page")</f>
        <v>Other page</v>
      </c>
      <c r="D353" s="1" t="str">
        <f>IFERROR(__xludf.DUMMYFUNCTION("""COMPUTED_VALUE"""),"The basics for estimating plumbing costs: Plumbing estimates example")</f>
        <v>The basics for estimating plumbing costs: Plumbing estimates example</v>
      </c>
      <c r="E353" s="12">
        <f>IFERROR(__xludf.DUMMYFUNCTION("""COMPUTED_VALUE"""),44461.59196759259)</f>
        <v>44461.59197</v>
      </c>
    </row>
    <row r="354">
      <c r="A354" s="7" t="str">
        <f>IFERROR(__xludf.DUMMYFUNCTION("""COMPUTED_VALUE"""),"https://www.method.me/blog/automation-and-workflow/")</f>
        <v>https://www.method.me/blog/automation-and-workflow/</v>
      </c>
      <c r="B354" s="1" t="str">
        <f>IFERROR(__xludf.DUMMYFUNCTION("""COMPUTED_VALUE"""),"Listicle - General")</f>
        <v>Listicle - General</v>
      </c>
      <c r="C354" s="1" t="str">
        <f>IFERROR(__xludf.DUMMYFUNCTION("""COMPUTED_VALUE"""),"Blog")</f>
        <v>Blog</v>
      </c>
      <c r="D354" s="1" t="str">
        <f>IFERROR(__xludf.DUMMYFUNCTION("""COMPUTED_VALUE"""),"3 automation and workflow best practices every growing business needs")</f>
        <v>3 automation and workflow best practices every growing business needs</v>
      </c>
      <c r="E354" s="12">
        <f>IFERROR(__xludf.DUMMYFUNCTION("""COMPUTED_VALUE"""),44462.57782407408)</f>
        <v>44462.57782</v>
      </c>
    </row>
    <row r="355">
      <c r="A355" s="7" t="str">
        <f>IFERROR(__xludf.DUMMYFUNCTION("""COMPUTED_VALUE"""),"https://www.method.me/pricing-guides/snow-removal-pricing-formula/")</f>
        <v>https://www.method.me/pricing-guides/snow-removal-pricing-formula/</v>
      </c>
      <c r="B355" s="1" t="str">
        <f>IFERROR(__xludf.DUMMYFUNCTION("""COMPUTED_VALUE"""),"Pricing guide")</f>
        <v>Pricing guide</v>
      </c>
      <c r="C355" s="1" t="str">
        <f>IFERROR(__xludf.DUMMYFUNCTION("""COMPUTED_VALUE"""),"Other page")</f>
        <v>Other page</v>
      </c>
      <c r="D355" s="1" t="str">
        <f>IFERROR(__xludf.DUMMYFUNCTION("""COMPUTED_VALUE"""),"Cost to remove snow: Snow removal pricing formula")</f>
        <v>Cost to remove snow: Snow removal pricing formula</v>
      </c>
      <c r="E355" s="12">
        <f>IFERROR(__xludf.DUMMYFUNCTION("""COMPUTED_VALUE"""),44467.65623842592)</f>
        <v>44467.65624</v>
      </c>
    </row>
    <row r="356">
      <c r="A356" s="7" t="str">
        <f>IFERROR(__xludf.DUMMYFUNCTION("""COMPUTED_VALUE"""),"https://www.method.me/pricing-guides/construction-estimate-template/")</f>
        <v>https://www.method.me/pricing-guides/construction-estimate-template/</v>
      </c>
      <c r="B356" s="1" t="str">
        <f>IFERROR(__xludf.DUMMYFUNCTION("""COMPUTED_VALUE"""),"Pricing guide")</f>
        <v>Pricing guide</v>
      </c>
      <c r="C356" s="1" t="str">
        <f>IFERROR(__xludf.DUMMYFUNCTION("""COMPUTED_VALUE"""),"Other page")</f>
        <v>Other page</v>
      </c>
      <c r="D356" s="1" t="str">
        <f>IFERROR(__xludf.DUMMYFUNCTION("""COMPUTED_VALUE"""),"Free construction estimate template")</f>
        <v>Free construction estimate template</v>
      </c>
      <c r="E356" s="12">
        <f>IFERROR(__xludf.DUMMYFUNCTION("""COMPUTED_VALUE"""),44467.65623842592)</f>
        <v>44467.65624</v>
      </c>
    </row>
    <row r="357">
      <c r="A357" s="7" t="str">
        <f>IFERROR(__xludf.DUMMYFUNCTION("""COMPUTED_VALUE"""),"https://www.method.me/pricing-guides/carpet-cleaning-estimate-template/")</f>
        <v>https://www.method.me/pricing-guides/carpet-cleaning-estimate-template/</v>
      </c>
      <c r="B357" s="1" t="str">
        <f>IFERROR(__xludf.DUMMYFUNCTION("""COMPUTED_VALUE"""),"Pricing guide")</f>
        <v>Pricing guide</v>
      </c>
      <c r="C357" s="1" t="str">
        <f>IFERROR(__xludf.DUMMYFUNCTION("""COMPUTED_VALUE"""),"Other page")</f>
        <v>Other page</v>
      </c>
      <c r="D357" s="1" t="str">
        <f>IFERROR(__xludf.DUMMYFUNCTION("""COMPUTED_VALUE"""),"Carpet cleaning estimate template")</f>
        <v>Carpet cleaning estimate template</v>
      </c>
      <c r="E357" s="12">
        <f>IFERROR(__xludf.DUMMYFUNCTION("""COMPUTED_VALUE"""),44467.65623842592)</f>
        <v>44467.65624</v>
      </c>
    </row>
    <row r="358">
      <c r="A358" s="7" t="str">
        <f>IFERROR(__xludf.DUMMYFUNCTION("""COMPUTED_VALUE"""),"https://www.method.me/pricing-guides/tree-trimming-estimate-template/")</f>
        <v>https://www.method.me/pricing-guides/tree-trimming-estimate-template/</v>
      </c>
      <c r="B358" s="1" t="str">
        <f>IFERROR(__xludf.DUMMYFUNCTION("""COMPUTED_VALUE"""),"Pricing guide")</f>
        <v>Pricing guide</v>
      </c>
      <c r="C358" s="1" t="str">
        <f>IFERROR(__xludf.DUMMYFUNCTION("""COMPUTED_VALUE"""),"Other page")</f>
        <v>Other page</v>
      </c>
      <c r="D358" s="1" t="str">
        <f>IFERROR(__xludf.DUMMYFUNCTION("""COMPUTED_VALUE"""),"2024 Tree trimming estimate template")</f>
        <v>2024 Tree trimming estimate template</v>
      </c>
      <c r="E358" s="12">
        <f>IFERROR(__xludf.DUMMYFUNCTION("""COMPUTED_VALUE"""),44467.65623842592)</f>
        <v>44467.65624</v>
      </c>
    </row>
    <row r="359">
      <c r="A359" s="7" t="str">
        <f>IFERROR(__xludf.DUMMYFUNCTION("""COMPUTED_VALUE"""),"https://www.method.me/pricing-guides/carpet-installation-cost-estimate/")</f>
        <v>https://www.method.me/pricing-guides/carpet-installation-cost-estimate/</v>
      </c>
      <c r="B359" s="1" t="str">
        <f>IFERROR(__xludf.DUMMYFUNCTION("""COMPUTED_VALUE"""),"Pricing guide")</f>
        <v>Pricing guide</v>
      </c>
      <c r="C359" s="1" t="str">
        <f>IFERROR(__xludf.DUMMYFUNCTION("""COMPUTED_VALUE"""),"Other page")</f>
        <v>Other page</v>
      </c>
      <c r="D359" s="1" t="str">
        <f>IFERROR(__xludf.DUMMYFUNCTION("""COMPUTED_VALUE"""),"Carpet installation cost estimate")</f>
        <v>Carpet installation cost estimate</v>
      </c>
      <c r="E359" s="12">
        <f>IFERROR(__xludf.DUMMYFUNCTION("""COMPUTED_VALUE"""),44467.65623842592)</f>
        <v>44467.65624</v>
      </c>
    </row>
    <row r="360">
      <c r="A360" s="7" t="str">
        <f>IFERROR(__xludf.DUMMYFUNCTION("""COMPUTED_VALUE"""),"https://www.method.me/pricing-guides/trucking-rates-per-mile/")</f>
        <v>https://www.method.me/pricing-guides/trucking-rates-per-mile/</v>
      </c>
      <c r="B360" s="1" t="str">
        <f>IFERROR(__xludf.DUMMYFUNCTION("""COMPUTED_VALUE"""),"Pricing guide")</f>
        <v>Pricing guide</v>
      </c>
      <c r="C360" s="1" t="str">
        <f>IFERROR(__xludf.DUMMYFUNCTION("""COMPUTED_VALUE"""),"Other page")</f>
        <v>Other page</v>
      </c>
      <c r="D360" s="1" t="str">
        <f>IFERROR(__xludf.DUMMYFUNCTION("""COMPUTED_VALUE"""),"Freight rates: Trucking rates per mile 2024")</f>
        <v>Freight rates: Trucking rates per mile 2024</v>
      </c>
      <c r="E360" s="12">
        <f>IFERROR(__xludf.DUMMYFUNCTION("""COMPUTED_VALUE"""),44467.65625)</f>
        <v>44467.65625</v>
      </c>
    </row>
    <row r="361">
      <c r="A361" s="7" t="str">
        <f>IFERROR(__xludf.DUMMYFUNCTION("""COMPUTED_VALUE"""),"https://www.method.me/pricing-guides/handyman-prices-by-the-job/")</f>
        <v>https://www.method.me/pricing-guides/handyman-prices-by-the-job/</v>
      </c>
      <c r="B361" s="1" t="str">
        <f>IFERROR(__xludf.DUMMYFUNCTION("""COMPUTED_VALUE"""),"Pricing guide")</f>
        <v>Pricing guide</v>
      </c>
      <c r="C361" s="1" t="str">
        <f>IFERROR(__xludf.DUMMYFUNCTION("""COMPUTED_VALUE"""),"Other page")</f>
        <v>Other page</v>
      </c>
      <c r="D361" s="1" t="str">
        <f>IFERROR(__xludf.DUMMYFUNCTION("""COMPUTED_VALUE"""),"Guide to estimating handyman prices by the job")</f>
        <v>Guide to estimating handyman prices by the job</v>
      </c>
      <c r="E361" s="12">
        <f>IFERROR(__xludf.DUMMYFUNCTION("""COMPUTED_VALUE"""),44467.65625)</f>
        <v>44467.65625</v>
      </c>
    </row>
    <row r="362">
      <c r="A362" s="7" t="str">
        <f>IFERROR(__xludf.DUMMYFUNCTION("""COMPUTED_VALUE"""),"https://www.method.me/pricing-guides/general-contractor/")</f>
        <v>https://www.method.me/pricing-guides/general-contractor/</v>
      </c>
      <c r="B362" s="1" t="str">
        <f>IFERROR(__xludf.DUMMYFUNCTION("""COMPUTED_VALUE"""),"Pricing guide")</f>
        <v>Pricing guide</v>
      </c>
      <c r="C362" s="1" t="str">
        <f>IFERROR(__xludf.DUMMYFUNCTION("""COMPUTED_VALUE"""),"Other page")</f>
        <v>Other page</v>
      </c>
      <c r="D362" s="1" t="str">
        <f>IFERROR(__xludf.DUMMYFUNCTION("""COMPUTED_VALUE"""),"General contractor pricing guide – How much do they charge?")</f>
        <v>General contractor pricing guide – How much do they charge?</v>
      </c>
      <c r="E362" s="12">
        <f>IFERROR(__xludf.DUMMYFUNCTION("""COMPUTED_VALUE"""),44467.65625)</f>
        <v>44467.65625</v>
      </c>
    </row>
    <row r="363">
      <c r="A363" s="7" t="str">
        <f>IFERROR(__xludf.DUMMYFUNCTION("""COMPUTED_VALUE"""),"https://www.method.me/pricing-guides/roofing-estimate-template/")</f>
        <v>https://www.method.me/pricing-guides/roofing-estimate-template/</v>
      </c>
      <c r="B363" s="1" t="str">
        <f>IFERROR(__xludf.DUMMYFUNCTION("""COMPUTED_VALUE"""),"Pricing guide")</f>
        <v>Pricing guide</v>
      </c>
      <c r="C363" s="1" t="str">
        <f>IFERROR(__xludf.DUMMYFUNCTION("""COMPUTED_VALUE"""),"Other page")</f>
        <v>Other page</v>
      </c>
      <c r="D363" s="1" t="str">
        <f>IFERROR(__xludf.DUMMYFUNCTION("""COMPUTED_VALUE"""),"Free roofing estimate template")</f>
        <v>Free roofing estimate template</v>
      </c>
      <c r="E363" s="12">
        <f>IFERROR(__xludf.DUMMYFUNCTION("""COMPUTED_VALUE"""),44467.65625)</f>
        <v>44467.65625</v>
      </c>
    </row>
    <row r="364">
      <c r="A364" s="7" t="str">
        <f>IFERROR(__xludf.DUMMYFUNCTION("""COMPUTED_VALUE"""),"https://www.method.me/pricing-guides/house-painting-cost-estimator/")</f>
        <v>https://www.method.me/pricing-guides/house-painting-cost-estimator/</v>
      </c>
      <c r="B364" s="1" t="str">
        <f>IFERROR(__xludf.DUMMYFUNCTION("""COMPUTED_VALUE"""),"Pricing guide")</f>
        <v>Pricing guide</v>
      </c>
      <c r="C364" s="1" t="str">
        <f>IFERROR(__xludf.DUMMYFUNCTION("""COMPUTED_VALUE"""),"Other page")</f>
        <v>Other page</v>
      </c>
      <c r="D364" s="1" t="str">
        <f>IFERROR(__xludf.DUMMYFUNCTION("""COMPUTED_VALUE"""),"House painting cost estimator: How much does it cost?")</f>
        <v>House painting cost estimator: How much does it cost?</v>
      </c>
      <c r="E364" s="12">
        <f>IFERROR(__xludf.DUMMYFUNCTION("""COMPUTED_VALUE"""),44467.65625)</f>
        <v>44467.65625</v>
      </c>
    </row>
    <row r="365">
      <c r="A365" s="7" t="str">
        <f>IFERROR(__xludf.DUMMYFUNCTION("""COMPUTED_VALUE"""),"https://www.method.me/pricing-guides/landscaping-estimate-template/")</f>
        <v>https://www.method.me/pricing-guides/landscaping-estimate-template/</v>
      </c>
      <c r="B365" s="1" t="str">
        <f>IFERROR(__xludf.DUMMYFUNCTION("""COMPUTED_VALUE"""),"Pricing guide")</f>
        <v>Pricing guide</v>
      </c>
      <c r="C365" s="1" t="str">
        <f>IFERROR(__xludf.DUMMYFUNCTION("""COMPUTED_VALUE"""),"Other page")</f>
        <v>Other page</v>
      </c>
      <c r="D365" s="1" t="str">
        <f>IFERROR(__xludf.DUMMYFUNCTION("""COMPUTED_VALUE"""),"Free landscaping estimate template")</f>
        <v>Free landscaping estimate template</v>
      </c>
      <c r="E365" s="12">
        <f>IFERROR(__xludf.DUMMYFUNCTION("""COMPUTED_VALUE"""),44467.65625)</f>
        <v>44467.65625</v>
      </c>
    </row>
    <row r="366">
      <c r="A366" s="7" t="str">
        <f>IFERROR(__xludf.DUMMYFUNCTION("""COMPUTED_VALUE"""),"https://www.method.me/pricing-guides/how-much-to-charge-for-junk-removal/")</f>
        <v>https://www.method.me/pricing-guides/how-much-to-charge-for-junk-removal/</v>
      </c>
      <c r="B366" s="1" t="str">
        <f>IFERROR(__xludf.DUMMYFUNCTION("""COMPUTED_VALUE"""),"Pricing guide")</f>
        <v>Pricing guide</v>
      </c>
      <c r="C366" s="1" t="str">
        <f>IFERROR(__xludf.DUMMYFUNCTION("""COMPUTED_VALUE"""),"Other page")</f>
        <v>Other page</v>
      </c>
      <c r="D366" s="1" t="str">
        <f>IFERROR(__xludf.DUMMYFUNCTION("""COMPUTED_VALUE"""),"How much to charge for junk removal")</f>
        <v>How much to charge for junk removal</v>
      </c>
      <c r="E366" s="12">
        <f>IFERROR(__xludf.DUMMYFUNCTION("""COMPUTED_VALUE"""),44467.65625)</f>
        <v>44467.65625</v>
      </c>
    </row>
    <row r="367">
      <c r="A367" s="7" t="str">
        <f>IFERROR(__xludf.DUMMYFUNCTION("""COMPUTED_VALUE"""),"https://www.method.me/pricing-guides/auto-repair-labor/")</f>
        <v>https://www.method.me/pricing-guides/auto-repair-labor/</v>
      </c>
      <c r="B367" s="1" t="str">
        <f>IFERROR(__xludf.DUMMYFUNCTION("""COMPUTED_VALUE"""),"Pricing guide")</f>
        <v>Pricing guide</v>
      </c>
      <c r="C367" s="1" t="str">
        <f>IFERROR(__xludf.DUMMYFUNCTION("""COMPUTED_VALUE"""),"Other page")</f>
        <v>Other page</v>
      </c>
      <c r="D367" s="1" t="str">
        <f>IFERROR(__xludf.DUMMYFUNCTION("""COMPUTED_VALUE"""),"Ultimate auto repair labor guide")</f>
        <v>Ultimate auto repair labor guide</v>
      </c>
      <c r="E367" s="12">
        <f>IFERROR(__xludf.DUMMYFUNCTION("""COMPUTED_VALUE"""),44467.65626157408)</f>
        <v>44467.65626</v>
      </c>
    </row>
    <row r="368">
      <c r="A368" s="7" t="str">
        <f>IFERROR(__xludf.DUMMYFUNCTION("""COMPUTED_VALUE"""),"https://www.method.me/pricing-guides/lawn-mowing-pricing-formula/")</f>
        <v>https://www.method.me/pricing-guides/lawn-mowing-pricing-formula/</v>
      </c>
      <c r="B368" s="1" t="str">
        <f>IFERROR(__xludf.DUMMYFUNCTION("""COMPUTED_VALUE"""),"Pricing guide")</f>
        <v>Pricing guide</v>
      </c>
      <c r="C368" s="1" t="str">
        <f>IFERROR(__xludf.DUMMYFUNCTION("""COMPUTED_VALUE"""),"Other page")</f>
        <v>Other page</v>
      </c>
      <c r="D368" s="1" t="str">
        <f>IFERROR(__xludf.DUMMYFUNCTION("""COMPUTED_VALUE"""),"Pricing lawn care services: Lawn mowing pricing formula")</f>
        <v>Pricing lawn care services: Lawn mowing pricing formula</v>
      </c>
      <c r="E368" s="12">
        <f>IFERROR(__xludf.DUMMYFUNCTION("""COMPUTED_VALUE"""),44467.65626157408)</f>
        <v>44467.65626</v>
      </c>
    </row>
    <row r="369">
      <c r="A369" s="7" t="str">
        <f>IFERROR(__xludf.DUMMYFUNCTION("""COMPUTED_VALUE"""),"https://www.method.me/pricing-guides/moving-company-estimate-template/")</f>
        <v>https://www.method.me/pricing-guides/moving-company-estimate-template/</v>
      </c>
      <c r="B369" s="1" t="str">
        <f>IFERROR(__xludf.DUMMYFUNCTION("""COMPUTED_VALUE"""),"Pricing guide")</f>
        <v>Pricing guide</v>
      </c>
      <c r="C369" s="1" t="str">
        <f>IFERROR(__xludf.DUMMYFUNCTION("""COMPUTED_VALUE"""),"Other page")</f>
        <v>Other page</v>
      </c>
      <c r="D369" s="1" t="str">
        <f>IFERROR(__xludf.DUMMYFUNCTION("""COMPUTED_VALUE"""),"Moving company estimate template: Ultimate guide for businesses")</f>
        <v>Moving company estimate template: Ultimate guide for businesses</v>
      </c>
      <c r="E369" s="12">
        <f>IFERROR(__xludf.DUMMYFUNCTION("""COMPUTED_VALUE"""),44467.65626157408)</f>
        <v>44467.65626</v>
      </c>
    </row>
    <row r="370">
      <c r="A370" s="7" t="str">
        <f>IFERROR(__xludf.DUMMYFUNCTION("""COMPUTED_VALUE"""),"https://www.method.me/pricing-guides/drywall-estimating-template/")</f>
        <v>https://www.method.me/pricing-guides/drywall-estimating-template/</v>
      </c>
      <c r="B370" s="1" t="str">
        <f>IFERROR(__xludf.DUMMYFUNCTION("""COMPUTED_VALUE"""),"Pricing guide")</f>
        <v>Pricing guide</v>
      </c>
      <c r="C370" s="1" t="str">
        <f>IFERROR(__xludf.DUMMYFUNCTION("""COMPUTED_VALUE"""),"Other page")</f>
        <v>Other page</v>
      </c>
      <c r="D370" s="1" t="str">
        <f>IFERROR(__xludf.DUMMYFUNCTION("""COMPUTED_VALUE"""),"How to price a drywall job")</f>
        <v>How to price a drywall job</v>
      </c>
      <c r="E370" s="12">
        <f>IFERROR(__xludf.DUMMYFUNCTION("""COMPUTED_VALUE"""),44467.65626157408)</f>
        <v>44467.65626</v>
      </c>
    </row>
    <row r="371">
      <c r="A371" s="7" t="str">
        <f>IFERROR(__xludf.DUMMYFUNCTION("""COMPUTED_VALUE"""),"https://www.method.me/pricing-guides/estimate-residential-electrical-work/")</f>
        <v>https://www.method.me/pricing-guides/estimate-residential-electrical-work/</v>
      </c>
      <c r="B371" s="1" t="str">
        <f>IFERROR(__xludf.DUMMYFUNCTION("""COMPUTED_VALUE"""),"Pricing guide")</f>
        <v>Pricing guide</v>
      </c>
      <c r="C371" s="1" t="str">
        <f>IFERROR(__xludf.DUMMYFUNCTION("""COMPUTED_VALUE"""),"Other page")</f>
        <v>Other page</v>
      </c>
      <c r="D371" s="1" t="str">
        <f>IFERROR(__xludf.DUMMYFUNCTION("""COMPUTED_VALUE"""),"How to estimate electrical work – Residential and commercial pricing")</f>
        <v>How to estimate electrical work – Residential and commercial pricing</v>
      </c>
      <c r="E371" s="12">
        <f>IFERROR(__xludf.DUMMYFUNCTION("""COMPUTED_VALUE"""),44467.65626157408)</f>
        <v>44467.65626</v>
      </c>
    </row>
    <row r="372">
      <c r="A372" s="7" t="str">
        <f>IFERROR(__xludf.DUMMYFUNCTION("""COMPUTED_VALUE"""),"https://www.method.me/pricing-guides/pest-control-prices-list/")</f>
        <v>https://www.method.me/pricing-guides/pest-control-prices-list/</v>
      </c>
      <c r="B372" s="1" t="str">
        <f>IFERROR(__xludf.DUMMYFUNCTION("""COMPUTED_VALUE"""),"Pricing guide")</f>
        <v>Pricing guide</v>
      </c>
      <c r="C372" s="1" t="str">
        <f>IFERROR(__xludf.DUMMYFUNCTION("""COMPUTED_VALUE"""),"Other page")</f>
        <v>Other page</v>
      </c>
      <c r="D372" s="1" t="str">
        <f>IFERROR(__xludf.DUMMYFUNCTION("""COMPUTED_VALUE"""),"The ultimate guide to pest control pricing")</f>
        <v>The ultimate guide to pest control pricing</v>
      </c>
      <c r="E372" s="12">
        <f>IFERROR(__xludf.DUMMYFUNCTION("""COMPUTED_VALUE"""),44467.656273148146)</f>
        <v>44467.65627</v>
      </c>
    </row>
    <row r="373">
      <c r="A373" s="7" t="str">
        <f>IFERROR(__xludf.DUMMYFUNCTION("""COMPUTED_VALUE"""),"https://www.method.me/pricing-guides/hvac-estimating-spreadsheet/")</f>
        <v>https://www.method.me/pricing-guides/hvac-estimating-spreadsheet/</v>
      </c>
      <c r="B373" s="1" t="str">
        <f>IFERROR(__xludf.DUMMYFUNCTION("""COMPUTED_VALUE"""),"Pricing guide")</f>
        <v>Pricing guide</v>
      </c>
      <c r="C373" s="1" t="str">
        <f>IFERROR(__xludf.DUMMYFUNCTION("""COMPUTED_VALUE"""),"Other page")</f>
        <v>Other page</v>
      </c>
      <c r="D373" s="1" t="str">
        <f>IFERROR(__xludf.DUMMYFUNCTION("""COMPUTED_VALUE"""),"Ultimate HVAC estimating spreadsheet")</f>
        <v>Ultimate HVAC estimating spreadsheet</v>
      </c>
      <c r="E373" s="12">
        <f>IFERROR(__xludf.DUMMYFUNCTION("""COMPUTED_VALUE"""),44467.656273148146)</f>
        <v>44467.65627</v>
      </c>
    </row>
    <row r="374">
      <c r="A374" s="7" t="str">
        <f>IFERROR(__xludf.DUMMYFUNCTION("""COMPUTED_VALUE"""),"https://www.method.me/blog/scheduling-with-quickbooks/")</f>
        <v>https://www.method.me/blog/scheduling-with-quickbooks/</v>
      </c>
      <c r="B374" s="1" t="str">
        <f>IFERROR(__xludf.DUMMYFUNCTION("""COMPUTED_VALUE"""),"Listicle - QuickBooks")</f>
        <v>Listicle - QuickBooks</v>
      </c>
      <c r="C374" s="1" t="str">
        <f>IFERROR(__xludf.DUMMYFUNCTION("""COMPUTED_VALUE"""),"Blog")</f>
        <v>Blog</v>
      </c>
      <c r="D374" s="1" t="str">
        <f>IFERROR(__xludf.DUMMYFUNCTION("""COMPUTED_VALUE"""),"Scheduling with QuickBooks: 5 tricks for success")</f>
        <v>Scheduling with QuickBooks: 5 tricks for success</v>
      </c>
      <c r="E374" s="12">
        <f>IFERROR(__xludf.DUMMYFUNCTION("""COMPUTED_VALUE"""),44468.62378472222)</f>
        <v>44468.62378</v>
      </c>
    </row>
    <row r="375">
      <c r="A375" s="7" t="str">
        <f>IFERROR(__xludf.DUMMYFUNCTION("""COMPUTED_VALUE"""),"https://www.method.me/blog/automate-quickbooks-online-workflow/")</f>
        <v>https://www.method.me/blog/automate-quickbooks-online-workflow/</v>
      </c>
      <c r="B375" s="1" t="str">
        <f>IFERROR(__xludf.DUMMYFUNCTION("""COMPUTED_VALUE"""),"QuickBooks - How-to")</f>
        <v>QuickBooks - How-to</v>
      </c>
      <c r="C375" s="1" t="str">
        <f>IFERROR(__xludf.DUMMYFUNCTION("""COMPUTED_VALUE"""),"Blog")</f>
        <v>Blog</v>
      </c>
      <c r="D375" s="1" t="str">
        <f>IFERROR(__xludf.DUMMYFUNCTION("""COMPUTED_VALUE"""),"How to effectively automate QuickBooks Online workflows")</f>
        <v>How to effectively automate QuickBooks Online workflows</v>
      </c>
      <c r="E375" s="12">
        <f>IFERROR(__xludf.DUMMYFUNCTION("""COMPUTED_VALUE"""),44470.583020833335)</f>
        <v>44470.58302</v>
      </c>
    </row>
    <row r="376">
      <c r="A376" s="7" t="str">
        <f>IFERROR(__xludf.DUMMYFUNCTION("""COMPUTED_VALUE"""),"https://www.method.me/blog/how-to-create-an-estimate-on-quickbooks-online/")</f>
        <v>https://www.method.me/blog/how-to-create-an-estimate-on-quickbooks-online/</v>
      </c>
      <c r="B376" s="1" t="str">
        <f>IFERROR(__xludf.DUMMYFUNCTION("""COMPUTED_VALUE"""),"QuickBooks - How-to")</f>
        <v>QuickBooks - How-to</v>
      </c>
      <c r="C376" s="1" t="str">
        <f>IFERROR(__xludf.DUMMYFUNCTION("""COMPUTED_VALUE"""),"Blog")</f>
        <v>Blog</v>
      </c>
      <c r="D376" s="1" t="str">
        <f>IFERROR(__xludf.DUMMYFUNCTION("""COMPUTED_VALUE"""),"How to create an estimate in QuickBooks Online: The better way")</f>
        <v>How to create an estimate in QuickBooks Online: The better way</v>
      </c>
      <c r="E376" s="12">
        <f>IFERROR(__xludf.DUMMYFUNCTION("""COMPUTED_VALUE"""),44477.43515046296)</f>
        <v>44477.43515</v>
      </c>
    </row>
    <row r="377">
      <c r="A377" s="7" t="str">
        <f>IFERROR(__xludf.DUMMYFUNCTION("""COMPUTED_VALUE"""),"https://www.method.me/blog/scheduling-software-for-service-technicians/")</f>
        <v>https://www.method.me/blog/scheduling-software-for-service-technicians/</v>
      </c>
      <c r="B377" s="1" t="str">
        <f>IFERROR(__xludf.DUMMYFUNCTION("""COMPUTED_VALUE"""),"Field services / Contractors")</f>
        <v>Field services / Contractors</v>
      </c>
      <c r="C377" s="1" t="str">
        <f>IFERROR(__xludf.DUMMYFUNCTION("""COMPUTED_VALUE"""),"Blog")</f>
        <v>Blog</v>
      </c>
      <c r="D377" s="1" t="str">
        <f>IFERROR(__xludf.DUMMYFUNCTION("""COMPUTED_VALUE"""),"The true power of scheduling software for service technicians")</f>
        <v>The true power of scheduling software for service technicians</v>
      </c>
      <c r="E377" s="12">
        <f>IFERROR(__xludf.DUMMYFUNCTION("""COMPUTED_VALUE"""),44481.385416666664)</f>
        <v>44481.38542</v>
      </c>
    </row>
    <row r="378">
      <c r="A378" s="7" t="str">
        <f>IFERROR(__xludf.DUMMYFUNCTION("""COMPUTED_VALUE"""),"https://www.method.me/blog/quickbooks-work-order/")</f>
        <v>https://www.method.me/blog/quickbooks-work-order/</v>
      </c>
      <c r="B378" s="1" t="str">
        <f>IFERROR(__xludf.DUMMYFUNCTION("""COMPUTED_VALUE"""),"QuickBooks - How-to")</f>
        <v>QuickBooks - How-to</v>
      </c>
      <c r="C378" s="1" t="str">
        <f>IFERROR(__xludf.DUMMYFUNCTION("""COMPUTED_VALUE"""),"Blog")</f>
        <v>Blog</v>
      </c>
      <c r="D378" s="1" t="str">
        <f>IFERROR(__xludf.DUMMYFUNCTION("""COMPUTED_VALUE"""),"How to Create a Work Order in QuickBooks Online")</f>
        <v>How to Create a Work Order in QuickBooks Online</v>
      </c>
      <c r="E378" s="12">
        <f>IFERROR(__xludf.DUMMYFUNCTION("""COMPUTED_VALUE"""),44494.500289351854)</f>
        <v>44494.50029</v>
      </c>
    </row>
    <row r="379">
      <c r="A379" s="7" t="str">
        <f>IFERROR(__xludf.DUMMYFUNCTION("""COMPUTED_VALUE"""),"https://www.method.me/pricing-guides/business-plan-strategies/")</f>
        <v>https://www.method.me/pricing-guides/business-plan-strategies/</v>
      </c>
      <c r="B379" s="1" t="str">
        <f>IFERROR(__xludf.DUMMYFUNCTION("""COMPUTED_VALUE"""),"Pricing guide")</f>
        <v>Pricing guide</v>
      </c>
      <c r="C379" s="1" t="str">
        <f>IFERROR(__xludf.DUMMYFUNCTION("""COMPUTED_VALUE"""),"Other page")</f>
        <v>Other page</v>
      </c>
      <c r="D379" s="1" t="str">
        <f>IFERROR(__xludf.DUMMYFUNCTION("""COMPUTED_VALUE"""),"Pricing guide for trades and services")</f>
        <v>Pricing guide for trades and services</v>
      </c>
      <c r="E379" s="12">
        <f>IFERROR(__xludf.DUMMYFUNCTION("""COMPUTED_VALUE"""),44495.587060185186)</f>
        <v>44495.58706</v>
      </c>
    </row>
    <row r="380">
      <c r="A380" s="7" t="str">
        <f>IFERROR(__xludf.DUMMYFUNCTION("""COMPUTED_VALUE"""),"https://www.method.me/blog/custom-work-order-request-forms/")</f>
        <v>https://www.method.me/blog/custom-work-order-request-forms/</v>
      </c>
      <c r="B380" s="1" t="str">
        <f>IFERROR(__xludf.DUMMYFUNCTION("""COMPUTED_VALUE"""),"Misc. info")</f>
        <v>Misc. info</v>
      </c>
      <c r="C380" s="1" t="str">
        <f>IFERROR(__xludf.DUMMYFUNCTION("""COMPUTED_VALUE"""),"Blog")</f>
        <v>Blog</v>
      </c>
      <c r="D380" s="1" t="str">
        <f>IFERROR(__xludf.DUMMYFUNCTION("""COMPUTED_VALUE"""),"Why no code is the turning point for custom work order forms")</f>
        <v>Why no code is the turning point for custom work order forms</v>
      </c>
      <c r="E380" s="12">
        <f>IFERROR(__xludf.DUMMYFUNCTION("""COMPUTED_VALUE"""),44496.591990740744)</f>
        <v>44496.59199</v>
      </c>
    </row>
    <row r="381">
      <c r="A381" s="7" t="str">
        <f>IFERROR(__xludf.DUMMYFUNCTION("""COMPUTED_VALUE"""),"https://www.method.me/blog/work-order-quickbooks-online/")</f>
        <v>https://www.method.me/blog/work-order-quickbooks-online/</v>
      </c>
      <c r="B381" s="1" t="str">
        <f>IFERROR(__xludf.DUMMYFUNCTION("""COMPUTED_VALUE"""),"QuickBooks - General")</f>
        <v>QuickBooks - General</v>
      </c>
      <c r="C381" s="1" t="str">
        <f>IFERROR(__xludf.DUMMYFUNCTION("""COMPUTED_VALUE"""),"Blog")</f>
        <v>Blog</v>
      </c>
      <c r="D381" s="1" t="str">
        <f>IFERROR(__xludf.DUMMYFUNCTION("""COMPUTED_VALUE"""),"Work order QuickBooks Online: The stance of top ProAdvisors")</f>
        <v>Work order QuickBooks Online: The stance of top ProAdvisors</v>
      </c>
      <c r="E381" s="12">
        <f>IFERROR(__xludf.DUMMYFUNCTION("""COMPUTED_VALUE"""),44502.71163194445)</f>
        <v>44502.71163</v>
      </c>
    </row>
    <row r="382">
      <c r="A382" s="7" t="str">
        <f>IFERROR(__xludf.DUMMYFUNCTION("""COMPUTED_VALUE"""),"https://www.method.me/blog/work-order-management-system/")</f>
        <v>https://www.method.me/blog/work-order-management-system/</v>
      </c>
      <c r="B382" s="1" t="str">
        <f>IFERROR(__xludf.DUMMYFUNCTION("""COMPUTED_VALUE"""),"Listicle - Software / Software overview")</f>
        <v>Listicle - Software / Software overview</v>
      </c>
      <c r="C382" s="1" t="str">
        <f>IFERROR(__xludf.DUMMYFUNCTION("""COMPUTED_VALUE"""),"Blog")</f>
        <v>Blog</v>
      </c>
      <c r="D382" s="1" t="str">
        <f>IFERROR(__xludf.DUMMYFUNCTION("""COMPUTED_VALUE"""),"Work order management systems to watch out for in 2024")</f>
        <v>Work order management systems to watch out for in 2024</v>
      </c>
      <c r="E382" s="12">
        <f>IFERROR(__xludf.DUMMYFUNCTION("""COMPUTED_VALUE"""),44508.42569444444)</f>
        <v>44508.42569</v>
      </c>
    </row>
    <row r="383">
      <c r="A383" s="7" t="str">
        <f>IFERROR(__xludf.DUMMYFUNCTION("""COMPUTED_VALUE"""),"https://www.method.me/blog/from-interview-to-hired-the-journey-of-one-expecting-mother-in-the-tech-space/")</f>
        <v>https://www.method.me/blog/from-interview-to-hired-the-journey-of-one-expecting-mother-in-the-tech-space/</v>
      </c>
      <c r="B383" s="1" t="str">
        <f>IFERROR(__xludf.DUMMYFUNCTION("""COMPUTED_VALUE"""),"Method - Lifestyle / Storytelling")</f>
        <v>Method - Lifestyle / Storytelling</v>
      </c>
      <c r="C383" s="1" t="str">
        <f>IFERROR(__xludf.DUMMYFUNCTION("""COMPUTED_VALUE"""),"Blog")</f>
        <v>Blog</v>
      </c>
      <c r="D383" s="1" t="str">
        <f>IFERROR(__xludf.DUMMYFUNCTION("""COMPUTED_VALUE"""),"From interview to hired: The journey of one expecting mother in the tech space")</f>
        <v>From interview to hired: The journey of one expecting mother in the tech space</v>
      </c>
      <c r="E383" s="12">
        <f>IFERROR(__xludf.DUMMYFUNCTION("""COMPUTED_VALUE"""),44510.69756944444)</f>
        <v>44510.69757</v>
      </c>
    </row>
    <row r="384">
      <c r="A384" s="7" t="str">
        <f>IFERROR(__xludf.DUMMYFUNCTION("""COMPUTED_VALUE"""),"https://www.method.me/blog/service-order-tracking-software/")</f>
        <v>https://www.method.me/blog/service-order-tracking-software/</v>
      </c>
      <c r="B384" s="1" t="str">
        <f>IFERROR(__xludf.DUMMYFUNCTION("""COMPUTED_VALUE"""),"Listicle - Software / Software overview")</f>
        <v>Listicle - Software / Software overview</v>
      </c>
      <c r="C384" s="1" t="str">
        <f>IFERROR(__xludf.DUMMYFUNCTION("""COMPUTED_VALUE"""),"Blog")</f>
        <v>Blog</v>
      </c>
      <c r="D384" s="1" t="str">
        <f>IFERROR(__xludf.DUMMYFUNCTION("""COMPUTED_VALUE"""),"The 5 service order software to have on your radar")</f>
        <v>The 5 service order software to have on your radar</v>
      </c>
      <c r="E384" s="12">
        <f>IFERROR(__xludf.DUMMYFUNCTION("""COMPUTED_VALUE"""),44516.460439814815)</f>
        <v>44516.46044</v>
      </c>
    </row>
    <row r="385">
      <c r="A385" s="7" t="str">
        <f>IFERROR(__xludf.DUMMYFUNCTION("""COMPUTED_VALUE"""),"https://www.method.me/videos/why-seo-matters-for-accountants/")</f>
        <v>https://www.method.me/videos/why-seo-matters-for-accountants/</v>
      </c>
      <c r="B385" s="1" t="str">
        <f>IFERROR(__xludf.DUMMYFUNCTION("""COMPUTED_VALUE"""),"Video page")</f>
        <v>Video page</v>
      </c>
      <c r="C385" s="1" t="str">
        <f>IFERROR(__xludf.DUMMYFUNCTION("""COMPUTED_VALUE"""),"Other page")</f>
        <v>Other page</v>
      </c>
      <c r="D385" s="1" t="str">
        <f>IFERROR(__xludf.DUMMYFUNCTION("""COMPUTED_VALUE"""),"Why SEO matters for accountants")</f>
        <v>Why SEO matters for accountants</v>
      </c>
      <c r="E385" s="12">
        <f>IFERROR(__xludf.DUMMYFUNCTION("""COMPUTED_VALUE"""),44523.59761574074)</f>
        <v>44523.59762</v>
      </c>
    </row>
    <row r="386">
      <c r="A386" s="7" t="str">
        <f>IFERROR(__xludf.DUMMYFUNCTION("""COMPUTED_VALUE"""),"https://www.method.me/videos/reinvent-your-quickbooks-workflows-with-automation-2/")</f>
        <v>https://www.method.me/videos/reinvent-your-quickbooks-workflows-with-automation-2/</v>
      </c>
      <c r="B386" s="1" t="str">
        <f>IFERROR(__xludf.DUMMYFUNCTION("""COMPUTED_VALUE"""),"Video page")</f>
        <v>Video page</v>
      </c>
      <c r="C386" s="1" t="str">
        <f>IFERROR(__xludf.DUMMYFUNCTION("""COMPUTED_VALUE"""),"Other page")</f>
        <v>Other page</v>
      </c>
      <c r="D386" s="1" t="str">
        <f>IFERROR(__xludf.DUMMYFUNCTION("""COMPUTED_VALUE"""),"Reinvent your QuickBooks workflows with automation")</f>
        <v>Reinvent your QuickBooks workflows with automation</v>
      </c>
      <c r="E386" s="12">
        <f>IFERROR(__xludf.DUMMYFUNCTION("""COMPUTED_VALUE"""),44523.613125)</f>
        <v>44523.61313</v>
      </c>
    </row>
    <row r="387">
      <c r="A387" s="7" t="str">
        <f>IFERROR(__xludf.DUMMYFUNCTION("""COMPUTED_VALUE"""),"https://www.method.me/blog/quickbooks-for-electrical-contractors/")</f>
        <v>https://www.method.me/blog/quickbooks-for-electrical-contractors/</v>
      </c>
      <c r="B387" s="1" t="str">
        <f>IFERROR(__xludf.DUMMYFUNCTION("""COMPUTED_VALUE"""),"Listicle - QuickBooks")</f>
        <v>Listicle - QuickBooks</v>
      </c>
      <c r="C387" s="1" t="str">
        <f>IFERROR(__xludf.DUMMYFUNCTION("""COMPUTED_VALUE"""),"Blog")</f>
        <v>Blog</v>
      </c>
      <c r="D387" s="1" t="str">
        <f>IFERROR(__xludf.DUMMYFUNCTION("""COMPUTED_VALUE"""),"QuickBooks for electrical contractors: Your 6 best options")</f>
        <v>QuickBooks for electrical contractors: Your 6 best options</v>
      </c>
      <c r="E387" s="12">
        <f>IFERROR(__xludf.DUMMYFUNCTION("""COMPUTED_VALUE"""),44525.67828703704)</f>
        <v>44525.67829</v>
      </c>
    </row>
    <row r="388">
      <c r="A388" s="7" t="str">
        <f>IFERROR(__xludf.DUMMYFUNCTION("""COMPUTED_VALUE"""),"https://www.method.me/blog/electrical-business-software-systems/")</f>
        <v>https://www.method.me/blog/electrical-business-software-systems/</v>
      </c>
      <c r="B388" s="1" t="str">
        <f>IFERROR(__xludf.DUMMYFUNCTION("""COMPUTED_VALUE"""),"General how-to")</f>
        <v>General how-to</v>
      </c>
      <c r="C388" s="1" t="str">
        <f>IFERROR(__xludf.DUMMYFUNCTION("""COMPUTED_VALUE"""),"Blog")</f>
        <v>Blog</v>
      </c>
      <c r="D388" s="1" t="str">
        <f>IFERROR(__xludf.DUMMYFUNCTION("""COMPUTED_VALUE"""),"Electrical business software: How to set yourself up for success")</f>
        <v>Electrical business software: How to set yourself up for success</v>
      </c>
      <c r="E388" s="12">
        <f>IFERROR(__xludf.DUMMYFUNCTION("""COMPUTED_VALUE"""),44531.64041666667)</f>
        <v>44531.64042</v>
      </c>
    </row>
    <row r="389">
      <c r="A389" s="7" t="str">
        <f>IFERROR(__xludf.DUMMYFUNCTION("""COMPUTED_VALUE"""),"https://www.method.me/blog/electrical-invoice-software/")</f>
        <v>https://www.method.me/blog/electrical-invoice-software/</v>
      </c>
      <c r="B389" s="1" t="str">
        <f>IFERROR(__xludf.DUMMYFUNCTION("""COMPUTED_VALUE"""),"Listicle - Software / Software overview")</f>
        <v>Listicle - Software / Software overview</v>
      </c>
      <c r="C389" s="1" t="str">
        <f>IFERROR(__xludf.DUMMYFUNCTION("""COMPUTED_VALUE"""),"Blog")</f>
        <v>Blog</v>
      </c>
      <c r="D389" s="1" t="str">
        <f>IFERROR(__xludf.DUMMYFUNCTION("""COMPUTED_VALUE"""),"Electrical invoice software: A look at your top options")</f>
        <v>Electrical invoice software: A look at your top options</v>
      </c>
      <c r="E389" s="12">
        <f>IFERROR(__xludf.DUMMYFUNCTION("""COMPUTED_VALUE"""),44540.492743055554)</f>
        <v>44540.49274</v>
      </c>
    </row>
    <row r="390">
      <c r="A390" s="7" t="str">
        <f>IFERROR(__xludf.DUMMYFUNCTION("""COMPUTED_VALUE"""),"https://www.method.me/blog/electrician-scheduling-software/")</f>
        <v>https://www.method.me/blog/electrician-scheduling-software/</v>
      </c>
      <c r="B390" s="1" t="str">
        <f>IFERROR(__xludf.DUMMYFUNCTION("""COMPUTED_VALUE"""),"Field services / Contractors")</f>
        <v>Field services / Contractors</v>
      </c>
      <c r="C390" s="1" t="str">
        <f>IFERROR(__xludf.DUMMYFUNCTION("""COMPUTED_VALUE"""),"Blog")</f>
        <v>Blog</v>
      </c>
      <c r="D390" s="1" t="str">
        <f>IFERROR(__xludf.DUMMYFUNCTION("""COMPUTED_VALUE"""),"Why electrician scheduling software is key for your growth")</f>
        <v>Why electrician scheduling software is key for your growth</v>
      </c>
      <c r="E390" s="12">
        <f>IFERROR(__xludf.DUMMYFUNCTION("""COMPUTED_VALUE"""),44544.53640046297)</f>
        <v>44544.5364</v>
      </c>
    </row>
    <row r="391">
      <c r="A391" s="7" t="str">
        <f>IFERROR(__xludf.DUMMYFUNCTION("""COMPUTED_VALUE"""),"https://www.method.me/blog/best-dispatching-software-for-small-business/")</f>
        <v>https://www.method.me/blog/best-dispatching-software-for-small-business/</v>
      </c>
      <c r="B391" s="1" t="str">
        <f>IFERROR(__xludf.DUMMYFUNCTION("""COMPUTED_VALUE"""),"Listicle - Software / Software overview")</f>
        <v>Listicle - Software / Software overview</v>
      </c>
      <c r="C391" s="1" t="str">
        <f>IFERROR(__xludf.DUMMYFUNCTION("""COMPUTED_VALUE"""),"Blog")</f>
        <v>Blog</v>
      </c>
      <c r="D391" s="1" t="str">
        <f>IFERROR(__xludf.DUMMYFUNCTION("""COMPUTED_VALUE"""),"Best dispatching software for small business")</f>
        <v>Best dispatching software for small business</v>
      </c>
      <c r="E391" s="12">
        <f>IFERROR(__xludf.DUMMYFUNCTION("""COMPUTED_VALUE"""),44552.38056712963)</f>
        <v>44552.38057</v>
      </c>
    </row>
    <row r="392">
      <c r="A392" s="7" t="str">
        <f>IFERROR(__xludf.DUMMYFUNCTION("""COMPUTED_VALUE"""),"https://www.method.me/videos/the-trick-to-powerful-automation-in-quickbooks-online/")</f>
        <v>https://www.method.me/videos/the-trick-to-powerful-automation-in-quickbooks-online/</v>
      </c>
      <c r="B392" s="1" t="str">
        <f>IFERROR(__xludf.DUMMYFUNCTION("""COMPUTED_VALUE"""),"Video page")</f>
        <v>Video page</v>
      </c>
      <c r="C392" s="1" t="str">
        <f>IFERROR(__xludf.DUMMYFUNCTION("""COMPUTED_VALUE"""),"Other page")</f>
        <v>Other page</v>
      </c>
      <c r="D392" s="1" t="str">
        <f>IFERROR(__xludf.DUMMYFUNCTION("""COMPUTED_VALUE"""),"The trick to powerful automation in QuickBooks Online")</f>
        <v>The trick to powerful automation in QuickBooks Online</v>
      </c>
      <c r="E392" s="12">
        <f>IFERROR(__xludf.DUMMYFUNCTION("""COMPUTED_VALUE"""),44553.45079861111)</f>
        <v>44553.4508</v>
      </c>
    </row>
    <row r="393">
      <c r="A393" s="7" t="str">
        <f>IFERROR(__xludf.DUMMYFUNCTION("""COMPUTED_VALUE"""),"https://www.method.me/blog/field-service-dispatch-software/")</f>
        <v>https://www.method.me/blog/field-service-dispatch-software/</v>
      </c>
      <c r="B393" s="1" t="str">
        <f>IFERROR(__xludf.DUMMYFUNCTION("""COMPUTED_VALUE"""),"General how-to")</f>
        <v>General how-to</v>
      </c>
      <c r="C393" s="1" t="str">
        <f>IFERROR(__xludf.DUMMYFUNCTION("""COMPUTED_VALUE"""),"Blog")</f>
        <v>Blog</v>
      </c>
      <c r="D393" s="1" t="str">
        <f>IFERROR(__xludf.DUMMYFUNCTION("""COMPUTED_VALUE"""),"Field service dispatch software: Top perks and how to get started")</f>
        <v>Field service dispatch software: Top perks and how to get started</v>
      </c>
      <c r="E393" s="12">
        <f>IFERROR(__xludf.DUMMYFUNCTION("""COMPUTED_VALUE"""),44557.33888888889)</f>
        <v>44557.33889</v>
      </c>
    </row>
    <row r="394">
      <c r="A394" s="7" t="str">
        <f>IFERROR(__xludf.DUMMYFUNCTION("""COMPUTED_VALUE"""),"https://www.method.me/blog/contractor-dispatching-software/")</f>
        <v>https://www.method.me/blog/contractor-dispatching-software/</v>
      </c>
      <c r="B394" s="1" t="str">
        <f>IFERROR(__xludf.DUMMYFUNCTION("""COMPUTED_VALUE"""),"Listicle - Software / Software overview")</f>
        <v>Listicle - Software / Software overview</v>
      </c>
      <c r="C394" s="1" t="str">
        <f>IFERROR(__xludf.DUMMYFUNCTION("""COMPUTED_VALUE"""),"Blog")</f>
        <v>Blog</v>
      </c>
      <c r="D394" s="1" t="str">
        <f>IFERROR(__xludf.DUMMYFUNCTION("""COMPUTED_VALUE"""),"Top contractor dispatching software options for 2024 and beyond")</f>
        <v>Top contractor dispatching software options for 2024 and beyond</v>
      </c>
      <c r="E394" s="12">
        <f>IFERROR(__xludf.DUMMYFUNCTION("""COMPUTED_VALUE"""),44567.47898148148)</f>
        <v>44567.47898</v>
      </c>
    </row>
    <row r="395">
      <c r="A395" s="7" t="str">
        <f>IFERROR(__xludf.DUMMYFUNCTION("""COMPUTED_VALUE"""),"https://www.method.me/blog/home-service-dispatch-software/")</f>
        <v>https://www.method.me/blog/home-service-dispatch-software/</v>
      </c>
      <c r="B395" s="1" t="str">
        <f>IFERROR(__xludf.DUMMYFUNCTION("""COMPUTED_VALUE"""),"Listicle - Software / Software overview")</f>
        <v>Listicle - Software / Software overview</v>
      </c>
      <c r="C395" s="1" t="str">
        <f>IFERROR(__xludf.DUMMYFUNCTION("""COMPUTED_VALUE"""),"Blog")</f>
        <v>Blog</v>
      </c>
      <c r="D395" s="1" t="str">
        <f>IFERROR(__xludf.DUMMYFUNCTION("""COMPUTED_VALUE"""),"The 9 leading choices for home service dispatch software in 2024")</f>
        <v>The 9 leading choices for home service dispatch software in 2024</v>
      </c>
      <c r="E395" s="12">
        <f>IFERROR(__xludf.DUMMYFUNCTION("""COMPUTED_VALUE"""),44574.56118055555)</f>
        <v>44574.56118</v>
      </c>
    </row>
    <row r="396">
      <c r="A396" s="7" t="str">
        <f>IFERROR(__xludf.DUMMYFUNCTION("""COMPUTED_VALUE"""),"https://www.method.me/videos/the-secret-to-stronger-automation-in-quickbooks-desktop/")</f>
        <v>https://www.method.me/videos/the-secret-to-stronger-automation-in-quickbooks-desktop/</v>
      </c>
      <c r="B396" s="1" t="str">
        <f>IFERROR(__xludf.DUMMYFUNCTION("""COMPUTED_VALUE"""),"Video page")</f>
        <v>Video page</v>
      </c>
      <c r="C396" s="1" t="str">
        <f>IFERROR(__xludf.DUMMYFUNCTION("""COMPUTED_VALUE"""),"Other page")</f>
        <v>Other page</v>
      </c>
      <c r="D396" s="1" t="str">
        <f>IFERROR(__xludf.DUMMYFUNCTION("""COMPUTED_VALUE"""),"The secret to stronger automation in QuickBooks Desktop")</f>
        <v>The secret to stronger automation in QuickBooks Desktop</v>
      </c>
      <c r="E396" s="12">
        <f>IFERROR(__xludf.DUMMYFUNCTION("""COMPUTED_VALUE"""),44575.56596064815)</f>
        <v>44575.56596</v>
      </c>
    </row>
    <row r="397">
      <c r="A397" s="7" t="str">
        <f>IFERROR(__xludf.DUMMYFUNCTION("""COMPUTED_VALUE"""),"https://www.method.me/blog/cyber-security-plan-template-for-small-business/")</f>
        <v>https://www.method.me/blog/cyber-security-plan-template-for-small-business/</v>
      </c>
      <c r="B397" s="1" t="str">
        <f>IFERROR(__xludf.DUMMYFUNCTION("""COMPUTED_VALUE"""),"Small business / Nonprofit")</f>
        <v>Small business / Nonprofit</v>
      </c>
      <c r="C397" s="1" t="str">
        <f>IFERROR(__xludf.DUMMYFUNCTION("""COMPUTED_VALUE"""),"Blog")</f>
        <v>Blog</v>
      </c>
      <c r="D397" s="1" t="str">
        <f>IFERROR(__xludf.DUMMYFUNCTION("""COMPUTED_VALUE"""),"Creating a comprehensive cyber security plan template for small businesses: A step-by-step guide for protecting your business from cyber attacks")</f>
        <v>Creating a comprehensive cyber security plan template for small businesses: A step-by-step guide for protecting your business from cyber attacks</v>
      </c>
      <c r="E397" s="12">
        <f>IFERROR(__xludf.DUMMYFUNCTION("""COMPUTED_VALUE"""),44579.49091435185)</f>
        <v>44579.49091</v>
      </c>
    </row>
    <row r="398">
      <c r="A398" s="7" t="str">
        <f>IFERROR(__xludf.DUMMYFUNCTION("""COMPUTED_VALUE"""),"https://www.method.me/careers/")</f>
        <v>https://www.method.me/careers/</v>
      </c>
      <c r="B398" s="1" t="str">
        <f>IFERROR(__xludf.DUMMYFUNCTION("""COMPUTED_VALUE"""),"Other page")</f>
        <v>Other page</v>
      </c>
      <c r="C398" s="1" t="str">
        <f>IFERROR(__xludf.DUMMYFUNCTION("""COMPUTED_VALUE"""),"Other page")</f>
        <v>Other page</v>
      </c>
      <c r="D398" s="1" t="str">
        <f>IFERROR(__xludf.DUMMYFUNCTION("""COMPUTED_VALUE"""),"Careers")</f>
        <v>Careers</v>
      </c>
      <c r="E398" s="12">
        <f>IFERROR(__xludf.DUMMYFUNCTION("""COMPUTED_VALUE"""),44582.42658564815)</f>
        <v>44582.42659</v>
      </c>
    </row>
    <row r="399">
      <c r="A399" s="7" t="str">
        <f>IFERROR(__xludf.DUMMYFUNCTION("""COMPUTED_VALUE"""),"https://www.method.me/resources/auto-repair-work-order-template-download/")</f>
        <v>https://www.method.me/resources/auto-repair-work-order-template-download/</v>
      </c>
      <c r="B399" s="1" t="str">
        <f>IFERROR(__xludf.DUMMYFUNCTION("""COMPUTED_VALUE"""),"Field services / Contractors")</f>
        <v>Field services / Contractors</v>
      </c>
      <c r="C399" s="1" t="str">
        <f>IFERROR(__xludf.DUMMYFUNCTION("""COMPUTED_VALUE"""),"Guide")</f>
        <v>Guide</v>
      </c>
      <c r="D399" s="1" t="str">
        <f>IFERROR(__xludf.DUMMYFUNCTION("""COMPUTED_VALUE"""),"Free printable auto repair work order template")</f>
        <v>Free printable auto repair work order template</v>
      </c>
      <c r="E399" s="12">
        <f>IFERROR(__xludf.DUMMYFUNCTION("""COMPUTED_VALUE"""),44588.687060185184)</f>
        <v>44588.68706</v>
      </c>
    </row>
    <row r="400">
      <c r="A400" s="7" t="str">
        <f>IFERROR(__xludf.DUMMYFUNCTION("""COMPUTED_VALUE"""),"https://www.method.me/resources/electrical-work-order-invoice-template/")</f>
        <v>https://www.method.me/resources/electrical-work-order-invoice-template/</v>
      </c>
      <c r="B400" s="1" t="str">
        <f>IFERROR(__xludf.DUMMYFUNCTION("""COMPUTED_VALUE"""),"Field services / Contractors")</f>
        <v>Field services / Contractors</v>
      </c>
      <c r="C400" s="1" t="str">
        <f>IFERROR(__xludf.DUMMYFUNCTION("""COMPUTED_VALUE"""),"Guide")</f>
        <v>Guide</v>
      </c>
      <c r="D400" s="1" t="str">
        <f>IFERROR(__xludf.DUMMYFUNCTION("""COMPUTED_VALUE"""),"The ultimate electrical work order invoice template")</f>
        <v>The ultimate electrical work order invoice template</v>
      </c>
      <c r="E400" s="12">
        <f>IFERROR(__xludf.DUMMYFUNCTION("""COMPUTED_VALUE"""),44588.69097222222)</f>
        <v>44588.69097</v>
      </c>
    </row>
    <row r="401">
      <c r="A401" s="7" t="str">
        <f>IFERROR(__xludf.DUMMYFUNCTION("""COMPUTED_VALUE"""),"https://www.method.me/resources/electrical-contractor-work-order-format/")</f>
        <v>https://www.method.me/resources/electrical-contractor-work-order-format/</v>
      </c>
      <c r="B401" s="1" t="str">
        <f>IFERROR(__xludf.DUMMYFUNCTION("""COMPUTED_VALUE"""),"Field services / Contractors")</f>
        <v>Field services / Contractors</v>
      </c>
      <c r="C401" s="1" t="str">
        <f>IFERROR(__xludf.DUMMYFUNCTION("""COMPUTED_VALUE"""),"Guide")</f>
        <v>Guide</v>
      </c>
      <c r="D401" s="1" t="str">
        <f>IFERROR(__xludf.DUMMYFUNCTION("""COMPUTED_VALUE"""),"Work order for electrical contractor: Best practices and template")</f>
        <v>Work order for electrical contractor: Best practices and template</v>
      </c>
      <c r="E401" s="12">
        <f>IFERROR(__xludf.DUMMYFUNCTION("""COMPUTED_VALUE"""),44588.69097222222)</f>
        <v>44588.69097</v>
      </c>
    </row>
    <row r="402">
      <c r="A402" s="7" t="str">
        <f>IFERROR(__xludf.DUMMYFUNCTION("""COMPUTED_VALUE"""),"https://www.method.me/resources/maintenance-work-order-template/")</f>
        <v>https://www.method.me/resources/maintenance-work-order-template/</v>
      </c>
      <c r="B402" s="1" t="str">
        <f>IFERROR(__xludf.DUMMYFUNCTION("""COMPUTED_VALUE"""),"Field services / Contractors")</f>
        <v>Field services / Contractors</v>
      </c>
      <c r="C402" s="1" t="str">
        <f>IFERROR(__xludf.DUMMYFUNCTION("""COMPUTED_VALUE"""),"Guide")</f>
        <v>Guide</v>
      </c>
      <c r="D402" s="1" t="str">
        <f>IFERROR(__xludf.DUMMYFUNCTION("""COMPUTED_VALUE"""),"Free maintenance work order template and forms")</f>
        <v>Free maintenance work order template and forms</v>
      </c>
      <c r="E402" s="12">
        <f>IFERROR(__xludf.DUMMYFUNCTION("""COMPUTED_VALUE"""),44588.69097222222)</f>
        <v>44588.69097</v>
      </c>
    </row>
    <row r="403">
      <c r="A403" s="7" t="str">
        <f>IFERROR(__xludf.DUMMYFUNCTION("""COMPUTED_VALUE"""),"https://www.method.me/resources/construction-work-order-template-excel/")</f>
        <v>https://www.method.me/resources/construction-work-order-template-excel/</v>
      </c>
      <c r="B403" s="1" t="str">
        <f>IFERROR(__xludf.DUMMYFUNCTION("""COMPUTED_VALUE"""),"Field services / Contractors")</f>
        <v>Field services / Contractors</v>
      </c>
      <c r="C403" s="1" t="str">
        <f>IFERROR(__xludf.DUMMYFUNCTION("""COMPUTED_VALUE"""),"Guide")</f>
        <v>Guide</v>
      </c>
      <c r="D403" s="1" t="str">
        <f>IFERROR(__xludf.DUMMYFUNCTION("""COMPUTED_VALUE"""),"Free construction work order template")</f>
        <v>Free construction work order template</v>
      </c>
      <c r="E403" s="12">
        <f>IFERROR(__xludf.DUMMYFUNCTION("""COMPUTED_VALUE"""),44588.69097222222)</f>
        <v>44588.69097</v>
      </c>
    </row>
    <row r="404">
      <c r="A404" s="7" t="str">
        <f>IFERROR(__xludf.DUMMYFUNCTION("""COMPUTED_VALUE"""),"https://www.method.me/resources/service-order-template-form/")</f>
        <v>https://www.method.me/resources/service-order-template-form/</v>
      </c>
      <c r="B404" s="1" t="str">
        <f>IFERROR(__xludf.DUMMYFUNCTION("""COMPUTED_VALUE"""),"Field services / Contractors")</f>
        <v>Field services / Contractors</v>
      </c>
      <c r="C404" s="1" t="str">
        <f>IFERROR(__xludf.DUMMYFUNCTION("""COMPUTED_VALUE"""),"Guide")</f>
        <v>Guide</v>
      </c>
      <c r="D404" s="1" t="str">
        <f>IFERROR(__xludf.DUMMYFUNCTION("""COMPUTED_VALUE"""),"A service order template that gets the job done")</f>
        <v>A service order template that gets the job done</v>
      </c>
      <c r="E404" s="12">
        <f>IFERROR(__xludf.DUMMYFUNCTION("""COMPUTED_VALUE"""),44588.69097222222)</f>
        <v>44588.69097</v>
      </c>
    </row>
    <row r="405">
      <c r="A405" s="7" t="str">
        <f>IFERROR(__xludf.DUMMYFUNCTION("""COMPUTED_VALUE"""),"https://www.method.me/resources/vehicle-maintenance-work-order-form/")</f>
        <v>https://www.method.me/resources/vehicle-maintenance-work-order-form/</v>
      </c>
      <c r="B405" s="1" t="str">
        <f>IFERROR(__xludf.DUMMYFUNCTION("""COMPUTED_VALUE"""),"Field services / Contractors")</f>
        <v>Field services / Contractors</v>
      </c>
      <c r="C405" s="1" t="str">
        <f>IFERROR(__xludf.DUMMYFUNCTION("""COMPUTED_VALUE"""),"Guide")</f>
        <v>Guide</v>
      </c>
      <c r="D405" s="1" t="str">
        <f>IFERROR(__xludf.DUMMYFUNCTION("""COMPUTED_VALUE"""),"Vehicle maintenance work order form and template")</f>
        <v>Vehicle maintenance work order form and template</v>
      </c>
      <c r="E405" s="12">
        <f>IFERROR(__xludf.DUMMYFUNCTION("""COMPUTED_VALUE"""),44588.69097222222)</f>
        <v>44588.69097</v>
      </c>
    </row>
    <row r="406">
      <c r="A406" s="7" t="str">
        <f>IFERROR(__xludf.DUMMYFUNCTION("""COMPUTED_VALUE"""),"https://www.method.me/resources/free-work-order-template-pdf-word/")</f>
        <v>https://www.method.me/resources/free-work-order-template-pdf-word/</v>
      </c>
      <c r="B406" s="1" t="str">
        <f>IFERROR(__xludf.DUMMYFUNCTION("""COMPUTED_VALUE"""),"Misc. info")</f>
        <v>Misc. info</v>
      </c>
      <c r="C406" s="1" t="str">
        <f>IFERROR(__xludf.DUMMYFUNCTION("""COMPUTED_VALUE"""),"Guide")</f>
        <v>Guide</v>
      </c>
      <c r="D406" s="1" t="str">
        <f>IFERROR(__xludf.DUMMYFUNCTION("""COMPUTED_VALUE"""),"The best free work order template")</f>
        <v>The best free work order template</v>
      </c>
      <c r="E406" s="12">
        <f>IFERROR(__xludf.DUMMYFUNCTION("""COMPUTED_VALUE"""),44588.69097222222)</f>
        <v>44588.69097</v>
      </c>
    </row>
    <row r="407">
      <c r="A407" s="7" t="str">
        <f>IFERROR(__xludf.DUMMYFUNCTION("""COMPUTED_VALUE"""),"https://www.method.me/resources/work-order-format/")</f>
        <v>https://www.method.me/resources/work-order-format/</v>
      </c>
      <c r="B407" s="1" t="str">
        <f>IFERROR(__xludf.DUMMYFUNCTION("""COMPUTED_VALUE"""),"Misc. info")</f>
        <v>Misc. info</v>
      </c>
      <c r="C407" s="1" t="str">
        <f>IFERROR(__xludf.DUMMYFUNCTION("""COMPUTED_VALUE"""),"Guide")</f>
        <v>Guide</v>
      </c>
      <c r="D407" s="1" t="str">
        <f>IFERROR(__xludf.DUMMYFUNCTION("""COMPUTED_VALUE"""),"Printable work order format tips that fuel success")</f>
        <v>Printable work order format tips that fuel success</v>
      </c>
      <c r="E407" s="12">
        <f>IFERROR(__xludf.DUMMYFUNCTION("""COMPUTED_VALUE"""),44588.69097222222)</f>
        <v>44588.69097</v>
      </c>
    </row>
    <row r="408">
      <c r="A408" s="7" t="str">
        <f>IFERROR(__xludf.DUMMYFUNCTION("""COMPUTED_VALUE"""),"https://www.method.me/resources/mechanic-work-order-forms/")</f>
        <v>https://www.method.me/resources/mechanic-work-order-forms/</v>
      </c>
      <c r="B408" s="1" t="str">
        <f>IFERROR(__xludf.DUMMYFUNCTION("""COMPUTED_VALUE"""),"Field services / Contractors")</f>
        <v>Field services / Contractors</v>
      </c>
      <c r="C408" s="1" t="str">
        <f>IFERROR(__xludf.DUMMYFUNCTION("""COMPUTED_VALUE"""),"Guide")</f>
        <v>Guide</v>
      </c>
      <c r="D408" s="1" t="str">
        <f>IFERROR(__xludf.DUMMYFUNCTION("""COMPUTED_VALUE"""),"Free mechanic work order form and Excel template")</f>
        <v>Free mechanic work order form and Excel template</v>
      </c>
      <c r="E408" s="12">
        <f>IFERROR(__xludf.DUMMYFUNCTION("""COMPUTED_VALUE"""),44588.69420138889)</f>
        <v>44588.6942</v>
      </c>
    </row>
    <row r="409">
      <c r="A409" s="7" t="str">
        <f>IFERROR(__xludf.DUMMYFUNCTION("""COMPUTED_VALUE"""),"https://www.method.me/videos/quickbooks-desktop-trends-2022/")</f>
        <v>https://www.method.me/videos/quickbooks-desktop-trends-2022/</v>
      </c>
      <c r="B409" s="1" t="str">
        <f>IFERROR(__xludf.DUMMYFUNCTION("""COMPUTED_VALUE"""),"Video page")</f>
        <v>Video page</v>
      </c>
      <c r="C409" s="1" t="str">
        <f>IFERROR(__xludf.DUMMYFUNCTION("""COMPUTED_VALUE"""),"Other page")</f>
        <v>Other page</v>
      </c>
      <c r="D409" s="1" t="str">
        <f>IFERROR(__xludf.DUMMYFUNCTION("""COMPUTED_VALUE"""),"2022 QuickBooks Desktop trends to have on your radar")</f>
        <v>2022 QuickBooks Desktop trends to have on your radar</v>
      </c>
      <c r="E409" s="12">
        <f>IFERROR(__xludf.DUMMYFUNCTION("""COMPUTED_VALUE"""),44588.70759259259)</f>
        <v>44588.70759</v>
      </c>
    </row>
    <row r="410">
      <c r="A410" s="7" t="str">
        <f>IFERROR(__xludf.DUMMYFUNCTION("""COMPUTED_VALUE"""),"https://www.method.me/blog/scheduling-software-for-construction-crews/")</f>
        <v>https://www.method.me/blog/scheduling-software-for-construction-crews/</v>
      </c>
      <c r="B410" s="1" t="str">
        <f>IFERROR(__xludf.DUMMYFUNCTION("""COMPUTED_VALUE"""),"Field services / Contractors")</f>
        <v>Field services / Contractors</v>
      </c>
      <c r="C410" s="1" t="str">
        <f>IFERROR(__xludf.DUMMYFUNCTION("""COMPUTED_VALUE"""),"Blog")</f>
        <v>Blog</v>
      </c>
      <c r="D410" s="1" t="str">
        <f>IFERROR(__xludf.DUMMYFUNCTION("""COMPUTED_VALUE"""),"The benefit of scheduling software for construction crews")</f>
        <v>The benefit of scheduling software for construction crews</v>
      </c>
      <c r="E410" s="12">
        <f>IFERROR(__xludf.DUMMYFUNCTION("""COMPUTED_VALUE"""),44589.503125)</f>
        <v>44589.50313</v>
      </c>
    </row>
    <row r="411">
      <c r="A411" s="7" t="str">
        <f>IFERROR(__xludf.DUMMYFUNCTION("""COMPUTED_VALUE"""),"https://www.method.me/blog/lawncare-ads/")</f>
        <v>https://www.method.me/blog/lawncare-ads/</v>
      </c>
      <c r="B411" s="1" t="str">
        <f>IFERROR(__xludf.DUMMYFUNCTION("""COMPUTED_VALUE"""),"Field services / Contractors")</f>
        <v>Field services / Contractors</v>
      </c>
      <c r="C411" s="1" t="str">
        <f>IFERROR(__xludf.DUMMYFUNCTION("""COMPUTED_VALUE"""),"Blog")</f>
        <v>Blog</v>
      </c>
      <c r="D411" s="1" t="str">
        <f>IFERROR(__xludf.DUMMYFUNCTION("""COMPUTED_VALUE"""),"Lawn care advertising ideas to help your landscaping business grow")</f>
        <v>Lawn care advertising ideas to help your landscaping business grow</v>
      </c>
      <c r="E411" s="12">
        <f>IFERROR(__xludf.DUMMYFUNCTION("""COMPUTED_VALUE"""),44594.427083333336)</f>
        <v>44594.42708</v>
      </c>
    </row>
    <row r="412">
      <c r="A412" s="7" t="str">
        <f>IFERROR(__xludf.DUMMYFUNCTION("""COMPUTED_VALUE"""),"https://www.method.me/blog/hiring-landscaping-employees/")</f>
        <v>https://www.method.me/blog/hiring-landscaping-employees/</v>
      </c>
      <c r="B412" s="1" t="str">
        <f>IFERROR(__xludf.DUMMYFUNCTION("""COMPUTED_VALUE"""),"Field services / Contractors")</f>
        <v>Field services / Contractors</v>
      </c>
      <c r="C412" s="1" t="str">
        <f>IFERROR(__xludf.DUMMYFUNCTION("""COMPUTED_VALUE"""),"Blog")</f>
        <v>Blog</v>
      </c>
      <c r="D412" s="1" t="str">
        <f>IFERROR(__xludf.DUMMYFUNCTION("""COMPUTED_VALUE"""),"Your no-nonsense guide to hiring great landscaping employees")</f>
        <v>Your no-nonsense guide to hiring great landscaping employees</v>
      </c>
      <c r="E412" s="12">
        <f>IFERROR(__xludf.DUMMYFUNCTION("""COMPUTED_VALUE"""),44594.427083333336)</f>
        <v>44594.42708</v>
      </c>
    </row>
    <row r="413">
      <c r="A413" s="7" t="str">
        <f>IFERROR(__xludf.DUMMYFUNCTION("""COMPUTED_VALUE"""),"https://www.method.me/blog/what-do-landscapers-do-in-the-winter/")</f>
        <v>https://www.method.me/blog/what-do-landscapers-do-in-the-winter/</v>
      </c>
      <c r="B413" s="1" t="str">
        <f>IFERROR(__xludf.DUMMYFUNCTION("""COMPUTED_VALUE"""),"Field services / Contractors")</f>
        <v>Field services / Contractors</v>
      </c>
      <c r="C413" s="1" t="str">
        <f>IFERROR(__xludf.DUMMYFUNCTION("""COMPUTED_VALUE"""),"Blog")</f>
        <v>Blog</v>
      </c>
      <c r="D413" s="1" t="str">
        <f>IFERROR(__xludf.DUMMYFUNCTION("""COMPUTED_VALUE"""),"What do professional landscapers do in the winter?")</f>
        <v>What do professional landscapers do in the winter?</v>
      </c>
      <c r="E413" s="12">
        <f>IFERROR(__xludf.DUMMYFUNCTION("""COMPUTED_VALUE"""),44594.427083333336)</f>
        <v>44594.42708</v>
      </c>
    </row>
    <row r="414">
      <c r="A414" s="7" t="str">
        <f>IFERROR(__xludf.DUMMYFUNCTION("""COMPUTED_VALUE"""),"https://www.method.me/blog/lawn-care-industry-stats/")</f>
        <v>https://www.method.me/blog/lawn-care-industry-stats/</v>
      </c>
      <c r="B414" s="1" t="str">
        <f>IFERROR(__xludf.DUMMYFUNCTION("""COMPUTED_VALUE"""),"Field services / Contractors")</f>
        <v>Field services / Contractors</v>
      </c>
      <c r="C414" s="1" t="str">
        <f>IFERROR(__xludf.DUMMYFUNCTION("""COMPUTED_VALUE"""),"Blog")</f>
        <v>Blog</v>
      </c>
      <c r="D414" s="1" t="str">
        <f>IFERROR(__xludf.DUMMYFUNCTION("""COMPUTED_VALUE"""),"Lawn care industry statistics to watch out for in 2024")</f>
        <v>Lawn care industry statistics to watch out for in 2024</v>
      </c>
      <c r="E414" s="12">
        <f>IFERROR(__xludf.DUMMYFUNCTION("""COMPUTED_VALUE"""),44594.427083333336)</f>
        <v>44594.42708</v>
      </c>
    </row>
    <row r="415">
      <c r="A415" s="7" t="str">
        <f>IFERROR(__xludf.DUMMYFUNCTION("""COMPUTED_VALUE"""),"https://www.method.me/blog/commercial-mowing-contracts/")</f>
        <v>https://www.method.me/blog/commercial-mowing-contracts/</v>
      </c>
      <c r="B415" s="1" t="str">
        <f>IFERROR(__xludf.DUMMYFUNCTION("""COMPUTED_VALUE"""),"General how-to")</f>
        <v>General how-to</v>
      </c>
      <c r="C415" s="1" t="str">
        <f>IFERROR(__xludf.DUMMYFUNCTION("""COMPUTED_VALUE"""),"Blog")</f>
        <v>Blog</v>
      </c>
      <c r="D415" s="1" t="str">
        <f>IFERROR(__xludf.DUMMYFUNCTION("""COMPUTED_VALUE"""),"Commercial mowing contracts: How to price, bid, and win them")</f>
        <v>Commercial mowing contracts: How to price, bid, and win them</v>
      </c>
      <c r="E415" s="12">
        <f>IFERROR(__xludf.DUMMYFUNCTION("""COMPUTED_VALUE"""),44594.427083333336)</f>
        <v>44594.42708</v>
      </c>
    </row>
    <row r="416">
      <c r="A416" s="7" t="str">
        <f>IFERROR(__xludf.DUMMYFUNCTION("""COMPUTED_VALUE"""),"https://www.method.me/blog/lawn-care-business-plan/")</f>
        <v>https://www.method.me/blog/lawn-care-business-plan/</v>
      </c>
      <c r="B416" s="1" t="str">
        <f>IFERROR(__xludf.DUMMYFUNCTION("""COMPUTED_VALUE"""),"General how-to")</f>
        <v>General how-to</v>
      </c>
      <c r="C416" s="1" t="str">
        <f>IFERROR(__xludf.DUMMYFUNCTION("""COMPUTED_VALUE"""),"Blog")</f>
        <v>Blog</v>
      </c>
      <c r="D416" s="1" t="str">
        <f>IFERROR(__xludf.DUMMYFUNCTION("""COMPUTED_VALUE"""),"How to prepare a lawn care business plan")</f>
        <v>How to prepare a lawn care business plan</v>
      </c>
      <c r="E416" s="12">
        <f>IFERROR(__xludf.DUMMYFUNCTION("""COMPUTED_VALUE"""),44594.427083333336)</f>
        <v>44594.42708</v>
      </c>
    </row>
    <row r="417">
      <c r="A417" s="7" t="str">
        <f>IFERROR(__xludf.DUMMYFUNCTION("""COMPUTED_VALUE"""),"https://www.method.me/blog/lawn-care-management/")</f>
        <v>https://www.method.me/blog/lawn-care-management/</v>
      </c>
      <c r="B417" s="1" t="str">
        <f>IFERROR(__xludf.DUMMYFUNCTION("""COMPUTED_VALUE"""),"General how-to")</f>
        <v>General how-to</v>
      </c>
      <c r="C417" s="1" t="str">
        <f>IFERROR(__xludf.DUMMYFUNCTION("""COMPUTED_VALUE"""),"Blog")</f>
        <v>Blog</v>
      </c>
      <c r="D417" s="1" t="str">
        <f>IFERROR(__xludf.DUMMYFUNCTION("""COMPUTED_VALUE"""),"Lawn care management — How to run a successful lawn care business")</f>
        <v>Lawn care management — How to run a successful lawn care business</v>
      </c>
      <c r="E417" s="12">
        <f>IFERROR(__xludf.DUMMYFUNCTION("""COMPUTED_VALUE"""),44594.427083333336)</f>
        <v>44594.42708</v>
      </c>
    </row>
    <row r="418">
      <c r="A418" s="7" t="str">
        <f>IFERROR(__xludf.DUMMYFUNCTION("""COMPUTED_VALUE"""),"https://www.method.me/blog/how-to-get-lawn-care-customers-fast/")</f>
        <v>https://www.method.me/blog/how-to-get-lawn-care-customers-fast/</v>
      </c>
      <c r="B418" s="1" t="str">
        <f>IFERROR(__xludf.DUMMYFUNCTION("""COMPUTED_VALUE"""),"General how-to")</f>
        <v>General how-to</v>
      </c>
      <c r="C418" s="1" t="str">
        <f>IFERROR(__xludf.DUMMYFUNCTION("""COMPUTED_VALUE"""),"Blog")</f>
        <v>Blog</v>
      </c>
      <c r="D418" s="1" t="str">
        <f>IFERROR(__xludf.DUMMYFUNCTION("""COMPUTED_VALUE"""),"How to get lawn care customers fast and grow your business")</f>
        <v>How to get lawn care customers fast and grow your business</v>
      </c>
      <c r="E418" s="12">
        <f>IFERROR(__xludf.DUMMYFUNCTION("""COMPUTED_VALUE"""),44594.427083333336)</f>
        <v>44594.42708</v>
      </c>
    </row>
    <row r="419">
      <c r="A419" s="7" t="str">
        <f>IFERROR(__xludf.DUMMYFUNCTION("""COMPUTED_VALUE"""),"https://www.method.me/blog/lawncare-contracts/")</f>
        <v>https://www.method.me/blog/lawncare-contracts/</v>
      </c>
      <c r="B419" s="1" t="str">
        <f>IFERROR(__xludf.DUMMYFUNCTION("""COMPUTED_VALUE"""),"General how-to")</f>
        <v>General how-to</v>
      </c>
      <c r="C419" s="1" t="str">
        <f>IFERROR(__xludf.DUMMYFUNCTION("""COMPUTED_VALUE"""),"Blog")</f>
        <v>Blog</v>
      </c>
      <c r="D419" s="1" t="str">
        <f>IFERROR(__xludf.DUMMYFUNCTION("""COMPUTED_VALUE"""),"How to bid your next commercial lawn care contract")</f>
        <v>How to bid your next commercial lawn care contract</v>
      </c>
      <c r="E419" s="12">
        <f>IFERROR(__xludf.DUMMYFUNCTION("""COMPUTED_VALUE"""),44594.427083333336)</f>
        <v>44594.42708</v>
      </c>
    </row>
    <row r="420">
      <c r="A420" s="7" t="str">
        <f>IFERROR(__xludf.DUMMYFUNCTION("""COMPUTED_VALUE"""),"https://www.method.me/blog/landscaping-website-design-examples/")</f>
        <v>https://www.method.me/blog/landscaping-website-design-examples/</v>
      </c>
      <c r="B420" s="1" t="str">
        <f>IFERROR(__xludf.DUMMYFUNCTION("""COMPUTED_VALUE"""),"Listicle - General")</f>
        <v>Listicle - General</v>
      </c>
      <c r="C420" s="1" t="str">
        <f>IFERROR(__xludf.DUMMYFUNCTION("""COMPUTED_VALUE"""),"Blog")</f>
        <v>Blog</v>
      </c>
      <c r="D420" s="1" t="str">
        <f>IFERROR(__xludf.DUMMYFUNCTION("""COMPUTED_VALUE"""),"Best landscaping website design examples for 2024")</f>
        <v>Best landscaping website design examples for 2024</v>
      </c>
      <c r="E420" s="12">
        <f>IFERROR(__xludf.DUMMYFUNCTION("""COMPUTED_VALUE"""),44594.427083333336)</f>
        <v>44594.42708</v>
      </c>
    </row>
    <row r="421">
      <c r="A421" s="7" t="str">
        <f>IFERROR(__xludf.DUMMYFUNCTION("""COMPUTED_VALUE"""),"https://www.method.me/blog/lawn-care-flyers/")</f>
        <v>https://www.method.me/blog/lawn-care-flyers/</v>
      </c>
      <c r="B421" s="1" t="str">
        <f>IFERROR(__xludf.DUMMYFUNCTION("""COMPUTED_VALUE"""),"Listicle - General")</f>
        <v>Listicle - General</v>
      </c>
      <c r="C421" s="1" t="str">
        <f>IFERROR(__xludf.DUMMYFUNCTION("""COMPUTED_VALUE"""),"Blog")</f>
        <v>Blog</v>
      </c>
      <c r="D421" s="1" t="str">
        <f>IFERROR(__xludf.DUMMYFUNCTION("""COMPUTED_VALUE"""),"Lawn care flyers: 7 ways to win customers fast")</f>
        <v>Lawn care flyers: 7 ways to win customers fast</v>
      </c>
      <c r="E421" s="12">
        <f>IFERROR(__xludf.DUMMYFUNCTION("""COMPUTED_VALUE"""),44594.427083333336)</f>
        <v>44594.42708</v>
      </c>
    </row>
    <row r="422">
      <c r="A422" s="7" t="str">
        <f>IFERROR(__xludf.DUMMYFUNCTION("""COMPUTED_VALUE"""),"https://www.method.me/blog/landscaping-grants/")</f>
        <v>https://www.method.me/blog/landscaping-grants/</v>
      </c>
      <c r="B422" s="1" t="str">
        <f>IFERROR(__xludf.DUMMYFUNCTION("""COMPUTED_VALUE"""),"Listicle - General")</f>
        <v>Listicle - General</v>
      </c>
      <c r="C422" s="1" t="str">
        <f>IFERROR(__xludf.DUMMYFUNCTION("""COMPUTED_VALUE"""),"Blog")</f>
        <v>Blog</v>
      </c>
      <c r="D422" s="1" t="str">
        <f>IFERROR(__xludf.DUMMYFUNCTION("""COMPUTED_VALUE"""),"7 types of grants you can use for your landscaping business in 2024")</f>
        <v>7 types of grants you can use for your landscaping business in 2024</v>
      </c>
      <c r="E422" s="12">
        <f>IFERROR(__xludf.DUMMYFUNCTION("""COMPUTED_VALUE"""),44594.427083333336)</f>
        <v>44594.42708</v>
      </c>
    </row>
    <row r="423">
      <c r="A423" s="7" t="str">
        <f>IFERROR(__xludf.DUMMYFUNCTION("""COMPUTED_VALUE"""),"https://www.method.me/blog/lawn-care-business-apps/")</f>
        <v>https://www.method.me/blog/lawn-care-business-apps/</v>
      </c>
      <c r="B423" s="1" t="str">
        <f>IFERROR(__xludf.DUMMYFUNCTION("""COMPUTED_VALUE"""),"Listicle - Software / Software overview")</f>
        <v>Listicle - Software / Software overview</v>
      </c>
      <c r="C423" s="1" t="str">
        <f>IFERROR(__xludf.DUMMYFUNCTION("""COMPUTED_VALUE"""),"Blog")</f>
        <v>Blog</v>
      </c>
      <c r="D423" s="1" t="str">
        <f>IFERROR(__xludf.DUMMYFUNCTION("""COMPUTED_VALUE"""),"12 lawn care business apps to help grow your business in 2024")</f>
        <v>12 lawn care business apps to help grow your business in 2024</v>
      </c>
      <c r="E423" s="12">
        <f>IFERROR(__xludf.DUMMYFUNCTION("""COMPUTED_VALUE"""),44594.427083333336)</f>
        <v>44594.42708</v>
      </c>
    </row>
    <row r="424">
      <c r="A424" s="7" t="str">
        <f>IFERROR(__xludf.DUMMYFUNCTION("""COMPUTED_VALUE"""),"https://www.method.me/blog/lawn-care-marketing-ideas/")</f>
        <v>https://www.method.me/blog/lawn-care-marketing-ideas/</v>
      </c>
      <c r="B424" s="1" t="str">
        <f>IFERROR(__xludf.DUMMYFUNCTION("""COMPUTED_VALUE"""),"Sales / Marketing / Lead gen")</f>
        <v>Sales / Marketing / Lead gen</v>
      </c>
      <c r="C424" s="1" t="str">
        <f>IFERROR(__xludf.DUMMYFUNCTION("""COMPUTED_VALUE"""),"Blog")</f>
        <v>Blog</v>
      </c>
      <c r="D424" s="1" t="str">
        <f>IFERROR(__xludf.DUMMYFUNCTION("""COMPUTED_VALUE"""),"The absolute best marketing ideas for your lawn care business")</f>
        <v>The absolute best marketing ideas for your lawn care business</v>
      </c>
      <c r="E424" s="12">
        <f>IFERROR(__xludf.DUMMYFUNCTION("""COMPUTED_VALUE"""),44594.427083333336)</f>
        <v>44594.42708</v>
      </c>
    </row>
    <row r="425">
      <c r="A425" s="7" t="str">
        <f>IFERROR(__xludf.DUMMYFUNCTION("""COMPUTED_VALUE"""),"https://www.method.me/videos/digital-marketing-for-accountants-how-to-win-new-clients-online/")</f>
        <v>https://www.method.me/videos/digital-marketing-for-accountants-how-to-win-new-clients-online/</v>
      </c>
      <c r="B425" s="1" t="str">
        <f>IFERROR(__xludf.DUMMYFUNCTION("""COMPUTED_VALUE"""),"Video page")</f>
        <v>Video page</v>
      </c>
      <c r="C425" s="1" t="str">
        <f>IFERROR(__xludf.DUMMYFUNCTION("""COMPUTED_VALUE"""),"Other page")</f>
        <v>Other page</v>
      </c>
      <c r="D425" s="1" t="str">
        <f>IFERROR(__xludf.DUMMYFUNCTION("""COMPUTED_VALUE"""),"Digital marketing for accountants: How to win new clients online")</f>
        <v>Digital marketing for accountants: How to win new clients online</v>
      </c>
      <c r="E425" s="12">
        <f>IFERROR(__xludf.DUMMYFUNCTION("""COMPUTED_VALUE"""),44596.4922337963)</f>
        <v>44596.49223</v>
      </c>
    </row>
    <row r="426">
      <c r="A426" s="7" t="str">
        <f>IFERROR(__xludf.DUMMYFUNCTION("""COMPUTED_VALUE"""),"https://www.method.me/blog/small-contractor-scheduling-software/")</f>
        <v>https://www.method.me/blog/small-contractor-scheduling-software/</v>
      </c>
      <c r="B426" s="1" t="str">
        <f>IFERROR(__xludf.DUMMYFUNCTION("""COMPUTED_VALUE"""),"Listicle - Software / Software overview")</f>
        <v>Listicle - Software / Software overview</v>
      </c>
      <c r="C426" s="1" t="str">
        <f>IFERROR(__xludf.DUMMYFUNCTION("""COMPUTED_VALUE"""),"Blog")</f>
        <v>Blog</v>
      </c>
      <c r="D426" s="1" t="str">
        <f>IFERROR(__xludf.DUMMYFUNCTION("""COMPUTED_VALUE"""),"Your 5 best small contractor scheduling software options")</f>
        <v>Your 5 best small contractor scheduling software options</v>
      </c>
      <c r="E426" s="12">
        <f>IFERROR(__xludf.DUMMYFUNCTION("""COMPUTED_VALUE"""),44602.49936342592)</f>
        <v>44602.49936</v>
      </c>
    </row>
    <row r="427">
      <c r="A427" s="7" t="str">
        <f>IFERROR(__xludf.DUMMYFUNCTION("""COMPUTED_VALUE"""),"https://www.method.me/blog/contractor-scheduling-software/")</f>
        <v>https://www.method.me/blog/contractor-scheduling-software/</v>
      </c>
      <c r="B427" s="1" t="str">
        <f>IFERROR(__xludf.DUMMYFUNCTION("""COMPUTED_VALUE"""),"Listicle - Software / Software overview")</f>
        <v>Listicle - Software / Software overview</v>
      </c>
      <c r="C427" s="1" t="str">
        <f>IFERROR(__xludf.DUMMYFUNCTION("""COMPUTED_VALUE"""),"Blog")</f>
        <v>Blog</v>
      </c>
      <c r="D427" s="1" t="str">
        <f>IFERROR(__xludf.DUMMYFUNCTION("""COMPUTED_VALUE"""),"Contractor scheduling software: Greatest picks for 2024")</f>
        <v>Contractor scheduling software: Greatest picks for 2024</v>
      </c>
      <c r="E427" s="12">
        <f>IFERROR(__xludf.DUMMYFUNCTION("""COMPUTED_VALUE"""),44609.56458333333)</f>
        <v>44609.56458</v>
      </c>
    </row>
    <row r="428">
      <c r="A428" s="7" t="str">
        <f>IFERROR(__xludf.DUMMYFUNCTION("""COMPUTED_VALUE"""),"https://www.method.me/blog/construction-project-schedule/")</f>
        <v>https://www.method.me/blog/construction-project-schedule/</v>
      </c>
      <c r="B428" s="1" t="str">
        <f>IFERROR(__xludf.DUMMYFUNCTION("""COMPUTED_VALUE"""),"Field services / Contractors")</f>
        <v>Field services / Contractors</v>
      </c>
      <c r="C428" s="1" t="str">
        <f>IFERROR(__xludf.DUMMYFUNCTION("""COMPUTED_VALUE"""),"Blog")</f>
        <v>Blog</v>
      </c>
      <c r="D428" s="1" t="str">
        <f>IFERROR(__xludf.DUMMYFUNCTION("""COMPUTED_VALUE"""),"Free construction project schedule template and tips")</f>
        <v>Free construction project schedule template and tips</v>
      </c>
      <c r="E428" s="12">
        <f>IFERROR(__xludf.DUMMYFUNCTION("""COMPUTED_VALUE"""),44616.83671296296)</f>
        <v>44616.83671</v>
      </c>
    </row>
    <row r="429">
      <c r="A429" s="7" t="str">
        <f>IFERROR(__xludf.DUMMYFUNCTION("""COMPUTED_VALUE"""),"https://www.method.me/blog/best-construction-scheduling-software-free/")</f>
        <v>https://www.method.me/blog/best-construction-scheduling-software-free/</v>
      </c>
      <c r="B429" s="1" t="str">
        <f>IFERROR(__xludf.DUMMYFUNCTION("""COMPUTED_VALUE"""),"Listicle - Software / Software overview")</f>
        <v>Listicle - Software / Software overview</v>
      </c>
      <c r="C429" s="1" t="str">
        <f>IFERROR(__xludf.DUMMYFUNCTION("""COMPUTED_VALUE"""),"Blog")</f>
        <v>Blog</v>
      </c>
      <c r="D429" s="1" t="str">
        <f>IFERROR(__xludf.DUMMYFUNCTION("""COMPUTED_VALUE"""),"Industry picks for the best construction scheduling software")</f>
        <v>Industry picks for the best construction scheduling software</v>
      </c>
      <c r="E429" s="12">
        <f>IFERROR(__xludf.DUMMYFUNCTION("""COMPUTED_VALUE"""),44620.427083333336)</f>
        <v>44620.42708</v>
      </c>
    </row>
    <row r="430">
      <c r="A430" s="7" t="str">
        <f>IFERROR(__xludf.DUMMYFUNCTION("""COMPUTED_VALUE"""),"https://www.method.me/videos/boost-sales-with-method-and-quickbooks/")</f>
        <v>https://www.method.me/videos/boost-sales-with-method-and-quickbooks/</v>
      </c>
      <c r="B430" s="1" t="str">
        <f>IFERROR(__xludf.DUMMYFUNCTION("""COMPUTED_VALUE"""),"Video page")</f>
        <v>Video page</v>
      </c>
      <c r="C430" s="1" t="str">
        <f>IFERROR(__xludf.DUMMYFUNCTION("""COMPUTED_VALUE"""),"Other page")</f>
        <v>Other page</v>
      </c>
      <c r="D430" s="1" t="str">
        <f>IFERROR(__xludf.DUMMYFUNCTION("""COMPUTED_VALUE"""),"Boost sales with Method and QuickBooks")</f>
        <v>Boost sales with Method and QuickBooks</v>
      </c>
      <c r="E430" s="12">
        <f>IFERROR(__xludf.DUMMYFUNCTION("""COMPUTED_VALUE"""),44636.40043981482)</f>
        <v>44636.40044</v>
      </c>
    </row>
    <row r="431">
      <c r="A431" s="7" t="str">
        <f>IFERROR(__xludf.DUMMYFUNCTION("""COMPUTED_VALUE"""),"https://www.method.me/blog/what-you-need-to-start-a-cleaning-business/")</f>
        <v>https://www.method.me/blog/what-you-need-to-start-a-cleaning-business/</v>
      </c>
      <c r="B431" s="1" t="str">
        <f>IFERROR(__xludf.DUMMYFUNCTION("""COMPUTED_VALUE"""),"Field services / Contractors")</f>
        <v>Field services / Contractors</v>
      </c>
      <c r="C431" s="1" t="str">
        <f>IFERROR(__xludf.DUMMYFUNCTION("""COMPUTED_VALUE"""),"Blog")</f>
        <v>Blog</v>
      </c>
      <c r="D431" s="1" t="str">
        <f>IFERROR(__xludf.DUMMYFUNCTION("""COMPUTED_VALUE"""),"Equipment and resources needed to start a cleaning business?")</f>
        <v>Equipment and resources needed to start a cleaning business?</v>
      </c>
      <c r="E431" s="12">
        <f>IFERROR(__xludf.DUMMYFUNCTION("""COMPUTED_VALUE"""),44637.59722222222)</f>
        <v>44637.59722</v>
      </c>
    </row>
    <row r="432">
      <c r="A432" s="7" t="str">
        <f>IFERROR(__xludf.DUMMYFUNCTION("""COMPUTED_VALUE"""),"https://www.method.me/blog/house-cleaning-checklist/")</f>
        <v>https://www.method.me/blog/house-cleaning-checklist/</v>
      </c>
      <c r="B432" s="1" t="str">
        <f>IFERROR(__xludf.DUMMYFUNCTION("""COMPUTED_VALUE"""),"Field services / Contractors")</f>
        <v>Field services / Contractors</v>
      </c>
      <c r="C432" s="1" t="str">
        <f>IFERROR(__xludf.DUMMYFUNCTION("""COMPUTED_VALUE"""),"Blog")</f>
        <v>Blog</v>
      </c>
      <c r="D432" s="1" t="str">
        <f>IFERROR(__xludf.DUMMYFUNCTION("""COMPUTED_VALUE"""),"The ultimate house cleaning checklist for 2024")</f>
        <v>The ultimate house cleaning checklist for 2024</v>
      </c>
      <c r="E432" s="12">
        <f>IFERROR(__xludf.DUMMYFUNCTION("""COMPUTED_VALUE"""),44637.59722222222)</f>
        <v>44637.59722</v>
      </c>
    </row>
    <row r="433">
      <c r="A433" s="7" t="str">
        <f>IFERROR(__xludf.DUMMYFUNCTION("""COMPUTED_VALUE"""),"https://www.method.me/blog/how-much-to-charge-for-commercial-cleaning-jobs/")</f>
        <v>https://www.method.me/blog/how-much-to-charge-for-commercial-cleaning-jobs/</v>
      </c>
      <c r="B433" s="1" t="str">
        <f>IFERROR(__xludf.DUMMYFUNCTION("""COMPUTED_VALUE"""),"Field services / Contractors")</f>
        <v>Field services / Contractors</v>
      </c>
      <c r="C433" s="1" t="str">
        <f>IFERROR(__xludf.DUMMYFUNCTION("""COMPUTED_VALUE"""),"Blog")</f>
        <v>Blog</v>
      </c>
      <c r="D433" s="1" t="str">
        <f>IFERROR(__xludf.DUMMYFUNCTION("""COMPUTED_VALUE"""),"How much should you charge for commercial cleaning jobs?")</f>
        <v>How much should you charge for commercial cleaning jobs?</v>
      </c>
      <c r="E433" s="12">
        <f>IFERROR(__xludf.DUMMYFUNCTION("""COMPUTED_VALUE"""),44637.59722222222)</f>
        <v>44637.59722</v>
      </c>
    </row>
    <row r="434">
      <c r="A434" s="7" t="str">
        <f>IFERROR(__xludf.DUMMYFUNCTION("""COMPUTED_VALUE"""),"https://www.method.me/blog/checklist-for-starting-a-cleaning-business/")</f>
        <v>https://www.method.me/blog/checklist-for-starting-a-cleaning-business/</v>
      </c>
      <c r="B434" s="1" t="str">
        <f>IFERROR(__xludf.DUMMYFUNCTION("""COMPUTED_VALUE"""),"Field services / Contractors")</f>
        <v>Field services / Contractors</v>
      </c>
      <c r="C434" s="1" t="str">
        <f>IFERROR(__xludf.DUMMYFUNCTION("""COMPUTED_VALUE"""),"Blog")</f>
        <v>Blog</v>
      </c>
      <c r="D434" s="1" t="str">
        <f>IFERROR(__xludf.DUMMYFUNCTION("""COMPUTED_VALUE"""),"Ultimate checklist for starting a cleaning business")</f>
        <v>Ultimate checklist for starting a cleaning business</v>
      </c>
      <c r="E434" s="12">
        <f>IFERROR(__xludf.DUMMYFUNCTION("""COMPUTED_VALUE"""),44637.59722222222)</f>
        <v>44637.59722</v>
      </c>
    </row>
    <row r="435">
      <c r="A435" s="7" t="str">
        <f>IFERROR(__xludf.DUMMYFUNCTION("""COMPUTED_VALUE"""),"https://www.method.me/blog/how-much-does-a-commercial-cleaning-business-make/")</f>
        <v>https://www.method.me/blog/how-much-does-a-commercial-cleaning-business-make/</v>
      </c>
      <c r="B435" s="1" t="str">
        <f>IFERROR(__xludf.DUMMYFUNCTION("""COMPUTED_VALUE"""),"Field services / Contractors")</f>
        <v>Field services / Contractors</v>
      </c>
      <c r="C435" s="1" t="str">
        <f>IFERROR(__xludf.DUMMYFUNCTION("""COMPUTED_VALUE"""),"Blog")</f>
        <v>Blog</v>
      </c>
      <c r="D435" s="1" t="str">
        <f>IFERROR(__xludf.DUMMYFUNCTION("""COMPUTED_VALUE"""),"How much does a commercial cleaning business make a year?")</f>
        <v>How much does a commercial cleaning business make a year?</v>
      </c>
      <c r="E435" s="12">
        <f>IFERROR(__xludf.DUMMYFUNCTION("""COMPUTED_VALUE"""),44637.59722222222)</f>
        <v>44637.59722</v>
      </c>
    </row>
    <row r="436">
      <c r="A436" s="7" t="str">
        <f>IFERROR(__xludf.DUMMYFUNCTION("""COMPUTED_VALUE"""),"https://www.method.me/blog/start-a-cleaning-business-with-no-money/")</f>
        <v>https://www.method.me/blog/start-a-cleaning-business-with-no-money/</v>
      </c>
      <c r="B436" s="1" t="str">
        <f>IFERROR(__xludf.DUMMYFUNCTION("""COMPUTED_VALUE"""),"General how-to")</f>
        <v>General how-to</v>
      </c>
      <c r="C436" s="1" t="str">
        <f>IFERROR(__xludf.DUMMYFUNCTION("""COMPUTED_VALUE"""),"Blog")</f>
        <v>Blog</v>
      </c>
      <c r="D436" s="1" t="str">
        <f>IFERROR(__xludf.DUMMYFUNCTION("""COMPUTED_VALUE"""),"How to start a cleaning business from scratch with no money")</f>
        <v>How to start a cleaning business from scratch with no money</v>
      </c>
      <c r="E436" s="12">
        <f>IFERROR(__xludf.DUMMYFUNCTION("""COMPUTED_VALUE"""),44637.59722222222)</f>
        <v>44637.59722</v>
      </c>
    </row>
    <row r="437">
      <c r="A437" s="7" t="str">
        <f>IFERROR(__xludf.DUMMYFUNCTION("""COMPUTED_VALUE"""),"https://www.method.me/blog/facebook-ads-for-cleaning-businesses/")</f>
        <v>https://www.method.me/blog/facebook-ads-for-cleaning-businesses/</v>
      </c>
      <c r="B437" s="1" t="str">
        <f>IFERROR(__xludf.DUMMYFUNCTION("""COMPUTED_VALUE"""),"General how-to")</f>
        <v>General how-to</v>
      </c>
      <c r="C437" s="1" t="str">
        <f>IFERROR(__xludf.DUMMYFUNCTION("""COMPUTED_VALUE"""),"Blog")</f>
        <v>Blog</v>
      </c>
      <c r="D437" s="1" t="str">
        <f>IFERROR(__xludf.DUMMYFUNCTION("""COMPUTED_VALUE"""),"How to use facebook ads for your cleaning service business")</f>
        <v>How to use facebook ads for your cleaning service business</v>
      </c>
      <c r="E437" s="12">
        <f>IFERROR(__xludf.DUMMYFUNCTION("""COMPUTED_VALUE"""),44637.59722222222)</f>
        <v>44637.59722</v>
      </c>
    </row>
    <row r="438">
      <c r="A438" s="7" t="str">
        <f>IFERROR(__xludf.DUMMYFUNCTION("""COMPUTED_VALUE"""),"https://www.method.me/blog/how-to-hire-workers-and-grow-your-cleaning-business/")</f>
        <v>https://www.method.me/blog/how-to-hire-workers-and-grow-your-cleaning-business/</v>
      </c>
      <c r="B438" s="1" t="str">
        <f>IFERROR(__xludf.DUMMYFUNCTION("""COMPUTED_VALUE"""),"General how-to")</f>
        <v>General how-to</v>
      </c>
      <c r="C438" s="1" t="str">
        <f>IFERROR(__xludf.DUMMYFUNCTION("""COMPUTED_VALUE"""),"Blog")</f>
        <v>Blog</v>
      </c>
      <c r="D438" s="1" t="str">
        <f>IFERROR(__xludf.DUMMYFUNCTION("""COMPUTED_VALUE"""),"How to hire workers and grow your cleaning business")</f>
        <v>How to hire workers and grow your cleaning business</v>
      </c>
      <c r="E438" s="12">
        <f>IFERROR(__xludf.DUMMYFUNCTION("""COMPUTED_VALUE"""),44637.59722222222)</f>
        <v>44637.59722</v>
      </c>
    </row>
    <row r="439">
      <c r="A439" s="7" t="str">
        <f>IFERROR(__xludf.DUMMYFUNCTION("""COMPUTED_VALUE"""),"https://www.method.me/blog/types-of-cleaning-services/")</f>
        <v>https://www.method.me/blog/types-of-cleaning-services/</v>
      </c>
      <c r="B439" s="1" t="str">
        <f>IFERROR(__xludf.DUMMYFUNCTION("""COMPUTED_VALUE"""),"Listicle - General")</f>
        <v>Listicle - General</v>
      </c>
      <c r="C439" s="1" t="str">
        <f>IFERROR(__xludf.DUMMYFUNCTION("""COMPUTED_VALUE"""),"Blog")</f>
        <v>Blog</v>
      </c>
      <c r="D439" s="1" t="str">
        <f>IFERROR(__xludf.DUMMYFUNCTION("""COMPUTED_VALUE"""),"10 types of cleaning services you can offer to make money")</f>
        <v>10 types of cleaning services you can offer to make money</v>
      </c>
      <c r="E439" s="12">
        <f>IFERROR(__xludf.DUMMYFUNCTION("""COMPUTED_VALUE"""),44637.59722222222)</f>
        <v>44637.59722</v>
      </c>
    </row>
    <row r="440">
      <c r="A440" s="7" t="str">
        <f>IFERROR(__xludf.DUMMYFUNCTION("""COMPUTED_VALUE"""),"https://www.method.me/blog/cleaning-business-flyers-ideas-and-examples/")</f>
        <v>https://www.method.me/blog/cleaning-business-flyers-ideas-and-examples/</v>
      </c>
      <c r="B440" s="1" t="str">
        <f>IFERROR(__xludf.DUMMYFUNCTION("""COMPUTED_VALUE"""),"Listicle - General")</f>
        <v>Listicle - General</v>
      </c>
      <c r="C440" s="1" t="str">
        <f>IFERROR(__xludf.DUMMYFUNCTION("""COMPUTED_VALUE"""),"Blog")</f>
        <v>Blog</v>
      </c>
      <c r="D440" s="1" t="str">
        <f>IFERROR(__xludf.DUMMYFUNCTION("""COMPUTED_VALUE"""),"Top 6 best cleaning business flyers ideas in 2024")</f>
        <v>Top 6 best cleaning business flyers ideas in 2024</v>
      </c>
      <c r="E440" s="12">
        <f>IFERROR(__xludf.DUMMYFUNCTION("""COMPUTED_VALUE"""),44637.59722222222)</f>
        <v>44637.59722</v>
      </c>
    </row>
    <row r="441">
      <c r="A441" s="7" t="str">
        <f>IFERROR(__xludf.DUMMYFUNCTION("""COMPUTED_VALUE"""),"https://www.method.me/blog/window-washing-for-cleaning-businesses/")</f>
        <v>https://www.method.me/blog/window-washing-for-cleaning-businesses/</v>
      </c>
      <c r="B441" s="1" t="str">
        <f>IFERROR(__xludf.DUMMYFUNCTION("""COMPUTED_VALUE"""),"Listicle - Software / Software overview")</f>
        <v>Listicle - Software / Software overview</v>
      </c>
      <c r="C441" s="1" t="str">
        <f>IFERROR(__xludf.DUMMYFUNCTION("""COMPUTED_VALUE"""),"Blog")</f>
        <v>Blog</v>
      </c>
      <c r="D441" s="1" t="str">
        <f>IFERROR(__xludf.DUMMYFUNCTION("""COMPUTED_VALUE"""),"10 window washing tools you need for your cleaning businesses")</f>
        <v>10 window washing tools you need for your cleaning businesses</v>
      </c>
      <c r="E441" s="12">
        <f>IFERROR(__xludf.DUMMYFUNCTION("""COMPUTED_VALUE"""),44637.59722222222)</f>
        <v>44637.59722</v>
      </c>
    </row>
    <row r="442">
      <c r="A442" s="7" t="str">
        <f>IFERROR(__xludf.DUMMYFUNCTION("""COMPUTED_VALUE"""),"https://www.method.me/blog/best-cleaning-scheduling-software/")</f>
        <v>https://www.method.me/blog/best-cleaning-scheduling-software/</v>
      </c>
      <c r="B442" s="1" t="str">
        <f>IFERROR(__xludf.DUMMYFUNCTION("""COMPUTED_VALUE"""),"Listicle - Software / Software overview")</f>
        <v>Listicle - Software / Software overview</v>
      </c>
      <c r="C442" s="1" t="str">
        <f>IFERROR(__xludf.DUMMYFUNCTION("""COMPUTED_VALUE"""),"Blog")</f>
        <v>Blog</v>
      </c>
      <c r="D442" s="1" t="str">
        <f>IFERROR(__xludf.DUMMYFUNCTION("""COMPUTED_VALUE"""),"Top 6 best cleaning scheduling and job management software")</f>
        <v>Top 6 best cleaning scheduling and job management software</v>
      </c>
      <c r="E442" s="12">
        <f>IFERROR(__xludf.DUMMYFUNCTION("""COMPUTED_VALUE"""),44637.59722222222)</f>
        <v>44637.59722</v>
      </c>
    </row>
    <row r="443">
      <c r="A443" s="7" t="str">
        <f>IFERROR(__xludf.DUMMYFUNCTION("""COMPUTED_VALUE"""),"https://www.method.me/blog/custom-plumbing-invoices/")</f>
        <v>https://www.method.me/blog/custom-plumbing-invoices/</v>
      </c>
      <c r="B443" s="1" t="str">
        <f>IFERROR(__xludf.DUMMYFUNCTION("""COMPUTED_VALUE"""),"Field services / Contractors")</f>
        <v>Field services / Contractors</v>
      </c>
      <c r="C443" s="1" t="str">
        <f>IFERROR(__xludf.DUMMYFUNCTION("""COMPUTED_VALUE"""),"Blog")</f>
        <v>Blog</v>
      </c>
      <c r="D443" s="1" t="str">
        <f>IFERROR(__xludf.DUMMYFUNCTION("""COMPUTED_VALUE"""),"Here’s why custom plumbing invoices drive success")</f>
        <v>Here’s why custom plumbing invoices drive success</v>
      </c>
      <c r="E443" s="12">
        <f>IFERROR(__xludf.DUMMYFUNCTION("""COMPUTED_VALUE"""),44644.57777777778)</f>
        <v>44644.57778</v>
      </c>
    </row>
    <row r="444">
      <c r="A444" s="7" t="str">
        <f>IFERROR(__xludf.DUMMYFUNCTION("""COMPUTED_VALUE"""),"https://www.method.me/resources/best-garage-door-software/")</f>
        <v>https://www.method.me/resources/best-garage-door-software/</v>
      </c>
      <c r="B444" s="1" t="str">
        <f>IFERROR(__xludf.DUMMYFUNCTION("""COMPUTED_VALUE"""),"General how-to")</f>
        <v>General how-to</v>
      </c>
      <c r="C444" s="1" t="str">
        <f>IFERROR(__xludf.DUMMYFUNCTION("""COMPUTED_VALUE"""),"Guide")</f>
        <v>Guide</v>
      </c>
      <c r="D444" s="1" t="str">
        <f>IFERROR(__xludf.DUMMYFUNCTION("""COMPUTED_VALUE"""),"How to find the best garage door software")</f>
        <v>How to find the best garage door software</v>
      </c>
      <c r="E444" s="12">
        <f>IFERROR(__xludf.DUMMYFUNCTION("""COMPUTED_VALUE"""),44648.458333333336)</f>
        <v>44648.45833</v>
      </c>
    </row>
    <row r="445">
      <c r="A445" s="7" t="str">
        <f>IFERROR(__xludf.DUMMYFUNCTION("""COMPUTED_VALUE"""),"https://www.method.me/resources/best-property-maintenance-software/")</f>
        <v>https://www.method.me/resources/best-property-maintenance-software/</v>
      </c>
      <c r="B445" s="1" t="str">
        <f>IFERROR(__xludf.DUMMYFUNCTION("""COMPUTED_VALUE"""),"General how-to")</f>
        <v>General how-to</v>
      </c>
      <c r="C445" s="1" t="str">
        <f>IFERROR(__xludf.DUMMYFUNCTION("""COMPUTED_VALUE"""),"Guide")</f>
        <v>Guide</v>
      </c>
      <c r="D445" s="1" t="str">
        <f>IFERROR(__xludf.DUMMYFUNCTION("""COMPUTED_VALUE"""),"Finding the best property maintenance software solution")</f>
        <v>Finding the best property maintenance software solution</v>
      </c>
      <c r="E445" s="12">
        <f>IFERROR(__xludf.DUMMYFUNCTION("""COMPUTED_VALUE"""),44648.458333333336)</f>
        <v>44648.45833</v>
      </c>
    </row>
    <row r="446">
      <c r="A446" s="7" t="str">
        <f>IFERROR(__xludf.DUMMYFUNCTION("""COMPUTED_VALUE"""),"https://www.method.me/resources/best-commercial-cleaning-software/")</f>
        <v>https://www.method.me/resources/best-commercial-cleaning-software/</v>
      </c>
      <c r="B446" s="1" t="str">
        <f>IFERROR(__xludf.DUMMYFUNCTION("""COMPUTED_VALUE"""),"Listicle - Software / Software overview")</f>
        <v>Listicle - Software / Software overview</v>
      </c>
      <c r="C446" s="1" t="str">
        <f>IFERROR(__xludf.DUMMYFUNCTION("""COMPUTED_VALUE"""),"Guide")</f>
        <v>Guide</v>
      </c>
      <c r="D446" s="1" t="str">
        <f>IFERROR(__xludf.DUMMYFUNCTION("""COMPUTED_VALUE"""),"Top 10 best commercial cleaning software companies")</f>
        <v>Top 10 best commercial cleaning software companies</v>
      </c>
      <c r="E446" s="12">
        <f>IFERROR(__xludf.DUMMYFUNCTION("""COMPUTED_VALUE"""),44648.458333333336)</f>
        <v>44648.45833</v>
      </c>
    </row>
    <row r="447">
      <c r="A447" s="7" t="str">
        <f>IFERROR(__xludf.DUMMYFUNCTION("""COMPUTED_VALUE"""),"https://www.method.me/resources/best-carpet-cleaning-software/")</f>
        <v>https://www.method.me/resources/best-carpet-cleaning-software/</v>
      </c>
      <c r="B447" s="1" t="str">
        <f>IFERROR(__xludf.DUMMYFUNCTION("""COMPUTED_VALUE"""),"Listicle - Software / Software overview")</f>
        <v>Listicle - Software / Software overview</v>
      </c>
      <c r="C447" s="1" t="str">
        <f>IFERROR(__xludf.DUMMYFUNCTION("""COMPUTED_VALUE"""),"Guide")</f>
        <v>Guide</v>
      </c>
      <c r="D447" s="1" t="str">
        <f>IFERROR(__xludf.DUMMYFUNCTION("""COMPUTED_VALUE"""),"Top 12 best carpet cleaning software companies")</f>
        <v>Top 12 best carpet cleaning software companies</v>
      </c>
      <c r="E447" s="12">
        <f>IFERROR(__xludf.DUMMYFUNCTION("""COMPUTED_VALUE"""),44648.458333333336)</f>
        <v>44648.45833</v>
      </c>
    </row>
    <row r="448">
      <c r="A448" s="7" t="str">
        <f>IFERROR(__xludf.DUMMYFUNCTION("""COMPUTED_VALUE"""),"https://www.method.me/resources/best-chimney-sweep-software/")</f>
        <v>https://www.method.me/resources/best-chimney-sweep-software/</v>
      </c>
      <c r="B448" s="1" t="str">
        <f>IFERROR(__xludf.DUMMYFUNCTION("""COMPUTED_VALUE"""),"Listicle - Software / Software overview")</f>
        <v>Listicle - Software / Software overview</v>
      </c>
      <c r="C448" s="1" t="str">
        <f>IFERROR(__xludf.DUMMYFUNCTION("""COMPUTED_VALUE"""),"Guide")</f>
        <v>Guide</v>
      </c>
      <c r="D448" s="1" t="str">
        <f>IFERROR(__xludf.DUMMYFUNCTION("""COMPUTED_VALUE"""),"Top 10 best chimney sweep software companies")</f>
        <v>Top 10 best chimney sweep software companies</v>
      </c>
      <c r="E448" s="12">
        <f>IFERROR(__xludf.DUMMYFUNCTION("""COMPUTED_VALUE"""),44648.458333333336)</f>
        <v>44648.45833</v>
      </c>
    </row>
    <row r="449">
      <c r="A449" s="7" t="str">
        <f>IFERROR(__xludf.DUMMYFUNCTION("""COMPUTED_VALUE"""),"https://www.method.me/resources/best-construction-management-software/")</f>
        <v>https://www.method.me/resources/best-construction-management-software/</v>
      </c>
      <c r="B449" s="1" t="str">
        <f>IFERROR(__xludf.DUMMYFUNCTION("""COMPUTED_VALUE"""),"Listicle - Software / Software overview")</f>
        <v>Listicle - Software / Software overview</v>
      </c>
      <c r="C449" s="1" t="str">
        <f>IFERROR(__xludf.DUMMYFUNCTION("""COMPUTED_VALUE"""),"Guide")</f>
        <v>Guide</v>
      </c>
      <c r="D449" s="1" t="str">
        <f>IFERROR(__xludf.DUMMYFUNCTION("""COMPUTED_VALUE"""),"Top 12 best construction management software companies")</f>
        <v>Top 12 best construction management software companies</v>
      </c>
      <c r="E449" s="12">
        <f>IFERROR(__xludf.DUMMYFUNCTION("""COMPUTED_VALUE"""),44648.458333333336)</f>
        <v>44648.45833</v>
      </c>
    </row>
    <row r="450">
      <c r="A450" s="7" t="str">
        <f>IFERROR(__xludf.DUMMYFUNCTION("""COMPUTED_VALUE"""),"https://www.method.me/resources/best-junk-removal-software/")</f>
        <v>https://www.method.me/resources/best-junk-removal-software/</v>
      </c>
      <c r="B450" s="1" t="str">
        <f>IFERROR(__xludf.DUMMYFUNCTION("""COMPUTED_VALUE"""),"Listicle - Software / Software overview")</f>
        <v>Listicle - Software / Software overview</v>
      </c>
      <c r="C450" s="1" t="str">
        <f>IFERROR(__xludf.DUMMYFUNCTION("""COMPUTED_VALUE"""),"Guide")</f>
        <v>Guide</v>
      </c>
      <c r="D450" s="1" t="str">
        <f>IFERROR(__xludf.DUMMYFUNCTION("""COMPUTED_VALUE"""),"Top 12 best junk removal business software")</f>
        <v>Top 12 best junk removal business software</v>
      </c>
      <c r="E450" s="12">
        <f>IFERROR(__xludf.DUMMYFUNCTION("""COMPUTED_VALUE"""),44648.458333333336)</f>
        <v>44648.45833</v>
      </c>
    </row>
    <row r="451">
      <c r="A451" s="7" t="str">
        <f>IFERROR(__xludf.DUMMYFUNCTION("""COMPUTED_VALUE"""),"https://www.method.me/resources/best-roofing-software/")</f>
        <v>https://www.method.me/resources/best-roofing-software/</v>
      </c>
      <c r="B451" s="1" t="str">
        <f>IFERROR(__xludf.DUMMYFUNCTION("""COMPUTED_VALUE"""),"Listicle - Software / Software overview")</f>
        <v>Listicle - Software / Software overview</v>
      </c>
      <c r="C451" s="1" t="str">
        <f>IFERROR(__xludf.DUMMYFUNCTION("""COMPUTED_VALUE"""),"Guide")</f>
        <v>Guide</v>
      </c>
      <c r="D451" s="1" t="str">
        <f>IFERROR(__xludf.DUMMYFUNCTION("""COMPUTED_VALUE"""),"Top 14 best roofing software companies")</f>
        <v>Top 14 best roofing software companies</v>
      </c>
      <c r="E451" s="12">
        <f>IFERROR(__xludf.DUMMYFUNCTION("""COMPUTED_VALUE"""),44648.458333333336)</f>
        <v>44648.45833</v>
      </c>
    </row>
    <row r="452">
      <c r="A452" s="7" t="str">
        <f>IFERROR(__xludf.DUMMYFUNCTION("""COMPUTED_VALUE"""),"https://www.method.me/resources/best-janitorial-software/")</f>
        <v>https://www.method.me/resources/best-janitorial-software/</v>
      </c>
      <c r="B452" s="1" t="str">
        <f>IFERROR(__xludf.DUMMYFUNCTION("""COMPUTED_VALUE"""),"Listicle - Software / Software overview")</f>
        <v>Listicle - Software / Software overview</v>
      </c>
      <c r="C452" s="1" t="str">
        <f>IFERROR(__xludf.DUMMYFUNCTION("""COMPUTED_VALUE"""),"Guide")</f>
        <v>Guide</v>
      </c>
      <c r="D452" s="1" t="str">
        <f>IFERROR(__xludf.DUMMYFUNCTION("""COMPUTED_VALUE"""),"Top 12 best janitorial software companies")</f>
        <v>Top 12 best janitorial software companies</v>
      </c>
      <c r="E452" s="12">
        <f>IFERROR(__xludf.DUMMYFUNCTION("""COMPUTED_VALUE"""),44648.458333333336)</f>
        <v>44648.45833</v>
      </c>
    </row>
    <row r="453">
      <c r="A453" s="7" t="str">
        <f>IFERROR(__xludf.DUMMYFUNCTION("""COMPUTED_VALUE"""),"https://www.method.me/resources/best-plumbing-software/")</f>
        <v>https://www.method.me/resources/best-plumbing-software/</v>
      </c>
      <c r="B453" s="1" t="str">
        <f>IFERROR(__xludf.DUMMYFUNCTION("""COMPUTED_VALUE"""),"Listicle - Software / Software overview")</f>
        <v>Listicle - Software / Software overview</v>
      </c>
      <c r="C453" s="1" t="str">
        <f>IFERROR(__xludf.DUMMYFUNCTION("""COMPUTED_VALUE"""),"Guide")</f>
        <v>Guide</v>
      </c>
      <c r="D453" s="1" t="str">
        <f>IFERROR(__xludf.DUMMYFUNCTION("""COMPUTED_VALUE"""),"Top 10 best plumbing software companies")</f>
        <v>Top 10 best plumbing software companies</v>
      </c>
      <c r="E453" s="12">
        <f>IFERROR(__xludf.DUMMYFUNCTION("""COMPUTED_VALUE"""),44648.458333333336)</f>
        <v>44648.45833</v>
      </c>
    </row>
    <row r="454">
      <c r="A454" s="7" t="str">
        <f>IFERROR(__xludf.DUMMYFUNCTION("""COMPUTED_VALUE"""),"https://www.method.me/resources/best-landscaping-software/")</f>
        <v>https://www.method.me/resources/best-landscaping-software/</v>
      </c>
      <c r="B454" s="1" t="str">
        <f>IFERROR(__xludf.DUMMYFUNCTION("""COMPUTED_VALUE"""),"Listicle - Software / Software overview")</f>
        <v>Listicle - Software / Software overview</v>
      </c>
      <c r="C454" s="1" t="str">
        <f>IFERROR(__xludf.DUMMYFUNCTION("""COMPUTED_VALUE"""),"Guide")</f>
        <v>Guide</v>
      </c>
      <c r="D454" s="1" t="str">
        <f>IFERROR(__xludf.DUMMYFUNCTION("""COMPUTED_VALUE"""),"Top 13 best landscaping business software companies")</f>
        <v>Top 13 best landscaping business software companies</v>
      </c>
      <c r="E454" s="12">
        <f>IFERROR(__xludf.DUMMYFUNCTION("""COMPUTED_VALUE"""),44648.458333333336)</f>
        <v>44648.45833</v>
      </c>
    </row>
    <row r="455">
      <c r="A455" s="7" t="str">
        <f>IFERROR(__xludf.DUMMYFUNCTION("""COMPUTED_VALUE"""),"https://www.method.me/resources/best-hvac-software/")</f>
        <v>https://www.method.me/resources/best-hvac-software/</v>
      </c>
      <c r="B455" s="1" t="str">
        <f>IFERROR(__xludf.DUMMYFUNCTION("""COMPUTED_VALUE"""),"Listicle - Software / Software overview")</f>
        <v>Listicle - Software / Software overview</v>
      </c>
      <c r="C455" s="1" t="str">
        <f>IFERROR(__xludf.DUMMYFUNCTION("""COMPUTED_VALUE"""),"Guide")</f>
        <v>Guide</v>
      </c>
      <c r="D455" s="1" t="str">
        <f>IFERROR(__xludf.DUMMYFUNCTION("""COMPUTED_VALUE"""),"Top 13 best HVAC service software companies")</f>
        <v>Top 13 best HVAC service software companies</v>
      </c>
      <c r="E455" s="12">
        <f>IFERROR(__xludf.DUMMYFUNCTION("""COMPUTED_VALUE"""),44648.458333333336)</f>
        <v>44648.45833</v>
      </c>
    </row>
    <row r="456">
      <c r="A456" s="7" t="str">
        <f>IFERROR(__xludf.DUMMYFUNCTION("""COMPUTED_VALUE"""),"https://www.method.me/resources/best-handyman-software/")</f>
        <v>https://www.method.me/resources/best-handyman-software/</v>
      </c>
      <c r="B456" s="1" t="str">
        <f>IFERROR(__xludf.DUMMYFUNCTION("""COMPUTED_VALUE"""),"Listicle - Software / Software overview")</f>
        <v>Listicle - Software / Software overview</v>
      </c>
      <c r="C456" s="1" t="str">
        <f>IFERROR(__xludf.DUMMYFUNCTION("""COMPUTED_VALUE"""),"Guide")</f>
        <v>Guide</v>
      </c>
      <c r="D456" s="1" t="str">
        <f>IFERROR(__xludf.DUMMYFUNCTION("""COMPUTED_VALUE"""),"Top 16 best handyman invoice software companies")</f>
        <v>Top 16 best handyman invoice software companies</v>
      </c>
      <c r="E456" s="12">
        <f>IFERROR(__xludf.DUMMYFUNCTION("""COMPUTED_VALUE"""),44648.458333333336)</f>
        <v>44648.45833</v>
      </c>
    </row>
    <row r="457">
      <c r="A457" s="7" t="str">
        <f>IFERROR(__xludf.DUMMYFUNCTION("""COMPUTED_VALUE"""),"https://www.method.me/resources/best-flooring-software/")</f>
        <v>https://www.method.me/resources/best-flooring-software/</v>
      </c>
      <c r="B457" s="1" t="str">
        <f>IFERROR(__xludf.DUMMYFUNCTION("""COMPUTED_VALUE"""),"Listicle - Software / Software overview")</f>
        <v>Listicle - Software / Software overview</v>
      </c>
      <c r="C457" s="1" t="str">
        <f>IFERROR(__xludf.DUMMYFUNCTION("""COMPUTED_VALUE"""),"Guide")</f>
        <v>Guide</v>
      </c>
      <c r="D457" s="1" t="str">
        <f>IFERROR(__xludf.DUMMYFUNCTION("""COMPUTED_VALUE"""),"12 best flooring business software")</f>
        <v>12 best flooring business software</v>
      </c>
      <c r="E457" s="12">
        <f>IFERROR(__xludf.DUMMYFUNCTION("""COMPUTED_VALUE"""),44648.458333333336)</f>
        <v>44648.45833</v>
      </c>
    </row>
    <row r="458">
      <c r="A458" s="7" t="str">
        <f>IFERROR(__xludf.DUMMYFUNCTION("""COMPUTED_VALUE"""),"https://www.method.me/resources/best-pest-control-software/")</f>
        <v>https://www.method.me/resources/best-pest-control-software/</v>
      </c>
      <c r="B458" s="1" t="str">
        <f>IFERROR(__xludf.DUMMYFUNCTION("""COMPUTED_VALUE"""),"Listicle - Software / Software overview")</f>
        <v>Listicle - Software / Software overview</v>
      </c>
      <c r="C458" s="1" t="str">
        <f>IFERROR(__xludf.DUMMYFUNCTION("""COMPUTED_VALUE"""),"Guide")</f>
        <v>Guide</v>
      </c>
      <c r="D458" s="1" t="str">
        <f>IFERROR(__xludf.DUMMYFUNCTION("""COMPUTED_VALUE"""),"Choosing the best pest control software solutions")</f>
        <v>Choosing the best pest control software solutions</v>
      </c>
      <c r="E458" s="12">
        <f>IFERROR(__xludf.DUMMYFUNCTION("""COMPUTED_VALUE"""),44648.458333333336)</f>
        <v>44648.45833</v>
      </c>
    </row>
    <row r="459">
      <c r="A459" s="7" t="str">
        <f>IFERROR(__xludf.DUMMYFUNCTION("""COMPUTED_VALUE"""),"https://www.method.me/resources/best-installation-scheduling-software/")</f>
        <v>https://www.method.me/resources/best-installation-scheduling-software/</v>
      </c>
      <c r="B459" s="1" t="str">
        <f>IFERROR(__xludf.DUMMYFUNCTION("""COMPUTED_VALUE"""),"Listicle - Software / Software overview")</f>
        <v>Listicle - Software / Software overview</v>
      </c>
      <c r="C459" s="1" t="str">
        <f>IFERROR(__xludf.DUMMYFUNCTION("""COMPUTED_VALUE"""),"Guide")</f>
        <v>Guide</v>
      </c>
      <c r="D459" s="1" t="str">
        <f>IFERROR(__xludf.DUMMYFUNCTION("""COMPUTED_VALUE"""),"Top 11 best installation scheduling software for businesses and contractors")</f>
        <v>Top 11 best installation scheduling software for businesses and contractors</v>
      </c>
      <c r="E459" s="12">
        <f>IFERROR(__xludf.DUMMYFUNCTION("""COMPUTED_VALUE"""),44648.458333333336)</f>
        <v>44648.45833</v>
      </c>
    </row>
    <row r="460">
      <c r="A460" s="7" t="str">
        <f>IFERROR(__xludf.DUMMYFUNCTION("""COMPUTED_VALUE"""),"https://www.method.me/resources/best-fence-software/")</f>
        <v>https://www.method.me/resources/best-fence-software/</v>
      </c>
      <c r="B460" s="1" t="str">
        <f>IFERROR(__xludf.DUMMYFUNCTION("""COMPUTED_VALUE"""),"Listicle - Software / Software overview")</f>
        <v>Listicle - Software / Software overview</v>
      </c>
      <c r="C460" s="1" t="str">
        <f>IFERROR(__xludf.DUMMYFUNCTION("""COMPUTED_VALUE"""),"Guide")</f>
        <v>Guide</v>
      </c>
      <c r="D460" s="1" t="str">
        <f>IFERROR(__xludf.DUMMYFUNCTION("""COMPUTED_VALUE"""),"Best software for fence businesses: Top 9 scheduling and estimator software")</f>
        <v>Best software for fence businesses: Top 9 scheduling and estimator software</v>
      </c>
      <c r="E460" s="12">
        <f>IFERROR(__xludf.DUMMYFUNCTION("""COMPUTED_VALUE"""),44648.458333333336)</f>
        <v>44648.45833</v>
      </c>
    </row>
    <row r="461">
      <c r="A461" s="7" t="str">
        <f>IFERROR(__xludf.DUMMYFUNCTION("""COMPUTED_VALUE"""),"https://www.method.me/resources/best-window-cleaning-software/")</f>
        <v>https://www.method.me/resources/best-window-cleaning-software/</v>
      </c>
      <c r="B461" s="1" t="str">
        <f>IFERROR(__xludf.DUMMYFUNCTION("""COMPUTED_VALUE"""),"Listicle - Software / Software overview")</f>
        <v>Listicle - Software / Software overview</v>
      </c>
      <c r="C461" s="1" t="str">
        <f>IFERROR(__xludf.DUMMYFUNCTION("""COMPUTED_VALUE"""),"Guide")</f>
        <v>Guide</v>
      </c>
      <c r="D461" s="1" t="str">
        <f>IFERROR(__xludf.DUMMYFUNCTION("""COMPUTED_VALUE"""),"What is the best window cleaning software on the market?")</f>
        <v>What is the best window cleaning software on the market?</v>
      </c>
      <c r="E461" s="12">
        <f>IFERROR(__xludf.DUMMYFUNCTION("""COMPUTED_VALUE"""),44648.458333333336)</f>
        <v>44648.45833</v>
      </c>
    </row>
    <row r="462">
      <c r="A462" s="7" t="str">
        <f>IFERROR(__xludf.DUMMYFUNCTION("""COMPUTED_VALUE"""),"https://www.method.me/resources/best-pool-service-software/")</f>
        <v>https://www.method.me/resources/best-pool-service-software/</v>
      </c>
      <c r="B462" s="1" t="str">
        <f>IFERROR(__xludf.DUMMYFUNCTION("""COMPUTED_VALUE"""),"Listicle - Software / Software overview")</f>
        <v>Listicle - Software / Software overview</v>
      </c>
      <c r="C462" s="1" t="str">
        <f>IFERROR(__xludf.DUMMYFUNCTION("""COMPUTED_VALUE"""),"Guide")</f>
        <v>Guide</v>
      </c>
      <c r="D462" s="1" t="str">
        <f>IFERROR(__xludf.DUMMYFUNCTION("""COMPUTED_VALUE"""),"The best pool service software to level up your business")</f>
        <v>The best pool service software to level up your business</v>
      </c>
      <c r="E462" s="12">
        <f>IFERROR(__xludf.DUMMYFUNCTION("""COMPUTED_VALUE"""),44648.458333333336)</f>
        <v>44648.45833</v>
      </c>
    </row>
    <row r="463">
      <c r="A463" s="7" t="str">
        <f>IFERROR(__xludf.DUMMYFUNCTION("""COMPUTED_VALUE"""),"https://www.method.me/resources/best-general-contractor-software/")</f>
        <v>https://www.method.me/resources/best-general-contractor-software/</v>
      </c>
      <c r="B463" s="1" t="str">
        <f>IFERROR(__xludf.DUMMYFUNCTION("""COMPUTED_VALUE"""),"Listicle - Software / Software overview")</f>
        <v>Listicle - Software / Software overview</v>
      </c>
      <c r="C463" s="1" t="str">
        <f>IFERROR(__xludf.DUMMYFUNCTION("""COMPUTED_VALUE"""),"Guide")</f>
        <v>Guide</v>
      </c>
      <c r="D463" s="1" t="str">
        <f>IFERROR(__xludf.DUMMYFUNCTION("""COMPUTED_VALUE"""),"Top 10 best general contractor software companies")</f>
        <v>Top 10 best general contractor software companies</v>
      </c>
      <c r="E463" s="12">
        <f>IFERROR(__xludf.DUMMYFUNCTION("""COMPUTED_VALUE"""),44648.458333333336)</f>
        <v>44648.45833</v>
      </c>
    </row>
    <row r="464">
      <c r="A464" s="7" t="str">
        <f>IFERROR(__xludf.DUMMYFUNCTION("""COMPUTED_VALUE"""),"https://www.method.me/resources/best-locksmith-software/")</f>
        <v>https://www.method.me/resources/best-locksmith-software/</v>
      </c>
      <c r="B464" s="1" t="str">
        <f>IFERROR(__xludf.DUMMYFUNCTION("""COMPUTED_VALUE"""),"Listicle - Software / Software overview")</f>
        <v>Listicle - Software / Software overview</v>
      </c>
      <c r="C464" s="1" t="str">
        <f>IFERROR(__xludf.DUMMYFUNCTION("""COMPUTED_VALUE"""),"Guide")</f>
        <v>Guide</v>
      </c>
      <c r="D464" s="1" t="str">
        <f>IFERROR(__xludf.DUMMYFUNCTION("""COMPUTED_VALUE"""),"Top 13 best locksmith software companies")</f>
        <v>Top 13 best locksmith software companies</v>
      </c>
      <c r="E464" s="12">
        <f>IFERROR(__xludf.DUMMYFUNCTION("""COMPUTED_VALUE"""),44648.458333333336)</f>
        <v>44648.45833</v>
      </c>
    </row>
    <row r="465">
      <c r="A465" s="7" t="str">
        <f>IFERROR(__xludf.DUMMYFUNCTION("""COMPUTED_VALUE"""),"https://www.method.me/resources/best-software-for-painting-contractors/")</f>
        <v>https://www.method.me/resources/best-software-for-painting-contractors/</v>
      </c>
      <c r="B465" s="1" t="str">
        <f>IFERROR(__xludf.DUMMYFUNCTION("""COMPUTED_VALUE"""),"Listicle - Software / Software overview")</f>
        <v>Listicle - Software / Software overview</v>
      </c>
      <c r="C465" s="1" t="str">
        <f>IFERROR(__xludf.DUMMYFUNCTION("""COMPUTED_VALUE"""),"Guide")</f>
        <v>Guide</v>
      </c>
      <c r="D465" s="1" t="str">
        <f>IFERROR(__xludf.DUMMYFUNCTION("""COMPUTED_VALUE"""),"Top 11 best software for painting contractors")</f>
        <v>Top 11 best software for painting contractors</v>
      </c>
      <c r="E465" s="12">
        <f>IFERROR(__xludf.DUMMYFUNCTION("""COMPUTED_VALUE"""),44648.458333333336)</f>
        <v>44648.45833</v>
      </c>
    </row>
    <row r="466">
      <c r="A466" s="7" t="str">
        <f>IFERROR(__xludf.DUMMYFUNCTION("""COMPUTED_VALUE"""),"https://www.method.me/resources/best-residential-cleaning-software/")</f>
        <v>https://www.method.me/resources/best-residential-cleaning-software/</v>
      </c>
      <c r="B466" s="1" t="str">
        <f>IFERROR(__xludf.DUMMYFUNCTION("""COMPUTED_VALUE"""),"Listicle - Software / Software overview")</f>
        <v>Listicle - Software / Software overview</v>
      </c>
      <c r="C466" s="1" t="str">
        <f>IFERROR(__xludf.DUMMYFUNCTION("""COMPUTED_VALUE"""),"Guide")</f>
        <v>Guide</v>
      </c>
      <c r="D466" s="1" t="str">
        <f>IFERROR(__xludf.DUMMYFUNCTION("""COMPUTED_VALUE"""),"Top 10 best residential cleaning software companies")</f>
        <v>Top 10 best residential cleaning software companies</v>
      </c>
      <c r="E466" s="12">
        <f>IFERROR(__xludf.DUMMYFUNCTION("""COMPUTED_VALUE"""),44648.458333333336)</f>
        <v>44648.45833</v>
      </c>
    </row>
    <row r="467">
      <c r="A467" s="7" t="str">
        <f>IFERROR(__xludf.DUMMYFUNCTION("""COMPUTED_VALUE"""),"https://www.method.me/resources/best-pressure-washing-software/")</f>
        <v>https://www.method.me/resources/best-pressure-washing-software/</v>
      </c>
      <c r="B467" s="1" t="str">
        <f>IFERROR(__xludf.DUMMYFUNCTION("""COMPUTED_VALUE"""),"Listicle - Software / Software overview")</f>
        <v>Listicle - Software / Software overview</v>
      </c>
      <c r="C467" s="1" t="str">
        <f>IFERROR(__xludf.DUMMYFUNCTION("""COMPUTED_VALUE"""),"Guide")</f>
        <v>Guide</v>
      </c>
      <c r="D467" s="1" t="str">
        <f>IFERROR(__xludf.DUMMYFUNCTION("""COMPUTED_VALUE"""),"Top 13 best pressure washing business software")</f>
        <v>Top 13 best pressure washing business software</v>
      </c>
      <c r="E467" s="12">
        <f>IFERROR(__xludf.DUMMYFUNCTION("""COMPUTED_VALUE"""),44648.458333333336)</f>
        <v>44648.45833</v>
      </c>
    </row>
    <row r="468">
      <c r="A468" s="7" t="str">
        <f>IFERROR(__xludf.DUMMYFUNCTION("""COMPUTED_VALUE"""),"https://www.method.me/resources/best-mechanical-contractor-software/")</f>
        <v>https://www.method.me/resources/best-mechanical-contractor-software/</v>
      </c>
      <c r="B468" s="1" t="str">
        <f>IFERROR(__xludf.DUMMYFUNCTION("""COMPUTED_VALUE"""),"Listicle - Software / Software overview")</f>
        <v>Listicle - Software / Software overview</v>
      </c>
      <c r="C468" s="1" t="str">
        <f>IFERROR(__xludf.DUMMYFUNCTION("""COMPUTED_VALUE"""),"Guide")</f>
        <v>Guide</v>
      </c>
      <c r="D468" s="1" t="str">
        <f>IFERROR(__xludf.DUMMYFUNCTION("""COMPUTED_VALUE"""),"Top 9 best mechanical contractor software companies")</f>
        <v>Top 9 best mechanical contractor software companies</v>
      </c>
      <c r="E468" s="12">
        <f>IFERROR(__xludf.DUMMYFUNCTION("""COMPUTED_VALUE"""),44648.458333333336)</f>
        <v>44648.45833</v>
      </c>
    </row>
    <row r="469">
      <c r="A469" s="7" t="str">
        <f>IFERROR(__xludf.DUMMYFUNCTION("""COMPUTED_VALUE"""),"https://www.method.me/resources/best-appliance-repair-software/")</f>
        <v>https://www.method.me/resources/best-appliance-repair-software/</v>
      </c>
      <c r="B469" s="1" t="str">
        <f>IFERROR(__xludf.DUMMYFUNCTION("""COMPUTED_VALUE"""),"Listicle - Software / Software overview")</f>
        <v>Listicle - Software / Software overview</v>
      </c>
      <c r="C469" s="1" t="str">
        <f>IFERROR(__xludf.DUMMYFUNCTION("""COMPUTED_VALUE"""),"Guide")</f>
        <v>Guide</v>
      </c>
      <c r="D469" s="1" t="str">
        <f>IFERROR(__xludf.DUMMYFUNCTION("""COMPUTED_VALUE"""),"Top 11 best appliance repair software")</f>
        <v>Top 11 best appliance repair software</v>
      </c>
      <c r="E469" s="12">
        <f>IFERROR(__xludf.DUMMYFUNCTION("""COMPUTED_VALUE"""),44648.458333333336)</f>
        <v>44648.45833</v>
      </c>
    </row>
    <row r="470">
      <c r="A470" s="7" t="str">
        <f>IFERROR(__xludf.DUMMYFUNCTION("""COMPUTED_VALUE"""),"https://www.method.me/resources/best-restoration-management-software/")</f>
        <v>https://www.method.me/resources/best-restoration-management-software/</v>
      </c>
      <c r="B470" s="1" t="str">
        <f>IFERROR(__xludf.DUMMYFUNCTION("""COMPUTED_VALUE"""),"Listicle - Software / Software overview")</f>
        <v>Listicle - Software / Software overview</v>
      </c>
      <c r="C470" s="1" t="str">
        <f>IFERROR(__xludf.DUMMYFUNCTION("""COMPUTED_VALUE"""),"Guide")</f>
        <v>Guide</v>
      </c>
      <c r="D470" s="1" t="str">
        <f>IFERROR(__xludf.DUMMYFUNCTION("""COMPUTED_VALUE"""),"Top 10 best restoration management software companies")</f>
        <v>Top 10 best restoration management software companies</v>
      </c>
      <c r="E470" s="12">
        <f>IFERROR(__xludf.DUMMYFUNCTION("""COMPUTED_VALUE"""),44648.458333333336)</f>
        <v>44648.45833</v>
      </c>
    </row>
    <row r="471">
      <c r="A471" s="7" t="str">
        <f>IFERROR(__xludf.DUMMYFUNCTION("""COMPUTED_VALUE"""),"https://www.method.me/resources/best-tree-care-software/")</f>
        <v>https://www.method.me/resources/best-tree-care-software/</v>
      </c>
      <c r="B471" s="1" t="str">
        <f>IFERROR(__xludf.DUMMYFUNCTION("""COMPUTED_VALUE"""),"Listicle - Software / Software overview")</f>
        <v>Listicle - Software / Software overview</v>
      </c>
      <c r="C471" s="1" t="str">
        <f>IFERROR(__xludf.DUMMYFUNCTION("""COMPUTED_VALUE"""),"Guide")</f>
        <v>Guide</v>
      </c>
      <c r="D471" s="1" t="str">
        <f>IFERROR(__xludf.DUMMYFUNCTION("""COMPUTED_VALUE"""),"Top 13 best tree care service software")</f>
        <v>Top 13 best tree care service software</v>
      </c>
      <c r="E471" s="12">
        <f>IFERROR(__xludf.DUMMYFUNCTION("""COMPUTED_VALUE"""),44648.458333333336)</f>
        <v>44648.45833</v>
      </c>
    </row>
    <row r="472">
      <c r="A472" s="7" t="str">
        <f>IFERROR(__xludf.DUMMYFUNCTION("""COMPUTED_VALUE"""),"https://www.method.me/resources/best-elevator-software-service/")</f>
        <v>https://www.method.me/resources/best-elevator-software-service/</v>
      </c>
      <c r="B472" s="1" t="str">
        <f>IFERROR(__xludf.DUMMYFUNCTION("""COMPUTED_VALUE"""),"Listicle - Software / Software overview")</f>
        <v>Listicle - Software / Software overview</v>
      </c>
      <c r="C472" s="1" t="str">
        <f>IFERROR(__xludf.DUMMYFUNCTION("""COMPUTED_VALUE"""),"Guide")</f>
        <v>Guide</v>
      </c>
      <c r="D472" s="1" t="str">
        <f>IFERROR(__xludf.DUMMYFUNCTION("""COMPUTED_VALUE"""),"10 best elevator service software providers in 2024")</f>
        <v>10 best elevator service software providers in 2024</v>
      </c>
      <c r="E472" s="12">
        <f>IFERROR(__xludf.DUMMYFUNCTION("""COMPUTED_VALUE"""),44648.458333333336)</f>
        <v>44648.45833</v>
      </c>
    </row>
    <row r="473">
      <c r="A473" s="7" t="str">
        <f>IFERROR(__xludf.DUMMYFUNCTION("""COMPUTED_VALUE"""),"https://www.method.me/resources/best-lawn-care-software/")</f>
        <v>https://www.method.me/resources/best-lawn-care-software/</v>
      </c>
      <c r="B473" s="1" t="str">
        <f>IFERROR(__xludf.DUMMYFUNCTION("""COMPUTED_VALUE"""),"Listicle - Software / Software overview")</f>
        <v>Listicle - Software / Software overview</v>
      </c>
      <c r="C473" s="1" t="str">
        <f>IFERROR(__xludf.DUMMYFUNCTION("""COMPUTED_VALUE"""),"Guide")</f>
        <v>Guide</v>
      </c>
      <c r="D473" s="1" t="str">
        <f>IFERROR(__xludf.DUMMYFUNCTION("""COMPUTED_VALUE"""),"Top 10 best lawn care software companies")</f>
        <v>Top 10 best lawn care software companies</v>
      </c>
      <c r="E473" s="12">
        <f>IFERROR(__xludf.DUMMYFUNCTION("""COMPUTED_VALUE"""),44648.458333333336)</f>
        <v>44648.45833</v>
      </c>
    </row>
    <row r="474">
      <c r="A474" s="7" t="str">
        <f>IFERROR(__xludf.DUMMYFUNCTION("""COMPUTED_VALUE"""),"https://www.method.me/videos/qbo-invoice-automation/")</f>
        <v>https://www.method.me/videos/qbo-invoice-automation/</v>
      </c>
      <c r="B474" s="1" t="str">
        <f>IFERROR(__xludf.DUMMYFUNCTION("""COMPUTED_VALUE"""),"Video page")</f>
        <v>Video page</v>
      </c>
      <c r="C474" s="1" t="str">
        <f>IFERROR(__xludf.DUMMYFUNCTION("""COMPUTED_VALUE"""),"Other page")</f>
        <v>Other page</v>
      </c>
      <c r="D474" s="1" t="str">
        <f>IFERROR(__xludf.DUMMYFUNCTION("""COMPUTED_VALUE"""),"Increase your cash flow with QuickBooks Online invoice automation")</f>
        <v>Increase your cash flow with QuickBooks Online invoice automation</v>
      </c>
      <c r="E474" s="12">
        <f>IFERROR(__xludf.DUMMYFUNCTION("""COMPUTED_VALUE"""),44649.66417824074)</f>
        <v>44649.66418</v>
      </c>
    </row>
    <row r="475">
      <c r="A475" s="7" t="str">
        <f>IFERROR(__xludf.DUMMYFUNCTION("""COMPUTED_VALUE"""),"https://www.method.me/blog/plumbing-dispatch-software/")</f>
        <v>https://www.method.me/blog/plumbing-dispatch-software/</v>
      </c>
      <c r="B475" s="1" t="str">
        <f>IFERROR(__xludf.DUMMYFUNCTION("""COMPUTED_VALUE"""),"Listicle - General")</f>
        <v>Listicle - General</v>
      </c>
      <c r="C475" s="1" t="str">
        <f>IFERROR(__xludf.DUMMYFUNCTION("""COMPUTED_VALUE"""),"Blog")</f>
        <v>Blog</v>
      </c>
      <c r="D475" s="1" t="str">
        <f>IFERROR(__xludf.DUMMYFUNCTION("""COMPUTED_VALUE"""),"The top 5 reasons you need plumbing dispatch software")</f>
        <v>The top 5 reasons you need plumbing dispatch software</v>
      </c>
      <c r="E475" s="12">
        <f>IFERROR(__xludf.DUMMYFUNCTION("""COMPUTED_VALUE"""),44651.59554398148)</f>
        <v>44651.59554</v>
      </c>
    </row>
    <row r="476">
      <c r="A476" s="7" t="str">
        <f>IFERROR(__xludf.DUMMYFUNCTION("""COMPUTED_VALUE"""),"https://www.method.me/customer-success/mist-and-more/")</f>
        <v>https://www.method.me/customer-success/mist-and-more/</v>
      </c>
      <c r="B476" s="1" t="str">
        <f>IFERROR(__xludf.DUMMYFUNCTION("""COMPUTED_VALUE"""),"Method - Customer / Partner Success")</f>
        <v>Method - Customer / Partner Success</v>
      </c>
      <c r="C476" s="1" t="str">
        <f>IFERROR(__xludf.DUMMYFUNCTION("""COMPUTED_VALUE"""),"Other page")</f>
        <v>Other page</v>
      </c>
      <c r="D476" s="1" t="str">
        <f>IFERROR(__xludf.DUMMYFUNCTION("""COMPUTED_VALUE"""),"Mist &amp; More")</f>
        <v>Mist &amp; More</v>
      </c>
      <c r="E476" s="12">
        <f>IFERROR(__xludf.DUMMYFUNCTION("""COMPUTED_VALUE"""),44655.41258101852)</f>
        <v>44655.41258</v>
      </c>
    </row>
    <row r="477">
      <c r="A477" s="7" t="str">
        <f>IFERROR(__xludf.DUMMYFUNCTION("""COMPUTED_VALUE"""),"https://www.method.me/crm-quickbooks/pricing/field-service/")</f>
        <v>https://www.method.me/crm-quickbooks/pricing/field-service/</v>
      </c>
      <c r="B477" s="1" t="str">
        <f>IFERROR(__xludf.DUMMYFUNCTION("""COMPUTED_VALUE"""),"/crm-quickbooks/")</f>
        <v>/crm-quickbooks/</v>
      </c>
      <c r="C477" s="1" t="str">
        <f>IFERROR(__xludf.DUMMYFUNCTION("""COMPUTED_VALUE"""),"Other page")</f>
        <v>Other page</v>
      </c>
      <c r="D477" s="1" t="str">
        <f>IFERROR(__xludf.DUMMYFUNCTION("""COMPUTED_VALUE"""),"Field service pricing full feature list")</f>
        <v>Field service pricing full feature list</v>
      </c>
      <c r="E477" s="12">
        <f>IFERROR(__xludf.DUMMYFUNCTION("""COMPUTED_VALUE"""),44655.68141203704)</f>
        <v>44655.68141</v>
      </c>
    </row>
    <row r="478">
      <c r="A478" s="7" t="str">
        <f>IFERROR(__xludf.DUMMYFUNCTION("""COMPUTED_VALUE"""),"https://www.method.me/blog/plumbing-estimating-software/")</f>
        <v>https://www.method.me/blog/plumbing-estimating-software/</v>
      </c>
      <c r="B478" s="1" t="str">
        <f>IFERROR(__xludf.DUMMYFUNCTION("""COMPUTED_VALUE"""),"Field services / Contractors")</f>
        <v>Field services / Contractors</v>
      </c>
      <c r="C478" s="1" t="str">
        <f>IFERROR(__xludf.DUMMYFUNCTION("""COMPUTED_VALUE"""),"Blog")</f>
        <v>Blog</v>
      </c>
      <c r="D478" s="1" t="str">
        <f>IFERROR(__xludf.DUMMYFUNCTION("""COMPUTED_VALUE"""),"Why not using plumbing estimating software is your #1 mistake")</f>
        <v>Why not using plumbing estimating software is your #1 mistake</v>
      </c>
      <c r="E478" s="12">
        <f>IFERROR(__xludf.DUMMYFUNCTION("""COMPUTED_VALUE"""),44659.416666666664)</f>
        <v>44659.41667</v>
      </c>
    </row>
    <row r="479">
      <c r="A479" s="7" t="str">
        <f>IFERROR(__xludf.DUMMYFUNCTION("""COMPUTED_VALUE"""),"https://www.method.me/blog/plumbing-company-scheduling-software/")</f>
        <v>https://www.method.me/blog/plumbing-company-scheduling-software/</v>
      </c>
      <c r="B479" s="1" t="str">
        <f>IFERROR(__xludf.DUMMYFUNCTION("""COMPUTED_VALUE"""),"Listicle - Software / Software overview")</f>
        <v>Listicle - Software / Software overview</v>
      </c>
      <c r="C479" s="1" t="str">
        <f>IFERROR(__xludf.DUMMYFUNCTION("""COMPUTED_VALUE"""),"Blog")</f>
        <v>Blog</v>
      </c>
      <c r="D479" s="1" t="str">
        <f>IFERROR(__xludf.DUMMYFUNCTION("""COMPUTED_VALUE"""),"The best plumbing company scheduling software for success￼")</f>
        <v>The best plumbing company scheduling software for success￼</v>
      </c>
      <c r="E479" s="12">
        <f>IFERROR(__xludf.DUMMYFUNCTION("""COMPUTED_VALUE"""),44663.635717592595)</f>
        <v>44663.63572</v>
      </c>
    </row>
    <row r="480">
      <c r="A480" s="7" t="str">
        <f>IFERROR(__xludf.DUMMYFUNCTION("""COMPUTED_VALUE"""),"https://www.method.me/features/xero/")</f>
        <v>https://www.method.me/features/xero/</v>
      </c>
      <c r="B480" s="1" t="str">
        <f>IFERROR(__xludf.DUMMYFUNCTION("""COMPUTED_VALUE"""),"Features page")</f>
        <v>Features page</v>
      </c>
      <c r="C480" s="1" t="str">
        <f>IFERROR(__xludf.DUMMYFUNCTION("""COMPUTED_VALUE"""),"Other page")</f>
        <v>Other page</v>
      </c>
      <c r="D480" s="1" t="str">
        <f>IFERROR(__xludf.DUMMYFUNCTION("""COMPUTED_VALUE"""),"Xero")</f>
        <v>Xero</v>
      </c>
      <c r="E480" s="12">
        <f>IFERROR(__xludf.DUMMYFUNCTION("""COMPUTED_VALUE"""),44665.47493055555)</f>
        <v>44665.47493</v>
      </c>
    </row>
    <row r="481">
      <c r="A481" s="7" t="str">
        <f>IFERROR(__xludf.DUMMYFUNCTION("""COMPUTED_VALUE"""),"https://www.method.me/xero-crm/")</f>
        <v>https://www.method.me/xero-crm/</v>
      </c>
      <c r="B481" s="1" t="str">
        <f>IFERROR(__xludf.DUMMYFUNCTION("""COMPUTED_VALUE"""),"/xero-crm/")</f>
        <v>/xero-crm/</v>
      </c>
      <c r="C481" s="1" t="str">
        <f>IFERROR(__xludf.DUMMYFUNCTION("""COMPUTED_VALUE"""),"Other page")</f>
        <v>Other page</v>
      </c>
      <c r="D481" s="1" t="str">
        <f>IFERROR(__xludf.DUMMYFUNCTION("""COMPUTED_VALUE"""),"The Best Xero CRM for Small Business – Method")</f>
        <v>The Best Xero CRM for Small Business – Method</v>
      </c>
      <c r="E481" s="12">
        <f>IFERROR(__xludf.DUMMYFUNCTION("""COMPUTED_VALUE"""),44669.458333333336)</f>
        <v>44669.45833</v>
      </c>
    </row>
    <row r="482">
      <c r="A482" s="7" t="str">
        <f>IFERROR(__xludf.DUMMYFUNCTION("""COMPUTED_VALUE"""),"https://www.method.me/xero-crm/custom-crm-software/")</f>
        <v>https://www.method.me/xero-crm/custom-crm-software/</v>
      </c>
      <c r="B482" s="1" t="str">
        <f>IFERROR(__xludf.DUMMYFUNCTION("""COMPUTED_VALUE"""),"/xero-crm/")</f>
        <v>/xero-crm/</v>
      </c>
      <c r="C482" s="1" t="str">
        <f>IFERROR(__xludf.DUMMYFUNCTION("""COMPUTED_VALUE"""),"Other page")</f>
        <v>Other page</v>
      </c>
      <c r="D482" s="1" t="str">
        <f>IFERROR(__xludf.DUMMYFUNCTION("""COMPUTED_VALUE"""),"Custom CRM Software for Small Business – Method")</f>
        <v>Custom CRM Software for Small Business – Method</v>
      </c>
      <c r="E482" s="12">
        <f>IFERROR(__xludf.DUMMYFUNCTION("""COMPUTED_VALUE"""),44669.458333333336)</f>
        <v>44669.45833</v>
      </c>
    </row>
    <row r="483">
      <c r="A483" s="7" t="str">
        <f>IFERROR(__xludf.DUMMYFUNCTION("""COMPUTED_VALUE"""),"https://www.method.me/xero-crm/workflow-automation/")</f>
        <v>https://www.method.me/xero-crm/workflow-automation/</v>
      </c>
      <c r="B483" s="1" t="str">
        <f>IFERROR(__xludf.DUMMYFUNCTION("""COMPUTED_VALUE"""),"/xero-crm/")</f>
        <v>/xero-crm/</v>
      </c>
      <c r="C483" s="1" t="str">
        <f>IFERROR(__xludf.DUMMYFUNCTION("""COMPUTED_VALUE"""),"Other page")</f>
        <v>Other page</v>
      </c>
      <c r="D483" s="1" t="str">
        <f>IFERROR(__xludf.DUMMYFUNCTION("""COMPUTED_VALUE"""),"The #1 CRM automation tool for Xero users")</f>
        <v>The #1 CRM automation tool for Xero users</v>
      </c>
      <c r="E483" s="12">
        <f>IFERROR(__xludf.DUMMYFUNCTION("""COMPUTED_VALUE"""),44669.458333333336)</f>
        <v>44669.45833</v>
      </c>
    </row>
    <row r="484">
      <c r="A484" s="7" t="str">
        <f>IFERROR(__xludf.DUMMYFUNCTION("""COMPUTED_VALUE"""),"https://www.method.me/xero-crm/customer-management-software/")</f>
        <v>https://www.method.me/xero-crm/customer-management-software/</v>
      </c>
      <c r="B484" s="1" t="str">
        <f>IFERROR(__xludf.DUMMYFUNCTION("""COMPUTED_VALUE"""),"/xero-crm/")</f>
        <v>/xero-crm/</v>
      </c>
      <c r="C484" s="1" t="str">
        <f>IFERROR(__xludf.DUMMYFUNCTION("""COMPUTED_VALUE"""),"Other page")</f>
        <v>Other page</v>
      </c>
      <c r="D484" s="1" t="str">
        <f>IFERROR(__xludf.DUMMYFUNCTION("""COMPUTED_VALUE"""),"Customer Management Software for Xero")</f>
        <v>Customer Management Software for Xero</v>
      </c>
      <c r="E484" s="12">
        <f>IFERROR(__xludf.DUMMYFUNCTION("""COMPUTED_VALUE"""),44669.458333333336)</f>
        <v>44669.45833</v>
      </c>
    </row>
    <row r="485">
      <c r="A485" s="7" t="str">
        <f>IFERROR(__xludf.DUMMYFUNCTION("""COMPUTED_VALUE"""),"https://www.method.me/xero-crm/lead-management-software/")</f>
        <v>https://www.method.me/xero-crm/lead-management-software/</v>
      </c>
      <c r="B485" s="1" t="str">
        <f>IFERROR(__xludf.DUMMYFUNCTION("""COMPUTED_VALUE"""),"/xero-crm/")</f>
        <v>/xero-crm/</v>
      </c>
      <c r="C485" s="1" t="str">
        <f>IFERROR(__xludf.DUMMYFUNCTION("""COMPUTED_VALUE"""),"Other page")</f>
        <v>Other page</v>
      </c>
      <c r="D485" s="1" t="str">
        <f>IFERROR(__xludf.DUMMYFUNCTION("""COMPUTED_VALUE"""),"Lead Management Software for Xero")</f>
        <v>Lead Management Software for Xero</v>
      </c>
      <c r="E485" s="12">
        <f>IFERROR(__xludf.DUMMYFUNCTION("""COMPUTED_VALUE"""),44669.458333333336)</f>
        <v>44669.45833</v>
      </c>
    </row>
    <row r="486">
      <c r="A486" s="7" t="str">
        <f>IFERROR(__xludf.DUMMYFUNCTION("""COMPUTED_VALUE"""),"https://www.method.me/xero-crm/invoice-software/")</f>
        <v>https://www.method.me/xero-crm/invoice-software/</v>
      </c>
      <c r="B486" s="1" t="str">
        <f>IFERROR(__xludf.DUMMYFUNCTION("""COMPUTED_VALUE"""),"/xero-crm/")</f>
        <v>/xero-crm/</v>
      </c>
      <c r="C486" s="1" t="str">
        <f>IFERROR(__xludf.DUMMYFUNCTION("""COMPUTED_VALUE"""),"Other page")</f>
        <v>Other page</v>
      </c>
      <c r="D486" s="1" t="str">
        <f>IFERROR(__xludf.DUMMYFUNCTION("""COMPUTED_VALUE"""),"Flexible invoice software for Xero users")</f>
        <v>Flexible invoice software for Xero users</v>
      </c>
      <c r="E486" s="12">
        <f>IFERROR(__xludf.DUMMYFUNCTION("""COMPUTED_VALUE"""),44669.458333333336)</f>
        <v>44669.45833</v>
      </c>
    </row>
    <row r="487">
      <c r="A487" s="7" t="str">
        <f>IFERROR(__xludf.DUMMYFUNCTION("""COMPUTED_VALUE"""),"https://www.method.me/features/xero/api/")</f>
        <v>https://www.method.me/features/xero/api/</v>
      </c>
      <c r="B487" s="1" t="str">
        <f>IFERROR(__xludf.DUMMYFUNCTION("""COMPUTED_VALUE"""),"Features page")</f>
        <v>Features page</v>
      </c>
      <c r="C487" s="1" t="str">
        <f>IFERROR(__xludf.DUMMYFUNCTION("""COMPUTED_VALUE"""),"Other page")</f>
        <v>Other page</v>
      </c>
      <c r="D487" s="1" t="str">
        <f>IFERROR(__xludf.DUMMYFUNCTION("""COMPUTED_VALUE"""),"Xero CRM API for Developers")</f>
        <v>Xero CRM API for Developers</v>
      </c>
      <c r="E487" s="12">
        <f>IFERROR(__xludf.DUMMYFUNCTION("""COMPUTED_VALUE"""),44669.458333333336)</f>
        <v>44669.45833</v>
      </c>
    </row>
    <row r="488">
      <c r="A488" s="7" t="str">
        <f>IFERROR(__xludf.DUMMYFUNCTION("""COMPUTED_VALUE"""),"https://www.method.me/features/xero/estimates/")</f>
        <v>https://www.method.me/features/xero/estimates/</v>
      </c>
      <c r="B488" s="1" t="str">
        <f>IFERROR(__xludf.DUMMYFUNCTION("""COMPUTED_VALUE"""),"Features page")</f>
        <v>Features page</v>
      </c>
      <c r="C488" s="1" t="str">
        <f>IFERROR(__xludf.DUMMYFUNCTION("""COMPUTED_VALUE"""),"Other page")</f>
        <v>Other page</v>
      </c>
      <c r="D488" s="1" t="str">
        <f>IFERROR(__xludf.DUMMYFUNCTION("""COMPUTED_VALUE"""),"The #1 estimate software for Xero users")</f>
        <v>The #1 estimate software for Xero users</v>
      </c>
      <c r="E488" s="12">
        <f>IFERROR(__xludf.DUMMYFUNCTION("""COMPUTED_VALUE"""),44669.458333333336)</f>
        <v>44669.45833</v>
      </c>
    </row>
    <row r="489">
      <c r="A489" s="7" t="str">
        <f>IFERROR(__xludf.DUMMYFUNCTION("""COMPUTED_VALUE"""),"https://www.method.me/features/xero/gmail/")</f>
        <v>https://www.method.me/features/xero/gmail/</v>
      </c>
      <c r="B489" s="1" t="str">
        <f>IFERROR(__xludf.DUMMYFUNCTION("""COMPUTED_VALUE"""),"Features page")</f>
        <v>Features page</v>
      </c>
      <c r="C489" s="1" t="str">
        <f>IFERROR(__xludf.DUMMYFUNCTION("""COMPUTED_VALUE"""),"Other page")</f>
        <v>Other page</v>
      </c>
      <c r="D489" s="1" t="str">
        <f>IFERROR(__xludf.DUMMYFUNCTION("""COMPUTED_VALUE"""),"CRM Integration for Gmail")</f>
        <v>CRM Integration for Gmail</v>
      </c>
      <c r="E489" s="12">
        <f>IFERROR(__xludf.DUMMYFUNCTION("""COMPUTED_VALUE"""),44669.458333333336)</f>
        <v>44669.45833</v>
      </c>
    </row>
    <row r="490">
      <c r="A490" s="7" t="str">
        <f>IFERROR(__xludf.DUMMYFUNCTION("""COMPUTED_VALUE"""),"https://www.method.me/features/xero/google-calendar/")</f>
        <v>https://www.method.me/features/xero/google-calendar/</v>
      </c>
      <c r="B490" s="1" t="str">
        <f>IFERROR(__xludf.DUMMYFUNCTION("""COMPUTED_VALUE"""),"Features page")</f>
        <v>Features page</v>
      </c>
      <c r="C490" s="1" t="str">
        <f>IFERROR(__xludf.DUMMYFUNCTION("""COMPUTED_VALUE"""),"Other page")</f>
        <v>Other page</v>
      </c>
      <c r="D490" s="1" t="str">
        <f>IFERROR(__xludf.DUMMYFUNCTION("""COMPUTED_VALUE"""),"CRM Integration for Google Calendar")</f>
        <v>CRM Integration for Google Calendar</v>
      </c>
      <c r="E490" s="12">
        <f>IFERROR(__xludf.DUMMYFUNCTION("""COMPUTED_VALUE"""),44669.458333333336)</f>
        <v>44669.45833</v>
      </c>
    </row>
    <row r="491">
      <c r="A491" s="7" t="str">
        <f>IFERROR(__xludf.DUMMYFUNCTION("""COMPUTED_VALUE"""),"https://www.method.me/features/xero/outlook/")</f>
        <v>https://www.method.me/features/xero/outlook/</v>
      </c>
      <c r="B491" s="1" t="str">
        <f>IFERROR(__xludf.DUMMYFUNCTION("""COMPUTED_VALUE"""),"Features page")</f>
        <v>Features page</v>
      </c>
      <c r="C491" s="1" t="str">
        <f>IFERROR(__xludf.DUMMYFUNCTION("""COMPUTED_VALUE"""),"Other page")</f>
        <v>Other page</v>
      </c>
      <c r="D491" s="1" t="str">
        <f>IFERROR(__xludf.DUMMYFUNCTION("""COMPUTED_VALUE"""),"CRM Integration for Outlook")</f>
        <v>CRM Integration for Outlook</v>
      </c>
      <c r="E491" s="12">
        <f>IFERROR(__xludf.DUMMYFUNCTION("""COMPUTED_VALUE"""),44669.458333333336)</f>
        <v>44669.45833</v>
      </c>
    </row>
    <row r="492">
      <c r="A492" s="7" t="str">
        <f>IFERROR(__xludf.DUMMYFUNCTION("""COMPUTED_VALUE"""),"https://www.method.me/features/xero/payment-gateways/")</f>
        <v>https://www.method.me/features/xero/payment-gateways/</v>
      </c>
      <c r="B492" s="1" t="str">
        <f>IFERROR(__xludf.DUMMYFUNCTION("""COMPUTED_VALUE"""),"Features page")</f>
        <v>Features page</v>
      </c>
      <c r="C492" s="1" t="str">
        <f>IFERROR(__xludf.DUMMYFUNCTION("""COMPUTED_VALUE"""),"Other page")</f>
        <v>Other page</v>
      </c>
      <c r="D492" s="1" t="str">
        <f>IFERROR(__xludf.DUMMYFUNCTION("""COMPUTED_VALUE"""),"CRM Payment Gateways")</f>
        <v>CRM Payment Gateways</v>
      </c>
      <c r="E492" s="12">
        <f>IFERROR(__xludf.DUMMYFUNCTION("""COMPUTED_VALUE"""),44669.458333333336)</f>
        <v>44669.45833</v>
      </c>
    </row>
    <row r="493">
      <c r="A493" s="7" t="str">
        <f>IFERROR(__xludf.DUMMYFUNCTION("""COMPUTED_VALUE"""),"https://www.method.me/features/xero/portals/")</f>
        <v>https://www.method.me/features/xero/portals/</v>
      </c>
      <c r="B493" s="1" t="str">
        <f>IFERROR(__xludf.DUMMYFUNCTION("""COMPUTED_VALUE"""),"Features page")</f>
        <v>Features page</v>
      </c>
      <c r="C493" s="1" t="str">
        <f>IFERROR(__xludf.DUMMYFUNCTION("""COMPUTED_VALUE"""),"Other page")</f>
        <v>Other page</v>
      </c>
      <c r="D493" s="1" t="str">
        <f>IFERROR(__xludf.DUMMYFUNCTION("""COMPUTED_VALUE"""),"The #1 CRM portals for Xero users")</f>
        <v>The #1 CRM portals for Xero users</v>
      </c>
      <c r="E493" s="12">
        <f>IFERROR(__xludf.DUMMYFUNCTION("""COMPUTED_VALUE"""),44669.458333333336)</f>
        <v>44669.45833</v>
      </c>
    </row>
    <row r="494">
      <c r="A494" s="7" t="str">
        <f>IFERROR(__xludf.DUMMYFUNCTION("""COMPUTED_VALUE"""),"https://www.method.me/features/xero/email-campaigns/")</f>
        <v>https://www.method.me/features/xero/email-campaigns/</v>
      </c>
      <c r="B494" s="1" t="str">
        <f>IFERROR(__xludf.DUMMYFUNCTION("""COMPUTED_VALUE"""),"Features page")</f>
        <v>Features page</v>
      </c>
      <c r="C494" s="1" t="str">
        <f>IFERROR(__xludf.DUMMYFUNCTION("""COMPUTED_VALUE"""),"Other page")</f>
        <v>Other page</v>
      </c>
      <c r="D494" s="1" t="str">
        <f>IFERROR(__xludf.DUMMYFUNCTION("""COMPUTED_VALUE"""),"Email Marketing for Xero Customers")</f>
        <v>Email Marketing for Xero Customers</v>
      </c>
      <c r="E494" s="12">
        <f>IFERROR(__xludf.DUMMYFUNCTION("""COMPUTED_VALUE"""),44669.458333333336)</f>
        <v>44669.45833</v>
      </c>
    </row>
    <row r="495">
      <c r="A495" s="7" t="str">
        <f>IFERROR(__xludf.DUMMYFUNCTION("""COMPUTED_VALUE"""),"https://www.method.me/customer-success/more-prepared/")</f>
        <v>https://www.method.me/customer-success/more-prepared/</v>
      </c>
      <c r="B495" s="1" t="str">
        <f>IFERROR(__xludf.DUMMYFUNCTION("""COMPUTED_VALUE"""),"Method - Customer / Partner Success")</f>
        <v>Method - Customer / Partner Success</v>
      </c>
      <c r="C495" s="1" t="str">
        <f>IFERROR(__xludf.DUMMYFUNCTION("""COMPUTED_VALUE"""),"Other page")</f>
        <v>Other page</v>
      </c>
      <c r="D495" s="1" t="str">
        <f>IFERROR(__xludf.DUMMYFUNCTION("""COMPUTED_VALUE"""),"More Prepared")</f>
        <v>More Prepared</v>
      </c>
      <c r="E495" s="12">
        <f>IFERROR(__xludf.DUMMYFUNCTION("""COMPUTED_VALUE"""),44670.613391203704)</f>
        <v>44670.61339</v>
      </c>
    </row>
    <row r="496">
      <c r="A496" s="7" t="str">
        <f>IFERROR(__xludf.DUMMYFUNCTION("""COMPUTED_VALUE"""),"https://www.method.me/blog/how-to-ask-for-payment/")</f>
        <v>https://www.method.me/blog/how-to-ask-for-payment/</v>
      </c>
      <c r="B496" s="1" t="str">
        <f>IFERROR(__xludf.DUMMYFUNCTION("""COMPUTED_VALUE"""),"General how-to")</f>
        <v>General how-to</v>
      </c>
      <c r="C496" s="1" t="str">
        <f>IFERROR(__xludf.DUMMYFUNCTION("""COMPUTED_VALUE"""),"Blog")</f>
        <v>Blog</v>
      </c>
      <c r="D496" s="1" t="str">
        <f>IFERROR(__xludf.DUMMYFUNCTION("""COMPUTED_VALUE"""),"The definitive guide to asking for payment: How to get paid on time and avoid unpaid invoices")</f>
        <v>The definitive guide to asking for payment: How to get paid on time and avoid unpaid invoices</v>
      </c>
      <c r="E496" s="12">
        <f>IFERROR(__xludf.DUMMYFUNCTION("""COMPUTED_VALUE"""),44671.666666666664)</f>
        <v>44671.66667</v>
      </c>
    </row>
    <row r="497">
      <c r="A497" s="7" t="str">
        <f>IFERROR(__xludf.DUMMYFUNCTION("""COMPUTED_VALUE"""),"https://www.method.me/blog/invoice-payment-terms/")</f>
        <v>https://www.method.me/blog/invoice-payment-terms/</v>
      </c>
      <c r="B497" s="1" t="str">
        <f>IFERROR(__xludf.DUMMYFUNCTION("""COMPUTED_VALUE"""),"General how-to")</f>
        <v>General how-to</v>
      </c>
      <c r="C497" s="1" t="str">
        <f>IFERROR(__xludf.DUMMYFUNCTION("""COMPUTED_VALUE"""),"Blog")</f>
        <v>Blog</v>
      </c>
      <c r="D497" s="1" t="str">
        <f>IFERROR(__xludf.DUMMYFUNCTION("""COMPUTED_VALUE"""),"How to use invoice payment terms to get paid faster")</f>
        <v>How to use invoice payment terms to get paid faster</v>
      </c>
      <c r="E497" s="12">
        <f>IFERROR(__xludf.DUMMYFUNCTION("""COMPUTED_VALUE"""),44671.666666666664)</f>
        <v>44671.66667</v>
      </c>
    </row>
    <row r="498">
      <c r="A498" s="7" t="str">
        <f>IFERROR(__xludf.DUMMYFUNCTION("""COMPUTED_VALUE"""),"https://www.method.me/blog/overdue-invoice-email/")</f>
        <v>https://www.method.me/blog/overdue-invoice-email/</v>
      </c>
      <c r="B498" s="1" t="str">
        <f>IFERROR(__xludf.DUMMYFUNCTION("""COMPUTED_VALUE"""),"General how-to")</f>
        <v>General how-to</v>
      </c>
      <c r="C498" s="1" t="str">
        <f>IFERROR(__xludf.DUMMYFUNCTION("""COMPUTED_VALUE"""),"Blog")</f>
        <v>Blog</v>
      </c>
      <c r="D498" s="1" t="str">
        <f>IFERROR(__xludf.DUMMYFUNCTION("""COMPUTED_VALUE"""),"How to effectively follow up on overdue invoices: Crafting the perfect email to get paid on time")</f>
        <v>How to effectively follow up on overdue invoices: Crafting the perfect email to get paid on time</v>
      </c>
      <c r="E498" s="12">
        <f>IFERROR(__xludf.DUMMYFUNCTION("""COMPUTED_VALUE"""),44671.666666666664)</f>
        <v>44671.66667</v>
      </c>
    </row>
    <row r="499">
      <c r="A499" s="7" t="str">
        <f>IFERROR(__xludf.DUMMYFUNCTION("""COMPUTED_VALUE"""),"https://www.method.me/blog/outstanding-invoice/")</f>
        <v>https://www.method.me/blog/outstanding-invoice/</v>
      </c>
      <c r="B499" s="1" t="str">
        <f>IFERROR(__xludf.DUMMYFUNCTION("""COMPUTED_VALUE"""),"General how-to")</f>
        <v>General how-to</v>
      </c>
      <c r="C499" s="1" t="str">
        <f>IFERROR(__xludf.DUMMYFUNCTION("""COMPUTED_VALUE"""),"Blog")</f>
        <v>Blog</v>
      </c>
      <c r="D499" s="1" t="str">
        <f>IFERROR(__xludf.DUMMYFUNCTION("""COMPUTED_VALUE"""),"Outstanding invoices: How to get customers to pay on time")</f>
        <v>Outstanding invoices: How to get customers to pay on time</v>
      </c>
      <c r="E499" s="12">
        <f>IFERROR(__xludf.DUMMYFUNCTION("""COMPUTED_VALUE"""),44671.666666666664)</f>
        <v>44671.66667</v>
      </c>
    </row>
    <row r="500">
      <c r="A500" s="7" t="str">
        <f>IFERROR(__xludf.DUMMYFUNCTION("""COMPUTED_VALUE"""),"https://www.method.me/blog/invoice-email/")</f>
        <v>https://www.method.me/blog/invoice-email/</v>
      </c>
      <c r="B500" s="1" t="str">
        <f>IFERROR(__xludf.DUMMYFUNCTION("""COMPUTED_VALUE"""),"General how-to")</f>
        <v>General how-to</v>
      </c>
      <c r="C500" s="1" t="str">
        <f>IFERROR(__xludf.DUMMYFUNCTION("""COMPUTED_VALUE"""),"Blog")</f>
        <v>Blog</v>
      </c>
      <c r="D500" s="1" t="str">
        <f>IFERROR(__xludf.DUMMYFUNCTION("""COMPUTED_VALUE"""),"How to write an email with invoice attached – Example template included")</f>
        <v>How to write an email with invoice attached – Example template included</v>
      </c>
      <c r="E500" s="12">
        <f>IFERROR(__xludf.DUMMYFUNCTION("""COMPUTED_VALUE"""),44671.666666666664)</f>
        <v>44671.66667</v>
      </c>
    </row>
    <row r="501">
      <c r="A501" s="7" t="str">
        <f>IFERROR(__xludf.DUMMYFUNCTION("""COMPUTED_VALUE"""),"https://www.method.me/blog/invoice-late-fee-wording/")</f>
        <v>https://www.method.me/blog/invoice-late-fee-wording/</v>
      </c>
      <c r="B501" s="1" t="str">
        <f>IFERROR(__xludf.DUMMYFUNCTION("""COMPUTED_VALUE"""),"General how-to")</f>
        <v>General how-to</v>
      </c>
      <c r="C501" s="1" t="str">
        <f>IFERROR(__xludf.DUMMYFUNCTION("""COMPUTED_VALUE"""),"Blog")</f>
        <v>Blog</v>
      </c>
      <c r="D501" s="1" t="str">
        <f>IFERROR(__xludf.DUMMYFUNCTION("""COMPUTED_VALUE"""),"How to craft the perfect invoice late fee wording to ensure timely payments")</f>
        <v>How to craft the perfect invoice late fee wording to ensure timely payments</v>
      </c>
      <c r="E501" s="12">
        <f>IFERROR(__xludf.DUMMYFUNCTION("""COMPUTED_VALUE"""),44671.666666666664)</f>
        <v>44671.66667</v>
      </c>
    </row>
    <row r="502">
      <c r="A502" s="7" t="str">
        <f>IFERROR(__xludf.DUMMYFUNCTION("""COMPUTED_VALUE"""),"https://www.method.me/blog/late-payment-interest/")</f>
        <v>https://www.method.me/blog/late-payment-interest/</v>
      </c>
      <c r="B502" s="1" t="str">
        <f>IFERROR(__xludf.DUMMYFUNCTION("""COMPUTED_VALUE"""),"Misc. info")</f>
        <v>Misc. info</v>
      </c>
      <c r="C502" s="1" t="str">
        <f>IFERROR(__xludf.DUMMYFUNCTION("""COMPUTED_VALUE"""),"Blog")</f>
        <v>Blog</v>
      </c>
      <c r="D502" s="1" t="str">
        <f>IFERROR(__xludf.DUMMYFUNCTION("""COMPUTED_VALUE"""),"How much to charge as late payment interest on an overdue invoice")</f>
        <v>How much to charge as late payment interest on an overdue invoice</v>
      </c>
      <c r="E502" s="12">
        <f>IFERROR(__xludf.DUMMYFUNCTION("""COMPUTED_VALUE"""),44671.666666666664)</f>
        <v>44671.66667</v>
      </c>
    </row>
    <row r="503">
      <c r="A503" s="7" t="str">
        <f>IFERROR(__xludf.DUMMYFUNCTION("""COMPUTED_VALUE"""),"https://www.method.me/crm-quickbooks/integrations/")</f>
        <v>https://www.method.me/crm-quickbooks/integrations/</v>
      </c>
      <c r="B503" s="1" t="str">
        <f>IFERROR(__xludf.DUMMYFUNCTION("""COMPUTED_VALUE"""),"/crm-quickbooks/")</f>
        <v>/crm-quickbooks/</v>
      </c>
      <c r="C503" s="1" t="str">
        <f>IFERROR(__xludf.DUMMYFUNCTION("""COMPUTED_VALUE"""),"Other page")</f>
        <v>Other page</v>
      </c>
      <c r="D503" s="1" t="str">
        <f>IFERROR(__xludf.DUMMYFUNCTION("""COMPUTED_VALUE"""),"Integrations")</f>
        <v>Integrations</v>
      </c>
      <c r="E503" s="12">
        <f>IFERROR(__xludf.DUMMYFUNCTION("""COMPUTED_VALUE"""),44678.586064814815)</f>
        <v>44678.58606</v>
      </c>
    </row>
    <row r="504">
      <c r="A504" s="7" t="str">
        <f>IFERROR(__xludf.DUMMYFUNCTION("""COMPUTED_VALUE"""),"https://www.method.me/blog/small-business-crm/")</f>
        <v>https://www.method.me/blog/small-business-crm/</v>
      </c>
      <c r="B504" s="1" t="str">
        <f>IFERROR(__xludf.DUMMYFUNCTION("""COMPUTED_VALUE"""),"Listicle - CRM")</f>
        <v>Listicle - CRM</v>
      </c>
      <c r="C504" s="1" t="str">
        <f>IFERROR(__xludf.DUMMYFUNCTION("""COMPUTED_VALUE"""),"Blog")</f>
        <v>Blog</v>
      </c>
      <c r="D504" s="1" t="str">
        <f>IFERROR(__xludf.DUMMYFUNCTION("""COMPUTED_VALUE"""),"The 10 best small business CRMs for 2024")</f>
        <v>The 10 best small business CRMs for 2024</v>
      </c>
      <c r="E504" s="12">
        <f>IFERROR(__xludf.DUMMYFUNCTION("""COMPUTED_VALUE"""),44680.395833333336)</f>
        <v>44680.39583</v>
      </c>
    </row>
    <row r="505">
      <c r="A505" s="7" t="str">
        <f>IFERROR(__xludf.DUMMYFUNCTION("""COMPUTED_VALUE"""),"https://www.method.me/videos/smb-workflow-automation/")</f>
        <v>https://www.method.me/videos/smb-workflow-automation/</v>
      </c>
      <c r="B505" s="1" t="str">
        <f>IFERROR(__xludf.DUMMYFUNCTION("""COMPUTED_VALUE"""),"Video page")</f>
        <v>Video page</v>
      </c>
      <c r="C505" s="1" t="str">
        <f>IFERROR(__xludf.DUMMYFUNCTION("""COMPUTED_VALUE"""),"Other page")</f>
        <v>Other page</v>
      </c>
      <c r="D505" s="1" t="str">
        <f>IFERROR(__xludf.DUMMYFUNCTION("""COMPUTED_VALUE"""),"Small business secrets: Why workflow automation is key for growth")</f>
        <v>Small business secrets: Why workflow automation is key for growth</v>
      </c>
      <c r="E505" s="12">
        <f>IFERROR(__xludf.DUMMYFUNCTION("""COMPUTED_VALUE"""),44685.592881944445)</f>
        <v>44685.59288</v>
      </c>
    </row>
    <row r="506">
      <c r="A506" s="7" t="str">
        <f>IFERROR(__xludf.DUMMYFUNCTION("""COMPUTED_VALUE"""),"https://www.method.me/blog/small-business-crm-canada/")</f>
        <v>https://www.method.me/blog/small-business-crm-canada/</v>
      </c>
      <c r="B506" s="1" t="str">
        <f>IFERROR(__xludf.DUMMYFUNCTION("""COMPUTED_VALUE"""),"Listicle - CRM")</f>
        <v>Listicle - CRM</v>
      </c>
      <c r="C506" s="1" t="str">
        <f>IFERROR(__xludf.DUMMYFUNCTION("""COMPUTED_VALUE"""),"Blog")</f>
        <v>Blog</v>
      </c>
      <c r="D506" s="1" t="str">
        <f>IFERROR(__xludf.DUMMYFUNCTION("""COMPUTED_VALUE"""),"9 best CRM for small business in Canada for 2024")</f>
        <v>9 best CRM for small business in Canada for 2024</v>
      </c>
      <c r="E506" s="12">
        <f>IFERROR(__xludf.DUMMYFUNCTION("""COMPUTED_VALUE"""),44686.40431712963)</f>
        <v>44686.40432</v>
      </c>
    </row>
    <row r="507">
      <c r="A507" s="7" t="str">
        <f>IFERROR(__xludf.DUMMYFUNCTION("""COMPUTED_VALUE"""),"https://www.method.me/blog/small-business-crm-uk/")</f>
        <v>https://www.method.me/blog/small-business-crm-uk/</v>
      </c>
      <c r="B507" s="1" t="str">
        <f>IFERROR(__xludf.DUMMYFUNCTION("""COMPUTED_VALUE"""),"Listicle - CRM")</f>
        <v>Listicle - CRM</v>
      </c>
      <c r="C507" s="1" t="str">
        <f>IFERROR(__xludf.DUMMYFUNCTION("""COMPUTED_VALUE"""),"Blog")</f>
        <v>Blog</v>
      </c>
      <c r="D507" s="1" t="str">
        <f>IFERROR(__xludf.DUMMYFUNCTION("""COMPUTED_VALUE"""),"The 8 best CRM systems for small business in UK for 2024")</f>
        <v>The 8 best CRM systems for small business in UK for 2024</v>
      </c>
      <c r="E507" s="12">
        <f>IFERROR(__xludf.DUMMYFUNCTION("""COMPUTED_VALUE"""),44690.49290509259)</f>
        <v>44690.49291</v>
      </c>
    </row>
    <row r="508">
      <c r="A508" s="7" t="str">
        <f>IFERROR(__xludf.DUMMYFUNCTION("""COMPUTED_VALUE"""),"https://www.method.me/videos/5-ways-to-enhance-qb/")</f>
        <v>https://www.method.me/videos/5-ways-to-enhance-qb/</v>
      </c>
      <c r="B508" s="1" t="str">
        <f>IFERROR(__xludf.DUMMYFUNCTION("""COMPUTED_VALUE"""),"Video page")</f>
        <v>Video page</v>
      </c>
      <c r="C508" s="1" t="str">
        <f>IFERROR(__xludf.DUMMYFUNCTION("""COMPUTED_VALUE"""),"Other page")</f>
        <v>Other page</v>
      </c>
      <c r="D508" s="1" t="str">
        <f>IFERROR(__xludf.DUMMYFUNCTION("""COMPUTED_VALUE"""),"5 ways to extend the power of your QuickBooks account")</f>
        <v>5 ways to extend the power of your QuickBooks account</v>
      </c>
      <c r="E508" s="12">
        <f>IFERROR(__xludf.DUMMYFUNCTION("""COMPUTED_VALUE"""),44699.45694444444)</f>
        <v>44699.45694</v>
      </c>
    </row>
    <row r="509">
      <c r="A509" s="7" t="str">
        <f>IFERROR(__xludf.DUMMYFUNCTION("""COMPUTED_VALUE"""),"https://www.method.me/blog/small-business-crm-australia/")</f>
        <v>https://www.method.me/blog/small-business-crm-australia/</v>
      </c>
      <c r="B509" s="1" t="str">
        <f>IFERROR(__xludf.DUMMYFUNCTION("""COMPUTED_VALUE"""),"Listicle - CRM")</f>
        <v>Listicle - CRM</v>
      </c>
      <c r="C509" s="1" t="str">
        <f>IFERROR(__xludf.DUMMYFUNCTION("""COMPUTED_VALUE"""),"Blog")</f>
        <v>Blog</v>
      </c>
      <c r="D509" s="1" t="str">
        <f>IFERROR(__xludf.DUMMYFUNCTION("""COMPUTED_VALUE"""),"10 best small business CRM software Australia offers")</f>
        <v>10 best small business CRM software Australia offers</v>
      </c>
      <c r="E509" s="12">
        <f>IFERROR(__xludf.DUMMYFUNCTION("""COMPUTED_VALUE"""),44699.46928240741)</f>
        <v>44699.46928</v>
      </c>
    </row>
    <row r="510">
      <c r="A510" s="7" t="str">
        <f>IFERROR(__xludf.DUMMYFUNCTION("""COMPUTED_VALUE"""),"https://www.method.me/blog/electrical-invoice-software-2/")</f>
        <v>https://www.method.me/blog/electrical-invoice-software-2/</v>
      </c>
      <c r="B510" s="1" t="str">
        <f>IFERROR(__xludf.DUMMYFUNCTION("""COMPUTED_VALUE"""),"Listicle - Software / Software overview")</f>
        <v>Listicle - Software / Software overview</v>
      </c>
      <c r="C510" s="1" t="str">
        <f>IFERROR(__xludf.DUMMYFUNCTION("""COMPUTED_VALUE"""),"Blog")</f>
        <v>Blog</v>
      </c>
      <c r="D510" s="1" t="str">
        <f>IFERROR(__xludf.DUMMYFUNCTION("""COMPUTED_VALUE"""),"Here’s how electrical invoice software grows revenue")</f>
        <v>Here’s how electrical invoice software grows revenue</v>
      </c>
      <c r="E510" s="12">
        <f>IFERROR(__xludf.DUMMYFUNCTION("""COMPUTED_VALUE"""),44708.416666666664)</f>
        <v>44708.41667</v>
      </c>
    </row>
    <row r="511">
      <c r="A511" s="7" t="str">
        <f>IFERROR(__xludf.DUMMYFUNCTION("""COMPUTED_VALUE"""),"https://www.method.me/blog/companies-when-pride-month-ends/")</f>
        <v>https://www.method.me/blog/companies-when-pride-month-ends/</v>
      </c>
      <c r="B511" s="1" t="str">
        <f>IFERROR(__xludf.DUMMYFUNCTION("""COMPUTED_VALUE"""),"Method - Lifestyle / Storytelling")</f>
        <v>Method - Lifestyle / Storytelling</v>
      </c>
      <c r="C511" s="1" t="str">
        <f>IFERROR(__xludf.DUMMYFUNCTION("""COMPUTED_VALUE"""),"Blog")</f>
        <v>Blog</v>
      </c>
      <c r="D511" s="1" t="str">
        <f>IFERROR(__xludf.DUMMYFUNCTION("""COMPUTED_VALUE"""),"5 words of advice for companies when Pride month ends")</f>
        <v>5 words of advice for companies when Pride month ends</v>
      </c>
      <c r="E511" s="12">
        <f>IFERROR(__xludf.DUMMYFUNCTION("""COMPUTED_VALUE"""),44713.333333333336)</f>
        <v>44713.33333</v>
      </c>
    </row>
    <row r="512">
      <c r="A512" s="7" t="str">
        <f>IFERROR(__xludf.DUMMYFUNCTION("""COMPUTED_VALUE"""),"https://www.method.me/blog/electric-bill-invoice-template/")</f>
        <v>https://www.method.me/blog/electric-bill-invoice-template/</v>
      </c>
      <c r="B512" s="1" t="str">
        <f>IFERROR(__xludf.DUMMYFUNCTION("""COMPUTED_VALUE"""),"Misc. info")</f>
        <v>Misc. info</v>
      </c>
      <c r="C512" s="1" t="str">
        <f>IFERROR(__xludf.DUMMYFUNCTION("""COMPUTED_VALUE"""),"Blog")</f>
        <v>Blog</v>
      </c>
      <c r="D512" s="1" t="str">
        <f>IFERROR(__xludf.DUMMYFUNCTION("""COMPUTED_VALUE"""),"An electric bill invoice template to improve your bottom line")</f>
        <v>An electric bill invoice template to improve your bottom line</v>
      </c>
      <c r="E512" s="12">
        <f>IFERROR(__xludf.DUMMYFUNCTION("""COMPUTED_VALUE"""),44720.5)</f>
        <v>44720.5</v>
      </c>
    </row>
    <row r="513">
      <c r="A513" s="7" t="str">
        <f>IFERROR(__xludf.DUMMYFUNCTION("""COMPUTED_VALUE"""),"https://www.method.me/blog/free-electrical-invoice-template/")</f>
        <v>https://www.method.me/blog/free-electrical-invoice-template/</v>
      </c>
      <c r="B513" s="1" t="str">
        <f>IFERROR(__xludf.DUMMYFUNCTION("""COMPUTED_VALUE"""),"Misc. info")</f>
        <v>Misc. info</v>
      </c>
      <c r="C513" s="1" t="str">
        <f>IFERROR(__xludf.DUMMYFUNCTION("""COMPUTED_VALUE"""),"Blog")</f>
        <v>Blog</v>
      </c>
      <c r="D513" s="1" t="str">
        <f>IFERROR(__xludf.DUMMYFUNCTION("""COMPUTED_VALUE"""),"The best electrical invoice template for your business")</f>
        <v>The best electrical invoice template for your business</v>
      </c>
      <c r="E513" s="12">
        <f>IFERROR(__xludf.DUMMYFUNCTION("""COMPUTED_VALUE"""),44727.66111111111)</f>
        <v>44727.66111</v>
      </c>
    </row>
    <row r="514">
      <c r="A514" s="7" t="str">
        <f>IFERROR(__xludf.DUMMYFUNCTION("""COMPUTED_VALUE"""),"https://www.method.me/blog/electrical-contractor-business-invoicing-software/")</f>
        <v>https://www.method.me/blog/electrical-contractor-business-invoicing-software/</v>
      </c>
      <c r="B514" s="1" t="str">
        <f>IFERROR(__xludf.DUMMYFUNCTION("""COMPUTED_VALUE"""),"Listicle - Software / Software overview")</f>
        <v>Listicle - Software / Software overview</v>
      </c>
      <c r="C514" s="1" t="str">
        <f>IFERROR(__xludf.DUMMYFUNCTION("""COMPUTED_VALUE"""),"Blog")</f>
        <v>Blog</v>
      </c>
      <c r="D514" s="1" t="str">
        <f>IFERROR(__xludf.DUMMYFUNCTION("""COMPUTED_VALUE"""),"Top 5 electrical contractor business invoicing software options")</f>
        <v>Top 5 electrical contractor business invoicing software options</v>
      </c>
      <c r="E514" s="12">
        <f>IFERROR(__xludf.DUMMYFUNCTION("""COMPUTED_VALUE"""),44733.47157407407)</f>
        <v>44733.47157</v>
      </c>
    </row>
    <row r="515">
      <c r="A515" s="7" t="str">
        <f>IFERROR(__xludf.DUMMYFUNCTION("""COMPUTED_VALUE"""),"https://www.method.me/blog/electrical-work-invoice/")</f>
        <v>https://www.method.me/blog/electrical-work-invoice/</v>
      </c>
      <c r="B515" s="1" t="str">
        <f>IFERROR(__xludf.DUMMYFUNCTION("""COMPUTED_VALUE"""),"General how-to")</f>
        <v>General how-to</v>
      </c>
      <c r="C515" s="1" t="str">
        <f>IFERROR(__xludf.DUMMYFUNCTION("""COMPUTED_VALUE"""),"Blog")</f>
        <v>Blog</v>
      </c>
      <c r="D515" s="1" t="str">
        <f>IFERROR(__xludf.DUMMYFUNCTION("""COMPUTED_VALUE"""),"How to create the best electrical work invoice")</f>
        <v>How to create the best electrical work invoice</v>
      </c>
      <c r="E515" s="12">
        <f>IFERROR(__xludf.DUMMYFUNCTION("""COMPUTED_VALUE"""),44742.228472222225)</f>
        <v>44742.22847</v>
      </c>
    </row>
    <row r="516">
      <c r="A516" s="7" t="str">
        <f>IFERROR(__xludf.DUMMYFUNCTION("""COMPUTED_VALUE"""),"https://www.method.me/blog/electrical-business-forms/")</f>
        <v>https://www.method.me/blog/electrical-business-forms/</v>
      </c>
      <c r="B516" s="1" t="str">
        <f>IFERROR(__xludf.DUMMYFUNCTION("""COMPUTED_VALUE"""),"Misc. info")</f>
        <v>Misc. info</v>
      </c>
      <c r="C516" s="1" t="str">
        <f>IFERROR(__xludf.DUMMYFUNCTION("""COMPUTED_VALUE"""),"Blog")</f>
        <v>Blog</v>
      </c>
      <c r="D516" s="1" t="str">
        <f>IFERROR(__xludf.DUMMYFUNCTION("""COMPUTED_VALUE"""),"The electrical business forms that transform your business for the better")</f>
        <v>The electrical business forms that transform your business for the better</v>
      </c>
      <c r="E516" s="12">
        <f>IFERROR(__xludf.DUMMYFUNCTION("""COMPUTED_VALUE"""),44746.469560185185)</f>
        <v>44746.46956</v>
      </c>
    </row>
    <row r="517">
      <c r="A517" s="7" t="str">
        <f>IFERROR(__xludf.DUMMYFUNCTION("""COMPUTED_VALUE"""),"https://www.method.me/blog/how-to-improve-customer-experience/")</f>
        <v>https://www.method.me/blog/how-to-improve-customer-experience/</v>
      </c>
      <c r="B517" s="1" t="str">
        <f>IFERROR(__xludf.DUMMYFUNCTION("""COMPUTED_VALUE"""),"Small business / Nonprofit")</f>
        <v>Small business / Nonprofit</v>
      </c>
      <c r="C517" s="1" t="str">
        <f>IFERROR(__xludf.DUMMYFUNCTION("""COMPUTED_VALUE"""),"Blog")</f>
        <v>Blog</v>
      </c>
      <c r="D517" s="1" t="str">
        <f>IFERROR(__xludf.DUMMYFUNCTION("""COMPUTED_VALUE"""),"How to improve the customer experience: Small business edition")</f>
        <v>How to improve the customer experience: Small business edition</v>
      </c>
      <c r="E517" s="12">
        <f>IFERROR(__xludf.DUMMYFUNCTION("""COMPUTED_VALUE"""),44753.49810185185)</f>
        <v>44753.4981</v>
      </c>
    </row>
    <row r="518">
      <c r="A518" s="7" t="str">
        <f>IFERROR(__xludf.DUMMYFUNCTION("""COMPUTED_VALUE"""),"https://www.method.me/customer-success/reliable-trading/")</f>
        <v>https://www.method.me/customer-success/reliable-trading/</v>
      </c>
      <c r="B518" s="1" t="str">
        <f>IFERROR(__xludf.DUMMYFUNCTION("""COMPUTED_VALUE"""),"Method - Customer / Partner Success")</f>
        <v>Method - Customer / Partner Success</v>
      </c>
      <c r="C518" s="1" t="str">
        <f>IFERROR(__xludf.DUMMYFUNCTION("""COMPUTED_VALUE"""),"Other page")</f>
        <v>Other page</v>
      </c>
      <c r="D518" s="1" t="str">
        <f>IFERROR(__xludf.DUMMYFUNCTION("""COMPUTED_VALUE"""),"Reliable Trading")</f>
        <v>Reliable Trading</v>
      </c>
      <c r="E518" s="12">
        <f>IFERROR(__xludf.DUMMYFUNCTION("""COMPUTED_VALUE"""),44754.47618055555)</f>
        <v>44754.47618</v>
      </c>
    </row>
    <row r="519">
      <c r="A519" s="7" t="str">
        <f>IFERROR(__xludf.DUMMYFUNCTION("""COMPUTED_VALUE"""),"https://www.method.me/videos/leverage-quickbooks-data/")</f>
        <v>https://www.method.me/videos/leverage-quickbooks-data/</v>
      </c>
      <c r="B519" s="1" t="str">
        <f>IFERROR(__xludf.DUMMYFUNCTION("""COMPUTED_VALUE"""),"Video page")</f>
        <v>Video page</v>
      </c>
      <c r="C519" s="1" t="str">
        <f>IFERROR(__xludf.DUMMYFUNCTION("""COMPUTED_VALUE"""),"Other page")</f>
        <v>Other page</v>
      </c>
      <c r="D519" s="1" t="str">
        <f>IFERROR(__xludf.DUMMYFUNCTION("""COMPUTED_VALUE"""),"Small business insights: Leverage your QuickBooks data to deliver results")</f>
        <v>Small business insights: Leverage your QuickBooks data to deliver results</v>
      </c>
      <c r="E519" s="12">
        <f>IFERROR(__xludf.DUMMYFUNCTION("""COMPUTED_VALUE"""),44755.6603125)</f>
        <v>44755.66031</v>
      </c>
    </row>
    <row r="520">
      <c r="A520" s="7" t="str">
        <f>IFERROR(__xludf.DUMMYFUNCTION("""COMPUTED_VALUE"""),"https://www.method.me/blog/small-business-customer-service-improvement-strategies/")</f>
        <v>https://www.method.me/blog/small-business-customer-service-improvement-strategies/</v>
      </c>
      <c r="B520" s="1" t="str">
        <f>IFERROR(__xludf.DUMMYFUNCTION("""COMPUTED_VALUE"""),"Listicle - General")</f>
        <v>Listicle - General</v>
      </c>
      <c r="C520" s="1" t="str">
        <f>IFERROR(__xludf.DUMMYFUNCTION("""COMPUTED_VALUE"""),"Blog")</f>
        <v>Blog</v>
      </c>
      <c r="D520" s="1" t="str">
        <f>IFERROR(__xludf.DUMMYFUNCTION("""COMPUTED_VALUE"""),"The top 8 small business customer service improvement strategies")</f>
        <v>The top 8 small business customer service improvement strategies</v>
      </c>
      <c r="E520" s="12">
        <f>IFERROR(__xludf.DUMMYFUNCTION("""COMPUTED_VALUE"""),44764.587685185186)</f>
        <v>44764.58769</v>
      </c>
    </row>
    <row r="521">
      <c r="A521" s="7" t="str">
        <f>IFERROR(__xludf.DUMMYFUNCTION("""COMPUTED_VALUE"""),"https://www.method.me/blog/crm-for-customer-service/")</f>
        <v>https://www.method.me/blog/crm-for-customer-service/</v>
      </c>
      <c r="B521" s="1" t="str">
        <f>IFERROR(__xludf.DUMMYFUNCTION("""COMPUTED_VALUE"""),"Listicle - CRM")</f>
        <v>Listicle - CRM</v>
      </c>
      <c r="C521" s="1" t="str">
        <f>IFERROR(__xludf.DUMMYFUNCTION("""COMPUTED_VALUE"""),"Blog")</f>
        <v>Blog</v>
      </c>
      <c r="D521" s="1" t="str">
        <f>IFERROR(__xludf.DUMMYFUNCTION("""COMPUTED_VALUE"""),"The best CRM for customer service in 2024 and beyond")</f>
        <v>The best CRM for customer service in 2024 and beyond</v>
      </c>
      <c r="E521" s="12">
        <f>IFERROR(__xludf.DUMMYFUNCTION("""COMPUTED_VALUE"""),44771.42965277778)</f>
        <v>44771.42965</v>
      </c>
    </row>
    <row r="522">
      <c r="A522" s="7" t="str">
        <f>IFERROR(__xludf.DUMMYFUNCTION("""COMPUTED_VALUE"""),"https://www.method.me/blog/improve-customer-service/")</f>
        <v>https://www.method.me/blog/improve-customer-service/</v>
      </c>
      <c r="B522" s="1" t="str">
        <f>IFERROR(__xludf.DUMMYFUNCTION("""COMPUTED_VALUE"""),"Small business / Nonprofit")</f>
        <v>Small business / Nonprofit</v>
      </c>
      <c r="C522" s="1" t="str">
        <f>IFERROR(__xludf.DUMMYFUNCTION("""COMPUTED_VALUE"""),"Blog")</f>
        <v>Blog</v>
      </c>
      <c r="D522" s="1" t="str">
        <f>IFERROR(__xludf.DUMMYFUNCTION("""COMPUTED_VALUE"""),"How to improve customer service: Top tips for small businesses")</f>
        <v>How to improve customer service: Top tips for small businesses</v>
      </c>
      <c r="E522" s="12">
        <f>IFERROR(__xludf.DUMMYFUNCTION("""COMPUTED_VALUE"""),44777.375)</f>
        <v>44777.375</v>
      </c>
    </row>
    <row r="523">
      <c r="A523" s="7" t="str">
        <f>IFERROR(__xludf.DUMMYFUNCTION("""COMPUTED_VALUE"""),"https://www.method.me/blog/xero-crm-integrations/")</f>
        <v>https://www.method.me/blog/xero-crm-integrations/</v>
      </c>
      <c r="B523" s="1" t="str">
        <f>IFERROR(__xludf.DUMMYFUNCTION("""COMPUTED_VALUE"""),"Xero")</f>
        <v>Xero</v>
      </c>
      <c r="C523" s="1" t="str">
        <f>IFERROR(__xludf.DUMMYFUNCTION("""COMPUTED_VALUE"""),"Blog")</f>
        <v>Blog</v>
      </c>
      <c r="D523" s="1" t="str">
        <f>IFERROR(__xludf.DUMMYFUNCTION("""COMPUTED_VALUE"""),"10 best Xero CRM integrations for 2024")</f>
        <v>10 best Xero CRM integrations for 2024</v>
      </c>
      <c r="E523" s="12">
        <f>IFERROR(__xludf.DUMMYFUNCTION("""COMPUTED_VALUE"""),44782.416666666664)</f>
        <v>44782.41667</v>
      </c>
    </row>
    <row r="524">
      <c r="A524" s="7" t="str">
        <f>IFERROR(__xludf.DUMMYFUNCTION("""COMPUTED_VALUE"""),"https://www.method.me/blog/customer-experience-management-vs-customer-relationship-management/")</f>
        <v>https://www.method.me/blog/customer-experience-management-vs-customer-relationship-management/</v>
      </c>
      <c r="B524" s="1" t="str">
        <f>IFERROR(__xludf.DUMMYFUNCTION("""COMPUTED_VALUE"""),"Misc. info")</f>
        <v>Misc. info</v>
      </c>
      <c r="C524" s="1" t="str">
        <f>IFERROR(__xludf.DUMMYFUNCTION("""COMPUTED_VALUE"""),"Blog")</f>
        <v>Blog</v>
      </c>
      <c r="D524" s="1" t="str">
        <f>IFERROR(__xludf.DUMMYFUNCTION("""COMPUTED_VALUE"""),"Customer experience vs. customer relationship: What’s the difference?")</f>
        <v>Customer experience vs. customer relationship: What’s the difference?</v>
      </c>
      <c r="E524" s="12">
        <f>IFERROR(__xludf.DUMMYFUNCTION("""COMPUTED_VALUE"""),44788.57430555556)</f>
        <v>44788.57431</v>
      </c>
    </row>
    <row r="525">
      <c r="A525" s="7" t="str">
        <f>IFERROR(__xludf.DUMMYFUNCTION("""COMPUTED_VALUE"""),"https://www.method.me/videos/one-and-done-how-quickbooks-users-can-automate-reporting-for-good/")</f>
        <v>https://www.method.me/videos/one-and-done-how-quickbooks-users-can-automate-reporting-for-good/</v>
      </c>
      <c r="B525" s="1" t="str">
        <f>IFERROR(__xludf.DUMMYFUNCTION("""COMPUTED_VALUE"""),"Video page")</f>
        <v>Video page</v>
      </c>
      <c r="C525" s="1" t="str">
        <f>IFERROR(__xludf.DUMMYFUNCTION("""COMPUTED_VALUE"""),"Other page")</f>
        <v>Other page</v>
      </c>
      <c r="D525" s="1" t="str">
        <f>IFERROR(__xludf.DUMMYFUNCTION("""COMPUTED_VALUE"""),"One and done: Automate reporting for good")</f>
        <v>One and done: Automate reporting for good</v>
      </c>
      <c r="E525" s="12">
        <f>IFERROR(__xludf.DUMMYFUNCTION("""COMPUTED_VALUE"""),44796.668599537035)</f>
        <v>44796.6686</v>
      </c>
    </row>
    <row r="526">
      <c r="A526" s="7" t="str">
        <f>IFERROR(__xludf.DUMMYFUNCTION("""COMPUTED_VALUE"""),"https://www.method.me/blog/how-crm-increase-customer-satisfaction/")</f>
        <v>https://www.method.me/blog/how-crm-increase-customer-satisfaction/</v>
      </c>
      <c r="B526" s="1" t="str">
        <f>IFERROR(__xludf.DUMMYFUNCTION("""COMPUTED_VALUE"""),"Listicle - CRM")</f>
        <v>Listicle - CRM</v>
      </c>
      <c r="C526" s="1" t="str">
        <f>IFERROR(__xludf.DUMMYFUNCTION("""COMPUTED_VALUE"""),"Blog")</f>
        <v>Blog</v>
      </c>
      <c r="D526" s="1" t="str">
        <f>IFERROR(__xludf.DUMMYFUNCTION("""COMPUTED_VALUE"""),"How CRM increases customer satisfaction: Top examples")</f>
        <v>How CRM increases customer satisfaction: Top examples</v>
      </c>
      <c r="E526" s="12">
        <f>IFERROR(__xludf.DUMMYFUNCTION("""COMPUTED_VALUE"""),44798.44461805555)</f>
        <v>44798.44462</v>
      </c>
    </row>
    <row r="527">
      <c r="A527" s="7" t="str">
        <f>IFERROR(__xludf.DUMMYFUNCTION("""COMPUTED_VALUE"""),"https://www.method.me/blog/how-to-enhance-customer-experience/")</f>
        <v>https://www.method.me/blog/how-to-enhance-customer-experience/</v>
      </c>
      <c r="B527" s="1" t="str">
        <f>IFERROR(__xludf.DUMMYFUNCTION("""COMPUTED_VALUE"""),"General how-to")</f>
        <v>General how-to</v>
      </c>
      <c r="C527" s="1" t="str">
        <f>IFERROR(__xludf.DUMMYFUNCTION("""COMPUTED_VALUE"""),"Blog")</f>
        <v>Blog</v>
      </c>
      <c r="D527" s="1" t="str">
        <f>IFERROR(__xludf.DUMMYFUNCTION("""COMPUTED_VALUE"""),"How to enhance customer experience: 8 actions to take")</f>
        <v>How to enhance customer experience: 8 actions to take</v>
      </c>
      <c r="E527" s="12">
        <f>IFERROR(__xludf.DUMMYFUNCTION("""COMPUTED_VALUE"""),44805.708333333336)</f>
        <v>44805.70833</v>
      </c>
    </row>
    <row r="528">
      <c r="A528" s="7" t="str">
        <f>IFERROR(__xludf.DUMMYFUNCTION("""COMPUTED_VALUE"""),"https://www.method.me/blog/how-to-make-a-great-customer-experience/")</f>
        <v>https://www.method.me/blog/how-to-make-a-great-customer-experience/</v>
      </c>
      <c r="B528" s="1" t="str">
        <f>IFERROR(__xludf.DUMMYFUNCTION("""COMPUTED_VALUE"""),"General how-to")</f>
        <v>General how-to</v>
      </c>
      <c r="C528" s="1" t="str">
        <f>IFERROR(__xludf.DUMMYFUNCTION("""COMPUTED_VALUE"""),"Blog")</f>
        <v>Blog</v>
      </c>
      <c r="D528" s="1" t="str">
        <f>IFERROR(__xludf.DUMMYFUNCTION("""COMPUTED_VALUE"""),"How to make a great customer experience: The ultimate guide")</f>
        <v>How to make a great customer experience: The ultimate guide</v>
      </c>
      <c r="E528" s="12">
        <f>IFERROR(__xludf.DUMMYFUNCTION("""COMPUTED_VALUE"""),44811.532685185186)</f>
        <v>44811.53269</v>
      </c>
    </row>
    <row r="529">
      <c r="A529" s="7" t="str">
        <f>IFERROR(__xludf.DUMMYFUNCTION("""COMPUTED_VALUE"""),"https://www.method.me/blog/how-to-add-signature-line-in-quickbooks/")</f>
        <v>https://www.method.me/blog/how-to-add-signature-line-in-quickbooks/</v>
      </c>
      <c r="B529" s="1" t="str">
        <f>IFERROR(__xludf.DUMMYFUNCTION("""COMPUTED_VALUE"""),"QuickBooks - How-to")</f>
        <v>QuickBooks - How-to</v>
      </c>
      <c r="C529" s="1" t="str">
        <f>IFERROR(__xludf.DUMMYFUNCTION("""COMPUTED_VALUE"""),"Blog")</f>
        <v>Blog</v>
      </c>
      <c r="D529" s="1" t="str">
        <f>IFERROR(__xludf.DUMMYFUNCTION("""COMPUTED_VALUE"""),"How to add signature line in QuickBooks")</f>
        <v>How to add signature line in QuickBooks</v>
      </c>
      <c r="E529" s="12">
        <f>IFERROR(__xludf.DUMMYFUNCTION("""COMPUTED_VALUE"""),44816.38030092593)</f>
        <v>44816.3803</v>
      </c>
    </row>
    <row r="530">
      <c r="A530" s="7" t="str">
        <f>IFERROR(__xludf.DUMMYFUNCTION("""COMPUTED_VALUE"""),"https://www.method.me/blog/docusign-quickbooks-integration/")</f>
        <v>https://www.method.me/blog/docusign-quickbooks-integration/</v>
      </c>
      <c r="B530" s="1" t="str">
        <f>IFERROR(__xludf.DUMMYFUNCTION("""COMPUTED_VALUE"""),"QuickBooks - General")</f>
        <v>QuickBooks - General</v>
      </c>
      <c r="C530" s="1" t="str">
        <f>IFERROR(__xludf.DUMMYFUNCTION("""COMPUTED_VALUE"""),"Blog")</f>
        <v>Blog</v>
      </c>
      <c r="D530" s="1" t="str">
        <f>IFERROR(__xludf.DUMMYFUNCTION("""COMPUTED_VALUE"""),"DocuSign QuickBooks integration: A better way")</f>
        <v>DocuSign QuickBooks integration: A better way</v>
      </c>
      <c r="E530" s="12">
        <f>IFERROR(__xludf.DUMMYFUNCTION("""COMPUTED_VALUE"""),44823.416666666664)</f>
        <v>44823.41667</v>
      </c>
    </row>
    <row r="531">
      <c r="A531" s="7" t="str">
        <f>IFERROR(__xludf.DUMMYFUNCTION("""COMPUTED_VALUE"""),"https://www.method.me/resources/compare/nutshell-alternative/")</f>
        <v>https://www.method.me/resources/compare/nutshell-alternative/</v>
      </c>
      <c r="B531" s="1" t="str">
        <f>IFERROR(__xludf.DUMMYFUNCTION("""COMPUTED_VALUE"""),"Method - Competitor Comparison")</f>
        <v>Method - Competitor Comparison</v>
      </c>
      <c r="C531" s="1" t="str">
        <f>IFERROR(__xludf.DUMMYFUNCTION("""COMPUTED_VALUE"""),"Guide")</f>
        <v>Guide</v>
      </c>
      <c r="D531" s="1" t="str">
        <f>IFERROR(__xludf.DUMMYFUNCTION("""COMPUTED_VALUE"""),"Method:CRM — The best Nutshell alternative")</f>
        <v>Method:CRM — The best Nutshell alternative</v>
      </c>
      <c r="E531" s="12">
        <f>IFERROR(__xludf.DUMMYFUNCTION("""COMPUTED_VALUE"""),44823.55746527778)</f>
        <v>44823.55747</v>
      </c>
    </row>
    <row r="532">
      <c r="A532" s="7" t="str">
        <f>IFERROR(__xludf.DUMMYFUNCTION("""COMPUTED_VALUE"""),"https://www.method.me/videos/top-5-qbo-workflows-to-automate/")</f>
        <v>https://www.method.me/videos/top-5-qbo-workflows-to-automate/</v>
      </c>
      <c r="B532" s="1" t="str">
        <f>IFERROR(__xludf.DUMMYFUNCTION("""COMPUTED_VALUE"""),"Video page")</f>
        <v>Video page</v>
      </c>
      <c r="C532" s="1" t="str">
        <f>IFERROR(__xludf.DUMMYFUNCTION("""COMPUTED_VALUE"""),"Other page")</f>
        <v>Other page</v>
      </c>
      <c r="D532" s="1" t="str">
        <f>IFERROR(__xludf.DUMMYFUNCTION("""COMPUTED_VALUE"""),"The top 5 QuickBooks Online workflows you need to automate")</f>
        <v>The top 5 QuickBooks Online workflows you need to automate</v>
      </c>
      <c r="E532" s="12">
        <f>IFERROR(__xludf.DUMMYFUNCTION("""COMPUTED_VALUE"""),44827.42787037037)</f>
        <v>44827.42787</v>
      </c>
    </row>
    <row r="533">
      <c r="A533" s="7" t="str">
        <f>IFERROR(__xludf.DUMMYFUNCTION("""COMPUTED_VALUE"""),"https://www.method.me/resources/compare/hubspot-crm-vs-jobber-vs-method-crm/")</f>
        <v>https://www.method.me/resources/compare/hubspot-crm-vs-jobber-vs-method-crm/</v>
      </c>
      <c r="B533" s="1" t="str">
        <f>IFERROR(__xludf.DUMMYFUNCTION("""COMPUTED_VALUE"""),"Method - Competitor Comparison")</f>
        <v>Method - Competitor Comparison</v>
      </c>
      <c r="C533" s="1" t="str">
        <f>IFERROR(__xludf.DUMMYFUNCTION("""COMPUTED_VALUE"""),"Guide")</f>
        <v>Guide</v>
      </c>
      <c r="D533" s="1" t="str">
        <f>IFERROR(__xludf.DUMMYFUNCTION("""COMPUTED_VALUE"""),"Compare Hubspot CRM vs. Jobber. vs. Method:CRM")</f>
        <v>Compare Hubspot CRM vs. Jobber. vs. Method:CRM</v>
      </c>
      <c r="E533" s="12">
        <f>IFERROR(__xludf.DUMMYFUNCTION("""COMPUTED_VALUE"""),44831.61572916667)</f>
        <v>44831.61573</v>
      </c>
    </row>
    <row r="534">
      <c r="A534" s="7" t="str">
        <f>IFERROR(__xludf.DUMMYFUNCTION("""COMPUTED_VALUE"""),"https://www.method.me/resources/compare/hubspot-crm-vs-keap-vs-method-crm/")</f>
        <v>https://www.method.me/resources/compare/hubspot-crm-vs-keap-vs-method-crm/</v>
      </c>
      <c r="B534" s="1" t="str">
        <f>IFERROR(__xludf.DUMMYFUNCTION("""COMPUTED_VALUE"""),"Method - Competitor Comparison")</f>
        <v>Method - Competitor Comparison</v>
      </c>
      <c r="C534" s="1" t="str">
        <f>IFERROR(__xludf.DUMMYFUNCTION("""COMPUTED_VALUE"""),"Guide")</f>
        <v>Guide</v>
      </c>
      <c r="D534" s="1" t="str">
        <f>IFERROR(__xludf.DUMMYFUNCTION("""COMPUTED_VALUE"""),"Compare HubSpot CRM vs. Keap vs. Method:CRM")</f>
        <v>Compare HubSpot CRM vs. Keap vs. Method:CRM</v>
      </c>
      <c r="E534" s="12">
        <f>IFERROR(__xludf.DUMMYFUNCTION("""COMPUTED_VALUE"""),44831.61574074074)</f>
        <v>44831.61574</v>
      </c>
    </row>
    <row r="535">
      <c r="A535" s="7" t="str">
        <f>IFERROR(__xludf.DUMMYFUNCTION("""COMPUTED_VALUE"""),"https://www.method.me/resources/compare/insightly-vs-hubspot-crm-vs-method-crm/")</f>
        <v>https://www.method.me/resources/compare/insightly-vs-hubspot-crm-vs-method-crm/</v>
      </c>
      <c r="B535" s="1" t="str">
        <f>IFERROR(__xludf.DUMMYFUNCTION("""COMPUTED_VALUE"""),"Method - Competitor Comparison")</f>
        <v>Method - Competitor Comparison</v>
      </c>
      <c r="C535" s="1" t="str">
        <f>IFERROR(__xludf.DUMMYFUNCTION("""COMPUTED_VALUE"""),"Guide")</f>
        <v>Guide</v>
      </c>
      <c r="D535" s="1" t="str">
        <f>IFERROR(__xludf.DUMMYFUNCTION("""COMPUTED_VALUE"""),"Compare Insightly vs. HubSpot CRM vs. Method:CRM")</f>
        <v>Compare Insightly vs. HubSpot CRM vs. Method:CRM</v>
      </c>
      <c r="E535" s="12">
        <f>IFERROR(__xludf.DUMMYFUNCTION("""COMPUTED_VALUE"""),44831.615752314814)</f>
        <v>44831.61575</v>
      </c>
    </row>
    <row r="536">
      <c r="A536" s="7" t="str">
        <f>IFERROR(__xludf.DUMMYFUNCTION("""COMPUTED_VALUE"""),"https://www.method.me/resources/compare/insightly-vs-jobber-vs-method-crm/")</f>
        <v>https://www.method.me/resources/compare/insightly-vs-jobber-vs-method-crm/</v>
      </c>
      <c r="B536" s="1" t="str">
        <f>IFERROR(__xludf.DUMMYFUNCTION("""COMPUTED_VALUE"""),"Method - Competitor Comparison")</f>
        <v>Method - Competitor Comparison</v>
      </c>
      <c r="C536" s="1" t="str">
        <f>IFERROR(__xludf.DUMMYFUNCTION("""COMPUTED_VALUE"""),"Guide")</f>
        <v>Guide</v>
      </c>
      <c r="D536" s="1" t="str">
        <f>IFERROR(__xludf.DUMMYFUNCTION("""COMPUTED_VALUE"""),"Compare Insightly vs. Jobber vs. Method:CRM")</f>
        <v>Compare Insightly vs. Jobber vs. Method:CRM</v>
      </c>
      <c r="E536" s="12">
        <f>IFERROR(__xludf.DUMMYFUNCTION("""COMPUTED_VALUE"""),44831.61577546296)</f>
        <v>44831.61578</v>
      </c>
    </row>
    <row r="537">
      <c r="A537" s="7" t="str">
        <f>IFERROR(__xludf.DUMMYFUNCTION("""COMPUTED_VALUE"""),"https://www.method.me/resources/compare/insightly-vs-keap-vs-method-crm/")</f>
        <v>https://www.method.me/resources/compare/insightly-vs-keap-vs-method-crm/</v>
      </c>
      <c r="B537" s="1" t="str">
        <f>IFERROR(__xludf.DUMMYFUNCTION("""COMPUTED_VALUE"""),"Method - Competitor Comparison")</f>
        <v>Method - Competitor Comparison</v>
      </c>
      <c r="C537" s="1" t="str">
        <f>IFERROR(__xludf.DUMMYFUNCTION("""COMPUTED_VALUE"""),"Guide")</f>
        <v>Guide</v>
      </c>
      <c r="D537" s="1" t="str">
        <f>IFERROR(__xludf.DUMMYFUNCTION("""COMPUTED_VALUE"""),"Compare Insightly vs. Keap vs. Method:CRM")</f>
        <v>Compare Insightly vs. Keap vs. Method:CRM</v>
      </c>
      <c r="E537" s="12">
        <f>IFERROR(__xludf.DUMMYFUNCTION("""COMPUTED_VALUE"""),44831.61578703704)</f>
        <v>44831.61579</v>
      </c>
    </row>
    <row r="538">
      <c r="A538" s="7" t="str">
        <f>IFERROR(__xludf.DUMMYFUNCTION("""COMPUTED_VALUE"""),"https://www.method.me/resources/compare/insightly-vs-pipedrive-vs-method-crm/")</f>
        <v>https://www.method.me/resources/compare/insightly-vs-pipedrive-vs-method-crm/</v>
      </c>
      <c r="B538" s="1" t="str">
        <f>IFERROR(__xludf.DUMMYFUNCTION("""COMPUTED_VALUE"""),"Method - Competitor Comparison")</f>
        <v>Method - Competitor Comparison</v>
      </c>
      <c r="C538" s="1" t="str">
        <f>IFERROR(__xludf.DUMMYFUNCTION("""COMPUTED_VALUE"""),"Guide")</f>
        <v>Guide</v>
      </c>
      <c r="D538" s="1" t="str">
        <f>IFERROR(__xludf.DUMMYFUNCTION("""COMPUTED_VALUE"""),"Compare Insightly vs. Pipedrive vs. Method:CRM")</f>
        <v>Compare Insightly vs. Pipedrive vs. Method:CRM</v>
      </c>
      <c r="E538" s="12">
        <f>IFERROR(__xludf.DUMMYFUNCTION("""COMPUTED_VALUE"""),44831.615798611114)</f>
        <v>44831.6158</v>
      </c>
    </row>
    <row r="539">
      <c r="A539" s="7" t="str">
        <f>IFERROR(__xludf.DUMMYFUNCTION("""COMPUTED_VALUE"""),"https://www.method.me/resources/compare/insightly-vs-salesforce-vs-method-crm/")</f>
        <v>https://www.method.me/resources/compare/insightly-vs-salesforce-vs-method-crm/</v>
      </c>
      <c r="B539" s="1" t="str">
        <f>IFERROR(__xludf.DUMMYFUNCTION("""COMPUTED_VALUE"""),"Method - Competitor Comparison")</f>
        <v>Method - Competitor Comparison</v>
      </c>
      <c r="C539" s="1" t="str">
        <f>IFERROR(__xludf.DUMMYFUNCTION("""COMPUTED_VALUE"""),"Guide")</f>
        <v>Guide</v>
      </c>
      <c r="D539" s="1" t="str">
        <f>IFERROR(__xludf.DUMMYFUNCTION("""COMPUTED_VALUE"""),"Compare Insightly vs. Salesforce vs. Method:CRM")</f>
        <v>Compare Insightly vs. Salesforce vs. Method:CRM</v>
      </c>
      <c r="E539" s="12">
        <f>IFERROR(__xludf.DUMMYFUNCTION("""COMPUTED_VALUE"""),44831.61581018518)</f>
        <v>44831.61581</v>
      </c>
    </row>
    <row r="540">
      <c r="A540" s="7" t="str">
        <f>IFERROR(__xludf.DUMMYFUNCTION("""COMPUTED_VALUE"""),"https://www.method.me/resources/compare/insightly-vs-zoho-vs-method-crm/")</f>
        <v>https://www.method.me/resources/compare/insightly-vs-zoho-vs-method-crm/</v>
      </c>
      <c r="B540" s="1" t="str">
        <f>IFERROR(__xludf.DUMMYFUNCTION("""COMPUTED_VALUE"""),"Method - Competitor Comparison")</f>
        <v>Method - Competitor Comparison</v>
      </c>
      <c r="C540" s="1" t="str">
        <f>IFERROR(__xludf.DUMMYFUNCTION("""COMPUTED_VALUE"""),"Guide")</f>
        <v>Guide</v>
      </c>
      <c r="D540" s="1" t="str">
        <f>IFERROR(__xludf.DUMMYFUNCTION("""COMPUTED_VALUE"""),"Compare Insightly vs. Zoho vs. Method:CRM")</f>
        <v>Compare Insightly vs. Zoho vs. Method:CRM</v>
      </c>
      <c r="E540" s="12">
        <f>IFERROR(__xludf.DUMMYFUNCTION("""COMPUTED_VALUE"""),44831.61582175926)</f>
        <v>44831.61582</v>
      </c>
    </row>
    <row r="541">
      <c r="A541" s="7" t="str">
        <f>IFERROR(__xludf.DUMMYFUNCTION("""COMPUTED_VALUE"""),"https://www.method.me/resources/compare/keap-vs-jobber-vs-method-crm/")</f>
        <v>https://www.method.me/resources/compare/keap-vs-jobber-vs-method-crm/</v>
      </c>
      <c r="B541" s="1" t="str">
        <f>IFERROR(__xludf.DUMMYFUNCTION("""COMPUTED_VALUE"""),"Method - Competitor Comparison")</f>
        <v>Method - Competitor Comparison</v>
      </c>
      <c r="C541" s="1" t="str">
        <f>IFERROR(__xludf.DUMMYFUNCTION("""COMPUTED_VALUE"""),"Guide")</f>
        <v>Guide</v>
      </c>
      <c r="D541" s="1" t="str">
        <f>IFERROR(__xludf.DUMMYFUNCTION("""COMPUTED_VALUE"""),"Compare Keap vs. Jobber vs. Method:CRM")</f>
        <v>Compare Keap vs. Jobber vs. Method:CRM</v>
      </c>
      <c r="E541" s="12">
        <f>IFERROR(__xludf.DUMMYFUNCTION("""COMPUTED_VALUE"""),44831.61583333334)</f>
        <v>44831.61583</v>
      </c>
    </row>
    <row r="542">
      <c r="A542" s="7" t="str">
        <f>IFERROR(__xludf.DUMMYFUNCTION("""COMPUTED_VALUE"""),"https://www.method.me/resources/compare/nutshell-vs-hubspot-crm-vs-method-crm/")</f>
        <v>https://www.method.me/resources/compare/nutshell-vs-hubspot-crm-vs-method-crm/</v>
      </c>
      <c r="B542" s="1" t="str">
        <f>IFERROR(__xludf.DUMMYFUNCTION("""COMPUTED_VALUE"""),"Method - Competitor Comparison")</f>
        <v>Method - Competitor Comparison</v>
      </c>
      <c r="C542" s="1" t="str">
        <f>IFERROR(__xludf.DUMMYFUNCTION("""COMPUTED_VALUE"""),"Guide")</f>
        <v>Guide</v>
      </c>
      <c r="D542" s="1" t="str">
        <f>IFERROR(__xludf.DUMMYFUNCTION("""COMPUTED_VALUE"""),"Compare Nutshell vs. HubSpot CRM vs. Method:CRM")</f>
        <v>Compare Nutshell vs. HubSpot CRM vs. Method:CRM</v>
      </c>
      <c r="E542" s="12">
        <f>IFERROR(__xludf.DUMMYFUNCTION("""COMPUTED_VALUE"""),44831.61584490741)</f>
        <v>44831.61584</v>
      </c>
    </row>
    <row r="543">
      <c r="A543" s="7" t="str">
        <f>IFERROR(__xludf.DUMMYFUNCTION("""COMPUTED_VALUE"""),"https://www.method.me/resources/compare/nutshell-vs-insightly-vs-method-crm/")</f>
        <v>https://www.method.me/resources/compare/nutshell-vs-insightly-vs-method-crm/</v>
      </c>
      <c r="B543" s="1" t="str">
        <f>IFERROR(__xludf.DUMMYFUNCTION("""COMPUTED_VALUE"""),"Method - Competitor Comparison")</f>
        <v>Method - Competitor Comparison</v>
      </c>
      <c r="C543" s="1" t="str">
        <f>IFERROR(__xludf.DUMMYFUNCTION("""COMPUTED_VALUE"""),"Guide")</f>
        <v>Guide</v>
      </c>
      <c r="D543" s="1" t="str">
        <f>IFERROR(__xludf.DUMMYFUNCTION("""COMPUTED_VALUE"""),"Compare Nutshell vs. Insightly vs. Method:CRM")</f>
        <v>Compare Nutshell vs. Insightly vs. Method:CRM</v>
      </c>
      <c r="E543" s="12">
        <f>IFERROR(__xludf.DUMMYFUNCTION("""COMPUTED_VALUE"""),44831.61585648148)</f>
        <v>44831.61586</v>
      </c>
    </row>
    <row r="544">
      <c r="A544" s="7" t="str">
        <f>IFERROR(__xludf.DUMMYFUNCTION("""COMPUTED_VALUE"""),"https://www.method.me/resources/compare/nutshell-vs-jobber-vs-method-crm/")</f>
        <v>https://www.method.me/resources/compare/nutshell-vs-jobber-vs-method-crm/</v>
      </c>
      <c r="B544" s="1" t="str">
        <f>IFERROR(__xludf.DUMMYFUNCTION("""COMPUTED_VALUE"""),"Method - Competitor Comparison")</f>
        <v>Method - Competitor Comparison</v>
      </c>
      <c r="C544" s="1" t="str">
        <f>IFERROR(__xludf.DUMMYFUNCTION("""COMPUTED_VALUE"""),"Guide")</f>
        <v>Guide</v>
      </c>
      <c r="D544" s="1" t="str">
        <f>IFERROR(__xludf.DUMMYFUNCTION("""COMPUTED_VALUE"""),"Compare Nutshell vs. Jobber vs. Method:CRM")</f>
        <v>Compare Nutshell vs. Jobber vs. Method:CRM</v>
      </c>
      <c r="E544" s="12">
        <f>IFERROR(__xludf.DUMMYFUNCTION("""COMPUTED_VALUE"""),44831.61586805555)</f>
        <v>44831.61587</v>
      </c>
    </row>
    <row r="545">
      <c r="A545" s="7" t="str">
        <f>IFERROR(__xludf.DUMMYFUNCTION("""COMPUTED_VALUE"""),"https://www.method.me/resources/compare/nutshell-vs-keap-vs-method-crm/")</f>
        <v>https://www.method.me/resources/compare/nutshell-vs-keap-vs-method-crm/</v>
      </c>
      <c r="B545" s="1" t="str">
        <f>IFERROR(__xludf.DUMMYFUNCTION("""COMPUTED_VALUE"""),"Method - Competitor Comparison")</f>
        <v>Method - Competitor Comparison</v>
      </c>
      <c r="C545" s="1" t="str">
        <f>IFERROR(__xludf.DUMMYFUNCTION("""COMPUTED_VALUE"""),"Guide")</f>
        <v>Guide</v>
      </c>
      <c r="D545" s="1" t="str">
        <f>IFERROR(__xludf.DUMMYFUNCTION("""COMPUTED_VALUE"""),"Compare Nutshell vs. Keap vs. Method:CRM")</f>
        <v>Compare Nutshell vs. Keap vs. Method:CRM</v>
      </c>
      <c r="E545" s="12">
        <f>IFERROR(__xludf.DUMMYFUNCTION("""COMPUTED_VALUE"""),44831.61587962963)</f>
        <v>44831.61588</v>
      </c>
    </row>
    <row r="546">
      <c r="A546" s="7" t="str">
        <f>IFERROR(__xludf.DUMMYFUNCTION("""COMPUTED_VALUE"""),"https://www.method.me/resources/compare/nutshell-vs-pipedrive-vs-method-crm/")</f>
        <v>https://www.method.me/resources/compare/nutshell-vs-pipedrive-vs-method-crm/</v>
      </c>
      <c r="B546" s="1" t="str">
        <f>IFERROR(__xludf.DUMMYFUNCTION("""COMPUTED_VALUE"""),"Method - Competitor Comparison")</f>
        <v>Method - Competitor Comparison</v>
      </c>
      <c r="C546" s="1" t="str">
        <f>IFERROR(__xludf.DUMMYFUNCTION("""COMPUTED_VALUE"""),"Guide")</f>
        <v>Guide</v>
      </c>
      <c r="D546" s="1" t="str">
        <f>IFERROR(__xludf.DUMMYFUNCTION("""COMPUTED_VALUE"""),"Compare Nutshell vs. Pipedrive vs. Method:CRM")</f>
        <v>Compare Nutshell vs. Pipedrive vs. Method:CRM</v>
      </c>
      <c r="E546" s="12">
        <f>IFERROR(__xludf.DUMMYFUNCTION("""COMPUTED_VALUE"""),44831.615891203706)</f>
        <v>44831.61589</v>
      </c>
    </row>
    <row r="547">
      <c r="A547" s="7" t="str">
        <f>IFERROR(__xludf.DUMMYFUNCTION("""COMPUTED_VALUE"""),"https://www.method.me/resources/compare/nutshell-vs-salesforce-vs-method-crm/")</f>
        <v>https://www.method.me/resources/compare/nutshell-vs-salesforce-vs-method-crm/</v>
      </c>
      <c r="B547" s="1" t="str">
        <f>IFERROR(__xludf.DUMMYFUNCTION("""COMPUTED_VALUE"""),"Method - Competitor Comparison")</f>
        <v>Method - Competitor Comparison</v>
      </c>
      <c r="C547" s="1" t="str">
        <f>IFERROR(__xludf.DUMMYFUNCTION("""COMPUTED_VALUE"""),"Guide")</f>
        <v>Guide</v>
      </c>
      <c r="D547" s="1" t="str">
        <f>IFERROR(__xludf.DUMMYFUNCTION("""COMPUTED_VALUE"""),"Compare Nutshell vs. Salesforce vs. Method:CRM")</f>
        <v>Compare Nutshell vs. Salesforce vs. Method:CRM</v>
      </c>
      <c r="E547" s="12">
        <f>IFERROR(__xludf.DUMMYFUNCTION("""COMPUTED_VALUE"""),44831.615902777776)</f>
        <v>44831.6159</v>
      </c>
    </row>
    <row r="548">
      <c r="A548" s="7" t="str">
        <f>IFERROR(__xludf.DUMMYFUNCTION("""COMPUTED_VALUE"""),"https://www.method.me/resources/compare/nutshell-vs-zoho-vs-method-crm/")</f>
        <v>https://www.method.me/resources/compare/nutshell-vs-zoho-vs-method-crm/</v>
      </c>
      <c r="B548" s="1" t="str">
        <f>IFERROR(__xludf.DUMMYFUNCTION("""COMPUTED_VALUE"""),"Method - Competitor Comparison")</f>
        <v>Method - Competitor Comparison</v>
      </c>
      <c r="C548" s="1" t="str">
        <f>IFERROR(__xludf.DUMMYFUNCTION("""COMPUTED_VALUE"""),"Guide")</f>
        <v>Guide</v>
      </c>
      <c r="D548" s="1" t="str">
        <f>IFERROR(__xludf.DUMMYFUNCTION("""COMPUTED_VALUE"""),"Compare Nutshell vs. Zoho vs. Method:CRM")</f>
        <v>Compare Nutshell vs. Zoho vs. Method:CRM</v>
      </c>
      <c r="E548" s="12">
        <f>IFERROR(__xludf.DUMMYFUNCTION("""COMPUTED_VALUE"""),44831.61591435185)</f>
        <v>44831.61591</v>
      </c>
    </row>
    <row r="549">
      <c r="A549" s="7" t="str">
        <f>IFERROR(__xludf.DUMMYFUNCTION("""COMPUTED_VALUE"""),"https://www.method.me/resources/compare/pipedrive-vs-hubspot-crm-vs-method-crm/")</f>
        <v>https://www.method.me/resources/compare/pipedrive-vs-hubspot-crm-vs-method-crm/</v>
      </c>
      <c r="B549" s="1" t="str">
        <f>IFERROR(__xludf.DUMMYFUNCTION("""COMPUTED_VALUE"""),"Method - Competitor Comparison")</f>
        <v>Method - Competitor Comparison</v>
      </c>
      <c r="C549" s="1" t="str">
        <f>IFERROR(__xludf.DUMMYFUNCTION("""COMPUTED_VALUE"""),"Guide")</f>
        <v>Guide</v>
      </c>
      <c r="D549" s="1" t="str">
        <f>IFERROR(__xludf.DUMMYFUNCTION("""COMPUTED_VALUE"""),"Compare Pipedrive vs. HubSpot CRM vs. Method:CRM")</f>
        <v>Compare Pipedrive vs. HubSpot CRM vs. Method:CRM</v>
      </c>
      <c r="E549" s="12">
        <f>IFERROR(__xludf.DUMMYFUNCTION("""COMPUTED_VALUE"""),44831.616643518515)</f>
        <v>44831.61664</v>
      </c>
    </row>
    <row r="550">
      <c r="A550" s="7" t="str">
        <f>IFERROR(__xludf.DUMMYFUNCTION("""COMPUTED_VALUE"""),"https://www.method.me/resources/compare/pipedrive-alternatives/")</f>
        <v>https://www.method.me/resources/compare/pipedrive-alternatives/</v>
      </c>
      <c r="B550" s="1" t="str">
        <f>IFERROR(__xludf.DUMMYFUNCTION("""COMPUTED_VALUE"""),"Method - Competitor Comparison")</f>
        <v>Method - Competitor Comparison</v>
      </c>
      <c r="C550" s="1" t="str">
        <f>IFERROR(__xludf.DUMMYFUNCTION("""COMPUTED_VALUE"""),"Guide")</f>
        <v>Guide</v>
      </c>
      <c r="D550" s="1" t="str">
        <f>IFERROR(__xludf.DUMMYFUNCTION("""COMPUTED_VALUE"""),"Pipedrive alternative: Compare Pipedrive vs. Jobber vs. Method:CRM")</f>
        <v>Pipedrive alternative: Compare Pipedrive vs. Jobber vs. Method:CRM</v>
      </c>
      <c r="E550" s="12">
        <f>IFERROR(__xludf.DUMMYFUNCTION("""COMPUTED_VALUE"""),44831.61666666667)</f>
        <v>44831.61667</v>
      </c>
    </row>
    <row r="551">
      <c r="A551" s="7" t="str">
        <f>IFERROR(__xludf.DUMMYFUNCTION("""COMPUTED_VALUE"""),"https://www.method.me/resources/compare/pipedrive-vs-keap-vs-method-crm/")</f>
        <v>https://www.method.me/resources/compare/pipedrive-vs-keap-vs-method-crm/</v>
      </c>
      <c r="B551" s="1" t="str">
        <f>IFERROR(__xludf.DUMMYFUNCTION("""COMPUTED_VALUE"""),"Method - Competitor Comparison")</f>
        <v>Method - Competitor Comparison</v>
      </c>
      <c r="C551" s="1" t="str">
        <f>IFERROR(__xludf.DUMMYFUNCTION("""COMPUTED_VALUE"""),"Guide")</f>
        <v>Guide</v>
      </c>
      <c r="D551" s="1" t="str">
        <f>IFERROR(__xludf.DUMMYFUNCTION("""COMPUTED_VALUE"""),"Compare Keap vs. Pipedrive vs. Method:CRM")</f>
        <v>Compare Keap vs. Pipedrive vs. Method:CRM</v>
      </c>
      <c r="E551" s="12">
        <f>IFERROR(__xludf.DUMMYFUNCTION("""COMPUTED_VALUE"""),44831.616689814815)</f>
        <v>44831.61669</v>
      </c>
    </row>
    <row r="552">
      <c r="A552" s="7" t="str">
        <f>IFERROR(__xludf.DUMMYFUNCTION("""COMPUTED_VALUE"""),"https://www.method.me/resources/compare/pipedrive-vs-salesforce-vs-method-crm/")</f>
        <v>https://www.method.me/resources/compare/pipedrive-vs-salesforce-vs-method-crm/</v>
      </c>
      <c r="B552" s="1" t="str">
        <f>IFERROR(__xludf.DUMMYFUNCTION("""COMPUTED_VALUE"""),"Method - Competitor Comparison")</f>
        <v>Method - Competitor Comparison</v>
      </c>
      <c r="C552" s="1" t="str">
        <f>IFERROR(__xludf.DUMMYFUNCTION("""COMPUTED_VALUE"""),"Guide")</f>
        <v>Guide</v>
      </c>
      <c r="D552" s="1" t="str">
        <f>IFERROR(__xludf.DUMMYFUNCTION("""COMPUTED_VALUE"""),"Compare Pipedrive vs. Salesforce vs. Method:CRM")</f>
        <v>Compare Pipedrive vs. Salesforce vs. Method:CRM</v>
      </c>
      <c r="E552" s="12">
        <f>IFERROR(__xludf.DUMMYFUNCTION("""COMPUTED_VALUE"""),44831.61670138889)</f>
        <v>44831.6167</v>
      </c>
    </row>
    <row r="553">
      <c r="A553" s="7" t="str">
        <f>IFERROR(__xludf.DUMMYFUNCTION("""COMPUTED_VALUE"""),"https://www.method.me/resources/compare/salesforce-vs-jobber-vs-method-crm/")</f>
        <v>https://www.method.me/resources/compare/salesforce-vs-jobber-vs-method-crm/</v>
      </c>
      <c r="B553" s="1" t="str">
        <f>IFERROR(__xludf.DUMMYFUNCTION("""COMPUTED_VALUE"""),"Listicle - Software / Software overview")</f>
        <v>Listicle - Software / Software overview</v>
      </c>
      <c r="C553" s="1" t="str">
        <f>IFERROR(__xludf.DUMMYFUNCTION("""COMPUTED_VALUE"""),"Guide")</f>
        <v>Guide</v>
      </c>
      <c r="D553" s="1" t="str">
        <f>IFERROR(__xludf.DUMMYFUNCTION("""COMPUTED_VALUE"""),"Jobber CRM: Reviews, features, pricing, and alternatives in 2024")</f>
        <v>Jobber CRM: Reviews, features, pricing, and alternatives in 2024</v>
      </c>
      <c r="E553" s="12">
        <f>IFERROR(__xludf.DUMMYFUNCTION("""COMPUTED_VALUE"""),44831.61671296296)</f>
        <v>44831.61671</v>
      </c>
    </row>
    <row r="554">
      <c r="A554" s="7" t="str">
        <f>IFERROR(__xludf.DUMMYFUNCTION("""COMPUTED_VALUE"""),"https://www.method.me/resources/compare/salesforce-vs-hubspot-crm-vs-method-crm/")</f>
        <v>https://www.method.me/resources/compare/salesforce-vs-hubspot-crm-vs-method-crm/</v>
      </c>
      <c r="B554" s="1" t="str">
        <f>IFERROR(__xludf.DUMMYFUNCTION("""COMPUTED_VALUE"""),"Method - Competitor Comparison")</f>
        <v>Method - Competitor Comparison</v>
      </c>
      <c r="C554" s="1" t="str">
        <f>IFERROR(__xludf.DUMMYFUNCTION("""COMPUTED_VALUE"""),"Guide")</f>
        <v>Guide</v>
      </c>
      <c r="D554" s="1" t="str">
        <f>IFERROR(__xludf.DUMMYFUNCTION("""COMPUTED_VALUE"""),"Compare Salesforce vs. HubSpot CRM vs. Method:CRM")</f>
        <v>Compare Salesforce vs. HubSpot CRM vs. Method:CRM</v>
      </c>
      <c r="E554" s="12">
        <f>IFERROR(__xludf.DUMMYFUNCTION("""COMPUTED_VALUE"""),44831.61671296296)</f>
        <v>44831.61671</v>
      </c>
    </row>
    <row r="555">
      <c r="A555" s="7" t="str">
        <f>IFERROR(__xludf.DUMMYFUNCTION("""COMPUTED_VALUE"""),"https://www.method.me/resources/compare/salesforce-vs-keap-vs-method-crm/")</f>
        <v>https://www.method.me/resources/compare/salesforce-vs-keap-vs-method-crm/</v>
      </c>
      <c r="B555" s="1" t="str">
        <f>IFERROR(__xludf.DUMMYFUNCTION("""COMPUTED_VALUE"""),"Method - Competitor Comparison")</f>
        <v>Method - Competitor Comparison</v>
      </c>
      <c r="C555" s="1" t="str">
        <f>IFERROR(__xludf.DUMMYFUNCTION("""COMPUTED_VALUE"""),"Guide")</f>
        <v>Guide</v>
      </c>
      <c r="D555" s="1" t="str">
        <f>IFERROR(__xludf.DUMMYFUNCTION("""COMPUTED_VALUE"""),"Compare Salesforce vs. Keap vs. Method:CRM")</f>
        <v>Compare Salesforce vs. Keap vs. Method:CRM</v>
      </c>
      <c r="E555" s="12">
        <f>IFERROR(__xludf.DUMMYFUNCTION("""COMPUTED_VALUE"""),44831.61672453704)</f>
        <v>44831.61672</v>
      </c>
    </row>
    <row r="556">
      <c r="A556" s="7" t="str">
        <f>IFERROR(__xludf.DUMMYFUNCTION("""COMPUTED_VALUE"""),"https://www.method.me/resources/compare/zoho-vs-hubspot-crm-vs-method-crm/")</f>
        <v>https://www.method.me/resources/compare/zoho-vs-hubspot-crm-vs-method-crm/</v>
      </c>
      <c r="B556" s="1" t="str">
        <f>IFERROR(__xludf.DUMMYFUNCTION("""COMPUTED_VALUE"""),"Method - Competitor Comparison")</f>
        <v>Method - Competitor Comparison</v>
      </c>
      <c r="C556" s="1" t="str">
        <f>IFERROR(__xludf.DUMMYFUNCTION("""COMPUTED_VALUE"""),"Guide")</f>
        <v>Guide</v>
      </c>
      <c r="D556" s="1" t="str">
        <f>IFERROR(__xludf.DUMMYFUNCTION("""COMPUTED_VALUE"""),"Compare Zoho vs. HubSpot CRM vs. Method:CRM")</f>
        <v>Compare Zoho vs. HubSpot CRM vs. Method:CRM</v>
      </c>
      <c r="E556" s="12">
        <f>IFERROR(__xludf.DUMMYFUNCTION("""COMPUTED_VALUE"""),44831.616736111115)</f>
        <v>44831.61674</v>
      </c>
    </row>
    <row r="557">
      <c r="A557" s="7" t="str">
        <f>IFERROR(__xludf.DUMMYFUNCTION("""COMPUTED_VALUE"""),"https://www.method.me/resources/compare/zoho-vs-jobber-vs-method-crm/")</f>
        <v>https://www.method.me/resources/compare/zoho-vs-jobber-vs-method-crm/</v>
      </c>
      <c r="B557" s="1" t="str">
        <f>IFERROR(__xludf.DUMMYFUNCTION("""COMPUTED_VALUE"""),"Method - Competitor Comparison")</f>
        <v>Method - Competitor Comparison</v>
      </c>
      <c r="C557" s="1" t="str">
        <f>IFERROR(__xludf.DUMMYFUNCTION("""COMPUTED_VALUE"""),"Guide")</f>
        <v>Guide</v>
      </c>
      <c r="D557" s="1" t="str">
        <f>IFERROR(__xludf.DUMMYFUNCTION("""COMPUTED_VALUE"""),"Compare Zoho vs. Jobber vs. Method:CRM")</f>
        <v>Compare Zoho vs. Jobber vs. Method:CRM</v>
      </c>
      <c r="E557" s="12">
        <f>IFERROR(__xludf.DUMMYFUNCTION("""COMPUTED_VALUE"""),44831.616747685184)</f>
        <v>44831.61675</v>
      </c>
    </row>
    <row r="558">
      <c r="A558" s="7" t="str">
        <f>IFERROR(__xludf.DUMMYFUNCTION("""COMPUTED_VALUE"""),"https://www.method.me/resources/compare/zoho-vs-pipedrive-vs-method-crm/")</f>
        <v>https://www.method.me/resources/compare/zoho-vs-pipedrive-vs-method-crm/</v>
      </c>
      <c r="B558" s="1" t="str">
        <f>IFERROR(__xludf.DUMMYFUNCTION("""COMPUTED_VALUE"""),"Method - Competitor Comparison")</f>
        <v>Method - Competitor Comparison</v>
      </c>
      <c r="C558" s="1" t="str">
        <f>IFERROR(__xludf.DUMMYFUNCTION("""COMPUTED_VALUE"""),"Guide")</f>
        <v>Guide</v>
      </c>
      <c r="D558" s="1" t="str">
        <f>IFERROR(__xludf.DUMMYFUNCTION("""COMPUTED_VALUE"""),"Compare Zoho vs. Pipedrive vs. Method:CRM")</f>
        <v>Compare Zoho vs. Pipedrive vs. Method:CRM</v>
      </c>
      <c r="E558" s="12">
        <f>IFERROR(__xludf.DUMMYFUNCTION("""COMPUTED_VALUE"""),44831.61675925926)</f>
        <v>44831.61676</v>
      </c>
    </row>
    <row r="559">
      <c r="A559" s="7" t="str">
        <f>IFERROR(__xludf.DUMMYFUNCTION("""COMPUTED_VALUE"""),"https://www.method.me/resources/compare/zoho-vs-keap-vs-method-crm/")</f>
        <v>https://www.method.me/resources/compare/zoho-vs-keap-vs-method-crm/</v>
      </c>
      <c r="B559" s="1" t="str">
        <f>IFERROR(__xludf.DUMMYFUNCTION("""COMPUTED_VALUE"""),"Method - Competitor Comparison")</f>
        <v>Method - Competitor Comparison</v>
      </c>
      <c r="C559" s="1" t="str">
        <f>IFERROR(__xludf.DUMMYFUNCTION("""COMPUTED_VALUE"""),"Guide")</f>
        <v>Guide</v>
      </c>
      <c r="D559" s="1" t="str">
        <f>IFERROR(__xludf.DUMMYFUNCTION("""COMPUTED_VALUE"""),"Compare Zoho vs. Keap vs. Method:CRM")</f>
        <v>Compare Zoho vs. Keap vs. Method:CRM</v>
      </c>
      <c r="E559" s="12">
        <f>IFERROR(__xludf.DUMMYFUNCTION("""COMPUTED_VALUE"""),44831.61675925926)</f>
        <v>44831.61676</v>
      </c>
    </row>
    <row r="560">
      <c r="A560" s="7" t="str">
        <f>IFERROR(__xludf.DUMMYFUNCTION("""COMPUTED_VALUE"""),"https://www.method.me/resources/compare/zoho-vs-salesforce-vs-method-crm/")</f>
        <v>https://www.method.me/resources/compare/zoho-vs-salesforce-vs-method-crm/</v>
      </c>
      <c r="B560" s="1" t="str">
        <f>IFERROR(__xludf.DUMMYFUNCTION("""COMPUTED_VALUE"""),"Method - Competitor Comparison")</f>
        <v>Method - Competitor Comparison</v>
      </c>
      <c r="C560" s="1" t="str">
        <f>IFERROR(__xludf.DUMMYFUNCTION("""COMPUTED_VALUE"""),"Guide")</f>
        <v>Guide</v>
      </c>
      <c r="D560" s="1" t="str">
        <f>IFERROR(__xludf.DUMMYFUNCTION("""COMPUTED_VALUE"""),"Compare Zoho vs. Salesforce vs. Method:CRM")</f>
        <v>Compare Zoho vs. Salesforce vs. Method:CRM</v>
      </c>
      <c r="E560" s="12">
        <f>IFERROR(__xludf.DUMMYFUNCTION("""COMPUTED_VALUE"""),44831.61677083333)</f>
        <v>44831.61677</v>
      </c>
    </row>
    <row r="561">
      <c r="A561" s="7" t="str">
        <f>IFERROR(__xludf.DUMMYFUNCTION("""COMPUTED_VALUE"""),"https://www.method.me/resources/compare/hubspot-crm-alternative/")</f>
        <v>https://www.method.me/resources/compare/hubspot-crm-alternative/</v>
      </c>
      <c r="B561" s="1" t="str">
        <f>IFERROR(__xludf.DUMMYFUNCTION("""COMPUTED_VALUE"""),"Method - Competitor Comparison")</f>
        <v>Method - Competitor Comparison</v>
      </c>
      <c r="C561" s="1" t="str">
        <f>IFERROR(__xludf.DUMMYFUNCTION("""COMPUTED_VALUE"""),"Guide")</f>
        <v>Guide</v>
      </c>
      <c r="D561" s="1" t="str">
        <f>IFERROR(__xludf.DUMMYFUNCTION("""COMPUTED_VALUE"""),"Method:CRM — The best HubSpot CRM alternative")</f>
        <v>Method:CRM — The best HubSpot CRM alternative</v>
      </c>
      <c r="E561" s="12">
        <f>IFERROR(__xludf.DUMMYFUNCTION("""COMPUTED_VALUE"""),44831.616793981484)</f>
        <v>44831.61679</v>
      </c>
    </row>
    <row r="562">
      <c r="A562" s="7" t="str">
        <f>IFERROR(__xludf.DUMMYFUNCTION("""COMPUTED_VALUE"""),"https://www.method.me/resources/compare/insightly-alternative/")</f>
        <v>https://www.method.me/resources/compare/insightly-alternative/</v>
      </c>
      <c r="B562" s="1" t="str">
        <f>IFERROR(__xludf.DUMMYFUNCTION("""COMPUTED_VALUE"""),"Method - Competitor Comparison")</f>
        <v>Method - Competitor Comparison</v>
      </c>
      <c r="C562" s="1" t="str">
        <f>IFERROR(__xludf.DUMMYFUNCTION("""COMPUTED_VALUE"""),"Guide")</f>
        <v>Guide</v>
      </c>
      <c r="D562" s="1" t="str">
        <f>IFERROR(__xludf.DUMMYFUNCTION("""COMPUTED_VALUE"""),"Method:CRM — The best Insightly alternative")</f>
        <v>Method:CRM — The best Insightly alternative</v>
      </c>
      <c r="E562" s="12">
        <f>IFERROR(__xludf.DUMMYFUNCTION("""COMPUTED_VALUE"""),44831.61680555555)</f>
        <v>44831.61681</v>
      </c>
    </row>
    <row r="563">
      <c r="A563" s="7" t="str">
        <f>IFERROR(__xludf.DUMMYFUNCTION("""COMPUTED_VALUE"""),"https://www.method.me/resources/compare/jobber-alternative/")</f>
        <v>https://www.method.me/resources/compare/jobber-alternative/</v>
      </c>
      <c r="B563" s="1" t="str">
        <f>IFERROR(__xludf.DUMMYFUNCTION("""COMPUTED_VALUE"""),"Listicle - Software / Software overview")</f>
        <v>Listicle - Software / Software overview</v>
      </c>
      <c r="C563" s="1" t="str">
        <f>IFERROR(__xludf.DUMMYFUNCTION("""COMPUTED_VALUE"""),"Guide")</f>
        <v>Guide</v>
      </c>
      <c r="D563" s="1" t="str">
        <f>IFERROR(__xludf.DUMMYFUNCTION("""COMPUTED_VALUE"""),"Top 6 Jobber alternatives for field service businesses")</f>
        <v>Top 6 Jobber alternatives for field service businesses</v>
      </c>
      <c r="E563" s="12">
        <f>IFERROR(__xludf.DUMMYFUNCTION("""COMPUTED_VALUE"""),44831.61681712963)</f>
        <v>44831.61682</v>
      </c>
    </row>
    <row r="564">
      <c r="A564" s="7" t="str">
        <f>IFERROR(__xludf.DUMMYFUNCTION("""COMPUTED_VALUE"""),"https://www.method.me/resources/compare/keap-alternative/")</f>
        <v>https://www.method.me/resources/compare/keap-alternative/</v>
      </c>
      <c r="B564" s="1" t="str">
        <f>IFERROR(__xludf.DUMMYFUNCTION("""COMPUTED_VALUE"""),"Listicle - Software / Software overview")</f>
        <v>Listicle - Software / Software overview</v>
      </c>
      <c r="C564" s="1" t="str">
        <f>IFERROR(__xludf.DUMMYFUNCTION("""COMPUTED_VALUE"""),"Guide")</f>
        <v>Guide</v>
      </c>
      <c r="D564" s="1" t="str">
        <f>IFERROR(__xludf.DUMMYFUNCTION("""COMPUTED_VALUE"""),"The best Keap alternatives in 2024")</f>
        <v>The best Keap alternatives in 2024</v>
      </c>
      <c r="E564" s="12">
        <f>IFERROR(__xludf.DUMMYFUNCTION("""COMPUTED_VALUE"""),44831.61682870371)</f>
        <v>44831.61683</v>
      </c>
    </row>
    <row r="565">
      <c r="A565" s="7" t="str">
        <f>IFERROR(__xludf.DUMMYFUNCTION("""COMPUTED_VALUE"""),"https://www.method.me/resources/compare/pipedrive-alternative/")</f>
        <v>https://www.method.me/resources/compare/pipedrive-alternative/</v>
      </c>
      <c r="B565" s="1" t="str">
        <f>IFERROR(__xludf.DUMMYFUNCTION("""COMPUTED_VALUE"""),"Method - Competitor Comparison")</f>
        <v>Method - Competitor Comparison</v>
      </c>
      <c r="C565" s="1" t="str">
        <f>IFERROR(__xludf.DUMMYFUNCTION("""COMPUTED_VALUE"""),"Guide")</f>
        <v>Guide</v>
      </c>
      <c r="D565" s="1" t="str">
        <f>IFERROR(__xludf.DUMMYFUNCTION("""COMPUTED_VALUE"""),"Method:CRM — The best Pipedrive alternative")</f>
        <v>Method:CRM — The best Pipedrive alternative</v>
      </c>
      <c r="E565" s="12">
        <f>IFERROR(__xludf.DUMMYFUNCTION("""COMPUTED_VALUE"""),44831.61684027778)</f>
        <v>44831.61684</v>
      </c>
    </row>
    <row r="566">
      <c r="A566" s="7" t="str">
        <f>IFERROR(__xludf.DUMMYFUNCTION("""COMPUTED_VALUE"""),"https://www.method.me/resources/compare/salesforce-alternative/")</f>
        <v>https://www.method.me/resources/compare/salesforce-alternative/</v>
      </c>
      <c r="B566" s="1" t="str">
        <f>IFERROR(__xludf.DUMMYFUNCTION("""COMPUTED_VALUE"""),"Method - Competitor Comparison")</f>
        <v>Method - Competitor Comparison</v>
      </c>
      <c r="C566" s="1" t="str">
        <f>IFERROR(__xludf.DUMMYFUNCTION("""COMPUTED_VALUE"""),"Guide")</f>
        <v>Guide</v>
      </c>
      <c r="D566" s="1" t="str">
        <f>IFERROR(__xludf.DUMMYFUNCTION("""COMPUTED_VALUE"""),"Method:CRM — The best Salesforce alternative")</f>
        <v>Method:CRM — The best Salesforce alternative</v>
      </c>
      <c r="E566" s="12">
        <f>IFERROR(__xludf.DUMMYFUNCTION("""COMPUTED_VALUE"""),44831.61685185185)</f>
        <v>44831.61685</v>
      </c>
    </row>
    <row r="567">
      <c r="A567" s="7" t="str">
        <f>IFERROR(__xludf.DUMMYFUNCTION("""COMPUTED_VALUE"""),"https://www.method.me/blog/electronic-signature-quickbooks-online-capture/")</f>
        <v>https://www.method.me/blog/electronic-signature-quickbooks-online-capture/</v>
      </c>
      <c r="B567" s="1" t="str">
        <f>IFERROR(__xludf.DUMMYFUNCTION("""COMPUTED_VALUE"""),"QuickBooks - How-to")</f>
        <v>QuickBooks - How-to</v>
      </c>
      <c r="C567" s="1" t="str">
        <f>IFERROR(__xludf.DUMMYFUNCTION("""COMPUTED_VALUE"""),"Blog")</f>
        <v>Blog</v>
      </c>
      <c r="D567" s="1" t="str">
        <f>IFERROR(__xludf.DUMMYFUNCTION("""COMPUTED_VALUE"""),"Electronic signature QuickBooks Online: What you need to know")</f>
        <v>Electronic signature QuickBooks Online: What you need to know</v>
      </c>
      <c r="E567" s="12">
        <f>IFERROR(__xludf.DUMMYFUNCTION("""COMPUTED_VALUE"""),44832.40877314815)</f>
        <v>44832.40877</v>
      </c>
    </row>
    <row r="568">
      <c r="A568" s="7" t="str">
        <f>IFERROR(__xludf.DUMMYFUNCTION("""COMPUTED_VALUE"""),"https://www.method.me/videos/top-5-xero-workflows-to-automate/")</f>
        <v>https://www.method.me/videos/top-5-xero-workflows-to-automate/</v>
      </c>
      <c r="B568" s="1" t="str">
        <f>IFERROR(__xludf.DUMMYFUNCTION("""COMPUTED_VALUE"""),"Video page")</f>
        <v>Video page</v>
      </c>
      <c r="C568" s="1" t="str">
        <f>IFERROR(__xludf.DUMMYFUNCTION("""COMPUTED_VALUE"""),"Other page")</f>
        <v>Other page</v>
      </c>
      <c r="D568" s="1" t="str">
        <f>IFERROR(__xludf.DUMMYFUNCTION("""COMPUTED_VALUE"""),"Top 5 workflows every Xero user needs to automate")</f>
        <v>Top 5 workflows every Xero user needs to automate</v>
      </c>
      <c r="E568" s="12">
        <f>IFERROR(__xludf.DUMMYFUNCTION("""COMPUTED_VALUE"""),44834.39119212963)</f>
        <v>44834.39119</v>
      </c>
    </row>
    <row r="569">
      <c r="A569" s="7" t="str">
        <f>IFERROR(__xludf.DUMMYFUNCTION("""COMPUTED_VALUE"""),"https://www.method.me/blog/does-quickbooks-have-electronic-signature-capture/")</f>
        <v>https://www.method.me/blog/does-quickbooks-have-electronic-signature-capture/</v>
      </c>
      <c r="B569" s="1" t="str">
        <f>IFERROR(__xludf.DUMMYFUNCTION("""COMPUTED_VALUE"""),"QuickBooks - How-to")</f>
        <v>QuickBooks - How-to</v>
      </c>
      <c r="C569" s="1" t="str">
        <f>IFERROR(__xludf.DUMMYFUNCTION("""COMPUTED_VALUE"""),"Blog")</f>
        <v>Blog</v>
      </c>
      <c r="D569" s="1" t="str">
        <f>IFERROR(__xludf.DUMMYFUNCTION("""COMPUTED_VALUE"""),"QuickBooks signature capture: How to make it possible")</f>
        <v>QuickBooks signature capture: How to make it possible</v>
      </c>
      <c r="E569" s="12">
        <f>IFERROR(__xludf.DUMMYFUNCTION("""COMPUTED_VALUE"""),44837.402592592596)</f>
        <v>44837.40259</v>
      </c>
    </row>
    <row r="570">
      <c r="A570" s="7" t="str">
        <f>IFERROR(__xludf.DUMMYFUNCTION("""COMPUTED_VALUE"""),"https://www.method.me/blog/how-to-add-electronic-signature-line-on-quickbooks-invoice/")</f>
        <v>https://www.method.me/blog/how-to-add-electronic-signature-line-on-quickbooks-invoice/</v>
      </c>
      <c r="B570" s="1" t="str">
        <f>IFERROR(__xludf.DUMMYFUNCTION("""COMPUTED_VALUE"""),"QuickBooks - How-to")</f>
        <v>QuickBooks - How-to</v>
      </c>
      <c r="C570" s="1" t="str">
        <f>IFERROR(__xludf.DUMMYFUNCTION("""COMPUTED_VALUE"""),"Blog")</f>
        <v>Blog</v>
      </c>
      <c r="D570" s="1" t="str">
        <f>IFERROR(__xludf.DUMMYFUNCTION("""COMPUTED_VALUE"""),"How to add signature line on QuickBooks invoice")</f>
        <v>How to add signature line on QuickBooks invoice</v>
      </c>
      <c r="E570" s="12">
        <f>IFERROR(__xludf.DUMMYFUNCTION("""COMPUTED_VALUE"""),44845.435578703706)</f>
        <v>44845.43558</v>
      </c>
    </row>
    <row r="571">
      <c r="A571" s="7" t="str">
        <f>IFERROR(__xludf.DUMMYFUNCTION("""COMPUTED_VALUE"""),"https://www.method.me/blog/how-to-add-signature-in-quickbooks-online/")</f>
        <v>https://www.method.me/blog/how-to-add-signature-in-quickbooks-online/</v>
      </c>
      <c r="B571" s="1" t="str">
        <f>IFERROR(__xludf.DUMMYFUNCTION("""COMPUTED_VALUE"""),"QuickBooks - How-to")</f>
        <v>QuickBooks - How-to</v>
      </c>
      <c r="C571" s="1" t="str">
        <f>IFERROR(__xludf.DUMMYFUNCTION("""COMPUTED_VALUE"""),"Blog")</f>
        <v>Blog</v>
      </c>
      <c r="D571" s="1" t="str">
        <f>IFERROR(__xludf.DUMMYFUNCTION("""COMPUTED_VALUE"""),"How to add a signature in QuickBooks Online")</f>
        <v>How to add a signature in QuickBooks Online</v>
      </c>
      <c r="E571" s="12">
        <f>IFERROR(__xludf.DUMMYFUNCTION("""COMPUTED_VALUE"""),44851.404340277775)</f>
        <v>44851.40434</v>
      </c>
    </row>
    <row r="572">
      <c r="A572" s="7" t="str">
        <f>IFERROR(__xludf.DUMMYFUNCTION("""COMPUTED_VALUE"""),"https://www.method.me/customer-success/granite-garage-floors/")</f>
        <v>https://www.method.me/customer-success/granite-garage-floors/</v>
      </c>
      <c r="B572" s="1" t="str">
        <f>IFERROR(__xludf.DUMMYFUNCTION("""COMPUTED_VALUE"""),"Method - Customer / Partner Success")</f>
        <v>Method - Customer / Partner Success</v>
      </c>
      <c r="C572" s="1" t="str">
        <f>IFERROR(__xludf.DUMMYFUNCTION("""COMPUTED_VALUE"""),"Other page")</f>
        <v>Other page</v>
      </c>
      <c r="D572" s="1" t="str">
        <f>IFERROR(__xludf.DUMMYFUNCTION("""COMPUTED_VALUE"""),"Granite Garage Floors")</f>
        <v>Granite Garage Floors</v>
      </c>
      <c r="E572" s="12">
        <f>IFERROR(__xludf.DUMMYFUNCTION("""COMPUTED_VALUE"""),44855.46958333333)</f>
        <v>44855.46958</v>
      </c>
    </row>
    <row r="573">
      <c r="A573" s="7" t="str">
        <f>IFERROR(__xludf.DUMMYFUNCTION("""COMPUTED_VALUE"""),"https://www.method.me/blog/how-to-enable-an-approval-workflow-in-quickbooks-online-invoice/")</f>
        <v>https://www.method.me/blog/how-to-enable-an-approval-workflow-in-quickbooks-online-invoice/</v>
      </c>
      <c r="B573" s="1" t="str">
        <f>IFERROR(__xludf.DUMMYFUNCTION("""COMPUTED_VALUE"""),"QuickBooks - How-to")</f>
        <v>QuickBooks - How-to</v>
      </c>
      <c r="C573" s="1" t="str">
        <f>IFERROR(__xludf.DUMMYFUNCTION("""COMPUTED_VALUE"""),"Blog")</f>
        <v>Blog</v>
      </c>
      <c r="D573" s="1" t="str">
        <f>IFERROR(__xludf.DUMMYFUNCTION("""COMPUTED_VALUE"""),"How to enable an approval workflow in QuickBooks Online")</f>
        <v>How to enable an approval workflow in QuickBooks Online</v>
      </c>
      <c r="E573" s="12">
        <f>IFERROR(__xludf.DUMMYFUNCTION("""COMPUTED_VALUE"""),44858.4375)</f>
        <v>44858.4375</v>
      </c>
    </row>
    <row r="574">
      <c r="A574" s="7" t="str">
        <f>IFERROR(__xludf.DUMMYFUNCTION("""COMPUTED_VALUE"""),"https://www.method.me/videos/automate-qbo-approval-workflows/")</f>
        <v>https://www.method.me/videos/automate-qbo-approval-workflows/</v>
      </c>
      <c r="B574" s="1" t="str">
        <f>IFERROR(__xludf.DUMMYFUNCTION("""COMPUTED_VALUE"""),"Video page")</f>
        <v>Video page</v>
      </c>
      <c r="C574" s="1" t="str">
        <f>IFERROR(__xludf.DUMMYFUNCTION("""COMPUTED_VALUE"""),"Other page")</f>
        <v>Other page</v>
      </c>
      <c r="D574" s="1" t="str">
        <f>IFERROR(__xludf.DUMMYFUNCTION("""COMPUTED_VALUE"""),"How to automate your approval process in QuickBooks Online")</f>
        <v>How to automate your approval process in QuickBooks Online</v>
      </c>
      <c r="E574" s="12">
        <f>IFERROR(__xludf.DUMMYFUNCTION("""COMPUTED_VALUE"""),44860.671956018516)</f>
        <v>44860.67196</v>
      </c>
    </row>
    <row r="575">
      <c r="A575" s="7" t="str">
        <f>IFERROR(__xludf.DUMMYFUNCTION("""COMPUTED_VALUE"""),"https://www.method.me/blog/invoice-approval-workflow-software-quickbooks/")</f>
        <v>https://www.method.me/blog/invoice-approval-workflow-software-quickbooks/</v>
      </c>
      <c r="B575" s="1" t="str">
        <f>IFERROR(__xludf.DUMMYFUNCTION("""COMPUTED_VALUE"""),"QuickBooks - General")</f>
        <v>QuickBooks - General</v>
      </c>
      <c r="C575" s="1" t="str">
        <f>IFERROR(__xludf.DUMMYFUNCTION("""COMPUTED_VALUE"""),"Blog")</f>
        <v>Blog</v>
      </c>
      <c r="D575" s="1" t="str">
        <f>IFERROR(__xludf.DUMMYFUNCTION("""COMPUTED_VALUE"""),"Invoice approval software QuickBooks: Your best alternative")</f>
        <v>Invoice approval software QuickBooks: Your best alternative</v>
      </c>
      <c r="E575" s="12">
        <f>IFERROR(__xludf.DUMMYFUNCTION("""COMPUTED_VALUE"""),44865.395833333336)</f>
        <v>44865.39583</v>
      </c>
    </row>
    <row r="576">
      <c r="A576" s="7" t="str">
        <f>IFERROR(__xludf.DUMMYFUNCTION("""COMPUTED_VALUE"""),"https://www.method.me/blog/does-quickbooks-online-have-an-approval-process/")</f>
        <v>https://www.method.me/blog/does-quickbooks-online-have-an-approval-process/</v>
      </c>
      <c r="B576" s="1" t="str">
        <f>IFERROR(__xludf.DUMMYFUNCTION("""COMPUTED_VALUE"""),"QuickBooks - General")</f>
        <v>QuickBooks - General</v>
      </c>
      <c r="C576" s="1" t="str">
        <f>IFERROR(__xludf.DUMMYFUNCTION("""COMPUTED_VALUE"""),"Blog")</f>
        <v>Blog</v>
      </c>
      <c r="D576" s="1" t="str">
        <f>IFERROR(__xludf.DUMMYFUNCTION("""COMPUTED_VALUE"""),"Does QuickBooks have an approval process?")</f>
        <v>Does QuickBooks have an approval process?</v>
      </c>
      <c r="E576" s="12">
        <f>IFERROR(__xludf.DUMMYFUNCTION("""COMPUTED_VALUE"""),44872.416666666664)</f>
        <v>44872.41667</v>
      </c>
    </row>
    <row r="577">
      <c r="A577" s="7" t="str">
        <f>IFERROR(__xludf.DUMMYFUNCTION("""COMPUTED_VALUE"""),"https://www.method.me/blog/quickbooks-manufacturing/")</f>
        <v>https://www.method.me/blog/quickbooks-manufacturing/</v>
      </c>
      <c r="B577" s="1" t="str">
        <f>IFERROR(__xludf.DUMMYFUNCTION("""COMPUTED_VALUE"""),"QuickBooks - General")</f>
        <v>QuickBooks - General</v>
      </c>
      <c r="C577" s="1" t="str">
        <f>IFERROR(__xludf.DUMMYFUNCTION("""COMPUTED_VALUE"""),"Blog")</f>
        <v>Blog</v>
      </c>
      <c r="D577" s="1" t="str">
        <f>IFERROR(__xludf.DUMMYFUNCTION("""COMPUTED_VALUE"""),"What is QuickBooks manufacturing software?")</f>
        <v>What is QuickBooks manufacturing software?</v>
      </c>
      <c r="E577" s="12">
        <f>IFERROR(__xludf.DUMMYFUNCTION("""COMPUTED_VALUE"""),44876.40215277778)</f>
        <v>44876.40215</v>
      </c>
    </row>
    <row r="578">
      <c r="A578" s="7" t="str">
        <f>IFERROR(__xludf.DUMMYFUNCTION("""COMPUTED_VALUE"""),"https://www.method.me/blog/wholesale-software-suppliers/")</f>
        <v>https://www.method.me/blog/wholesale-software-suppliers/</v>
      </c>
      <c r="B578" s="1" t="str">
        <f>IFERROR(__xludf.DUMMYFUNCTION("""COMPUTED_VALUE"""),"Listicle - Software / Software overview")</f>
        <v>Listicle - Software / Software overview</v>
      </c>
      <c r="C578" s="1" t="str">
        <f>IFERROR(__xludf.DUMMYFUNCTION("""COMPUTED_VALUE"""),"Blog")</f>
        <v>Blog</v>
      </c>
      <c r="D578" s="1" t="str">
        <f>IFERROR(__xludf.DUMMYFUNCTION("""COMPUTED_VALUE"""),"Best software for wholesale distribution — A complete guide")</f>
        <v>Best software for wholesale distribution — A complete guide</v>
      </c>
      <c r="E578" s="12">
        <f>IFERROR(__xludf.DUMMYFUNCTION("""COMPUTED_VALUE"""),44876.40216435185)</f>
        <v>44876.40216</v>
      </c>
    </row>
    <row r="579">
      <c r="A579" s="7" t="str">
        <f>IFERROR(__xludf.DUMMYFUNCTION("""COMPUTED_VALUE"""),"https://www.method.me/blog/small-manufacturing-erp/")</f>
        <v>https://www.method.me/blog/small-manufacturing-erp/</v>
      </c>
      <c r="B579" s="1" t="str">
        <f>IFERROR(__xludf.DUMMYFUNCTION("""COMPUTED_VALUE"""),"Listicle - Software / Software overview")</f>
        <v>Listicle - Software / Software overview</v>
      </c>
      <c r="C579" s="1" t="str">
        <f>IFERROR(__xludf.DUMMYFUNCTION("""COMPUTED_VALUE"""),"Blog")</f>
        <v>Blog</v>
      </c>
      <c r="D579" s="1" t="str">
        <f>IFERROR(__xludf.DUMMYFUNCTION("""COMPUTED_VALUE"""),"Best ERP for small manufacturing company: 2025 guide")</f>
        <v>Best ERP for small manufacturing company: 2025 guide</v>
      </c>
      <c r="E579" s="12">
        <f>IFERROR(__xludf.DUMMYFUNCTION("""COMPUTED_VALUE"""),44876.40217592593)</f>
        <v>44876.40218</v>
      </c>
    </row>
    <row r="580">
      <c r="A580" s="7" t="str">
        <f>IFERROR(__xludf.DUMMYFUNCTION("""COMPUTED_VALUE"""),"https://www.method.me/blog/erp-alternatives/")</f>
        <v>https://www.method.me/blog/erp-alternatives/</v>
      </c>
      <c r="B580" s="1" t="str">
        <f>IFERROR(__xludf.DUMMYFUNCTION("""COMPUTED_VALUE"""),"Listicle - Software / Software overview")</f>
        <v>Listicle - Software / Software overview</v>
      </c>
      <c r="C580" s="1" t="str">
        <f>IFERROR(__xludf.DUMMYFUNCTION("""COMPUTED_VALUE"""),"Blog")</f>
        <v>Blog</v>
      </c>
      <c r="D580" s="1" t="str">
        <f>IFERROR(__xludf.DUMMYFUNCTION("""COMPUTED_VALUE"""),"5 ERP alternatives to consider in 2024")</f>
        <v>5 ERP alternatives to consider in 2024</v>
      </c>
      <c r="E580" s="12">
        <f>IFERROR(__xludf.DUMMYFUNCTION("""COMPUTED_VALUE"""),44876.4021875)</f>
        <v>44876.40219</v>
      </c>
    </row>
    <row r="581">
      <c r="A581" s="7" t="str">
        <f>IFERROR(__xludf.DUMMYFUNCTION("""COMPUTED_VALUE"""),"https://www.method.me/blog/salesforce-erp/")</f>
        <v>https://www.method.me/blog/salesforce-erp/</v>
      </c>
      <c r="B581" s="1" t="str">
        <f>IFERROR(__xludf.DUMMYFUNCTION("""COMPUTED_VALUE"""),"Listicle - Software / Software overview")</f>
        <v>Listicle - Software / Software overview</v>
      </c>
      <c r="C581" s="1" t="str">
        <f>IFERROR(__xludf.DUMMYFUNCTION("""COMPUTED_VALUE"""),"Blog")</f>
        <v>Blog</v>
      </c>
      <c r="D581" s="1" t="str">
        <f>IFERROR(__xludf.DUMMYFUNCTION("""COMPUTED_VALUE"""),"Is Salesforce an ERP – Features and integrations")</f>
        <v>Is Salesforce an ERP – Features and integrations</v>
      </c>
      <c r="E581" s="12">
        <f>IFERROR(__xludf.DUMMYFUNCTION("""COMPUTED_VALUE"""),44876.4021875)</f>
        <v>44876.40219</v>
      </c>
    </row>
    <row r="582">
      <c r="A582" s="7" t="str">
        <f>IFERROR(__xludf.DUMMYFUNCTION("""COMPUTED_VALUE"""),"https://www.method.me/blog/advantages-and-disadvantages-of-erp/")</f>
        <v>https://www.method.me/blog/advantages-and-disadvantages-of-erp/</v>
      </c>
      <c r="B582" s="1" t="str">
        <f>IFERROR(__xludf.DUMMYFUNCTION("""COMPUTED_VALUE"""),"Listicle - Software / Software overview")</f>
        <v>Listicle - Software / Software overview</v>
      </c>
      <c r="C582" s="1" t="str">
        <f>IFERROR(__xludf.DUMMYFUNCTION("""COMPUTED_VALUE"""),"Blog")</f>
        <v>Blog</v>
      </c>
      <c r="D582" s="1" t="str">
        <f>IFERROR(__xludf.DUMMYFUNCTION("""COMPUTED_VALUE"""),"ERP advantages and disadvantages — A detailed guide")</f>
        <v>ERP advantages and disadvantages — A detailed guide</v>
      </c>
      <c r="E582" s="12">
        <f>IFERROR(__xludf.DUMMYFUNCTION("""COMPUTED_VALUE"""),44876.40219907407)</f>
        <v>44876.4022</v>
      </c>
    </row>
    <row r="583">
      <c r="A583" s="7" t="str">
        <f>IFERROR(__xludf.DUMMYFUNCTION("""COMPUTED_VALUE"""),"https://www.method.me/blog/erp-system-small-business/")</f>
        <v>https://www.method.me/blog/erp-system-small-business/</v>
      </c>
      <c r="B583" s="1" t="str">
        <f>IFERROR(__xludf.DUMMYFUNCTION("""COMPUTED_VALUE"""),"Small business / Nonprofit")</f>
        <v>Small business / Nonprofit</v>
      </c>
      <c r="C583" s="1" t="str">
        <f>IFERROR(__xludf.DUMMYFUNCTION("""COMPUTED_VALUE"""),"Blog")</f>
        <v>Blog</v>
      </c>
      <c r="D583" s="1" t="str">
        <f>IFERROR(__xludf.DUMMYFUNCTION("""COMPUTED_VALUE"""),"Benefits of ERP system for small business")</f>
        <v>Benefits of ERP system for small business</v>
      </c>
      <c r="E583" s="12">
        <f>IFERROR(__xludf.DUMMYFUNCTION("""COMPUTED_VALUE"""),44876.40219907407)</f>
        <v>44876.4022</v>
      </c>
    </row>
    <row r="584">
      <c r="A584" s="7" t="str">
        <f>IFERROR(__xludf.DUMMYFUNCTION("""COMPUTED_VALUE"""),"https://www.method.me/blog/best-small-business-erp-software/")</f>
        <v>https://www.method.me/blog/best-small-business-erp-software/</v>
      </c>
      <c r="B584" s="1" t="str">
        <f>IFERROR(__xludf.DUMMYFUNCTION("""COMPUTED_VALUE"""),"Listicle - Software / Software overview")</f>
        <v>Listicle - Software / Software overview</v>
      </c>
      <c r="C584" s="1" t="str">
        <f>IFERROR(__xludf.DUMMYFUNCTION("""COMPUTED_VALUE"""),"Blog")</f>
        <v>Blog</v>
      </c>
      <c r="D584" s="1" t="str">
        <f>IFERROR(__xludf.DUMMYFUNCTION("""COMPUTED_VALUE"""),"Top 10 best small business ERP software for 2024")</f>
        <v>Top 10 best small business ERP software for 2024</v>
      </c>
      <c r="E584" s="12">
        <f>IFERROR(__xludf.DUMMYFUNCTION("""COMPUTED_VALUE"""),44876.40221064815)</f>
        <v>44876.40221</v>
      </c>
    </row>
    <row r="585">
      <c r="A585" s="7" t="str">
        <f>IFERROR(__xludf.DUMMYFUNCTION("""COMPUTED_VALUE"""),"https://www.method.me/blog/erp-for-supply-chain/")</f>
        <v>https://www.method.me/blog/erp-for-supply-chain/</v>
      </c>
      <c r="B585" s="1" t="str">
        <f>IFERROR(__xludf.DUMMYFUNCTION("""COMPUTED_VALUE"""),"MWD")</f>
        <v>MWD</v>
      </c>
      <c r="C585" s="1" t="str">
        <f>IFERROR(__xludf.DUMMYFUNCTION("""COMPUTED_VALUE"""),"Blog")</f>
        <v>Blog</v>
      </c>
      <c r="D585" s="1" t="str">
        <f>IFERROR(__xludf.DUMMYFUNCTION("""COMPUTED_VALUE"""),"The importance of ERP for supply chain management")</f>
        <v>The importance of ERP for supply chain management</v>
      </c>
      <c r="E585" s="12">
        <f>IFERROR(__xludf.DUMMYFUNCTION("""COMPUTED_VALUE"""),44876.40221064815)</f>
        <v>44876.40221</v>
      </c>
    </row>
    <row r="586">
      <c r="A586" s="7" t="str">
        <f>IFERROR(__xludf.DUMMYFUNCTION("""COMPUTED_VALUE"""),"https://www.method.me/blog/erp-and-crm-software/")</f>
        <v>https://www.method.me/blog/erp-and-crm-software/</v>
      </c>
      <c r="B586" s="1" t="str">
        <f>IFERROR(__xludf.DUMMYFUNCTION("""COMPUTED_VALUE"""),"CRM")</f>
        <v>CRM</v>
      </c>
      <c r="C586" s="1" t="str">
        <f>IFERROR(__xludf.DUMMYFUNCTION("""COMPUTED_VALUE"""),"Blog")</f>
        <v>Blog</v>
      </c>
      <c r="D586" s="1" t="str">
        <f>IFERROR(__xludf.DUMMYFUNCTION("""COMPUTED_VALUE"""),"What is the difference between ERP and CRM software?")</f>
        <v>What is the difference between ERP and CRM software?</v>
      </c>
      <c r="E586" s="12">
        <f>IFERROR(__xludf.DUMMYFUNCTION("""COMPUTED_VALUE"""),44876.40222222222)</f>
        <v>44876.40222</v>
      </c>
    </row>
    <row r="587">
      <c r="A587" s="7" t="str">
        <f>IFERROR(__xludf.DUMMYFUNCTION("""COMPUTED_VALUE"""),"https://www.method.me/blog/erp-systems-for-midsize-companies/")</f>
        <v>https://www.method.me/blog/erp-systems-for-midsize-companies/</v>
      </c>
      <c r="B587" s="1" t="str">
        <f>IFERROR(__xludf.DUMMYFUNCTION("""COMPUTED_VALUE"""),"Listicle - Software / Software overview")</f>
        <v>Listicle - Software / Software overview</v>
      </c>
      <c r="C587" s="1" t="str">
        <f>IFERROR(__xludf.DUMMYFUNCTION("""COMPUTED_VALUE"""),"Blog")</f>
        <v>Blog</v>
      </c>
      <c r="D587" s="1" t="str">
        <f>IFERROR(__xludf.DUMMYFUNCTION("""COMPUTED_VALUE"""),"Top 9 best ERP systems for midsize companies in 2024")</f>
        <v>Top 9 best ERP systems for midsize companies in 2024</v>
      </c>
      <c r="E587" s="12">
        <f>IFERROR(__xludf.DUMMYFUNCTION("""COMPUTED_VALUE"""),44876.40222222222)</f>
        <v>44876.40222</v>
      </c>
    </row>
    <row r="588">
      <c r="A588" s="7" t="str">
        <f>IFERROR(__xludf.DUMMYFUNCTION("""COMPUTED_VALUE"""),"https://www.method.me/blog/cloud-erp-small-business/")</f>
        <v>https://www.method.me/blog/cloud-erp-small-business/</v>
      </c>
      <c r="B588" s="1" t="str">
        <f>IFERROR(__xludf.DUMMYFUNCTION("""COMPUTED_VALUE"""),"Listicle - Software / Software overview")</f>
        <v>Listicle - Software / Software overview</v>
      </c>
      <c r="C588" s="1" t="str">
        <f>IFERROR(__xludf.DUMMYFUNCTION("""COMPUTED_VALUE"""),"Blog")</f>
        <v>Blog</v>
      </c>
      <c r="D588" s="1" t="str">
        <f>IFERROR(__xludf.DUMMYFUNCTION("""COMPUTED_VALUE"""),"Top 10 best cloud ERP for small businesses in 2024")</f>
        <v>Top 10 best cloud ERP for small businesses in 2024</v>
      </c>
      <c r="E588" s="12">
        <f>IFERROR(__xludf.DUMMYFUNCTION("""COMPUTED_VALUE"""),44876.402233796296)</f>
        <v>44876.40223</v>
      </c>
    </row>
    <row r="589">
      <c r="A589" s="7" t="str">
        <f>IFERROR(__xludf.DUMMYFUNCTION("""COMPUTED_VALUE"""),"https://www.method.me/blog/what-does-erp-stand-for-in-manufacturing/")</f>
        <v>https://www.method.me/blog/what-does-erp-stand-for-in-manufacturing/</v>
      </c>
      <c r="B589" s="1" t="str">
        <f>IFERROR(__xludf.DUMMYFUNCTION("""COMPUTED_VALUE"""),"MWD")</f>
        <v>MWD</v>
      </c>
      <c r="C589" s="1" t="str">
        <f>IFERROR(__xludf.DUMMYFUNCTION("""COMPUTED_VALUE"""),"Blog")</f>
        <v>Blog</v>
      </c>
      <c r="D589" s="1" t="str">
        <f>IFERROR(__xludf.DUMMYFUNCTION("""COMPUTED_VALUE"""),"What is ERP and what does ERP stand for in manufacturing?")</f>
        <v>What is ERP and what does ERP stand for in manufacturing?</v>
      </c>
      <c r="E589" s="12">
        <f>IFERROR(__xludf.DUMMYFUNCTION("""COMPUTED_VALUE"""),44876.402233796296)</f>
        <v>44876.40223</v>
      </c>
    </row>
    <row r="590">
      <c r="A590" s="7" t="str">
        <f>IFERROR(__xludf.DUMMYFUNCTION("""COMPUTED_VALUE"""),"https://www.method.me/blog/quickbooks-manufacturing-wholesale-tutorial/")</f>
        <v>https://www.method.me/blog/quickbooks-manufacturing-wholesale-tutorial/</v>
      </c>
      <c r="B590" s="1" t="str">
        <f>IFERROR(__xludf.DUMMYFUNCTION("""COMPUTED_VALUE"""),"QuickBooks - How-to")</f>
        <v>QuickBooks - How-to</v>
      </c>
      <c r="C590" s="1" t="str">
        <f>IFERROR(__xludf.DUMMYFUNCTION("""COMPUTED_VALUE"""),"Blog")</f>
        <v>Blog</v>
      </c>
      <c r="D590" s="1" t="str">
        <f>IFERROR(__xludf.DUMMYFUNCTION("""COMPUTED_VALUE"""),"QuickBooks manufacturing and wholesale tutorial")</f>
        <v>QuickBooks manufacturing and wholesale tutorial</v>
      </c>
      <c r="E590" s="12">
        <f>IFERROR(__xludf.DUMMYFUNCTION("""COMPUTED_VALUE"""),44876.40224537037)</f>
        <v>44876.40225</v>
      </c>
    </row>
    <row r="591">
      <c r="A591" s="7" t="str">
        <f>IFERROR(__xludf.DUMMYFUNCTION("""COMPUTED_VALUE"""),"https://www.method.me/videos/year-end-qb/")</f>
        <v>https://www.method.me/videos/year-end-qb/</v>
      </c>
      <c r="B591" s="1" t="str">
        <f>IFERROR(__xludf.DUMMYFUNCTION("""COMPUTED_VALUE"""),"Video page")</f>
        <v>Video page</v>
      </c>
      <c r="C591" s="1" t="str">
        <f>IFERROR(__xludf.DUMMYFUNCTION("""COMPUTED_VALUE"""),"Other page")</f>
        <v>Other page</v>
      </c>
      <c r="D591" s="1" t="str">
        <f>IFERROR(__xludf.DUMMYFUNCTION("""COMPUTED_VALUE"""),"How to close out the year strong with QuickBooks")</f>
        <v>How to close out the year strong with QuickBooks</v>
      </c>
      <c r="E591" s="12">
        <f>IFERROR(__xludf.DUMMYFUNCTION("""COMPUTED_VALUE"""),44882.64545138889)</f>
        <v>44882.64545</v>
      </c>
    </row>
    <row r="592">
      <c r="A592" s="7" t="str">
        <f>IFERROR(__xludf.DUMMYFUNCTION("""COMPUTED_VALUE"""),"https://www.method.me/blog/quickbooks-online-purchase-order-approval-process/")</f>
        <v>https://www.method.me/blog/quickbooks-online-purchase-order-approval-process/</v>
      </c>
      <c r="B592" s="1" t="str">
        <f>IFERROR(__xludf.DUMMYFUNCTION("""COMPUTED_VALUE"""),"QuickBooks - How-to")</f>
        <v>QuickBooks - How-to</v>
      </c>
      <c r="C592" s="1" t="str">
        <f>IFERROR(__xludf.DUMMYFUNCTION("""COMPUTED_VALUE"""),"Blog")</f>
        <v>Blog</v>
      </c>
      <c r="D592" s="1" t="str">
        <f>IFERROR(__xludf.DUMMYFUNCTION("""COMPUTED_VALUE"""),"QuickBooks Online purchase order approval: The perfect solution")</f>
        <v>QuickBooks Online purchase order approval: The perfect solution</v>
      </c>
      <c r="E592" s="12">
        <f>IFERROR(__xludf.DUMMYFUNCTION("""COMPUTED_VALUE"""),44886.62509259259)</f>
        <v>44886.62509</v>
      </c>
    </row>
    <row r="593">
      <c r="A593" s="7" t="str">
        <f>IFERROR(__xludf.DUMMYFUNCTION("""COMPUTED_VALUE"""),"https://www.method.me/blog/quickbooks-online-estimate-signature/")</f>
        <v>https://www.method.me/blog/quickbooks-online-estimate-signature/</v>
      </c>
      <c r="B593" s="1" t="str">
        <f>IFERROR(__xludf.DUMMYFUNCTION("""COMPUTED_VALUE"""),"QuickBooks - How-to")</f>
        <v>QuickBooks - How-to</v>
      </c>
      <c r="C593" s="1" t="str">
        <f>IFERROR(__xludf.DUMMYFUNCTION("""COMPUTED_VALUE"""),"Blog")</f>
        <v>Blog</v>
      </c>
      <c r="D593" s="1" t="str">
        <f>IFERROR(__xludf.DUMMYFUNCTION("""COMPUTED_VALUE"""),"QuickBooks Online estimate signature: All you need to know")</f>
        <v>QuickBooks Online estimate signature: All you need to know</v>
      </c>
      <c r="E593" s="12">
        <f>IFERROR(__xludf.DUMMYFUNCTION("""COMPUTED_VALUE"""),44888.416666666664)</f>
        <v>44888.41667</v>
      </c>
    </row>
    <row r="594">
      <c r="A594" s="7" t="str">
        <f>IFERROR(__xludf.DUMMYFUNCTION("""COMPUTED_VALUE"""),"https://www.method.me/blog/does-quickbooks-desktop-have-an-approval-process/")</f>
        <v>https://www.method.me/blog/does-quickbooks-desktop-have-an-approval-process/</v>
      </c>
      <c r="B594" s="1" t="str">
        <f>IFERROR(__xludf.DUMMYFUNCTION("""COMPUTED_VALUE"""),"QuickBooks - General")</f>
        <v>QuickBooks - General</v>
      </c>
      <c r="C594" s="1" t="str">
        <f>IFERROR(__xludf.DUMMYFUNCTION("""COMPUTED_VALUE"""),"Blog")</f>
        <v>Blog</v>
      </c>
      <c r="D594" s="1" t="str">
        <f>IFERROR(__xludf.DUMMYFUNCTION("""COMPUTED_VALUE"""),"Does QuickBooks Desktop have an approval process? Top QuickBooks approval workflow tips")</f>
        <v>Does QuickBooks Desktop have an approval process? Top QuickBooks approval workflow tips</v>
      </c>
      <c r="E594" s="12">
        <f>IFERROR(__xludf.DUMMYFUNCTION("""COMPUTED_VALUE"""),44894.389918981484)</f>
        <v>44894.38992</v>
      </c>
    </row>
    <row r="595">
      <c r="A595" s="7" t="str">
        <f>IFERROR(__xludf.DUMMYFUNCTION("""COMPUTED_VALUE"""),"https://www.method.me/blog/how-do-i-view-transaction-history-report-in-quickbooks/")</f>
        <v>https://www.method.me/blog/how-do-i-view-transaction-history-report-in-quickbooks/</v>
      </c>
      <c r="B595" s="1" t="str">
        <f>IFERROR(__xludf.DUMMYFUNCTION("""COMPUTED_VALUE"""),"QuickBooks - How-to")</f>
        <v>QuickBooks - How-to</v>
      </c>
      <c r="C595" s="1" t="str">
        <f>IFERROR(__xludf.DUMMYFUNCTION("""COMPUTED_VALUE"""),"Blog")</f>
        <v>Blog</v>
      </c>
      <c r="D595" s="1" t="str">
        <f>IFERROR(__xludf.DUMMYFUNCTION("""COMPUTED_VALUE"""),"How do I view transaction history in QuickBooks?")</f>
        <v>How do I view transaction history in QuickBooks?</v>
      </c>
      <c r="E595" s="12">
        <f>IFERROR(__xludf.DUMMYFUNCTION("""COMPUTED_VALUE"""),44901.40490740741)</f>
        <v>44901.40491</v>
      </c>
    </row>
    <row r="596">
      <c r="A596" s="7" t="str">
        <f>IFERROR(__xludf.DUMMYFUNCTION("""COMPUTED_VALUE"""),"https://www.method.me/resources/comparison-of-crm-systems/")</f>
        <v>https://www.method.me/resources/comparison-of-crm-systems/</v>
      </c>
      <c r="B596" s="1" t="str">
        <f>IFERROR(__xludf.DUMMYFUNCTION("""COMPUTED_VALUE"""),"Listicle - CRM")</f>
        <v>Listicle - CRM</v>
      </c>
      <c r="C596" s="1" t="str">
        <f>IFERROR(__xludf.DUMMYFUNCTION("""COMPUTED_VALUE"""),"Guide")</f>
        <v>Guide</v>
      </c>
      <c r="D596" s="1" t="str">
        <f>IFERROR(__xludf.DUMMYFUNCTION("""COMPUTED_VALUE"""),"How to choose the best CRM for you? Comparison of the best CRM systems")</f>
        <v>How to choose the best CRM for you? Comparison of the best CRM systems</v>
      </c>
      <c r="E596" s="12">
        <f>IFERROR(__xludf.DUMMYFUNCTION("""COMPUTED_VALUE"""),44901.6303587963)</f>
        <v>44901.63036</v>
      </c>
    </row>
    <row r="597">
      <c r="A597" s="7" t="str">
        <f>IFERROR(__xludf.DUMMYFUNCTION("""COMPUTED_VALUE"""),"https://www.method.me/blog/how-to-get-ahead-of-construction-industry-trends/")</f>
        <v>https://www.method.me/blog/how-to-get-ahead-of-construction-industry-trends/</v>
      </c>
      <c r="B597" s="1" t="str">
        <f>IFERROR(__xludf.DUMMYFUNCTION("""COMPUTED_VALUE"""),"Field services / Contractors")</f>
        <v>Field services / Contractors</v>
      </c>
      <c r="C597" s="1" t="str">
        <f>IFERROR(__xludf.DUMMYFUNCTION("""COMPUTED_VALUE"""),"Blog")</f>
        <v>Blog</v>
      </c>
      <c r="D597" s="1" t="str">
        <f>IFERROR(__xludf.DUMMYFUNCTION("""COMPUTED_VALUE"""),"Staying ahead of the curve: Strategies for keeping up with the latest construction industry trends")</f>
        <v>Staying ahead of the curve: Strategies for keeping up with the latest construction industry trends</v>
      </c>
      <c r="E597" s="12">
        <f>IFERROR(__xludf.DUMMYFUNCTION("""COMPUTED_VALUE"""),44907.51476851852)</f>
        <v>44907.51477</v>
      </c>
    </row>
    <row r="598">
      <c r="A598" s="7" t="str">
        <f>IFERROR(__xludf.DUMMYFUNCTION("""COMPUTED_VALUE"""),"https://www.method.me/videos/qb-red-flags/")</f>
        <v>https://www.method.me/videos/qb-red-flags/</v>
      </c>
      <c r="B598" s="1" t="str">
        <f>IFERROR(__xludf.DUMMYFUNCTION("""COMPUTED_VALUE"""),"Video page")</f>
        <v>Video page</v>
      </c>
      <c r="C598" s="1" t="str">
        <f>IFERROR(__xludf.DUMMYFUNCTION("""COMPUTED_VALUE"""),"Other page")</f>
        <v>Other page</v>
      </c>
      <c r="D598" s="1" t="str">
        <f>IFERROR(__xludf.DUMMYFUNCTION("""COMPUTED_VALUE"""),"QuickBooks red flags: How to spot accounting fraud")</f>
        <v>QuickBooks red flags: How to spot accounting fraud</v>
      </c>
      <c r="E598" s="12">
        <f>IFERROR(__xludf.DUMMYFUNCTION("""COMPUTED_VALUE"""),44908.67165509259)</f>
        <v>44908.67166</v>
      </c>
    </row>
    <row r="599">
      <c r="A599" s="7" t="str">
        <f>IFERROR(__xludf.DUMMYFUNCTION("""COMPUTED_VALUE"""),"https://www.method.me/blog/software-for-manufacturing/")</f>
        <v>https://www.method.me/blog/software-for-manufacturing/</v>
      </c>
      <c r="B599" s="1" t="str">
        <f>IFERROR(__xludf.DUMMYFUNCTION("""COMPUTED_VALUE"""),"Listicle - Software / Software overview")</f>
        <v>Listicle - Software / Software overview</v>
      </c>
      <c r="C599" s="1" t="str">
        <f>IFERROR(__xludf.DUMMYFUNCTION("""COMPUTED_VALUE"""),"Blog")</f>
        <v>Blog</v>
      </c>
      <c r="D599" s="1" t="str">
        <f>IFERROR(__xludf.DUMMYFUNCTION("""COMPUTED_VALUE"""),"Top 10 best manufacturing software for 2024")</f>
        <v>Top 10 best manufacturing software for 2024</v>
      </c>
      <c r="E599" s="12">
        <f>IFERROR(__xludf.DUMMYFUNCTION("""COMPUTED_VALUE"""),44910.47798611111)</f>
        <v>44910.47799</v>
      </c>
    </row>
    <row r="600">
      <c r="A600" s="7" t="str">
        <f>IFERROR(__xludf.DUMMYFUNCTION("""COMPUTED_VALUE"""),"https://www.method.me/blog/quickbooks-online-and-inventory/")</f>
        <v>https://www.method.me/blog/quickbooks-online-and-inventory/</v>
      </c>
      <c r="B600" s="1" t="str">
        <f>IFERROR(__xludf.DUMMYFUNCTION("""COMPUTED_VALUE"""),"QuickBooks - How-to")</f>
        <v>QuickBooks - How-to</v>
      </c>
      <c r="C600" s="1" t="str">
        <f>IFERROR(__xludf.DUMMYFUNCTION("""COMPUTED_VALUE"""),"Blog")</f>
        <v>Blog</v>
      </c>
      <c r="D600" s="1" t="str">
        <f>IFERROR(__xludf.DUMMYFUNCTION("""COMPUTED_VALUE"""),"QuickBooks Online and inventory management guide 2024")</f>
        <v>QuickBooks Online and inventory management guide 2024</v>
      </c>
      <c r="E600" s="12">
        <f>IFERROR(__xludf.DUMMYFUNCTION("""COMPUTED_VALUE"""),44910.47798611111)</f>
        <v>44910.47799</v>
      </c>
    </row>
    <row r="601">
      <c r="A601" s="7" t="str">
        <f>IFERROR(__xludf.DUMMYFUNCTION("""COMPUTED_VALUE"""),"https://www.method.me/blog/crm-for-manufacturing-industry/")</f>
        <v>https://www.method.me/blog/crm-for-manufacturing-industry/</v>
      </c>
      <c r="B601" s="1" t="str">
        <f>IFERROR(__xludf.DUMMYFUNCTION("""COMPUTED_VALUE"""),"Listicle - CRM")</f>
        <v>Listicle - CRM</v>
      </c>
      <c r="C601" s="1" t="str">
        <f>IFERROR(__xludf.DUMMYFUNCTION("""COMPUTED_VALUE"""),"Blog")</f>
        <v>Blog</v>
      </c>
      <c r="D601" s="1" t="str">
        <f>IFERROR(__xludf.DUMMYFUNCTION("""COMPUTED_VALUE"""),"Top 9 best CRM software for manufacturing companies in 2024")</f>
        <v>Top 9 best CRM software for manufacturing companies in 2024</v>
      </c>
      <c r="E601" s="12">
        <f>IFERROR(__xludf.DUMMYFUNCTION("""COMPUTED_VALUE"""),44910.477997685186)</f>
        <v>44910.478</v>
      </c>
    </row>
    <row r="602">
      <c r="A602" s="7" t="str">
        <f>IFERROR(__xludf.DUMMYFUNCTION("""COMPUTED_VALUE"""),"https://www.method.me/blog/supply-chain-for-manufacturing/")</f>
        <v>https://www.method.me/blog/supply-chain-for-manufacturing/</v>
      </c>
      <c r="B602" s="1" t="str">
        <f>IFERROR(__xludf.DUMMYFUNCTION("""COMPUTED_VALUE"""),"MWD")</f>
        <v>MWD</v>
      </c>
      <c r="C602" s="1" t="str">
        <f>IFERROR(__xludf.DUMMYFUNCTION("""COMPUTED_VALUE"""),"Blog")</f>
        <v>Blog</v>
      </c>
      <c r="D602" s="1" t="str">
        <f>IFERROR(__xludf.DUMMYFUNCTION("""COMPUTED_VALUE"""),"What is the supply chain for manufacturing?")</f>
        <v>What is the supply chain for manufacturing?</v>
      </c>
      <c r="E602" s="12">
        <f>IFERROR(__xludf.DUMMYFUNCTION("""COMPUTED_VALUE"""),44910.47800925926)</f>
        <v>44910.47801</v>
      </c>
    </row>
    <row r="603">
      <c r="A603" s="7" t="str">
        <f>IFERROR(__xludf.DUMMYFUNCTION("""COMPUTED_VALUE"""),"https://www.method.me/blog/inventory-management-quickbooks/")</f>
        <v>https://www.method.me/blog/inventory-management-quickbooks/</v>
      </c>
      <c r="B603" s="1" t="str">
        <f>IFERROR(__xludf.DUMMYFUNCTION("""COMPUTED_VALUE"""),"QuickBooks - How-to")</f>
        <v>QuickBooks - How-to</v>
      </c>
      <c r="C603" s="1" t="str">
        <f>IFERROR(__xludf.DUMMYFUNCTION("""COMPUTED_VALUE"""),"Blog")</f>
        <v>Blog</v>
      </c>
      <c r="D603" s="1" t="str">
        <f>IFERROR(__xludf.DUMMYFUNCTION("""COMPUTED_VALUE"""),"Everything you need to know about QuickBooks inventory management")</f>
        <v>Everything you need to know about QuickBooks inventory management</v>
      </c>
      <c r="E603" s="12">
        <f>IFERROR(__xludf.DUMMYFUNCTION("""COMPUTED_VALUE"""),44910.47800925926)</f>
        <v>44910.47801</v>
      </c>
    </row>
    <row r="604">
      <c r="A604" s="7" t="str">
        <f>IFERROR(__xludf.DUMMYFUNCTION("""COMPUTED_VALUE"""),"https://www.method.me/blog/how-to-use-quickbooks-for-manufacturing/")</f>
        <v>https://www.method.me/blog/how-to-use-quickbooks-for-manufacturing/</v>
      </c>
      <c r="B604" s="1" t="str">
        <f>IFERROR(__xludf.DUMMYFUNCTION("""COMPUTED_VALUE"""),"QuickBooks - How-to")</f>
        <v>QuickBooks - How-to</v>
      </c>
      <c r="C604" s="1" t="str">
        <f>IFERROR(__xludf.DUMMYFUNCTION("""COMPUTED_VALUE"""),"Blog")</f>
        <v>Blog</v>
      </c>
      <c r="D604" s="1" t="str">
        <f>IFERROR(__xludf.DUMMYFUNCTION("""COMPUTED_VALUE"""),"How to use QuickBooks for manufacturing")</f>
        <v>How to use QuickBooks for manufacturing</v>
      </c>
      <c r="E604" s="12">
        <f>IFERROR(__xludf.DUMMYFUNCTION("""COMPUTED_VALUE"""),44910.47800925926)</f>
        <v>44910.47801</v>
      </c>
    </row>
    <row r="605">
      <c r="A605" s="7" t="str">
        <f>IFERROR(__xludf.DUMMYFUNCTION("""COMPUTED_VALUE"""),"https://www.method.me/blog/inventory-quickbooks/")</f>
        <v>https://www.method.me/blog/inventory-quickbooks/</v>
      </c>
      <c r="B605" s="1" t="str">
        <f>IFERROR(__xludf.DUMMYFUNCTION("""COMPUTED_VALUE"""),"QuickBooks - How-to")</f>
        <v>QuickBooks - How-to</v>
      </c>
      <c r="C605" s="1" t="str">
        <f>IFERROR(__xludf.DUMMYFUNCTION("""COMPUTED_VALUE"""),"Blog")</f>
        <v>Blog</v>
      </c>
      <c r="D605" s="1" t="str">
        <f>IFERROR(__xludf.DUMMYFUNCTION("""COMPUTED_VALUE"""),"How does inventory work in QuickBooks?")</f>
        <v>How does inventory work in QuickBooks?</v>
      </c>
      <c r="E605" s="12">
        <f>IFERROR(__xludf.DUMMYFUNCTION("""COMPUTED_VALUE"""),44910.47802083333)</f>
        <v>44910.47802</v>
      </c>
    </row>
    <row r="606">
      <c r="A606" s="7" t="str">
        <f>IFERROR(__xludf.DUMMYFUNCTION("""COMPUTED_VALUE"""),"https://www.method.me/blog/quickbooks-online-track-inventory/")</f>
        <v>https://www.method.me/blog/quickbooks-online-track-inventory/</v>
      </c>
      <c r="B606" s="1" t="str">
        <f>IFERROR(__xludf.DUMMYFUNCTION("""COMPUTED_VALUE"""),"QuickBooks - How-to")</f>
        <v>QuickBooks - How-to</v>
      </c>
      <c r="C606" s="1" t="str">
        <f>IFERROR(__xludf.DUMMYFUNCTION("""COMPUTED_VALUE"""),"Blog")</f>
        <v>Blog</v>
      </c>
      <c r="D606" s="1" t="str">
        <f>IFERROR(__xludf.DUMMYFUNCTION("""COMPUTED_VALUE"""),"How to track inventory in QuickBooks: Managing inventory")</f>
        <v>How to track inventory in QuickBooks: Managing inventory</v>
      </c>
      <c r="E606" s="12">
        <f>IFERROR(__xludf.DUMMYFUNCTION("""COMPUTED_VALUE"""),44910.47803240741)</f>
        <v>44910.47803</v>
      </c>
    </row>
    <row r="607">
      <c r="A607" s="7" t="str">
        <f>IFERROR(__xludf.DUMMYFUNCTION("""COMPUTED_VALUE"""),"https://www.method.me/blog/how-to-add-inventory-in-quickbooks/")</f>
        <v>https://www.method.me/blog/how-to-add-inventory-in-quickbooks/</v>
      </c>
      <c r="B607" s="1" t="str">
        <f>IFERROR(__xludf.DUMMYFUNCTION("""COMPUTED_VALUE"""),"QuickBooks - How-to")</f>
        <v>QuickBooks - How-to</v>
      </c>
      <c r="C607" s="1" t="str">
        <f>IFERROR(__xludf.DUMMYFUNCTION("""COMPUTED_VALUE"""),"Blog")</f>
        <v>Blog</v>
      </c>
      <c r="D607" s="1" t="str">
        <f>IFERROR(__xludf.DUMMYFUNCTION("""COMPUTED_VALUE"""),"How to add inventory items in QuickBooks")</f>
        <v>How to add inventory items in QuickBooks</v>
      </c>
      <c r="E607" s="12">
        <f>IFERROR(__xludf.DUMMYFUNCTION("""COMPUTED_VALUE"""),44910.47803240741)</f>
        <v>44910.47803</v>
      </c>
    </row>
    <row r="608">
      <c r="A608" s="7" t="str">
        <f>IFERROR(__xludf.DUMMYFUNCTION("""COMPUTED_VALUE"""),"https://www.method.me/blog/manufacturing-business-management-software/")</f>
        <v>https://www.method.me/blog/manufacturing-business-management-software/</v>
      </c>
      <c r="B608" s="1" t="str">
        <f>IFERROR(__xludf.DUMMYFUNCTION("""COMPUTED_VALUE"""),"Listicle - Software / Software overview")</f>
        <v>Listicle - Software / Software overview</v>
      </c>
      <c r="C608" s="1" t="str">
        <f>IFERROR(__xludf.DUMMYFUNCTION("""COMPUTED_VALUE"""),"Blog")</f>
        <v>Blog</v>
      </c>
      <c r="D608" s="1" t="str">
        <f>IFERROR(__xludf.DUMMYFUNCTION("""COMPUTED_VALUE"""),"Top 10 best manufacturing business management software for 2024")</f>
        <v>Top 10 best manufacturing business management software for 2024</v>
      </c>
      <c r="E608" s="12">
        <f>IFERROR(__xludf.DUMMYFUNCTION("""COMPUTED_VALUE"""),44910.47804398148)</f>
        <v>44910.47804</v>
      </c>
    </row>
    <row r="609">
      <c r="A609" s="7" t="str">
        <f>IFERROR(__xludf.DUMMYFUNCTION("""COMPUTED_VALUE"""),"https://www.method.me/blog/how-to-adjust-inventory-in-quickbooks/")</f>
        <v>https://www.method.me/blog/how-to-adjust-inventory-in-quickbooks/</v>
      </c>
      <c r="B609" s="1" t="str">
        <f>IFERROR(__xludf.DUMMYFUNCTION("""COMPUTED_VALUE"""),"QuickBooks - How-to")</f>
        <v>QuickBooks - How-to</v>
      </c>
      <c r="C609" s="1" t="str">
        <f>IFERROR(__xludf.DUMMYFUNCTION("""COMPUTED_VALUE"""),"Blog")</f>
        <v>Blog</v>
      </c>
      <c r="D609" s="1" t="str">
        <f>IFERROR(__xludf.DUMMYFUNCTION("""COMPUTED_VALUE"""),"How to adjust inventory in QuickBooks")</f>
        <v>How to adjust inventory in QuickBooks</v>
      </c>
      <c r="E609" s="12">
        <f>IFERROR(__xludf.DUMMYFUNCTION("""COMPUTED_VALUE"""),44910.47804398148)</f>
        <v>44910.47804</v>
      </c>
    </row>
    <row r="610">
      <c r="A610" s="7" t="str">
        <f>IFERROR(__xludf.DUMMYFUNCTION("""COMPUTED_VALUE"""),"https://www.method.me/blog/advanced-inventory-quickbooks-desktop/")</f>
        <v>https://www.method.me/blog/advanced-inventory-quickbooks-desktop/</v>
      </c>
      <c r="B610" s="1" t="str">
        <f>IFERROR(__xludf.DUMMYFUNCTION("""COMPUTED_VALUE"""),"QuickBooks - How-to")</f>
        <v>QuickBooks - How-to</v>
      </c>
      <c r="C610" s="1" t="str">
        <f>IFERROR(__xludf.DUMMYFUNCTION("""COMPUTED_VALUE"""),"Blog")</f>
        <v>Blog</v>
      </c>
      <c r="D610" s="1" t="str">
        <f>IFERROR(__xludf.DUMMYFUNCTION("""COMPUTED_VALUE"""),"How to Turn On Advanced Inventory in QuickBooks Enterprise")</f>
        <v>How to Turn On Advanced Inventory in QuickBooks Enterprise</v>
      </c>
      <c r="E610" s="12">
        <f>IFERROR(__xludf.DUMMYFUNCTION("""COMPUTED_VALUE"""),44910.478055555555)</f>
        <v>44910.47806</v>
      </c>
    </row>
    <row r="611">
      <c r="A611" s="7" t="str">
        <f>IFERROR(__xludf.DUMMYFUNCTION("""COMPUTED_VALUE"""),"https://www.method.me/blog/does-quickbooks-track-inventory/")</f>
        <v>https://www.method.me/blog/does-quickbooks-track-inventory/</v>
      </c>
      <c r="B611" s="1" t="str">
        <f>IFERROR(__xludf.DUMMYFUNCTION("""COMPUTED_VALUE"""),"QuickBooks - General")</f>
        <v>QuickBooks - General</v>
      </c>
      <c r="C611" s="1" t="str">
        <f>IFERROR(__xludf.DUMMYFUNCTION("""COMPUTED_VALUE"""),"Blog")</f>
        <v>Blog</v>
      </c>
      <c r="D611" s="1" t="str">
        <f>IFERROR(__xludf.DUMMYFUNCTION("""COMPUTED_VALUE"""),"Does QuickBooks track inventory?")</f>
        <v>Does QuickBooks track inventory?</v>
      </c>
      <c r="E611" s="12">
        <f>IFERROR(__xludf.DUMMYFUNCTION("""COMPUTED_VALUE"""),44910.47806712963)</f>
        <v>44910.47807</v>
      </c>
    </row>
    <row r="612">
      <c r="A612" s="7" t="str">
        <f>IFERROR(__xludf.DUMMYFUNCTION("""COMPUTED_VALUE"""),"https://www.method.me/blog/2022-year-in-review-the-top-7-method-moments/")</f>
        <v>https://www.method.me/blog/2022-year-in-review-the-top-7-method-moments/</v>
      </c>
      <c r="B612" s="1" t="str">
        <f>IFERROR(__xludf.DUMMYFUNCTION("""COMPUTED_VALUE"""),"Method - Lifestyle / Storytelling")</f>
        <v>Method - Lifestyle / Storytelling</v>
      </c>
      <c r="C612" s="1" t="str">
        <f>IFERROR(__xludf.DUMMYFUNCTION("""COMPUTED_VALUE"""),"Blog")</f>
        <v>Blog</v>
      </c>
      <c r="D612" s="1" t="str">
        <f>IFERROR(__xludf.DUMMYFUNCTION("""COMPUTED_VALUE"""),"2022 year in review: The top 7 Method moments")</f>
        <v>2022 year in review: The top 7 Method moments</v>
      </c>
      <c r="E612" s="12">
        <f>IFERROR(__xludf.DUMMYFUNCTION("""COMPUTED_VALUE"""),44916.44394675926)</f>
        <v>44916.44395</v>
      </c>
    </row>
    <row r="613">
      <c r="A613" s="7" t="str">
        <f>IFERROR(__xludf.DUMMYFUNCTION("""COMPUTED_VALUE"""),"https://www.method.me/blog/how-to-check-transaction-history-in-quickbooks-desktop/")</f>
        <v>https://www.method.me/blog/how-to-check-transaction-history-in-quickbooks-desktop/</v>
      </c>
      <c r="B613" s="1" t="str">
        <f>IFERROR(__xludf.DUMMYFUNCTION("""COMPUTED_VALUE"""),"QuickBooks - How-to")</f>
        <v>QuickBooks - How-to</v>
      </c>
      <c r="C613" s="1" t="str">
        <f>IFERROR(__xludf.DUMMYFUNCTION("""COMPUTED_VALUE"""),"Blog")</f>
        <v>Blog</v>
      </c>
      <c r="D613" s="1" t="str">
        <f>IFERROR(__xludf.DUMMYFUNCTION("""COMPUTED_VALUE"""),"QuickBooks audit trail and transaction history: All you need to know")</f>
        <v>QuickBooks audit trail and transaction history: All you need to know</v>
      </c>
      <c r="E613" s="12">
        <f>IFERROR(__xludf.DUMMYFUNCTION("""COMPUTED_VALUE"""),44917.634618055556)</f>
        <v>44917.63462</v>
      </c>
    </row>
    <row r="614">
      <c r="A614" s="7" t="str">
        <f>IFERROR(__xludf.DUMMYFUNCTION("""COMPUTED_VALUE"""),"https://www.method.me/blog/quickbooks-customer-sales-history-report/")</f>
        <v>https://www.method.me/blog/quickbooks-customer-sales-history-report/</v>
      </c>
      <c r="B614" s="1" t="str">
        <f>IFERROR(__xludf.DUMMYFUNCTION("""COMPUTED_VALUE"""),"QuickBooks - How-to")</f>
        <v>QuickBooks - How-to</v>
      </c>
      <c r="C614" s="1" t="str">
        <f>IFERROR(__xludf.DUMMYFUNCTION("""COMPUTED_VALUE"""),"Blog")</f>
        <v>Blog</v>
      </c>
      <c r="D614" s="1" t="str">
        <f>IFERROR(__xludf.DUMMYFUNCTION("""COMPUTED_VALUE"""),"How to find QuickBooks customer history report")</f>
        <v>How to find QuickBooks customer history report</v>
      </c>
      <c r="E614" s="12">
        <f>IFERROR(__xludf.DUMMYFUNCTION("""COMPUTED_VALUE"""),44930.67915509259)</f>
        <v>44930.67916</v>
      </c>
    </row>
    <row r="615">
      <c r="A615" s="7" t="str">
        <f>IFERROR(__xludf.DUMMYFUNCTION("""COMPUTED_VALUE"""),"https://www.method.me/blog/quickbooks-subcontractor-crm/")</f>
        <v>https://www.method.me/blog/quickbooks-subcontractor-crm/</v>
      </c>
      <c r="B615" s="1" t="str">
        <f>IFERROR(__xludf.DUMMYFUNCTION("""COMPUTED_VALUE"""),"CRM")</f>
        <v>CRM</v>
      </c>
      <c r="C615" s="1" t="str">
        <f>IFERROR(__xludf.DUMMYFUNCTION("""COMPUTED_VALUE"""),"Blog")</f>
        <v>Blog</v>
      </c>
      <c r="D615" s="1" t="str">
        <f>IFERROR(__xludf.DUMMYFUNCTION("""COMPUTED_VALUE"""),"QuickBooks for subcontractors: The importance of a subcontractor CRM")</f>
        <v>QuickBooks for subcontractors: The importance of a subcontractor CRM</v>
      </c>
      <c r="E615" s="12">
        <f>IFERROR(__xludf.DUMMYFUNCTION("""COMPUTED_VALUE"""),44935.599803240744)</f>
        <v>44935.5998</v>
      </c>
    </row>
    <row r="616">
      <c r="A616" s="7" t="str">
        <f>IFERROR(__xludf.DUMMYFUNCTION("""COMPUTED_VALUE"""),"https://www.method.me/legal/terms-of-service-affiliates/")</f>
        <v>https://www.method.me/legal/terms-of-service-affiliates/</v>
      </c>
      <c r="B616" s="1" t="str">
        <f>IFERROR(__xludf.DUMMYFUNCTION("""COMPUTED_VALUE"""),"Partner page")</f>
        <v>Partner page</v>
      </c>
      <c r="C616" s="1" t="str">
        <f>IFERROR(__xludf.DUMMYFUNCTION("""COMPUTED_VALUE"""),"Other page")</f>
        <v>Other page</v>
      </c>
      <c r="D616" s="1" t="str">
        <f>IFERROR(__xludf.DUMMYFUNCTION("""COMPUTED_VALUE"""),"Method Partner Affiliates Terms of Service")</f>
        <v>Method Partner Affiliates Terms of Service</v>
      </c>
      <c r="E616" s="12">
        <f>IFERROR(__xludf.DUMMYFUNCTION("""COMPUTED_VALUE"""),44938.65975694444)</f>
        <v>44938.65976</v>
      </c>
    </row>
    <row r="617">
      <c r="A617" s="7" t="str">
        <f>IFERROR(__xludf.DUMMYFUNCTION("""COMPUTED_VALUE"""),"https://www.method.me/blog/lead-management-system-software/")</f>
        <v>https://www.method.me/blog/lead-management-system-software/</v>
      </c>
      <c r="B617" s="1" t="str">
        <f>IFERROR(__xludf.DUMMYFUNCTION("""COMPUTED_VALUE"""),"Listicle - Software / Software overview")</f>
        <v>Listicle - Software / Software overview</v>
      </c>
      <c r="C617" s="1" t="str">
        <f>IFERROR(__xludf.DUMMYFUNCTION("""COMPUTED_VALUE"""),"Blog")</f>
        <v>Blog</v>
      </c>
      <c r="D617" s="1" t="str">
        <f>IFERROR(__xludf.DUMMYFUNCTION("""COMPUTED_VALUE"""),"Top 10 best lead management system software for 2024")</f>
        <v>Top 10 best lead management system software for 2024</v>
      </c>
      <c r="E617" s="12">
        <f>IFERROR(__xludf.DUMMYFUNCTION("""COMPUTED_VALUE"""),44939.40521990741)</f>
        <v>44939.40522</v>
      </c>
    </row>
    <row r="618">
      <c r="A618" s="7" t="str">
        <f>IFERROR(__xludf.DUMMYFUNCTION("""COMPUTED_VALUE"""),"https://www.method.me/blog/lead-generation-system/")</f>
        <v>https://www.method.me/blog/lead-generation-system/</v>
      </c>
      <c r="B618" s="1" t="str">
        <f>IFERROR(__xludf.DUMMYFUNCTION("""COMPUTED_VALUE"""),"Sales / Marketing / Lead gen")</f>
        <v>Sales / Marketing / Lead gen</v>
      </c>
      <c r="C618" s="1" t="str">
        <f>IFERROR(__xludf.DUMMYFUNCTION("""COMPUTED_VALUE"""),"Blog")</f>
        <v>Blog</v>
      </c>
      <c r="D618" s="1" t="str">
        <f>IFERROR(__xludf.DUMMYFUNCTION("""COMPUTED_VALUE"""),"What is a lead generation system? And how could it help")</f>
        <v>What is a lead generation system? And how could it help</v>
      </c>
      <c r="E618" s="12">
        <f>IFERROR(__xludf.DUMMYFUNCTION("""COMPUTED_VALUE"""),44939.406226851854)</f>
        <v>44939.40623</v>
      </c>
    </row>
    <row r="619">
      <c r="A619" s="7" t="str">
        <f>IFERROR(__xludf.DUMMYFUNCTION("""COMPUTED_VALUE"""),"https://www.method.me/blog/sales-commission-management-system/")</f>
        <v>https://www.method.me/blog/sales-commission-management-system/</v>
      </c>
      <c r="B619" s="1" t="str">
        <f>IFERROR(__xludf.DUMMYFUNCTION("""COMPUTED_VALUE"""),"Sales / Marketing / Lead gen")</f>
        <v>Sales / Marketing / Lead gen</v>
      </c>
      <c r="C619" s="1" t="str">
        <f>IFERROR(__xludf.DUMMYFUNCTION("""COMPUTED_VALUE"""),"Blog")</f>
        <v>Blog</v>
      </c>
      <c r="D619" s="1" t="str">
        <f>IFERROR(__xludf.DUMMYFUNCTION("""COMPUTED_VALUE"""),"What is a sales commission management system?")</f>
        <v>What is a sales commission management system?</v>
      </c>
      <c r="E619" s="12">
        <f>IFERROR(__xludf.DUMMYFUNCTION("""COMPUTED_VALUE"""),44939.40659722222)</f>
        <v>44939.4066</v>
      </c>
    </row>
    <row r="620">
      <c r="A620" s="7" t="str">
        <f>IFERROR(__xludf.DUMMYFUNCTION("""COMPUTED_VALUE"""),"https://www.method.me/blog/how-to-build-a-crm-system/")</f>
        <v>https://www.method.me/blog/how-to-build-a-crm-system/</v>
      </c>
      <c r="B620" s="1" t="str">
        <f>IFERROR(__xludf.DUMMYFUNCTION("""COMPUTED_VALUE"""),"CRM")</f>
        <v>CRM</v>
      </c>
      <c r="C620" s="1" t="str">
        <f>IFERROR(__xludf.DUMMYFUNCTION("""COMPUTED_VALUE"""),"Blog")</f>
        <v>Blog</v>
      </c>
      <c r="D620" s="1" t="str">
        <f>IFERROR(__xludf.DUMMYFUNCTION("""COMPUTED_VALUE"""),"How to build a CRM system")</f>
        <v>How to build a CRM system</v>
      </c>
      <c r="E620" s="12">
        <f>IFERROR(__xludf.DUMMYFUNCTION("""COMPUTED_VALUE"""),44939.41538194445)</f>
        <v>44939.41538</v>
      </c>
    </row>
    <row r="621">
      <c r="A621" s="7" t="str">
        <f>IFERROR(__xludf.DUMMYFUNCTION("""COMPUTED_VALUE"""),"https://www.method.me/blog/custom-crm-system/")</f>
        <v>https://www.method.me/blog/custom-crm-system/</v>
      </c>
      <c r="B621" s="1" t="str">
        <f>IFERROR(__xludf.DUMMYFUNCTION("""COMPUTED_VALUE"""),"Listicle - CRM")</f>
        <v>Listicle - CRM</v>
      </c>
      <c r="C621" s="1" t="str">
        <f>IFERROR(__xludf.DUMMYFUNCTION("""COMPUTED_VALUE"""),"Blog")</f>
        <v>Blog</v>
      </c>
      <c r="D621" s="1" t="str">
        <f>IFERROR(__xludf.DUMMYFUNCTION("""COMPUTED_VALUE"""),"How to create your own CRM (2026 guide)")</f>
        <v>How to create your own CRM (2026 guide)</v>
      </c>
      <c r="E621" s="12">
        <f>IFERROR(__xludf.DUMMYFUNCTION("""COMPUTED_VALUE"""),44939.41962962963)</f>
        <v>44939.41963</v>
      </c>
    </row>
    <row r="622">
      <c r="A622" s="7" t="str">
        <f>IFERROR(__xludf.DUMMYFUNCTION("""COMPUTED_VALUE"""),"https://www.method.me/blog/crm-system-for-wholesale-distributors/")</f>
        <v>https://www.method.me/blog/crm-system-for-wholesale-distributors/</v>
      </c>
      <c r="B622" s="1" t="str">
        <f>IFERROR(__xludf.DUMMYFUNCTION("""COMPUTED_VALUE"""),"Listicle - CRM")</f>
        <v>Listicle - CRM</v>
      </c>
      <c r="C622" s="1" t="str">
        <f>IFERROR(__xludf.DUMMYFUNCTION("""COMPUTED_VALUE"""),"Blog")</f>
        <v>Blog</v>
      </c>
      <c r="D622" s="1" t="str">
        <f>IFERROR(__xludf.DUMMYFUNCTION("""COMPUTED_VALUE"""),"Top 9 best CRM systems for wholesale distributors")</f>
        <v>Top 9 best CRM systems for wholesale distributors</v>
      </c>
      <c r="E622" s="12">
        <f>IFERROR(__xludf.DUMMYFUNCTION("""COMPUTED_VALUE"""),44939.420486111114)</f>
        <v>44939.42049</v>
      </c>
    </row>
    <row r="623">
      <c r="A623" s="7" t="str">
        <f>IFERROR(__xludf.DUMMYFUNCTION("""COMPUTED_VALUE"""),"https://www.method.me/blog/automated-crm-system/")</f>
        <v>https://www.method.me/blog/automated-crm-system/</v>
      </c>
      <c r="B623" s="1" t="str">
        <f>IFERROR(__xludf.DUMMYFUNCTION("""COMPUTED_VALUE"""),"CRM")</f>
        <v>CRM</v>
      </c>
      <c r="C623" s="1" t="str">
        <f>IFERROR(__xludf.DUMMYFUNCTION("""COMPUTED_VALUE"""),"Blog")</f>
        <v>Blog</v>
      </c>
      <c r="D623" s="1" t="str">
        <f>IFERROR(__xludf.DUMMYFUNCTION("""COMPUTED_VALUE"""),"What is an automated CRM system?")</f>
        <v>What is an automated CRM system?</v>
      </c>
      <c r="E623" s="12">
        <f>IFERROR(__xludf.DUMMYFUNCTION("""COMPUTED_VALUE"""),44939.420590277776)</f>
        <v>44939.42059</v>
      </c>
    </row>
    <row r="624">
      <c r="A624" s="7" t="str">
        <f>IFERROR(__xludf.DUMMYFUNCTION("""COMPUTED_VALUE"""),"https://www.method.me/blog/manufacturing-crm-systems/")</f>
        <v>https://www.method.me/blog/manufacturing-crm-systems/</v>
      </c>
      <c r="B624" s="1" t="str">
        <f>IFERROR(__xludf.DUMMYFUNCTION("""COMPUTED_VALUE"""),"CRM")</f>
        <v>CRM</v>
      </c>
      <c r="C624" s="1" t="str">
        <f>IFERROR(__xludf.DUMMYFUNCTION("""COMPUTED_VALUE"""),"Blog")</f>
        <v>Blog</v>
      </c>
      <c r="D624" s="1" t="str">
        <f>IFERROR(__xludf.DUMMYFUNCTION("""COMPUTED_VALUE"""),"What are manufacturing CRM systems and how could they help")</f>
        <v>What are manufacturing CRM systems and how could they help</v>
      </c>
      <c r="E624" s="12">
        <f>IFERROR(__xludf.DUMMYFUNCTION("""COMPUTED_VALUE"""),44939.42172453704)</f>
        <v>44939.42172</v>
      </c>
    </row>
    <row r="625">
      <c r="A625" s="7" t="str">
        <f>IFERROR(__xludf.DUMMYFUNCTION("""COMPUTED_VALUE"""),"https://www.method.me/blog/quickbooks-online-ecosystem/")</f>
        <v>https://www.method.me/blog/quickbooks-online-ecosystem/</v>
      </c>
      <c r="B625" s="1" t="str">
        <f>IFERROR(__xludf.DUMMYFUNCTION("""COMPUTED_VALUE"""),"QuickBooks - How-to")</f>
        <v>QuickBooks - How-to</v>
      </c>
      <c r="C625" s="1" t="str">
        <f>IFERROR(__xludf.DUMMYFUNCTION("""COMPUTED_VALUE"""),"Blog")</f>
        <v>Blog</v>
      </c>
      <c r="D625" s="1" t="str">
        <f>IFERROR(__xludf.DUMMYFUNCTION("""COMPUTED_VALUE"""),"Everything you need to know about the QuickBooks Online ecosystem")</f>
        <v>Everything you need to know about the QuickBooks Online ecosystem</v>
      </c>
      <c r="E625" s="12">
        <f>IFERROR(__xludf.DUMMYFUNCTION("""COMPUTED_VALUE"""),44939.42186342592)</f>
        <v>44939.42186</v>
      </c>
    </row>
    <row r="626">
      <c r="A626" s="7" t="str">
        <f>IFERROR(__xludf.DUMMYFUNCTION("""COMPUTED_VALUE"""),"https://www.method.me/blog/wholesale-distribution-systems/")</f>
        <v>https://www.method.me/blog/wholesale-distribution-systems/</v>
      </c>
      <c r="B626" s="1" t="str">
        <f>IFERROR(__xludf.DUMMYFUNCTION("""COMPUTED_VALUE"""),"MWD")</f>
        <v>MWD</v>
      </c>
      <c r="C626" s="1" t="str">
        <f>IFERROR(__xludf.DUMMYFUNCTION("""COMPUTED_VALUE"""),"Blog")</f>
        <v>Blog</v>
      </c>
      <c r="D626" s="1" t="str">
        <f>IFERROR(__xludf.DUMMYFUNCTION("""COMPUTED_VALUE"""),"What are wholesale distribution systems?")</f>
        <v>What are wholesale distribution systems?</v>
      </c>
      <c r="E626" s="12">
        <f>IFERROR(__xludf.DUMMYFUNCTION("""COMPUTED_VALUE"""),44939.42225694445)</f>
        <v>44939.42226</v>
      </c>
    </row>
    <row r="627">
      <c r="A627" s="7" t="str">
        <f>IFERROR(__xludf.DUMMYFUNCTION("""COMPUTED_VALUE"""),"https://www.method.me/blog/crm-system-for-construction/")</f>
        <v>https://www.method.me/blog/crm-system-for-construction/</v>
      </c>
      <c r="B627" s="1" t="str">
        <f>IFERROR(__xludf.DUMMYFUNCTION("""COMPUTED_VALUE"""),"Listicle - CRM")</f>
        <v>Listicle - CRM</v>
      </c>
      <c r="C627" s="1" t="str">
        <f>IFERROR(__xludf.DUMMYFUNCTION("""COMPUTED_VALUE"""),"Blog")</f>
        <v>Blog</v>
      </c>
      <c r="D627" s="1" t="str">
        <f>IFERROR(__xludf.DUMMYFUNCTION("""COMPUTED_VALUE"""),"Top 10 best CRM systems for construction in 2024")</f>
        <v>Top 10 best CRM systems for construction in 2024</v>
      </c>
      <c r="E627" s="12">
        <f>IFERROR(__xludf.DUMMYFUNCTION("""COMPUTED_VALUE"""),44939.422476851854)</f>
        <v>44939.42248</v>
      </c>
    </row>
    <row r="628">
      <c r="A628" s="7" t="str">
        <f>IFERROR(__xludf.DUMMYFUNCTION("""COMPUTED_VALUE"""),"https://www.method.me/blog/best-crm-system/")</f>
        <v>https://www.method.me/blog/best-crm-system/</v>
      </c>
      <c r="B628" s="1" t="str">
        <f>IFERROR(__xludf.DUMMYFUNCTION("""COMPUTED_VALUE"""),"Listicle - CRM")</f>
        <v>Listicle - CRM</v>
      </c>
      <c r="C628" s="1" t="str">
        <f>IFERROR(__xludf.DUMMYFUNCTION("""COMPUTED_VALUE"""),"Blog")</f>
        <v>Blog</v>
      </c>
      <c r="D628" s="1" t="str">
        <f>IFERROR(__xludf.DUMMYFUNCTION("""COMPUTED_VALUE"""),"Top 10 best CRM systems for 2024")</f>
        <v>Top 10 best CRM systems for 2024</v>
      </c>
      <c r="E628" s="12">
        <f>IFERROR(__xludf.DUMMYFUNCTION("""COMPUTED_VALUE"""),44939.422581018516)</f>
        <v>44939.42258</v>
      </c>
    </row>
    <row r="629">
      <c r="A629" s="7" t="str">
        <f>IFERROR(__xludf.DUMMYFUNCTION("""COMPUTED_VALUE"""),"https://www.method.me/blog/xero-vs-quickbooks-for-contractors/")</f>
        <v>https://www.method.me/blog/xero-vs-quickbooks-for-contractors/</v>
      </c>
      <c r="B629" s="1" t="str">
        <f>IFERROR(__xludf.DUMMYFUNCTION("""COMPUTED_VALUE"""),"Xero")</f>
        <v>Xero</v>
      </c>
      <c r="C629" s="1" t="str">
        <f>IFERROR(__xludf.DUMMYFUNCTION("""COMPUTED_VALUE"""),"Blog")</f>
        <v>Blog</v>
      </c>
      <c r="D629" s="1" t="str">
        <f>IFERROR(__xludf.DUMMYFUNCTION("""COMPUTED_VALUE"""),"Xero vs. QuickBooks for contractors: Which is best?")</f>
        <v>Xero vs. QuickBooks for contractors: Which is best?</v>
      </c>
      <c r="E629" s="12">
        <f>IFERROR(__xludf.DUMMYFUNCTION("""COMPUTED_VALUE"""),44944.534004629626)</f>
        <v>44944.534</v>
      </c>
    </row>
    <row r="630">
      <c r="A630" s="7" t="str">
        <f>IFERROR(__xludf.DUMMYFUNCTION("""COMPUTED_VALUE"""),"https://www.method.me/videos/qbdt-trends-2023/")</f>
        <v>https://www.method.me/videos/qbdt-trends-2023/</v>
      </c>
      <c r="B630" s="1" t="str">
        <f>IFERROR(__xludf.DUMMYFUNCTION("""COMPUTED_VALUE"""),"Video page")</f>
        <v>Video page</v>
      </c>
      <c r="C630" s="1" t="str">
        <f>IFERROR(__xludf.DUMMYFUNCTION("""COMPUTED_VALUE"""),"Other page")</f>
        <v>Other page</v>
      </c>
      <c r="D630" s="1" t="str">
        <f>IFERROR(__xludf.DUMMYFUNCTION("""COMPUTED_VALUE"""),"QuickBooks Desktop trends you need to embrace for 2023")</f>
        <v>QuickBooks Desktop trends you need to embrace for 2023</v>
      </c>
      <c r="E630" s="12">
        <f>IFERROR(__xludf.DUMMYFUNCTION("""COMPUTED_VALUE"""),44945.66509259259)</f>
        <v>44945.66509</v>
      </c>
    </row>
    <row r="631">
      <c r="A631" s="7" t="str">
        <f>IFERROR(__xludf.DUMMYFUNCTION("""COMPUTED_VALUE"""),"https://www.method.me/blog/which-quickbooks-is-best-for-construction/")</f>
        <v>https://www.method.me/blog/which-quickbooks-is-best-for-construction/</v>
      </c>
      <c r="B631" s="1" t="str">
        <f>IFERROR(__xludf.DUMMYFUNCTION("""COMPUTED_VALUE"""),"QuickBooks - General")</f>
        <v>QuickBooks - General</v>
      </c>
      <c r="C631" s="1" t="str">
        <f>IFERROR(__xludf.DUMMYFUNCTION("""COMPUTED_VALUE"""),"Blog")</f>
        <v>Blog</v>
      </c>
      <c r="D631" s="1" t="str">
        <f>IFERROR(__xludf.DUMMYFUNCTION("""COMPUTED_VALUE"""),"Which QuickBooks is best for construction?")</f>
        <v>Which QuickBooks is best for construction?</v>
      </c>
      <c r="E631" s="12">
        <f>IFERROR(__xludf.DUMMYFUNCTION("""COMPUTED_VALUE"""),44949.443391203706)</f>
        <v>44949.44339</v>
      </c>
    </row>
    <row r="632">
      <c r="A632" s="7" t="str">
        <f>IFERROR(__xludf.DUMMYFUNCTION("""COMPUTED_VALUE"""),"https://www.method.me/blog/crm-supply-chain/")</f>
        <v>https://www.method.me/blog/crm-supply-chain/</v>
      </c>
      <c r="B632" s="1" t="str">
        <f>IFERROR(__xludf.DUMMYFUNCTION("""COMPUTED_VALUE"""),"CRM")</f>
        <v>CRM</v>
      </c>
      <c r="C632" s="1" t="str">
        <f>IFERROR(__xludf.DUMMYFUNCTION("""COMPUTED_VALUE"""),"Blog")</f>
        <v>Blog</v>
      </c>
      <c r="D632" s="1" t="str">
        <f>IFERROR(__xludf.DUMMYFUNCTION("""COMPUTED_VALUE"""),"How CRM becomes important in supply chain management")</f>
        <v>How CRM becomes important in supply chain management</v>
      </c>
      <c r="E632" s="12">
        <f>IFERROR(__xludf.DUMMYFUNCTION("""COMPUTED_VALUE"""),44952.4640162037)</f>
        <v>44952.46402</v>
      </c>
    </row>
    <row r="633">
      <c r="A633" s="7" t="str">
        <f>IFERROR(__xludf.DUMMYFUNCTION("""COMPUTED_VALUE"""),"https://www.method.me/blog/supply-chain-work-flow/")</f>
        <v>https://www.method.me/blog/supply-chain-work-flow/</v>
      </c>
      <c r="B633" s="1" t="str">
        <f>IFERROR(__xludf.DUMMYFUNCTION("""COMPUTED_VALUE"""),"MWD")</f>
        <v>MWD</v>
      </c>
      <c r="C633" s="1" t="str">
        <f>IFERROR(__xludf.DUMMYFUNCTION("""COMPUTED_VALUE"""),"Blog")</f>
        <v>Blog</v>
      </c>
      <c r="D633" s="1" t="str">
        <f>IFERROR(__xludf.DUMMYFUNCTION("""COMPUTED_VALUE"""),"What is supply chain workflow and how do you improve it?")</f>
        <v>What is supply chain workflow and how do you improve it?</v>
      </c>
      <c r="E633" s="12">
        <f>IFERROR(__xludf.DUMMYFUNCTION("""COMPUTED_VALUE"""),44952.46420138889)</f>
        <v>44952.4642</v>
      </c>
    </row>
    <row r="634">
      <c r="A634" s="7" t="str">
        <f>IFERROR(__xludf.DUMMYFUNCTION("""COMPUTED_VALUE"""),"https://www.method.me/blog/workflow-in-manufacturing/")</f>
        <v>https://www.method.me/blog/workflow-in-manufacturing/</v>
      </c>
      <c r="B634" s="1" t="str">
        <f>IFERROR(__xludf.DUMMYFUNCTION("""COMPUTED_VALUE"""),"General how-to")</f>
        <v>General how-to</v>
      </c>
      <c r="C634" s="1" t="str">
        <f>IFERROR(__xludf.DUMMYFUNCTION("""COMPUTED_VALUE"""),"Blog")</f>
        <v>Blog</v>
      </c>
      <c r="D634" s="1" t="str">
        <f>IFERROR(__xludf.DUMMYFUNCTION("""COMPUTED_VALUE"""),"How to improve workflow in manufacturing")</f>
        <v>How to improve workflow in manufacturing</v>
      </c>
      <c r="E634" s="12">
        <f>IFERROR(__xludf.DUMMYFUNCTION("""COMPUTED_VALUE"""),44952.464421296296)</f>
        <v>44952.46442</v>
      </c>
    </row>
    <row r="635">
      <c r="A635" s="7" t="str">
        <f>IFERROR(__xludf.DUMMYFUNCTION("""COMPUTED_VALUE"""),"https://www.method.me/blog/quickbooks-for-manufacturing-and-wholesale/")</f>
        <v>https://www.method.me/blog/quickbooks-for-manufacturing-and-wholesale/</v>
      </c>
      <c r="B635" s="1" t="str">
        <f>IFERROR(__xludf.DUMMYFUNCTION("""COMPUTED_VALUE"""),"QuickBooks - How-to")</f>
        <v>QuickBooks - How-to</v>
      </c>
      <c r="C635" s="1" t="str">
        <f>IFERROR(__xludf.DUMMYFUNCTION("""COMPUTED_VALUE"""),"Blog")</f>
        <v>Blog</v>
      </c>
      <c r="D635" s="1" t="str">
        <f>IFERROR(__xludf.DUMMYFUNCTION("""COMPUTED_VALUE"""),"QuickBooks Manufacturing and Wholesale guide 2024")</f>
        <v>QuickBooks Manufacturing and Wholesale guide 2024</v>
      </c>
      <c r="E635" s="12">
        <f>IFERROR(__xludf.DUMMYFUNCTION("""COMPUTED_VALUE"""),44952.464525462965)</f>
        <v>44952.46453</v>
      </c>
    </row>
    <row r="636">
      <c r="A636" s="7" t="str">
        <f>IFERROR(__xludf.DUMMYFUNCTION("""COMPUTED_VALUE"""),"https://www.method.me/blog/efficient-supply-chain-management/")</f>
        <v>https://www.method.me/blog/efficient-supply-chain-management/</v>
      </c>
      <c r="B636" s="1" t="str">
        <f>IFERROR(__xludf.DUMMYFUNCTION("""COMPUTED_VALUE"""),"General how-to")</f>
        <v>General how-to</v>
      </c>
      <c r="C636" s="1" t="str">
        <f>IFERROR(__xludf.DUMMYFUNCTION("""COMPUTED_VALUE"""),"Blog")</f>
        <v>Blog</v>
      </c>
      <c r="D636" s="1" t="str">
        <f>IFERROR(__xludf.DUMMYFUNCTION("""COMPUTED_VALUE"""),"What is efficiency in the supply chain and how to improve it")</f>
        <v>What is efficiency in the supply chain and how to improve it</v>
      </c>
      <c r="E636" s="12">
        <f>IFERROR(__xludf.DUMMYFUNCTION("""COMPUTED_VALUE"""),44952.46460648148)</f>
        <v>44952.46461</v>
      </c>
    </row>
    <row r="637">
      <c r="A637" s="7" t="str">
        <f>IFERROR(__xludf.DUMMYFUNCTION("""COMPUTED_VALUE"""),"https://www.method.me/blog/quickbooks-warehouseing/")</f>
        <v>https://www.method.me/blog/quickbooks-warehouseing/</v>
      </c>
      <c r="B637" s="1" t="str">
        <f>IFERROR(__xludf.DUMMYFUNCTION("""COMPUTED_VALUE"""),"QuickBooks - How-to")</f>
        <v>QuickBooks - How-to</v>
      </c>
      <c r="C637" s="1" t="str">
        <f>IFERROR(__xludf.DUMMYFUNCTION("""COMPUTED_VALUE"""),"Blog")</f>
        <v>Blog</v>
      </c>
      <c r="D637" s="1" t="str">
        <f>IFERROR(__xludf.DUMMYFUNCTION("""COMPUTED_VALUE"""),"Everything you need to know about QuickBooks Warehousing Manager")</f>
        <v>Everything you need to know about QuickBooks Warehousing Manager</v>
      </c>
      <c r="E637" s="12">
        <f>IFERROR(__xludf.DUMMYFUNCTION("""COMPUTED_VALUE"""),44952.46466435185)</f>
        <v>44952.46466</v>
      </c>
    </row>
    <row r="638">
      <c r="A638" s="7" t="str">
        <f>IFERROR(__xludf.DUMMYFUNCTION("""COMPUTED_VALUE"""),"https://www.method.me/blog/how-to-delete-an-inventory-item-in-quickbooks/")</f>
        <v>https://www.method.me/blog/how-to-delete-an-inventory-item-in-quickbooks/</v>
      </c>
      <c r="B638" s="1" t="str">
        <f>IFERROR(__xludf.DUMMYFUNCTION("""COMPUTED_VALUE"""),"QuickBooks - How-to")</f>
        <v>QuickBooks - How-to</v>
      </c>
      <c r="C638" s="1" t="str">
        <f>IFERROR(__xludf.DUMMYFUNCTION("""COMPUTED_VALUE"""),"Blog")</f>
        <v>Blog</v>
      </c>
      <c r="D638" s="1" t="str">
        <f>IFERROR(__xludf.DUMMYFUNCTION("""COMPUTED_VALUE"""),"How to delete an inventory item in QuickBooks")</f>
        <v>How to delete an inventory item in QuickBooks</v>
      </c>
      <c r="E638" s="12">
        <f>IFERROR(__xludf.DUMMYFUNCTION("""COMPUTED_VALUE"""),44952.46472222222)</f>
        <v>44952.46472</v>
      </c>
    </row>
    <row r="639">
      <c r="A639" s="7" t="str">
        <f>IFERROR(__xludf.DUMMYFUNCTION("""COMPUTED_VALUE"""),"https://www.method.me/blog/how-to-fix-inventory-shrinkage-in-quickbooks-online/")</f>
        <v>https://www.method.me/blog/how-to-fix-inventory-shrinkage-in-quickbooks-online/</v>
      </c>
      <c r="B639" s="1" t="str">
        <f>IFERROR(__xludf.DUMMYFUNCTION("""COMPUTED_VALUE"""),"QuickBooks - How-to")</f>
        <v>QuickBooks - How-to</v>
      </c>
      <c r="C639" s="1" t="str">
        <f>IFERROR(__xludf.DUMMYFUNCTION("""COMPUTED_VALUE"""),"Blog")</f>
        <v>Blog</v>
      </c>
      <c r="D639" s="1" t="str">
        <f>IFERROR(__xludf.DUMMYFUNCTION("""COMPUTED_VALUE"""),"How to fix inventory shrinkage in QuickBooks Online")</f>
        <v>How to fix inventory shrinkage in QuickBooks Online</v>
      </c>
      <c r="E639" s="12">
        <f>IFERROR(__xludf.DUMMYFUNCTION("""COMPUTED_VALUE"""),44952.464791666665)</f>
        <v>44952.46479</v>
      </c>
    </row>
    <row r="640">
      <c r="A640" s="7" t="str">
        <f>IFERROR(__xludf.DUMMYFUNCTION("""COMPUTED_VALUE"""),"https://www.method.me/blog/manufacturing-flow-management-process/")</f>
        <v>https://www.method.me/blog/manufacturing-flow-management-process/</v>
      </c>
      <c r="B640" s="1" t="str">
        <f>IFERROR(__xludf.DUMMYFUNCTION("""COMPUTED_VALUE"""),"MWD")</f>
        <v>MWD</v>
      </c>
      <c r="C640" s="1" t="str">
        <f>IFERROR(__xludf.DUMMYFUNCTION("""COMPUTED_VALUE"""),"Blog")</f>
        <v>Blog</v>
      </c>
      <c r="D640" s="1" t="str">
        <f>IFERROR(__xludf.DUMMYFUNCTION("""COMPUTED_VALUE"""),"What is a manufacturing flow management process?")</f>
        <v>What is a manufacturing flow management process?</v>
      </c>
      <c r="E640" s="12">
        <f>IFERROR(__xludf.DUMMYFUNCTION("""COMPUTED_VALUE"""),44952.464837962965)</f>
        <v>44952.46484</v>
      </c>
    </row>
    <row r="641">
      <c r="A641" s="7" t="str">
        <f>IFERROR(__xludf.DUMMYFUNCTION("""COMPUTED_VALUE"""),"https://www.method.me/blog/how-to-receive-inventory-in-quickbooks/")</f>
        <v>https://www.method.me/blog/how-to-receive-inventory-in-quickbooks/</v>
      </c>
      <c r="B641" s="1" t="str">
        <f>IFERROR(__xludf.DUMMYFUNCTION("""COMPUTED_VALUE"""),"QuickBooks - How-to")</f>
        <v>QuickBooks - How-to</v>
      </c>
      <c r="C641" s="1" t="str">
        <f>IFERROR(__xludf.DUMMYFUNCTION("""COMPUTED_VALUE"""),"Blog")</f>
        <v>Blog</v>
      </c>
      <c r="D641" s="1" t="str">
        <f>IFERROR(__xludf.DUMMYFUNCTION("""COMPUTED_VALUE"""),"How to receive inventory in QuickBooks Online: purchasing and entering inventory")</f>
        <v>How to receive inventory in QuickBooks Online: purchasing and entering inventory</v>
      </c>
      <c r="E641" s="12">
        <f>IFERROR(__xludf.DUMMYFUNCTION("""COMPUTED_VALUE"""),44952.464895833335)</f>
        <v>44952.4649</v>
      </c>
    </row>
    <row r="642">
      <c r="A642" s="7" t="str">
        <f>IFERROR(__xludf.DUMMYFUNCTION("""COMPUTED_VALUE"""),"https://www.method.me/blog/product-distribution-opportunities/")</f>
        <v>https://www.method.me/blog/product-distribution-opportunities/</v>
      </c>
      <c r="B642" s="1" t="str">
        <f>IFERROR(__xludf.DUMMYFUNCTION("""COMPUTED_VALUE"""),"General how-to")</f>
        <v>General how-to</v>
      </c>
      <c r="C642" s="1" t="str">
        <f>IFERROR(__xludf.DUMMYFUNCTION("""COMPUTED_VALUE"""),"Blog")</f>
        <v>Blog</v>
      </c>
      <c r="D642" s="1" t="str">
        <f>IFERROR(__xludf.DUMMYFUNCTION("""COMPUTED_VALUE"""),"How to use product distribution opportunities to grow your business")</f>
        <v>How to use product distribution opportunities to grow your business</v>
      </c>
      <c r="E642" s="12">
        <f>IFERROR(__xludf.DUMMYFUNCTION("""COMPUTED_VALUE"""),44952.46494212963)</f>
        <v>44952.46494</v>
      </c>
    </row>
    <row r="643">
      <c r="A643" s="7" t="str">
        <f>IFERROR(__xludf.DUMMYFUNCTION("""COMPUTED_VALUE"""),"https://www.method.me/blog/wholesale-distribution-solutions/")</f>
        <v>https://www.method.me/blog/wholesale-distribution-solutions/</v>
      </c>
      <c r="B643" s="1" t="str">
        <f>IFERROR(__xludf.DUMMYFUNCTION("""COMPUTED_VALUE"""),"Listicle - Software / Software overview")</f>
        <v>Listicle - Software / Software overview</v>
      </c>
      <c r="C643" s="1" t="str">
        <f>IFERROR(__xludf.DUMMYFUNCTION("""COMPUTED_VALUE"""),"Blog")</f>
        <v>Blog</v>
      </c>
      <c r="D643" s="1" t="str">
        <f>IFERROR(__xludf.DUMMYFUNCTION("""COMPUTED_VALUE"""),"Top 10 best wholesale distribution solutions for 2024")</f>
        <v>Top 10 best wholesale distribution solutions for 2024</v>
      </c>
      <c r="E643" s="12">
        <f>IFERROR(__xludf.DUMMYFUNCTION("""COMPUTED_VALUE"""),44952.46498842593)</f>
        <v>44952.46499</v>
      </c>
    </row>
    <row r="644">
      <c r="A644" s="7" t="str">
        <f>IFERROR(__xludf.DUMMYFUNCTION("""COMPUTED_VALUE"""),"https://www.method.me/blog/manufacturing-workflow-software/")</f>
        <v>https://www.method.me/blog/manufacturing-workflow-software/</v>
      </c>
      <c r="B644" s="1" t="str">
        <f>IFERROR(__xludf.DUMMYFUNCTION("""COMPUTED_VALUE"""),"Listicle - Software / Software overview")</f>
        <v>Listicle - Software / Software overview</v>
      </c>
      <c r="C644" s="1" t="str">
        <f>IFERROR(__xludf.DUMMYFUNCTION("""COMPUTED_VALUE"""),"Blog")</f>
        <v>Blog</v>
      </c>
      <c r="D644" s="1" t="str">
        <f>IFERROR(__xludf.DUMMYFUNCTION("""COMPUTED_VALUE"""),"Top 10 best manufacturing workflow software for 2024")</f>
        <v>Top 10 best manufacturing workflow software for 2024</v>
      </c>
      <c r="E644" s="12">
        <f>IFERROR(__xludf.DUMMYFUNCTION("""COMPUTED_VALUE"""),44952.46505787037)</f>
        <v>44952.46506</v>
      </c>
    </row>
    <row r="645">
      <c r="A645" s="7" t="str">
        <f>IFERROR(__xludf.DUMMYFUNCTION("""COMPUTED_VALUE"""),"https://www.method.me/blog/work-order-in-manufacturing/")</f>
        <v>https://www.method.me/blog/work-order-in-manufacturing/</v>
      </c>
      <c r="B645" s="1" t="str">
        <f>IFERROR(__xludf.DUMMYFUNCTION("""COMPUTED_VALUE"""),"MWD")</f>
        <v>MWD</v>
      </c>
      <c r="C645" s="1" t="str">
        <f>IFERROR(__xludf.DUMMYFUNCTION("""COMPUTED_VALUE"""),"Blog")</f>
        <v>Blog</v>
      </c>
      <c r="D645" s="1" t="str">
        <f>IFERROR(__xludf.DUMMYFUNCTION("""COMPUTED_VALUE"""),"Work order in manufacturing: How it works in the production process")</f>
        <v>Work order in manufacturing: How it works in the production process</v>
      </c>
      <c r="E645" s="12">
        <f>IFERROR(__xludf.DUMMYFUNCTION("""COMPUTED_VALUE"""),44952.46511574074)</f>
        <v>44952.46512</v>
      </c>
    </row>
    <row r="646">
      <c r="A646" s="7" t="str">
        <f>IFERROR(__xludf.DUMMYFUNCTION("""COMPUTED_VALUE"""),"https://www.method.me/videos/xero-trends/")</f>
        <v>https://www.method.me/videos/xero-trends/</v>
      </c>
      <c r="B646" s="1" t="str">
        <f>IFERROR(__xludf.DUMMYFUNCTION("""COMPUTED_VALUE"""),"Video page")</f>
        <v>Video page</v>
      </c>
      <c r="C646" s="1" t="str">
        <f>IFERROR(__xludf.DUMMYFUNCTION("""COMPUTED_VALUE"""),"Other page")</f>
        <v>Other page</v>
      </c>
      <c r="D646" s="1" t="str">
        <f>IFERROR(__xludf.DUMMYFUNCTION("""COMPUTED_VALUE"""),"The top Xero trends for 2023 and beyond")</f>
        <v>The top Xero trends for 2023 and beyond</v>
      </c>
      <c r="E646" s="12">
        <f>IFERROR(__xludf.DUMMYFUNCTION("""COMPUTED_VALUE"""),44952.64412037037)</f>
        <v>44952.64412</v>
      </c>
    </row>
    <row r="647">
      <c r="A647" s="7" t="str">
        <f>IFERROR(__xludf.DUMMYFUNCTION("""COMPUTED_VALUE"""),"https://www.method.me/blog/is-quickbooks-online-good-for-contractors/")</f>
        <v>https://www.method.me/blog/is-quickbooks-online-good-for-contractors/</v>
      </c>
      <c r="B647" s="1" t="str">
        <f>IFERROR(__xludf.DUMMYFUNCTION("""COMPUTED_VALUE"""),"QuickBooks - General")</f>
        <v>QuickBooks - General</v>
      </c>
      <c r="C647" s="1" t="str">
        <f>IFERROR(__xludf.DUMMYFUNCTION("""COMPUTED_VALUE"""),"Blog")</f>
        <v>Blog</v>
      </c>
      <c r="D647" s="1" t="str">
        <f>IFERROR(__xludf.DUMMYFUNCTION("""COMPUTED_VALUE"""),"Is QuickBooks Online good for contractors?")</f>
        <v>Is QuickBooks Online good for contractors?</v>
      </c>
      <c r="E647" s="12">
        <f>IFERROR(__xludf.DUMMYFUNCTION("""COMPUTED_VALUE"""),44958.684895833336)</f>
        <v>44958.6849</v>
      </c>
    </row>
    <row r="648">
      <c r="A648" s="7" t="str">
        <f>IFERROR(__xludf.DUMMYFUNCTION("""COMPUTED_VALUE"""),"https://www.method.me/blog/quickbooks-for-construction-contractors/")</f>
        <v>https://www.method.me/blog/quickbooks-for-construction-contractors/</v>
      </c>
      <c r="B648" s="1" t="str">
        <f>IFERROR(__xludf.DUMMYFUNCTION("""COMPUTED_VALUE"""),"QuickBooks - How-to")</f>
        <v>QuickBooks - How-to</v>
      </c>
      <c r="C648" s="1" t="str">
        <f>IFERROR(__xludf.DUMMYFUNCTION("""COMPUTED_VALUE"""),"Blog")</f>
        <v>Blog</v>
      </c>
      <c r="D648" s="1" t="str">
        <f>IFERROR(__xludf.DUMMYFUNCTION("""COMPUTED_VALUE"""),"QuickBooks for construction contractors: All you need to know")</f>
        <v>QuickBooks for construction contractors: All you need to know</v>
      </c>
      <c r="E648" s="12">
        <f>IFERROR(__xludf.DUMMYFUNCTION("""COMPUTED_VALUE"""),44964.44398148148)</f>
        <v>44964.44398</v>
      </c>
    </row>
    <row r="649">
      <c r="A649" s="7" t="str">
        <f>IFERROR(__xludf.DUMMYFUNCTION("""COMPUTED_VALUE"""),"https://www.method.me/videos/qbo-trends-2023/")</f>
        <v>https://www.method.me/videos/qbo-trends-2023/</v>
      </c>
      <c r="B649" s="1" t="str">
        <f>IFERROR(__xludf.DUMMYFUNCTION("""COMPUTED_VALUE"""),"Video page")</f>
        <v>Video page</v>
      </c>
      <c r="C649" s="1" t="str">
        <f>IFERROR(__xludf.DUMMYFUNCTION("""COMPUTED_VALUE"""),"Other page")</f>
        <v>Other page</v>
      </c>
      <c r="D649" s="1" t="str">
        <f>IFERROR(__xludf.DUMMYFUNCTION("""COMPUTED_VALUE"""),"The top QuickBooks Online trends to watch out for")</f>
        <v>The top QuickBooks Online trends to watch out for</v>
      </c>
      <c r="E649" s="12">
        <f>IFERROR(__xludf.DUMMYFUNCTION("""COMPUTED_VALUE"""),44967.389444444445)</f>
        <v>44967.38944</v>
      </c>
    </row>
    <row r="650">
      <c r="A650" s="7" t="str">
        <f>IFERROR(__xludf.DUMMYFUNCTION("""COMPUTED_VALUE"""),"https://www.method.me/quickbooks-crm/")</f>
        <v>https://www.method.me/quickbooks-crm/</v>
      </c>
      <c r="B650" s="1" t="str">
        <f>IFERROR(__xludf.DUMMYFUNCTION("""COMPUTED_VALUE"""),"/crm-quickbooks/")</f>
        <v>/crm-quickbooks/</v>
      </c>
      <c r="C650" s="1" t="str">
        <f>IFERROR(__xludf.DUMMYFUNCTION("""COMPUTED_VALUE"""),"Other page")</f>
        <v>Other page</v>
      </c>
      <c r="D650" s="1" t="str">
        <f>IFERROR(__xludf.DUMMYFUNCTION("""COMPUTED_VALUE"""),"The Best QuickBooks CRM for Small Business")</f>
        <v>The Best QuickBooks CRM for Small Business</v>
      </c>
      <c r="E650" s="12">
        <f>IFERROR(__xludf.DUMMYFUNCTION("""COMPUTED_VALUE"""),44970.413136574076)</f>
        <v>44970.41314</v>
      </c>
    </row>
    <row r="651">
      <c r="A651" s="7" t="str">
        <f>IFERROR(__xludf.DUMMYFUNCTION("""COMPUTED_VALUE"""),"https://www.method.me/blog/how-to-become-a-handyman/")</f>
        <v>https://www.method.me/blog/how-to-become-a-handyman/</v>
      </c>
      <c r="B651" s="1" t="str">
        <f>IFERROR(__xludf.DUMMYFUNCTION("""COMPUTED_VALUE"""),"Small business / Nonprofit")</f>
        <v>Small business / Nonprofit</v>
      </c>
      <c r="C651" s="1" t="str">
        <f>IFERROR(__xludf.DUMMYFUNCTION("""COMPUTED_VALUE"""),"Blog")</f>
        <v>Blog</v>
      </c>
      <c r="D651" s="1" t="str">
        <f>IFERROR(__xludf.DUMMYFUNCTION("""COMPUTED_VALUE"""),"Small business self-starter: How to become a handyman")</f>
        <v>Small business self-starter: How to become a handyman</v>
      </c>
      <c r="E651" s="12">
        <f>IFERROR(__xludf.DUMMYFUNCTION("""COMPUTED_VALUE"""),44970.42748842593)</f>
        <v>44970.42749</v>
      </c>
    </row>
    <row r="652">
      <c r="A652" s="7" t="str">
        <f>IFERROR(__xludf.DUMMYFUNCTION("""COMPUTED_VALUE"""),"https://www.method.me/videos/qbdt-to-qbo/")</f>
        <v>https://www.method.me/videos/qbdt-to-qbo/</v>
      </c>
      <c r="B652" s="1" t="str">
        <f>IFERROR(__xludf.DUMMYFUNCTION("""COMPUTED_VALUE"""),"Video page")</f>
        <v>Video page</v>
      </c>
      <c r="C652" s="1" t="str">
        <f>IFERROR(__xludf.DUMMYFUNCTION("""COMPUTED_VALUE"""),"Other page")</f>
        <v>Other page</v>
      </c>
      <c r="D652" s="1" t="str">
        <f>IFERROR(__xludf.DUMMYFUNCTION("""COMPUTED_VALUE"""),"Making the switch from QuickBooks Desktop to Online")</f>
        <v>Making the switch from QuickBooks Desktop to Online</v>
      </c>
      <c r="E652" s="12">
        <f>IFERROR(__xludf.DUMMYFUNCTION("""COMPUTED_VALUE"""),44978.67461805556)</f>
        <v>44978.67462</v>
      </c>
    </row>
    <row r="653">
      <c r="A653" s="7" t="str">
        <f>IFERROR(__xludf.DUMMYFUNCTION("""COMPUTED_VALUE"""),"https://www.method.me/blog/how-to-become-a-general-contractor/")</f>
        <v>https://www.method.me/blog/how-to-become-a-general-contractor/</v>
      </c>
      <c r="B653" s="1" t="str">
        <f>IFERROR(__xludf.DUMMYFUNCTION("""COMPUTED_VALUE"""),"General how-to")</f>
        <v>General how-to</v>
      </c>
      <c r="C653" s="1" t="str">
        <f>IFERROR(__xludf.DUMMYFUNCTION("""COMPUTED_VALUE"""),"Blog")</f>
        <v>Blog</v>
      </c>
      <c r="D653" s="1" t="str">
        <f>IFERROR(__xludf.DUMMYFUNCTION("""COMPUTED_VALUE"""),"How to become a general contractor")</f>
        <v>How to become a general contractor</v>
      </c>
      <c r="E653" s="12">
        <f>IFERROR(__xludf.DUMMYFUNCTION("""COMPUTED_VALUE"""),44980.45261574074)</f>
        <v>44980.45262</v>
      </c>
    </row>
    <row r="654">
      <c r="A654" s="7" t="str">
        <f>IFERROR(__xludf.DUMMYFUNCTION("""COMPUTED_VALUE"""),"https://www.method.me/blog/xero-for-contractors-all-you-need-to-know/")</f>
        <v>https://www.method.me/blog/xero-for-contractors-all-you-need-to-know/</v>
      </c>
      <c r="B654" s="1" t="str">
        <f>IFERROR(__xludf.DUMMYFUNCTION("""COMPUTED_VALUE"""),"Xero")</f>
        <v>Xero</v>
      </c>
      <c r="C654" s="1" t="str">
        <f>IFERROR(__xludf.DUMMYFUNCTION("""COMPUTED_VALUE"""),"Blog")</f>
        <v>Blog</v>
      </c>
      <c r="D654" s="1" t="str">
        <f>IFERROR(__xludf.DUMMYFUNCTION("""COMPUTED_VALUE"""),"Xero for contractors: All you need to know")</f>
        <v>Xero for contractors: All you need to know</v>
      </c>
      <c r="E654" s="12">
        <f>IFERROR(__xludf.DUMMYFUNCTION("""COMPUTED_VALUE"""),44984.55259259259)</f>
        <v>44984.55259</v>
      </c>
    </row>
    <row r="655">
      <c r="A655" s="7" t="str">
        <f>IFERROR(__xludf.DUMMYFUNCTION("""COMPUTED_VALUE"""),"https://www.method.me/videos/workshop-paymentgateways/")</f>
        <v>https://www.method.me/videos/workshop-paymentgateways/</v>
      </c>
      <c r="B655" s="1" t="str">
        <f>IFERROR(__xludf.DUMMYFUNCTION("""COMPUTED_VALUE"""),"Video page")</f>
        <v>Video page</v>
      </c>
      <c r="C655" s="1" t="str">
        <f>IFERROR(__xludf.DUMMYFUNCTION("""COMPUTED_VALUE"""),"Other page")</f>
        <v>Other page</v>
      </c>
      <c r="D655" s="1" t="str">
        <f>IFERROR(__xludf.DUMMYFUNCTION("""COMPUTED_VALUE"""),"Customer workshop: How to set up payment gateways in Method")</f>
        <v>Customer workshop: How to set up payment gateways in Method</v>
      </c>
      <c r="E655" s="12">
        <f>IFERROR(__xludf.DUMMYFUNCTION("""COMPUTED_VALUE"""),44987.59679398148)</f>
        <v>44987.59679</v>
      </c>
    </row>
    <row r="656">
      <c r="A656" s="7" t="str">
        <f>IFERROR(__xludf.DUMMYFUNCTION("""COMPUTED_VALUE"""),"https://www.method.me/blog/international-womens-day-2023/")</f>
        <v>https://www.method.me/blog/international-womens-day-2023/</v>
      </c>
      <c r="B656" s="1" t="str">
        <f>IFERROR(__xludf.DUMMYFUNCTION("""COMPUTED_VALUE"""),"Method - Lifestyle / Storytelling")</f>
        <v>Method - Lifestyle / Storytelling</v>
      </c>
      <c r="C656" s="1" t="str">
        <f>IFERROR(__xludf.DUMMYFUNCTION("""COMPUTED_VALUE"""),"Blog")</f>
        <v>Blog</v>
      </c>
      <c r="D656" s="1" t="str">
        <f>IFERROR(__xludf.DUMMYFUNCTION("""COMPUTED_VALUE"""),"Celebrating International Women’s Day: What it means to us")</f>
        <v>Celebrating International Women’s Day: What it means to us</v>
      </c>
      <c r="E656" s="12">
        <f>IFERROR(__xludf.DUMMYFUNCTION("""COMPUTED_VALUE"""),44992.505902777775)</f>
        <v>44992.5059</v>
      </c>
    </row>
    <row r="657">
      <c r="A657" s="7" t="str">
        <f>IFERROR(__xludf.DUMMYFUNCTION("""COMPUTED_VALUE"""),"https://www.method.me/blog/creating-great-customer-experiences/")</f>
        <v>https://www.method.me/blog/creating-great-customer-experiences/</v>
      </c>
      <c r="B657" s="1" t="str">
        <f>IFERROR(__xludf.DUMMYFUNCTION("""COMPUTED_VALUE"""),"Misc. info")</f>
        <v>Misc. info</v>
      </c>
      <c r="C657" s="1" t="str">
        <f>IFERROR(__xludf.DUMMYFUNCTION("""COMPUTED_VALUE"""),"Blog")</f>
        <v>Blog</v>
      </c>
      <c r="D657" s="1" t="str">
        <f>IFERROR(__xludf.DUMMYFUNCTION("""COMPUTED_VALUE"""),"The ultimate guide to creating great customer experiences")</f>
        <v>The ultimate guide to creating great customer experiences</v>
      </c>
      <c r="E657" s="12">
        <f>IFERROR(__xludf.DUMMYFUNCTION("""COMPUTED_VALUE"""),44993.560694444444)</f>
        <v>44993.56069</v>
      </c>
    </row>
    <row r="658">
      <c r="A658" s="7" t="str">
        <f>IFERROR(__xludf.DUMMYFUNCTION("""COMPUTED_VALUE"""),"https://www.method.me/blog/customer-experience-portal/")</f>
        <v>https://www.method.me/blog/customer-experience-portal/</v>
      </c>
      <c r="B658" s="1" t="str">
        <f>IFERROR(__xludf.DUMMYFUNCTION("""COMPUTED_VALUE"""),"General how-to")</f>
        <v>General how-to</v>
      </c>
      <c r="C658" s="1" t="str">
        <f>IFERROR(__xludf.DUMMYFUNCTION("""COMPUTED_VALUE"""),"Blog")</f>
        <v>Blog</v>
      </c>
      <c r="D658" s="1" t="str">
        <f>IFERROR(__xludf.DUMMYFUNCTION("""COMPUTED_VALUE"""),"How to create a customer experience portal")</f>
        <v>How to create a customer experience portal</v>
      </c>
      <c r="E658" s="12">
        <f>IFERROR(__xludf.DUMMYFUNCTION("""COMPUTED_VALUE"""),44998.479108796295)</f>
        <v>44998.47911</v>
      </c>
    </row>
    <row r="659">
      <c r="A659" s="7" t="str">
        <f>IFERROR(__xludf.DUMMYFUNCTION("""COMPUTED_VALUE"""),"https://www.method.me/blog/customer-portal-software/")</f>
        <v>https://www.method.me/blog/customer-portal-software/</v>
      </c>
      <c r="B659" s="1" t="str">
        <f>IFERROR(__xludf.DUMMYFUNCTION("""COMPUTED_VALUE"""),"Listicle - General")</f>
        <v>Listicle - General</v>
      </c>
      <c r="C659" s="1" t="str">
        <f>IFERROR(__xludf.DUMMYFUNCTION("""COMPUTED_VALUE"""),"Blog")</f>
        <v>Blog</v>
      </c>
      <c r="D659" s="1" t="str">
        <f>IFERROR(__xludf.DUMMYFUNCTION("""COMPUTED_VALUE"""),"5 reasons why you need customer portal solutions")</f>
        <v>5 reasons why you need customer portal solutions</v>
      </c>
      <c r="E659" s="12">
        <f>IFERROR(__xludf.DUMMYFUNCTION("""COMPUTED_VALUE"""),45005.54421296297)</f>
        <v>45005.54421</v>
      </c>
    </row>
    <row r="660">
      <c r="A660" s="7" t="str">
        <f>IFERROR(__xludf.DUMMYFUNCTION("""COMPUTED_VALUE"""),"https://www.method.me/videos/how-qb-users-can-strengthen-operations/")</f>
        <v>https://www.method.me/videos/how-qb-users-can-strengthen-operations/</v>
      </c>
      <c r="B660" s="1" t="str">
        <f>IFERROR(__xludf.DUMMYFUNCTION("""COMPUTED_VALUE"""),"Video page")</f>
        <v>Video page</v>
      </c>
      <c r="C660" s="1" t="str">
        <f>IFERROR(__xludf.DUMMYFUNCTION("""COMPUTED_VALUE"""),"Other page")</f>
        <v>Other page</v>
      </c>
      <c r="D660" s="1" t="str">
        <f>IFERROR(__xludf.DUMMYFUNCTION("""COMPUTED_VALUE"""),"How QuickBooks users can strengthen business operations")</f>
        <v>How QuickBooks users can strengthen business operations</v>
      </c>
      <c r="E660" s="12">
        <f>IFERROR(__xludf.DUMMYFUNCTION("""COMPUTED_VALUE"""),45006.62446759259)</f>
        <v>45006.62447</v>
      </c>
    </row>
    <row r="661">
      <c r="A661" s="7" t="str">
        <f>IFERROR(__xludf.DUMMYFUNCTION("""COMPUTED_VALUE"""),"https://www.method.me/blog/how-to-create-the-best-customer-experience/")</f>
        <v>https://www.method.me/blog/how-to-create-the-best-customer-experience/</v>
      </c>
      <c r="B661" s="1" t="str">
        <f>IFERROR(__xludf.DUMMYFUNCTION("""COMPUTED_VALUE"""),"General how-to")</f>
        <v>General how-to</v>
      </c>
      <c r="C661" s="1" t="str">
        <f>IFERROR(__xludf.DUMMYFUNCTION("""COMPUTED_VALUE"""),"Blog")</f>
        <v>Blog</v>
      </c>
      <c r="D661" s="1" t="str">
        <f>IFERROR(__xludf.DUMMYFUNCTION("""COMPUTED_VALUE"""),"How to create the best customer experience in 2024")</f>
        <v>How to create the best customer experience in 2024</v>
      </c>
      <c r="E661" s="12">
        <f>IFERROR(__xludf.DUMMYFUNCTION("""COMPUTED_VALUE"""),45013.59751157407)</f>
        <v>45013.59751</v>
      </c>
    </row>
    <row r="662">
      <c r="A662" s="7" t="str">
        <f>IFERROR(__xludf.DUMMYFUNCTION("""COMPUTED_VALUE"""),"https://www.method.me/blog/how-crm-improves-small-business-customer-experience/")</f>
        <v>https://www.method.me/blog/how-crm-improves-small-business-customer-experience/</v>
      </c>
      <c r="B662" s="1" t="str">
        <f>IFERROR(__xludf.DUMMYFUNCTION("""COMPUTED_VALUE"""),"CRM")</f>
        <v>CRM</v>
      </c>
      <c r="C662" s="1" t="str">
        <f>IFERROR(__xludf.DUMMYFUNCTION("""COMPUTED_VALUE"""),"Blog")</f>
        <v>Blog</v>
      </c>
      <c r="D662" s="1" t="str">
        <f>IFERROR(__xludf.DUMMYFUNCTION("""COMPUTED_VALUE"""),"How CRM improves small business customer experience")</f>
        <v>How CRM improves small business customer experience</v>
      </c>
      <c r="E662" s="12">
        <f>IFERROR(__xludf.DUMMYFUNCTION("""COMPUTED_VALUE"""),45019.38768518518)</f>
        <v>45019.38769</v>
      </c>
    </row>
    <row r="663">
      <c r="A663" s="7" t="str">
        <f>IFERROR(__xludf.DUMMYFUNCTION("""COMPUTED_VALUE"""),"https://www.method.me/blog/sales-commission-tracking-software/")</f>
        <v>https://www.method.me/blog/sales-commission-tracking-software/</v>
      </c>
      <c r="B663" s="1" t="str">
        <f>IFERROR(__xludf.DUMMYFUNCTION("""COMPUTED_VALUE"""),"Listicle - Software / Software overview")</f>
        <v>Listicle - Software / Software overview</v>
      </c>
      <c r="C663" s="1" t="str">
        <f>IFERROR(__xludf.DUMMYFUNCTION("""COMPUTED_VALUE"""),"Blog")</f>
        <v>Blog</v>
      </c>
      <c r="D663" s="1" t="str">
        <f>IFERROR(__xludf.DUMMYFUNCTION("""COMPUTED_VALUE"""),"5 best sales commission tracking software for your business")</f>
        <v>5 best sales commission tracking software for your business</v>
      </c>
      <c r="E663" s="12">
        <f>IFERROR(__xludf.DUMMYFUNCTION("""COMPUTED_VALUE"""),45019.493252314816)</f>
        <v>45019.49325</v>
      </c>
    </row>
    <row r="664">
      <c r="A664" s="7" t="str">
        <f>IFERROR(__xludf.DUMMYFUNCTION("""COMPUTED_VALUE"""),"https://www.method.me/blog/how-to-set-up-commission-in-quickbooks-online/")</f>
        <v>https://www.method.me/blog/how-to-set-up-commission-in-quickbooks-online/</v>
      </c>
      <c r="B664" s="1" t="str">
        <f>IFERROR(__xludf.DUMMYFUNCTION("""COMPUTED_VALUE"""),"QuickBooks - How-to")</f>
        <v>QuickBooks - How-to</v>
      </c>
      <c r="C664" s="1" t="str">
        <f>IFERROR(__xludf.DUMMYFUNCTION("""COMPUTED_VALUE"""),"Blog")</f>
        <v>Blog</v>
      </c>
      <c r="D664" s="1" t="str">
        <f>IFERROR(__xludf.DUMMYFUNCTION("""COMPUTED_VALUE"""),"How to set up commission in QuickBooks Online")</f>
        <v>How to set up commission in QuickBooks Online</v>
      </c>
      <c r="E664" s="12">
        <f>IFERROR(__xludf.DUMMYFUNCTION("""COMPUTED_VALUE"""),45019.50939814815)</f>
        <v>45019.5094</v>
      </c>
    </row>
    <row r="665">
      <c r="A665" s="7" t="str">
        <f>IFERROR(__xludf.DUMMYFUNCTION("""COMPUTED_VALUE"""),"https://www.method.me/blog/how-to-track-sales-commission-in-quickbooks-desktop/")</f>
        <v>https://www.method.me/blog/how-to-track-sales-commission-in-quickbooks-desktop/</v>
      </c>
      <c r="B665" s="1" t="str">
        <f>IFERROR(__xludf.DUMMYFUNCTION("""COMPUTED_VALUE"""),"QuickBooks - How-to")</f>
        <v>QuickBooks - How-to</v>
      </c>
      <c r="C665" s="1" t="str">
        <f>IFERROR(__xludf.DUMMYFUNCTION("""COMPUTED_VALUE"""),"Blog")</f>
        <v>Blog</v>
      </c>
      <c r="D665" s="1" t="str">
        <f>IFERROR(__xludf.DUMMYFUNCTION("""COMPUTED_VALUE"""),"How to track sales commission in QuickBooks Desktop and Online")</f>
        <v>How to track sales commission in QuickBooks Desktop and Online</v>
      </c>
      <c r="E665" s="12">
        <f>IFERROR(__xludf.DUMMYFUNCTION("""COMPUTED_VALUE"""),45019.52596064815)</f>
        <v>45019.52596</v>
      </c>
    </row>
    <row r="666">
      <c r="A666" s="7" t="str">
        <f>IFERROR(__xludf.DUMMYFUNCTION("""COMPUTED_VALUE"""),"https://www.method.me/blog/how-to-track-commissions-in-quickbooks/")</f>
        <v>https://www.method.me/blog/how-to-track-commissions-in-quickbooks/</v>
      </c>
      <c r="B666" s="1" t="str">
        <f>IFERROR(__xludf.DUMMYFUNCTION("""COMPUTED_VALUE"""),"QuickBooks - How-to")</f>
        <v>QuickBooks - How-to</v>
      </c>
      <c r="C666" s="1" t="str">
        <f>IFERROR(__xludf.DUMMYFUNCTION("""COMPUTED_VALUE"""),"Blog")</f>
        <v>Blog</v>
      </c>
      <c r="D666" s="1" t="str">
        <f>IFERROR(__xludf.DUMMYFUNCTION("""COMPUTED_VALUE"""),"How to track commissions in QuickBooks")</f>
        <v>How to track commissions in QuickBooks</v>
      </c>
      <c r="E666" s="12">
        <f>IFERROR(__xludf.DUMMYFUNCTION("""COMPUTED_VALUE"""),45019.53041666667)</f>
        <v>45019.53042</v>
      </c>
    </row>
    <row r="667">
      <c r="A667" s="7" t="str">
        <f>IFERROR(__xludf.DUMMYFUNCTION("""COMPUTED_VALUE"""),"https://www.method.me/blog/quickbooks-commission-tracking/")</f>
        <v>https://www.method.me/blog/quickbooks-commission-tracking/</v>
      </c>
      <c r="B667" s="1" t="str">
        <f>IFERROR(__xludf.DUMMYFUNCTION("""COMPUTED_VALUE"""),"QuickBooks - How-to")</f>
        <v>QuickBooks - How-to</v>
      </c>
      <c r="C667" s="1" t="str">
        <f>IFERROR(__xludf.DUMMYFUNCTION("""COMPUTED_VALUE"""),"Blog")</f>
        <v>Blog</v>
      </c>
      <c r="D667" s="1" t="str">
        <f>IFERROR(__xludf.DUMMYFUNCTION("""COMPUTED_VALUE"""),"How to perfect your QuickBooks commission tracking process")</f>
        <v>How to perfect your QuickBooks commission tracking process</v>
      </c>
      <c r="E667" s="12">
        <f>IFERROR(__xludf.DUMMYFUNCTION("""COMPUTED_VALUE"""),45019.5471412037)</f>
        <v>45019.54714</v>
      </c>
    </row>
    <row r="668">
      <c r="A668" s="7" t="str">
        <f>IFERROR(__xludf.DUMMYFUNCTION("""COMPUTED_VALUE"""),"https://www.method.me/blog/sales-commission-software/")</f>
        <v>https://www.method.me/blog/sales-commission-software/</v>
      </c>
      <c r="B668" s="1" t="str">
        <f>IFERROR(__xludf.DUMMYFUNCTION("""COMPUTED_VALUE"""),"Listicle - Software / Software overview")</f>
        <v>Listicle - Software / Software overview</v>
      </c>
      <c r="C668" s="1" t="str">
        <f>IFERROR(__xludf.DUMMYFUNCTION("""COMPUTED_VALUE"""),"Blog")</f>
        <v>Blog</v>
      </c>
      <c r="D668" s="1" t="str">
        <f>IFERROR(__xludf.DUMMYFUNCTION("""COMPUTED_VALUE"""),"Why you need sales commission software: Top 5 solutions")</f>
        <v>Why you need sales commission software: Top 5 solutions</v>
      </c>
      <c r="E668" s="12">
        <f>IFERROR(__xludf.DUMMYFUNCTION("""COMPUTED_VALUE"""),45019.5793287037)</f>
        <v>45019.57933</v>
      </c>
    </row>
    <row r="669">
      <c r="A669" s="7" t="str">
        <f>IFERROR(__xludf.DUMMYFUNCTION("""COMPUTED_VALUE"""),"https://www.method.me/blog/xero-commission-tracking/")</f>
        <v>https://www.method.me/blog/xero-commission-tracking/</v>
      </c>
      <c r="B669" s="1" t="str">
        <f>IFERROR(__xludf.DUMMYFUNCTION("""COMPUTED_VALUE"""),"Xero")</f>
        <v>Xero</v>
      </c>
      <c r="C669" s="1" t="str">
        <f>IFERROR(__xludf.DUMMYFUNCTION("""COMPUTED_VALUE"""),"Blog")</f>
        <v>Blog</v>
      </c>
      <c r="D669" s="1" t="str">
        <f>IFERROR(__xludf.DUMMYFUNCTION("""COMPUTED_VALUE"""),"Top 7 Xero commission tracking CRM solutions")</f>
        <v>Top 7 Xero commission tracking CRM solutions</v>
      </c>
      <c r="E669" s="12">
        <f>IFERROR(__xludf.DUMMYFUNCTION("""COMPUTED_VALUE"""),45019.604733796295)</f>
        <v>45019.60473</v>
      </c>
    </row>
    <row r="670">
      <c r="A670" s="7" t="str">
        <f>IFERROR(__xludf.DUMMYFUNCTION("""COMPUTED_VALUE"""),"https://www.method.me/blog/xero-bookkeeping-automation/")</f>
        <v>https://www.method.me/blog/xero-bookkeeping-automation/</v>
      </c>
      <c r="B670" s="1" t="str">
        <f>IFERROR(__xludf.DUMMYFUNCTION("""COMPUTED_VALUE"""),"Xero")</f>
        <v>Xero</v>
      </c>
      <c r="C670" s="1" t="str">
        <f>IFERROR(__xludf.DUMMYFUNCTION("""COMPUTED_VALUE"""),"Blog")</f>
        <v>Blog</v>
      </c>
      <c r="D670" s="1" t="str">
        <f>IFERROR(__xludf.DUMMYFUNCTION("""COMPUTED_VALUE"""),"Xero bookkeeping automation: 5 workflows you need to automate")</f>
        <v>Xero bookkeeping automation: 5 workflows you need to automate</v>
      </c>
      <c r="E670" s="12">
        <f>IFERROR(__xludf.DUMMYFUNCTION("""COMPUTED_VALUE"""),45021.450150462966)</f>
        <v>45021.45015</v>
      </c>
    </row>
    <row r="671">
      <c r="A671" s="7" t="str">
        <f>IFERROR(__xludf.DUMMYFUNCTION("""COMPUTED_VALUE"""),"https://www.method.me/blog/xero-customer-invoice-portal/")</f>
        <v>https://www.method.me/blog/xero-customer-invoice-portal/</v>
      </c>
      <c r="B671" s="1" t="str">
        <f>IFERROR(__xludf.DUMMYFUNCTION("""COMPUTED_VALUE"""),"Xero")</f>
        <v>Xero</v>
      </c>
      <c r="C671" s="1" t="str">
        <f>IFERROR(__xludf.DUMMYFUNCTION("""COMPUTED_VALUE"""),"Blog")</f>
        <v>Blog</v>
      </c>
      <c r="D671" s="1" t="str">
        <f>IFERROR(__xludf.DUMMYFUNCTION("""COMPUTED_VALUE"""),"How to keep customers happy with a Xero customer portal")</f>
        <v>How to keep customers happy with a Xero customer portal</v>
      </c>
      <c r="E671" s="12">
        <f>IFERROR(__xludf.DUMMYFUNCTION("""COMPUTED_VALUE"""),45027.667337962965)</f>
        <v>45027.66734</v>
      </c>
    </row>
    <row r="672">
      <c r="A672" s="7" t="str">
        <f>IFERROR(__xludf.DUMMYFUNCTION("""COMPUTED_VALUE"""),"https://www.method.me/blog/quickbooks-online-payment-portal/")</f>
        <v>https://www.method.me/blog/quickbooks-online-payment-portal/</v>
      </c>
      <c r="B672" s="1" t="str">
        <f>IFERROR(__xludf.DUMMYFUNCTION("""COMPUTED_VALUE"""),"QuickBooks - General")</f>
        <v>QuickBooks - General</v>
      </c>
      <c r="C672" s="1" t="str">
        <f>IFERROR(__xludf.DUMMYFUNCTION("""COMPUTED_VALUE"""),"Blog")</f>
        <v>Blog</v>
      </c>
      <c r="D672" s="1" t="str">
        <f>IFERROR(__xludf.DUMMYFUNCTION("""COMPUTED_VALUE"""),"Improve customer experience with a QuickBooks Online portal")</f>
        <v>Improve customer experience with a QuickBooks Online portal</v>
      </c>
      <c r="E672" s="12">
        <f>IFERROR(__xludf.DUMMYFUNCTION("""COMPUTED_VALUE"""),45034.41777777778)</f>
        <v>45034.41778</v>
      </c>
    </row>
    <row r="673">
      <c r="A673" s="7" t="str">
        <f>IFERROR(__xludf.DUMMYFUNCTION("""COMPUTED_VALUE"""),"https://www.method.me/videos/how-to-get-the-most-out-of-qbo-apps/")</f>
        <v>https://www.method.me/videos/how-to-get-the-most-out-of-qbo-apps/</v>
      </c>
      <c r="B673" s="1" t="str">
        <f>IFERROR(__xludf.DUMMYFUNCTION("""COMPUTED_VALUE"""),"Video page")</f>
        <v>Video page</v>
      </c>
      <c r="C673" s="1" t="str">
        <f>IFERROR(__xludf.DUMMYFUNCTION("""COMPUTED_VALUE"""),"Other page")</f>
        <v>Other page</v>
      </c>
      <c r="D673" s="1" t="str">
        <f>IFERROR(__xludf.DUMMYFUNCTION("""COMPUTED_VALUE"""),"5 tips on getting the most out of your QuickBooks Online app stack")</f>
        <v>5 tips on getting the most out of your QuickBooks Online app stack</v>
      </c>
      <c r="E673" s="12">
        <f>IFERROR(__xludf.DUMMYFUNCTION("""COMPUTED_VALUE"""),45036.52726851852)</f>
        <v>45036.52727</v>
      </c>
    </row>
    <row r="674">
      <c r="A674" s="7" t="str">
        <f>IFERROR(__xludf.DUMMYFUNCTION("""COMPUTED_VALUE"""),"https://www.method.me/videos/workshop-portals/")</f>
        <v>https://www.method.me/videos/workshop-portals/</v>
      </c>
      <c r="B674" s="1" t="str">
        <f>IFERROR(__xludf.DUMMYFUNCTION("""COMPUTED_VALUE"""),"Video page")</f>
        <v>Video page</v>
      </c>
      <c r="C674" s="1" t="str">
        <f>IFERROR(__xludf.DUMMYFUNCTION("""COMPUTED_VALUE"""),"Other page")</f>
        <v>Other page</v>
      </c>
      <c r="D674" s="1" t="str">
        <f>IFERROR(__xludf.DUMMYFUNCTION("""COMPUTED_VALUE"""),"Customer workshop: How to set up customer portals")</f>
        <v>Customer workshop: How to set up customer portals</v>
      </c>
      <c r="E674" s="12">
        <f>IFERROR(__xludf.DUMMYFUNCTION("""COMPUTED_VALUE"""),45036.66621527778)</f>
        <v>45036.66622</v>
      </c>
    </row>
    <row r="675">
      <c r="A675" s="7" t="str">
        <f>IFERROR(__xludf.DUMMYFUNCTION("""COMPUTED_VALUE"""),"https://www.method.me/blog/customer-service-web-portal/")</f>
        <v>https://www.method.me/blog/customer-service-web-portal/</v>
      </c>
      <c r="B675" s="1" t="str">
        <f>IFERROR(__xludf.DUMMYFUNCTION("""COMPUTED_VALUE"""),"Listicle - Software / Software overview")</f>
        <v>Listicle - Software / Software overview</v>
      </c>
      <c r="C675" s="1" t="str">
        <f>IFERROR(__xludf.DUMMYFUNCTION("""COMPUTED_VALUE"""),"Blog")</f>
        <v>Blog</v>
      </c>
      <c r="D675" s="1" t="str">
        <f>IFERROR(__xludf.DUMMYFUNCTION("""COMPUTED_VALUE"""),"Top 9 customer service portal solutions for 2024")</f>
        <v>Top 9 customer service portal solutions for 2024</v>
      </c>
      <c r="E675" s="12">
        <f>IFERROR(__xludf.DUMMYFUNCTION("""COMPUTED_VALUE"""),45040.457650462966)</f>
        <v>45040.45765</v>
      </c>
    </row>
    <row r="676">
      <c r="A676" s="7" t="str">
        <f>IFERROR(__xludf.DUMMYFUNCTION("""COMPUTED_VALUE"""),"https://www.method.me/blog/crm-and-customer-experience/")</f>
        <v>https://www.method.me/blog/crm-and-customer-experience/</v>
      </c>
      <c r="B676" s="1" t="str">
        <f>IFERROR(__xludf.DUMMYFUNCTION("""COMPUTED_VALUE"""),"CRM")</f>
        <v>CRM</v>
      </c>
      <c r="C676" s="1" t="str">
        <f>IFERROR(__xludf.DUMMYFUNCTION("""COMPUTED_VALUE"""),"Blog")</f>
        <v>Blog</v>
      </c>
      <c r="D676" s="1" t="str">
        <f>IFERROR(__xludf.DUMMYFUNCTION("""COMPUTED_VALUE"""),"How to make the most of your CRM and customer experience")</f>
        <v>How to make the most of your CRM and customer experience</v>
      </c>
      <c r="E676" s="12">
        <f>IFERROR(__xludf.DUMMYFUNCTION("""COMPUTED_VALUE"""),45047.672430555554)</f>
        <v>45047.67243</v>
      </c>
    </row>
    <row r="677">
      <c r="A677" s="7" t="str">
        <f>IFERROR(__xludf.DUMMYFUNCTION("""COMPUTED_VALUE"""),"https://www.method.me/industries/crm-for-bookkeepers/")</f>
        <v>https://www.method.me/industries/crm-for-bookkeepers/</v>
      </c>
      <c r="B677" s="1" t="str">
        <f>IFERROR(__xludf.DUMMYFUNCTION("""COMPUTED_VALUE"""),"Industries page")</f>
        <v>Industries page</v>
      </c>
      <c r="C677" s="1" t="str">
        <f>IFERROR(__xludf.DUMMYFUNCTION("""COMPUTED_VALUE"""),"Other page")</f>
        <v>Other page</v>
      </c>
      <c r="D677" s="1" t="str">
        <f>IFERROR(__xludf.DUMMYFUNCTION("""COMPUTED_VALUE"""),"Bookkeeping")</f>
        <v>Bookkeeping</v>
      </c>
      <c r="E677" s="12">
        <f>IFERROR(__xludf.DUMMYFUNCTION("""COMPUTED_VALUE"""),45051.42267361111)</f>
        <v>45051.42267</v>
      </c>
    </row>
    <row r="678">
      <c r="A678" s="7" t="str">
        <f>IFERROR(__xludf.DUMMYFUNCTION("""COMPUTED_VALUE"""),"https://www.method.me/blog/which-quickbooks-version/")</f>
        <v>https://www.method.me/blog/which-quickbooks-version/</v>
      </c>
      <c r="B678" s="1" t="str">
        <f>IFERROR(__xludf.DUMMYFUNCTION("""COMPUTED_VALUE"""),"QuickBooks - General")</f>
        <v>QuickBooks - General</v>
      </c>
      <c r="C678" s="1" t="str">
        <f>IFERROR(__xludf.DUMMYFUNCTION("""COMPUTED_VALUE"""),"Blog")</f>
        <v>Blog</v>
      </c>
      <c r="D678" s="1" t="str">
        <f>IFERROR(__xludf.DUMMYFUNCTION("""COMPUTED_VALUE"""),"The complete QuickBooks comparison guide")</f>
        <v>The complete QuickBooks comparison guide</v>
      </c>
      <c r="E678" s="12">
        <f>IFERROR(__xludf.DUMMYFUNCTION("""COMPUTED_VALUE"""),45054.45824074074)</f>
        <v>45054.45824</v>
      </c>
    </row>
    <row r="679">
      <c r="A679" s="7" t="str">
        <f>IFERROR(__xludf.DUMMYFUNCTION("""COMPUTED_VALUE"""),"https://www.method.me/videos/quickbooks-automation-for-growth/")</f>
        <v>https://www.method.me/videos/quickbooks-automation-for-growth/</v>
      </c>
      <c r="B679" s="1" t="str">
        <f>IFERROR(__xludf.DUMMYFUNCTION("""COMPUTED_VALUE"""),"Video page")</f>
        <v>Video page</v>
      </c>
      <c r="C679" s="1" t="str">
        <f>IFERROR(__xludf.DUMMYFUNCTION("""COMPUTED_VALUE"""),"Other page")</f>
        <v>Other page</v>
      </c>
      <c r="D679" s="1" t="str">
        <f>IFERROR(__xludf.DUMMYFUNCTION("""COMPUTED_VALUE"""),"Why QuickBooks automation needs to be part of your growth strategy")</f>
        <v>Why QuickBooks automation needs to be part of your growth strategy</v>
      </c>
      <c r="E679" s="12">
        <f>IFERROR(__xludf.DUMMYFUNCTION("""COMPUTED_VALUE"""),45055.61344907407)</f>
        <v>45055.61345</v>
      </c>
    </row>
    <row r="680">
      <c r="A680" s="7" t="str">
        <f>IFERROR(__xludf.DUMMYFUNCTION("""COMPUTED_VALUE"""),"https://www.method.me/")</f>
        <v>https://www.method.me/</v>
      </c>
      <c r="B680" s="1" t="str">
        <f>IFERROR(__xludf.DUMMYFUNCTION("""COMPUTED_VALUE"""),"Homepage")</f>
        <v>Homepage</v>
      </c>
      <c r="C680" s="1" t="str">
        <f>IFERROR(__xludf.DUMMYFUNCTION("""COMPUTED_VALUE"""),"Other page")</f>
        <v>Other page</v>
      </c>
      <c r="D680" s="1" t="str">
        <f>IFERROR(__xludf.DUMMYFUNCTION("""COMPUTED_VALUE"""),"Home")</f>
        <v>Home</v>
      </c>
      <c r="E680" s="12">
        <f>IFERROR(__xludf.DUMMYFUNCTION("""COMPUTED_VALUE"""),45063.48087962963)</f>
        <v>45063.48088</v>
      </c>
    </row>
    <row r="681">
      <c r="A681" s="7" t="str">
        <f>IFERROR(__xludf.DUMMYFUNCTION("""COMPUTED_VALUE"""),"https://www.method.me/home-v2/")</f>
        <v>https://www.method.me/home-v2/</v>
      </c>
      <c r="B681" s="1" t="str">
        <f>IFERROR(__xludf.DUMMYFUNCTION("""COMPUTED_VALUE"""),"Homepage")</f>
        <v>Homepage</v>
      </c>
      <c r="C681" s="1" t="str">
        <f>IFERROR(__xludf.DUMMYFUNCTION("""COMPUTED_VALUE"""),"Other page")</f>
        <v>Other page</v>
      </c>
      <c r="D681" s="1" t="str">
        <f>IFERROR(__xludf.DUMMYFUNCTION("""COMPUTED_VALUE"""),"Home")</f>
        <v>Home</v>
      </c>
      <c r="E681" s="12">
        <f>IFERROR(__xludf.DUMMYFUNCTION("""COMPUTED_VALUE"""),45063.48087962963)</f>
        <v>45063.48088</v>
      </c>
    </row>
    <row r="682">
      <c r="A682" s="7" t="str">
        <f>IFERROR(__xludf.DUMMYFUNCTION("""COMPUTED_VALUE"""),"https://www.method.me/blog/quickbooks-invoice-templates/")</f>
        <v>https://www.method.me/blog/quickbooks-invoice-templates/</v>
      </c>
      <c r="B682" s="1" t="str">
        <f>IFERROR(__xludf.DUMMYFUNCTION("""COMPUTED_VALUE"""),"QuickBooks - How-to")</f>
        <v>QuickBooks - How-to</v>
      </c>
      <c r="C682" s="1" t="str">
        <f>IFERROR(__xludf.DUMMYFUNCTION("""COMPUTED_VALUE"""),"Blog")</f>
        <v>Blog</v>
      </c>
      <c r="D682" s="1" t="str">
        <f>IFERROR(__xludf.DUMMYFUNCTION("""COMPUTED_VALUE"""),"How to create the best QuickBooks invoice templates")</f>
        <v>How to create the best QuickBooks invoice templates</v>
      </c>
      <c r="E682" s="12">
        <f>IFERROR(__xludf.DUMMYFUNCTION("""COMPUTED_VALUE"""),45064.40578703704)</f>
        <v>45064.40579</v>
      </c>
    </row>
    <row r="683">
      <c r="A683" s="7" t="str">
        <f>IFERROR(__xludf.DUMMYFUNCTION("""COMPUTED_VALUE"""),"https://www.method.me/blog/customize-invoice-quickbooks-online/")</f>
        <v>https://www.method.me/blog/customize-invoice-quickbooks-online/</v>
      </c>
      <c r="B683" s="1" t="str">
        <f>IFERROR(__xludf.DUMMYFUNCTION("""COMPUTED_VALUE"""),"QuickBooks - How-to")</f>
        <v>QuickBooks - How-to</v>
      </c>
      <c r="C683" s="1" t="str">
        <f>IFERROR(__xludf.DUMMYFUNCTION("""COMPUTED_VALUE"""),"Blog")</f>
        <v>Blog</v>
      </c>
      <c r="D683" s="1" t="str">
        <f>IFERROR(__xludf.DUMMYFUNCTION("""COMPUTED_VALUE"""),"Customize invoice QuickBooks Online: How to personalize your invoices")</f>
        <v>Customize invoice QuickBooks Online: How to personalize your invoices</v>
      </c>
      <c r="E683" s="12">
        <f>IFERROR(__xludf.DUMMYFUNCTION("""COMPUTED_VALUE"""),45069.70607638889)</f>
        <v>45069.70608</v>
      </c>
    </row>
    <row r="684">
      <c r="A684" s="7" t="str">
        <f>IFERROR(__xludf.DUMMYFUNCTION("""COMPUTED_VALUE"""),"https://www.method.me/videos/workshop-webtolead/")</f>
        <v>https://www.method.me/videos/workshop-webtolead/</v>
      </c>
      <c r="B684" s="1" t="str">
        <f>IFERROR(__xludf.DUMMYFUNCTION("""COMPUTED_VALUE"""),"Video page")</f>
        <v>Video page</v>
      </c>
      <c r="C684" s="1" t="str">
        <f>IFERROR(__xludf.DUMMYFUNCTION("""COMPUTED_VALUE"""),"Other page")</f>
        <v>Other page</v>
      </c>
      <c r="D684" s="1" t="str">
        <f>IFERROR(__xludf.DUMMYFUNCTION("""COMPUTED_VALUE"""),"Customer workshop: How to use the web to lead app")</f>
        <v>Customer workshop: How to use the web to lead app</v>
      </c>
      <c r="E684" s="12">
        <f>IFERROR(__xludf.DUMMYFUNCTION("""COMPUTED_VALUE"""),45072.412569444445)</f>
        <v>45072.41257</v>
      </c>
    </row>
    <row r="685">
      <c r="A685" s="7" t="str">
        <f>IFERROR(__xludf.DUMMYFUNCTION("""COMPUTED_VALUE"""),"https://www.method.me/blog/quickbooks-estimate-template/")</f>
        <v>https://www.method.me/blog/quickbooks-estimate-template/</v>
      </c>
      <c r="B685" s="1" t="str">
        <f>IFERROR(__xludf.DUMMYFUNCTION("""COMPUTED_VALUE"""),"QuickBooks - How-to")</f>
        <v>QuickBooks - How-to</v>
      </c>
      <c r="C685" s="1" t="str">
        <f>IFERROR(__xludf.DUMMYFUNCTION("""COMPUTED_VALUE"""),"Blog")</f>
        <v>Blog</v>
      </c>
      <c r="D685" s="1" t="str">
        <f>IFERROR(__xludf.DUMMYFUNCTION("""COMPUTED_VALUE"""),"How to create a personalized QuickBooks estimate template")</f>
        <v>How to create a personalized QuickBooks estimate template</v>
      </c>
      <c r="E685" s="12">
        <f>IFERROR(__xludf.DUMMYFUNCTION("""COMPUTED_VALUE"""),45075.70959490741)</f>
        <v>45075.70959</v>
      </c>
    </row>
    <row r="686">
      <c r="A686" s="7" t="str">
        <f>IFERROR(__xludf.DUMMYFUNCTION("""COMPUTED_VALUE"""),"https://www.method.me/blog/how-to-edit-invoice-template-in-quickbooks/")</f>
        <v>https://www.method.me/blog/how-to-edit-invoice-template-in-quickbooks/</v>
      </c>
      <c r="B686" s="1" t="str">
        <f>IFERROR(__xludf.DUMMYFUNCTION("""COMPUTED_VALUE"""),"QuickBooks - How-to")</f>
        <v>QuickBooks - How-to</v>
      </c>
      <c r="C686" s="1" t="str">
        <f>IFERROR(__xludf.DUMMYFUNCTION("""COMPUTED_VALUE"""),"Blog")</f>
        <v>Blog</v>
      </c>
      <c r="D686" s="1" t="str">
        <f>IFERROR(__xludf.DUMMYFUNCTION("""COMPUTED_VALUE"""),"How to edit invoice template in QuickBooks")</f>
        <v>How to edit invoice template in QuickBooks</v>
      </c>
      <c r="E686" s="12">
        <f>IFERROR(__xludf.DUMMYFUNCTION("""COMPUTED_VALUE"""),45084.64944444445)</f>
        <v>45084.64944</v>
      </c>
    </row>
    <row r="687">
      <c r="A687" s="7" t="str">
        <f>IFERROR(__xludf.DUMMYFUNCTION("""COMPUTED_VALUE"""),"https://www.method.me/videos/perfect-customer-experience/")</f>
        <v>https://www.method.me/videos/perfect-customer-experience/</v>
      </c>
      <c r="B687" s="1" t="str">
        <f>IFERROR(__xludf.DUMMYFUNCTION("""COMPUTED_VALUE"""),"Video page")</f>
        <v>Video page</v>
      </c>
      <c r="C687" s="1" t="str">
        <f>IFERROR(__xludf.DUMMYFUNCTION("""COMPUTED_VALUE"""),"Other page")</f>
        <v>Other page</v>
      </c>
      <c r="D687" s="1" t="str">
        <f>IFERROR(__xludf.DUMMYFUNCTION("""COMPUTED_VALUE"""),"How QuickBooks users can provide a perfect customer experience")</f>
        <v>How QuickBooks users can provide a perfect customer experience</v>
      </c>
      <c r="E687" s="12">
        <f>IFERROR(__xludf.DUMMYFUNCTION("""COMPUTED_VALUE"""),45090.67549768519)</f>
        <v>45090.6755</v>
      </c>
    </row>
    <row r="688">
      <c r="A688" s="7" t="str">
        <f>IFERROR(__xludf.DUMMYFUNCTION("""COMPUTED_VALUE"""),"https://www.method.me/blog/how-to-change-invoice-template-in-quickbooks/")</f>
        <v>https://www.method.me/blog/how-to-change-invoice-template-in-quickbooks/</v>
      </c>
      <c r="B688" s="1" t="str">
        <f>IFERROR(__xludf.DUMMYFUNCTION("""COMPUTED_VALUE"""),"QuickBooks - How-to")</f>
        <v>QuickBooks - How-to</v>
      </c>
      <c r="C688" s="1" t="str">
        <f>IFERROR(__xludf.DUMMYFUNCTION("""COMPUTED_VALUE"""),"Blog")</f>
        <v>Blog</v>
      </c>
      <c r="D688" s="1" t="str">
        <f>IFERROR(__xludf.DUMMYFUNCTION("""COMPUTED_VALUE"""),"How to change invoice template in QuickBooks")</f>
        <v>How to change invoice template in QuickBooks</v>
      </c>
      <c r="E688" s="12">
        <f>IFERROR(__xludf.DUMMYFUNCTION("""COMPUTED_VALUE"""),45091.43324074074)</f>
        <v>45091.43324</v>
      </c>
    </row>
    <row r="689">
      <c r="A689" s="7" t="str">
        <f>IFERROR(__xludf.DUMMYFUNCTION("""COMPUTED_VALUE"""),"https://www.method.me/blog/chasing-payment/")</f>
        <v>https://www.method.me/blog/chasing-payment/</v>
      </c>
      <c r="B689" s="1" t="str">
        <f>IFERROR(__xludf.DUMMYFUNCTION("""COMPUTED_VALUE"""),"Misc. info")</f>
        <v>Misc. info</v>
      </c>
      <c r="C689" s="1" t="str">
        <f>IFERROR(__xludf.DUMMYFUNCTION("""COMPUTED_VALUE"""),"Blog")</f>
        <v>Blog</v>
      </c>
      <c r="D689" s="1" t="str">
        <f>IFERROR(__xludf.DUMMYFUNCTION("""COMPUTED_VALUE"""),"Chasing payment: A comprehensive guide to getting paid on time")</f>
        <v>Chasing payment: A comprehensive guide to getting paid on time</v>
      </c>
      <c r="E689" s="12">
        <f>IFERROR(__xludf.DUMMYFUNCTION("""COMPUTED_VALUE"""),45096.40054398148)</f>
        <v>45096.40054</v>
      </c>
    </row>
    <row r="690">
      <c r="A690" s="7" t="str">
        <f>IFERROR(__xludf.DUMMYFUNCTION("""COMPUTED_VALUE"""),"https://www.method.me/blog/general-contractor-markup/")</f>
        <v>https://www.method.me/blog/general-contractor-markup/</v>
      </c>
      <c r="B690" s="1" t="str">
        <f>IFERROR(__xludf.DUMMYFUNCTION("""COMPUTED_VALUE"""),"Field services / Contractors")</f>
        <v>Field services / Contractors</v>
      </c>
      <c r="C690" s="1" t="str">
        <f>IFERROR(__xludf.DUMMYFUNCTION("""COMPUTED_VALUE"""),"Blog")</f>
        <v>Blog</v>
      </c>
      <c r="D690" s="1" t="str">
        <f>IFERROR(__xludf.DUMMYFUNCTION("""COMPUTED_VALUE"""),"General contractor markup guide")</f>
        <v>General contractor markup guide</v>
      </c>
      <c r="E690" s="12">
        <f>IFERROR(__xludf.DUMMYFUNCTION("""COMPUTED_VALUE"""),45096.40887731482)</f>
        <v>45096.40888</v>
      </c>
    </row>
    <row r="691">
      <c r="A691" s="7" t="str">
        <f>IFERROR(__xludf.DUMMYFUNCTION("""COMPUTED_VALUE"""),"https://www.method.me/blog/how-to-ask-for-a-deposit/")</f>
        <v>https://www.method.me/blog/how-to-ask-for-a-deposit/</v>
      </c>
      <c r="B691" s="1" t="str">
        <f>IFERROR(__xludf.DUMMYFUNCTION("""COMPUTED_VALUE"""),"General how-to")</f>
        <v>General how-to</v>
      </c>
      <c r="C691" s="1" t="str">
        <f>IFERROR(__xludf.DUMMYFUNCTION("""COMPUTED_VALUE"""),"Blog")</f>
        <v>Blog</v>
      </c>
      <c r="D691" s="1" t="str">
        <f>IFERROR(__xludf.DUMMYFUNCTION("""COMPUTED_VALUE"""),"How to ask for a deposit from clients")</f>
        <v>How to ask for a deposit from clients</v>
      </c>
      <c r="E691" s="12">
        <f>IFERROR(__xludf.DUMMYFUNCTION("""COMPUTED_VALUE"""),45096.42899305555)</f>
        <v>45096.42899</v>
      </c>
    </row>
    <row r="692">
      <c r="A692" s="7" t="str">
        <f>IFERROR(__xludf.DUMMYFUNCTION("""COMPUTED_VALUE"""),"https://www.method.me/blog/estimate-generator/")</f>
        <v>https://www.method.me/blog/estimate-generator/</v>
      </c>
      <c r="B692" s="1" t="str">
        <f>IFERROR(__xludf.DUMMYFUNCTION("""COMPUTED_VALUE"""),"Misc. info")</f>
        <v>Misc. info</v>
      </c>
      <c r="C692" s="1" t="str">
        <f>IFERROR(__xludf.DUMMYFUNCTION("""COMPUTED_VALUE"""),"Blog")</f>
        <v>Blog</v>
      </c>
      <c r="D692" s="1" t="str">
        <f>IFERROR(__xludf.DUMMYFUNCTION("""COMPUTED_VALUE"""),"Free online estimate generator")</f>
        <v>Free online estimate generator</v>
      </c>
      <c r="E692" s="12">
        <f>IFERROR(__xludf.DUMMYFUNCTION("""COMPUTED_VALUE"""),45096.43952546296)</f>
        <v>45096.43953</v>
      </c>
    </row>
    <row r="693">
      <c r="A693" s="7" t="str">
        <f>IFERROR(__xludf.DUMMYFUNCTION("""COMPUTED_VALUE"""),"https://www.method.me/blog/commerical-renovation-cost/")</f>
        <v>https://www.method.me/blog/commerical-renovation-cost/</v>
      </c>
      <c r="B693" s="1" t="str">
        <f>IFERROR(__xludf.DUMMYFUNCTION("""COMPUTED_VALUE"""),"General how-to")</f>
        <v>General how-to</v>
      </c>
      <c r="C693" s="1" t="str">
        <f>IFERROR(__xludf.DUMMYFUNCTION("""COMPUTED_VALUE"""),"Blog")</f>
        <v>Blog</v>
      </c>
      <c r="D693" s="1" t="str">
        <f>IFERROR(__xludf.DUMMYFUNCTION("""COMPUTED_VALUE"""),"Commercial renovation cost: How to plan and budget for your next project")</f>
        <v>Commercial renovation cost: How to plan and budget for your next project</v>
      </c>
      <c r="E693" s="12">
        <f>IFERROR(__xludf.DUMMYFUNCTION("""COMPUTED_VALUE"""),45096.44684027778)</f>
        <v>45096.44684</v>
      </c>
    </row>
    <row r="694">
      <c r="A694" s="7" t="str">
        <f>IFERROR(__xludf.DUMMYFUNCTION("""COMPUTED_VALUE"""),"https://www.method.me/blog/quotation-reminder/")</f>
        <v>https://www.method.me/blog/quotation-reminder/</v>
      </c>
      <c r="B694" s="1" t="str">
        <f>IFERROR(__xludf.DUMMYFUNCTION("""COMPUTED_VALUE"""),"Misc. info")</f>
        <v>Misc. info</v>
      </c>
      <c r="C694" s="1" t="str">
        <f>IFERROR(__xludf.DUMMYFUNCTION("""COMPUTED_VALUE"""),"Blog")</f>
        <v>Blog</v>
      </c>
      <c r="D694" s="1" t="str">
        <f>IFERROR(__xludf.DUMMYFUNCTION("""COMPUTED_VALUE"""),"Quotation reminder: Email templates to boost conversions")</f>
        <v>Quotation reminder: Email templates to boost conversions</v>
      </c>
      <c r="E694" s="12">
        <f>IFERROR(__xludf.DUMMYFUNCTION("""COMPUTED_VALUE"""),45096.453101851854)</f>
        <v>45096.4531</v>
      </c>
    </row>
    <row r="695">
      <c r="A695" s="7" t="str">
        <f>IFERROR(__xludf.DUMMYFUNCTION("""COMPUTED_VALUE"""),"https://www.method.me/blog/how-to-invoice-as-a-contractor/")</f>
        <v>https://www.method.me/blog/how-to-invoice-as-a-contractor/</v>
      </c>
      <c r="B695" s="1" t="str">
        <f>IFERROR(__xludf.DUMMYFUNCTION("""COMPUTED_VALUE"""),"General how-to")</f>
        <v>General how-to</v>
      </c>
      <c r="C695" s="1" t="str">
        <f>IFERROR(__xludf.DUMMYFUNCTION("""COMPUTED_VALUE"""),"Blog")</f>
        <v>Blog</v>
      </c>
      <c r="D695" s="1" t="str">
        <f>IFERROR(__xludf.DUMMYFUNCTION("""COMPUTED_VALUE"""),"How to invoice as a contractor")</f>
        <v>How to invoice as a contractor</v>
      </c>
      <c r="E695" s="12">
        <f>IFERROR(__xludf.DUMMYFUNCTION("""COMPUTED_VALUE"""),45096.45829861111)</f>
        <v>45096.4583</v>
      </c>
    </row>
    <row r="696">
      <c r="A696" s="7" t="str">
        <f>IFERROR(__xludf.DUMMYFUNCTION("""COMPUTED_VALUE"""),"https://www.method.me/blog/how-to-create-a-quote/")</f>
        <v>https://www.method.me/blog/how-to-create-a-quote/</v>
      </c>
      <c r="B696" s="1" t="str">
        <f>IFERROR(__xludf.DUMMYFUNCTION("""COMPUTED_VALUE"""),"General how-to")</f>
        <v>General how-to</v>
      </c>
      <c r="C696" s="1" t="str">
        <f>IFERROR(__xludf.DUMMYFUNCTION("""COMPUTED_VALUE"""),"Blog")</f>
        <v>Blog</v>
      </c>
      <c r="D696" s="1" t="str">
        <f>IFERROR(__xludf.DUMMYFUNCTION("""COMPUTED_VALUE"""),"How to create a quote")</f>
        <v>How to create a quote</v>
      </c>
      <c r="E696" s="12">
        <f>IFERROR(__xludf.DUMMYFUNCTION("""COMPUTED_VALUE"""),45096.46233796296)</f>
        <v>45096.46234</v>
      </c>
    </row>
    <row r="697">
      <c r="A697" s="7" t="str">
        <f>IFERROR(__xludf.DUMMYFUNCTION("""COMPUTED_VALUE"""),"https://www.method.me/blog/best-apps-for-painting-contractors/")</f>
        <v>https://www.method.me/blog/best-apps-for-painting-contractors/</v>
      </c>
      <c r="B697" s="1" t="str">
        <f>IFERROR(__xludf.DUMMYFUNCTION("""COMPUTED_VALUE"""),"Listicle - Software / Software overview")</f>
        <v>Listicle - Software / Software overview</v>
      </c>
      <c r="C697" s="1" t="str">
        <f>IFERROR(__xludf.DUMMYFUNCTION("""COMPUTED_VALUE"""),"Blog")</f>
        <v>Blog</v>
      </c>
      <c r="D697" s="1" t="str">
        <f>IFERROR(__xludf.DUMMYFUNCTION("""COMPUTED_VALUE"""),"10 best apps for painting contractors in 2024")</f>
        <v>10 best apps for painting contractors in 2024</v>
      </c>
      <c r="E697" s="12">
        <f>IFERROR(__xludf.DUMMYFUNCTION("""COMPUTED_VALUE"""),45096.486446759256)</f>
        <v>45096.48645</v>
      </c>
    </row>
    <row r="698">
      <c r="A698" s="7" t="str">
        <f>IFERROR(__xludf.DUMMYFUNCTION("""COMPUTED_VALUE"""),"https://www.method.me/resources/quickbooks-invoice-automation/")</f>
        <v>https://www.method.me/resources/quickbooks-invoice-automation/</v>
      </c>
      <c r="B698" s="1" t="str">
        <f>IFERROR(__xludf.DUMMYFUNCTION("""COMPUTED_VALUE"""),"QuickBooks - How-to")</f>
        <v>QuickBooks - How-to</v>
      </c>
      <c r="C698" s="1" t="str">
        <f>IFERROR(__xludf.DUMMYFUNCTION("""COMPUTED_VALUE"""),"Guide")</f>
        <v>Guide</v>
      </c>
      <c r="D698" s="1" t="str">
        <f>IFERROR(__xludf.DUMMYFUNCTION("""COMPUTED_VALUE"""),"QuickBooks invoice automation: Everything you need to know")</f>
        <v>QuickBooks invoice automation: Everything you need to know</v>
      </c>
      <c r="E698" s="12">
        <f>IFERROR(__xludf.DUMMYFUNCTION("""COMPUTED_VALUE"""),45098.6271875)</f>
        <v>45098.62719</v>
      </c>
    </row>
    <row r="699">
      <c r="A699" s="7" t="str">
        <f>IFERROR(__xludf.DUMMYFUNCTION("""COMPUTED_VALUE"""),"https://www.method.me/resources/manufacturing-process-automation-software/")</f>
        <v>https://www.method.me/resources/manufacturing-process-automation-software/</v>
      </c>
      <c r="B699" s="1" t="str">
        <f>IFERROR(__xludf.DUMMYFUNCTION("""COMPUTED_VALUE"""),"Listicle - Software / Software overview")</f>
        <v>Listicle - Software / Software overview</v>
      </c>
      <c r="C699" s="1" t="str">
        <f>IFERROR(__xludf.DUMMYFUNCTION("""COMPUTED_VALUE"""),"Guide")</f>
        <v>Guide</v>
      </c>
      <c r="D699" s="1" t="str">
        <f>IFERROR(__xludf.DUMMYFUNCTION("""COMPUTED_VALUE"""),"Best manufacturing process automation software in 2024")</f>
        <v>Best manufacturing process automation software in 2024</v>
      </c>
      <c r="E699" s="12">
        <f>IFERROR(__xludf.DUMMYFUNCTION("""COMPUTED_VALUE"""),45099.52787037037)</f>
        <v>45099.52787</v>
      </c>
    </row>
    <row r="700">
      <c r="A700" s="7" t="str">
        <f>IFERROR(__xludf.DUMMYFUNCTION("""COMPUTED_VALUE"""),"https://www.method.me/resources/small-business-process-automation-software/")</f>
        <v>https://www.method.me/resources/small-business-process-automation-software/</v>
      </c>
      <c r="B700" s="1" t="str">
        <f>IFERROR(__xludf.DUMMYFUNCTION("""COMPUTED_VALUE"""),"Listicle - Software / Software overview")</f>
        <v>Listicle - Software / Software overview</v>
      </c>
      <c r="C700" s="1" t="str">
        <f>IFERROR(__xludf.DUMMYFUNCTION("""COMPUTED_VALUE"""),"Guide")</f>
        <v>Guide</v>
      </c>
      <c r="D700" s="1" t="str">
        <f>IFERROR(__xludf.DUMMYFUNCTION("""COMPUTED_VALUE"""),"Best small business automation software for 2024")</f>
        <v>Best small business automation software for 2024</v>
      </c>
      <c r="E700" s="12">
        <f>IFERROR(__xludf.DUMMYFUNCTION("""COMPUTED_VALUE"""),45099.52790509259)</f>
        <v>45099.52791</v>
      </c>
    </row>
    <row r="701">
      <c r="A701" s="7" t="str">
        <f>IFERROR(__xludf.DUMMYFUNCTION("""COMPUTED_VALUE"""),"https://www.method.me/resources/best-task-automation-software/")</f>
        <v>https://www.method.me/resources/best-task-automation-software/</v>
      </c>
      <c r="B701" s="1" t="str">
        <f>IFERROR(__xludf.DUMMYFUNCTION("""COMPUTED_VALUE"""),"Listicle - Software / Software overview")</f>
        <v>Listicle - Software / Software overview</v>
      </c>
      <c r="C701" s="1" t="str">
        <f>IFERROR(__xludf.DUMMYFUNCTION("""COMPUTED_VALUE"""),"Guide")</f>
        <v>Guide</v>
      </c>
      <c r="D701" s="1" t="str">
        <f>IFERROR(__xludf.DUMMYFUNCTION("""COMPUTED_VALUE"""),"Best task automation software in 2024")</f>
        <v>Best task automation software in 2024</v>
      </c>
      <c r="E701" s="12">
        <f>IFERROR(__xludf.DUMMYFUNCTION("""COMPUTED_VALUE"""),45099.52792824074)</f>
        <v>45099.52793</v>
      </c>
    </row>
    <row r="702">
      <c r="A702" s="7" t="str">
        <f>IFERROR(__xludf.DUMMYFUNCTION("""COMPUTED_VALUE"""),"https://www.method.me/resources/customer-service-automation/")</f>
        <v>https://www.method.me/resources/customer-service-automation/</v>
      </c>
      <c r="B702" s="1" t="str">
        <f>IFERROR(__xludf.DUMMYFUNCTION("""COMPUTED_VALUE"""),"Misc. info")</f>
        <v>Misc. info</v>
      </c>
      <c r="C702" s="1" t="str">
        <f>IFERROR(__xludf.DUMMYFUNCTION("""COMPUTED_VALUE"""),"Guide")</f>
        <v>Guide</v>
      </c>
      <c r="D702" s="1" t="str">
        <f>IFERROR(__xludf.DUMMYFUNCTION("""COMPUTED_VALUE"""),"What is customer service automation and how it works")</f>
        <v>What is customer service automation and how it works</v>
      </c>
      <c r="E702" s="12">
        <f>IFERROR(__xludf.DUMMYFUNCTION("""COMPUTED_VALUE"""),45099.527962962966)</f>
        <v>45099.52796</v>
      </c>
    </row>
    <row r="703">
      <c r="A703" s="7" t="str">
        <f>IFERROR(__xludf.DUMMYFUNCTION("""COMPUTED_VALUE"""),"https://www.method.me/resources/how-to-automate-repetitive-tasks/")</f>
        <v>https://www.method.me/resources/how-to-automate-repetitive-tasks/</v>
      </c>
      <c r="B703" s="1" t="str">
        <f>IFERROR(__xludf.DUMMYFUNCTION("""COMPUTED_VALUE"""),"General how-to")</f>
        <v>General how-to</v>
      </c>
      <c r="C703" s="1" t="str">
        <f>IFERROR(__xludf.DUMMYFUNCTION("""COMPUTED_VALUE"""),"Guide")</f>
        <v>Guide</v>
      </c>
      <c r="D703" s="1" t="str">
        <f>IFERROR(__xludf.DUMMYFUNCTION("""COMPUTED_VALUE"""),"How to automate repetitive tasks and grow your productivity")</f>
        <v>How to automate repetitive tasks and grow your productivity</v>
      </c>
      <c r="E703" s="12">
        <f>IFERROR(__xludf.DUMMYFUNCTION("""COMPUTED_VALUE"""),45099.52798611111)</f>
        <v>45099.52799</v>
      </c>
    </row>
    <row r="704">
      <c r="A704" s="7" t="str">
        <f>IFERROR(__xludf.DUMMYFUNCTION("""COMPUTED_VALUE"""),"https://www.method.me/resources/automate-transaction-entry-quickbooks/")</f>
        <v>https://www.method.me/resources/automate-transaction-entry-quickbooks/</v>
      </c>
      <c r="B704" s="1" t="str">
        <f>IFERROR(__xludf.DUMMYFUNCTION("""COMPUTED_VALUE"""),"QuickBooks - How-to")</f>
        <v>QuickBooks - How-to</v>
      </c>
      <c r="C704" s="1" t="str">
        <f>IFERROR(__xludf.DUMMYFUNCTION("""COMPUTED_VALUE"""),"Guide")</f>
        <v>Guide</v>
      </c>
      <c r="D704" s="1" t="str">
        <f>IFERROR(__xludf.DUMMYFUNCTION("""COMPUTED_VALUE"""),"How to automate transaction entry in QuickBooks")</f>
        <v>How to automate transaction entry in QuickBooks</v>
      </c>
      <c r="E704" s="12">
        <f>IFERROR(__xludf.DUMMYFUNCTION("""COMPUTED_VALUE"""),45099.528020833335)</f>
        <v>45099.52802</v>
      </c>
    </row>
    <row r="705">
      <c r="A705" s="7" t="str">
        <f>IFERROR(__xludf.DUMMYFUNCTION("""COMPUTED_VALUE"""),"https://www.method.me/resources/how-to-automate-your-business/")</f>
        <v>https://www.method.me/resources/how-to-automate-your-business/</v>
      </c>
      <c r="B705" s="1" t="str">
        <f>IFERROR(__xludf.DUMMYFUNCTION("""COMPUTED_VALUE"""),"General how-to")</f>
        <v>General how-to</v>
      </c>
      <c r="C705" s="1" t="str">
        <f>IFERROR(__xludf.DUMMYFUNCTION("""COMPUTED_VALUE"""),"Guide")</f>
        <v>Guide</v>
      </c>
      <c r="D705" s="1" t="str">
        <f>IFERROR(__xludf.DUMMYFUNCTION("""COMPUTED_VALUE"""),"How to automate your business for growth: Actionable tips")</f>
        <v>How to automate your business for growth: Actionable tips</v>
      </c>
      <c r="E705" s="12">
        <f>IFERROR(__xludf.DUMMYFUNCTION("""COMPUTED_VALUE"""),45099.52804398148)</f>
        <v>45099.52804</v>
      </c>
    </row>
    <row r="706">
      <c r="A706" s="7" t="str">
        <f>IFERROR(__xludf.DUMMYFUNCTION("""COMPUTED_VALUE"""),"https://www.method.me/resources/automate-your-small-business/")</f>
        <v>https://www.method.me/resources/automate-your-small-business/</v>
      </c>
      <c r="B706" s="1" t="str">
        <f>IFERROR(__xludf.DUMMYFUNCTION("""COMPUTED_VALUE"""),"Small business / Nonprofit")</f>
        <v>Small business / Nonprofit</v>
      </c>
      <c r="C706" s="1" t="str">
        <f>IFERROR(__xludf.DUMMYFUNCTION("""COMPUTED_VALUE"""),"Guide")</f>
        <v>Guide</v>
      </c>
      <c r="D706" s="1" t="str">
        <f>IFERROR(__xludf.DUMMYFUNCTION("""COMPUTED_VALUE"""),"How to automate your small business: Comprehensive guide for growth")</f>
        <v>How to automate your small business: Comprehensive guide for growth</v>
      </c>
      <c r="E706" s="12">
        <f>IFERROR(__xludf.DUMMYFUNCTION("""COMPUTED_VALUE"""),45099.528078703705)</f>
        <v>45099.52808</v>
      </c>
    </row>
    <row r="707">
      <c r="A707" s="7" t="str">
        <f>IFERROR(__xludf.DUMMYFUNCTION("""COMPUTED_VALUE"""),"https://www.method.me/resources/xero-automation/")</f>
        <v>https://www.method.me/resources/xero-automation/</v>
      </c>
      <c r="B707" s="1" t="str">
        <f>IFERROR(__xludf.DUMMYFUNCTION("""COMPUTED_VALUE"""),"Xero")</f>
        <v>Xero</v>
      </c>
      <c r="C707" s="1" t="str">
        <f>IFERROR(__xludf.DUMMYFUNCTION("""COMPUTED_VALUE"""),"Guide")</f>
        <v>Guide</v>
      </c>
      <c r="D707" s="1" t="str">
        <f>IFERROR(__xludf.DUMMYFUNCTION("""COMPUTED_VALUE"""),"How to get the most of Xero automation")</f>
        <v>How to get the most of Xero automation</v>
      </c>
      <c r="E707" s="12">
        <f>IFERROR(__xludf.DUMMYFUNCTION("""COMPUTED_VALUE"""),45099.52810185185)</f>
        <v>45099.5281</v>
      </c>
    </row>
    <row r="708">
      <c r="A708" s="7" t="str">
        <f>IFERROR(__xludf.DUMMYFUNCTION("""COMPUTED_VALUE"""),"https://www.method.me/resources/automation-manufacturing-industry/")</f>
        <v>https://www.method.me/resources/automation-manufacturing-industry/</v>
      </c>
      <c r="B708" s="1" t="str">
        <f>IFERROR(__xludf.DUMMYFUNCTION("""COMPUTED_VALUE"""),"MWD")</f>
        <v>MWD</v>
      </c>
      <c r="C708" s="1" t="str">
        <f>IFERROR(__xludf.DUMMYFUNCTION("""COMPUTED_VALUE"""),"Guide")</f>
        <v>Guide</v>
      </c>
      <c r="D708" s="1" t="str">
        <f>IFERROR(__xludf.DUMMYFUNCTION("""COMPUTED_VALUE"""),"How to perfect your manufacturing automation in 6 steps")</f>
        <v>How to perfect your manufacturing automation in 6 steps</v>
      </c>
      <c r="E708" s="12">
        <f>IFERROR(__xludf.DUMMYFUNCTION("""COMPUTED_VALUE"""),45099.528136574074)</f>
        <v>45099.52814</v>
      </c>
    </row>
    <row r="709">
      <c r="A709" s="7" t="str">
        <f>IFERROR(__xludf.DUMMYFUNCTION("""COMPUTED_VALUE"""),"https://www.method.me/resources/quickbooks-automated-reports/")</f>
        <v>https://www.method.me/resources/quickbooks-automated-reports/</v>
      </c>
      <c r="B709" s="1" t="str">
        <f>IFERROR(__xludf.DUMMYFUNCTION("""COMPUTED_VALUE"""),"QuickBooks - How-to")</f>
        <v>QuickBooks - How-to</v>
      </c>
      <c r="C709" s="1" t="str">
        <f>IFERROR(__xludf.DUMMYFUNCTION("""COMPUTED_VALUE"""),"Guide")</f>
        <v>Guide</v>
      </c>
      <c r="D709" s="1" t="str">
        <f>IFERROR(__xludf.DUMMYFUNCTION("""COMPUTED_VALUE"""),"QuickBooks automated reports: How to get started")</f>
        <v>QuickBooks automated reports: How to get started</v>
      </c>
      <c r="E709" s="12">
        <f>IFERROR(__xludf.DUMMYFUNCTION("""COMPUTED_VALUE"""),45099.52815972222)</f>
        <v>45099.52816</v>
      </c>
    </row>
    <row r="710">
      <c r="A710" s="7" t="str">
        <f>IFERROR(__xludf.DUMMYFUNCTION("""COMPUTED_VALUE"""),"https://www.method.me/resources/small-business-automation/")</f>
        <v>https://www.method.me/resources/small-business-automation/</v>
      </c>
      <c r="B710" s="1" t="str">
        <f>IFERROR(__xludf.DUMMYFUNCTION("""COMPUTED_VALUE"""),"Small business / Nonprofit")</f>
        <v>Small business / Nonprofit</v>
      </c>
      <c r="C710" s="1" t="str">
        <f>IFERROR(__xludf.DUMMYFUNCTION("""COMPUTED_VALUE"""),"Guide")</f>
        <v>Guide</v>
      </c>
      <c r="D710" s="1" t="str">
        <f>IFERROR(__xludf.DUMMYFUNCTION("""COMPUTED_VALUE"""),"Small business automation: How to get started")</f>
        <v>Small business automation: How to get started</v>
      </c>
      <c r="E710" s="12">
        <f>IFERROR(__xludf.DUMMYFUNCTION("""COMPUTED_VALUE"""),45099.52821759259)</f>
        <v>45099.52822</v>
      </c>
    </row>
    <row r="711">
      <c r="A711" s="7" t="str">
        <f>IFERROR(__xludf.DUMMYFUNCTION("""COMPUTED_VALUE"""),"https://www.method.me/resources/automated-customer-service/")</f>
        <v>https://www.method.me/resources/automated-customer-service/</v>
      </c>
      <c r="B711" s="1" t="str">
        <f>IFERROR(__xludf.DUMMYFUNCTION("""COMPUTED_VALUE"""),"General how-to")</f>
        <v>General how-to</v>
      </c>
      <c r="C711" s="1" t="str">
        <f>IFERROR(__xludf.DUMMYFUNCTION("""COMPUTED_VALUE"""),"Guide")</f>
        <v>Guide</v>
      </c>
      <c r="D711" s="1" t="str">
        <f>IFERROR(__xludf.DUMMYFUNCTION("""COMPUTED_VALUE"""),"5 Advantages of automated customer service (and how to get started)")</f>
        <v>5 Advantages of automated customer service (and how to get started)</v>
      </c>
      <c r="E711" s="12">
        <f>IFERROR(__xludf.DUMMYFUNCTION("""COMPUTED_VALUE"""),45099.52825231481)</f>
        <v>45099.52825</v>
      </c>
    </row>
    <row r="712">
      <c r="A712" s="7" t="str">
        <f>IFERROR(__xludf.DUMMYFUNCTION("""COMPUTED_VALUE"""),"https://www.method.me/resources/automated-manufacturing-system/")</f>
        <v>https://www.method.me/resources/automated-manufacturing-system/</v>
      </c>
      <c r="B712" s="1" t="str">
        <f>IFERROR(__xludf.DUMMYFUNCTION("""COMPUTED_VALUE"""),"MWD")</f>
        <v>MWD</v>
      </c>
      <c r="C712" s="1" t="str">
        <f>IFERROR(__xludf.DUMMYFUNCTION("""COMPUTED_VALUE"""),"Guide")</f>
        <v>Guide</v>
      </c>
      <c r="D712" s="1" t="str">
        <f>IFERROR(__xludf.DUMMYFUNCTION("""COMPUTED_VALUE"""),"The benefits of automated manufacturing systems")</f>
        <v>The benefits of automated manufacturing systems</v>
      </c>
      <c r="E712" s="12">
        <f>IFERROR(__xludf.DUMMYFUNCTION("""COMPUTED_VALUE"""),45099.528287037036)</f>
        <v>45099.52829</v>
      </c>
    </row>
    <row r="713">
      <c r="A713" s="7" t="str">
        <f>IFERROR(__xludf.DUMMYFUNCTION("""COMPUTED_VALUE"""),"https://www.method.me/resources/automation-wholesale/")</f>
        <v>https://www.method.me/resources/automation-wholesale/</v>
      </c>
      <c r="B713" s="1" t="str">
        <f>IFERROR(__xludf.DUMMYFUNCTION("""COMPUTED_VALUE"""),"MWD")</f>
        <v>MWD</v>
      </c>
      <c r="C713" s="1" t="str">
        <f>IFERROR(__xludf.DUMMYFUNCTION("""COMPUTED_VALUE"""),"Guide")</f>
        <v>Guide</v>
      </c>
      <c r="D713" s="1" t="str">
        <f>IFERROR(__xludf.DUMMYFUNCTION("""COMPUTED_VALUE"""),"The trick to effective wholesale automation")</f>
        <v>The trick to effective wholesale automation</v>
      </c>
      <c r="E713" s="12">
        <f>IFERROR(__xludf.DUMMYFUNCTION("""COMPUTED_VALUE"""),45099.52832175926)</f>
        <v>45099.52832</v>
      </c>
    </row>
    <row r="714">
      <c r="A714" s="7" t="str">
        <f>IFERROR(__xludf.DUMMYFUNCTION("""COMPUTED_VALUE"""),"https://www.method.me/resources/xero-accounting-automation/")</f>
        <v>https://www.method.me/resources/xero-accounting-automation/</v>
      </c>
      <c r="B714" s="1" t="str">
        <f>IFERROR(__xludf.DUMMYFUNCTION("""COMPUTED_VALUE"""),"Xero")</f>
        <v>Xero</v>
      </c>
      <c r="C714" s="1" t="str">
        <f>IFERROR(__xludf.DUMMYFUNCTION("""COMPUTED_VALUE"""),"Guide")</f>
        <v>Guide</v>
      </c>
      <c r="D714" s="1" t="str">
        <f>IFERROR(__xludf.DUMMYFUNCTION("""COMPUTED_VALUE"""),"What you need to know about Xero accounting automation")</f>
        <v>What you need to know about Xero accounting automation</v>
      </c>
      <c r="E714" s="12">
        <f>IFERROR(__xludf.DUMMYFUNCTION("""COMPUTED_VALUE"""),45099.52835648148)</f>
        <v>45099.52836</v>
      </c>
    </row>
    <row r="715">
      <c r="A715" s="7" t="str">
        <f>IFERROR(__xludf.DUMMYFUNCTION("""COMPUTED_VALUE"""),"https://www.method.me/resources/accounting-tasks-automation-examples/")</f>
        <v>https://www.method.me/resources/accounting-tasks-automation-examples/</v>
      </c>
      <c r="B715" s="1" t="str">
        <f>IFERROR(__xludf.DUMMYFUNCTION("""COMPUTED_VALUE"""),"Accounting")</f>
        <v>Accounting</v>
      </c>
      <c r="C715" s="1" t="str">
        <f>IFERROR(__xludf.DUMMYFUNCTION("""COMPUTED_VALUE"""),"Guide")</f>
        <v>Guide</v>
      </c>
      <c r="D715" s="1" t="str">
        <f>IFERROR(__xludf.DUMMYFUNCTION("""COMPUTED_VALUE"""),"Your guide to accounting task automation: Top 6 examples")</f>
        <v>Your guide to accounting task automation: Top 6 examples</v>
      </c>
      <c r="E715" s="12">
        <f>IFERROR(__xludf.DUMMYFUNCTION("""COMPUTED_VALUE"""),45099.52837962963)</f>
        <v>45099.52838</v>
      </c>
    </row>
    <row r="716">
      <c r="A716" s="7" t="str">
        <f>IFERROR(__xludf.DUMMYFUNCTION("""COMPUTED_VALUE"""),"https://www.method.me/resources/business-process-automation-tools/")</f>
        <v>https://www.method.me/resources/business-process-automation-tools/</v>
      </c>
      <c r="B716" s="1" t="str">
        <f>IFERROR(__xludf.DUMMYFUNCTION("""COMPUTED_VALUE"""),"General how-to")</f>
        <v>General how-to</v>
      </c>
      <c r="C716" s="1" t="str">
        <f>IFERROR(__xludf.DUMMYFUNCTION("""COMPUTED_VALUE"""),"Guide")</f>
        <v>Guide</v>
      </c>
      <c r="D716" s="1" t="str">
        <f>IFERROR(__xludf.DUMMYFUNCTION("""COMPUTED_VALUE"""),"Your guide to business process automation")</f>
        <v>Your guide to business process automation</v>
      </c>
      <c r="E716" s="12">
        <f>IFERROR(__xludf.DUMMYFUNCTION("""COMPUTED_VALUE"""),45099.52841435185)</f>
        <v>45099.52841</v>
      </c>
    </row>
    <row r="717">
      <c r="A717" s="7" t="str">
        <f>IFERROR(__xludf.DUMMYFUNCTION("""COMPUTED_VALUE"""),"https://www.method.me/resources/manufacturing-process-automation/")</f>
        <v>https://www.method.me/resources/manufacturing-process-automation/</v>
      </c>
      <c r="B717" s="1" t="str">
        <f>IFERROR(__xludf.DUMMYFUNCTION("""COMPUTED_VALUE"""),"MWD")</f>
        <v>MWD</v>
      </c>
      <c r="C717" s="1" t="str">
        <f>IFERROR(__xludf.DUMMYFUNCTION("""COMPUTED_VALUE"""),"Guide")</f>
        <v>Guide</v>
      </c>
      <c r="D717" s="1" t="str">
        <f>IFERROR(__xludf.DUMMYFUNCTION("""COMPUTED_VALUE"""),"Your guide to manufacturing process automation")</f>
        <v>Your guide to manufacturing process automation</v>
      </c>
      <c r="E717" s="12">
        <f>IFERROR(__xludf.DUMMYFUNCTION("""COMPUTED_VALUE"""),45099.52875)</f>
        <v>45099.52875</v>
      </c>
    </row>
    <row r="718">
      <c r="A718" s="7" t="str">
        <f>IFERROR(__xludf.DUMMYFUNCTION("""COMPUTED_VALUE"""),"https://www.method.me/resources/quickbooks-online-automation/")</f>
        <v>https://www.method.me/resources/quickbooks-online-automation/</v>
      </c>
      <c r="B718" s="1" t="str">
        <f>IFERROR(__xludf.DUMMYFUNCTION("""COMPUTED_VALUE"""),"QuickBooks - How-to")</f>
        <v>QuickBooks - How-to</v>
      </c>
      <c r="C718" s="1" t="str">
        <f>IFERROR(__xludf.DUMMYFUNCTION("""COMPUTED_VALUE"""),"Guide")</f>
        <v>Guide</v>
      </c>
      <c r="D718" s="1" t="str">
        <f>IFERROR(__xludf.DUMMYFUNCTION("""COMPUTED_VALUE"""),"Your guide to QuickBooks Online automation")</f>
        <v>Your guide to QuickBooks Online automation</v>
      </c>
      <c r="E718" s="12">
        <f>IFERROR(__xludf.DUMMYFUNCTION("""COMPUTED_VALUE"""),45099.52877314815)</f>
        <v>45099.52877</v>
      </c>
    </row>
    <row r="719">
      <c r="A719" s="7" t="str">
        <f>IFERROR(__xludf.DUMMYFUNCTION("""COMPUTED_VALUE"""),"https://www.method.me/blog/quickbooks-online-invoice-templates/")</f>
        <v>https://www.method.me/blog/quickbooks-online-invoice-templates/</v>
      </c>
      <c r="B719" s="1" t="str">
        <f>IFERROR(__xludf.DUMMYFUNCTION("""COMPUTED_VALUE"""),"QuickBooks - How-to")</f>
        <v>QuickBooks - How-to</v>
      </c>
      <c r="C719" s="1" t="str">
        <f>IFERROR(__xludf.DUMMYFUNCTION("""COMPUTED_VALUE"""),"Blog")</f>
        <v>Blog</v>
      </c>
      <c r="D719" s="1" t="str">
        <f>IFERROR(__xludf.DUMMYFUNCTION("""COMPUTED_VALUE"""),"How to create QuickBooks Online invoice templates")</f>
        <v>How to create QuickBooks Online invoice templates</v>
      </c>
      <c r="E719" s="12">
        <f>IFERROR(__xludf.DUMMYFUNCTION("""COMPUTED_VALUE"""),45105.568715277775)</f>
        <v>45105.56872</v>
      </c>
    </row>
    <row r="720">
      <c r="A720" s="7" t="str">
        <f>IFERROR(__xludf.DUMMYFUNCTION("""COMPUTED_VALUE"""),"https://www.method.me/blog/quickbooks-desktop-invoice-templates/")</f>
        <v>https://www.method.me/blog/quickbooks-desktop-invoice-templates/</v>
      </c>
      <c r="B720" s="1" t="str">
        <f>IFERROR(__xludf.DUMMYFUNCTION("""COMPUTED_VALUE"""),"QuickBooks - How-to")</f>
        <v>QuickBooks - How-to</v>
      </c>
      <c r="C720" s="1" t="str">
        <f>IFERROR(__xludf.DUMMYFUNCTION("""COMPUTED_VALUE"""),"Blog")</f>
        <v>Blog</v>
      </c>
      <c r="D720" s="1" t="str">
        <f>IFERROR(__xludf.DUMMYFUNCTION("""COMPUTED_VALUE"""),"How to edit QuickBooks Desktop invoice templates")</f>
        <v>How to edit QuickBooks Desktop invoice templates</v>
      </c>
      <c r="E720" s="12">
        <f>IFERROR(__xludf.DUMMYFUNCTION("""COMPUTED_VALUE"""),45113.49375)</f>
        <v>45113.49375</v>
      </c>
    </row>
    <row r="721">
      <c r="A721" s="7" t="str">
        <f>IFERROR(__xludf.DUMMYFUNCTION("""COMPUTED_VALUE"""),"https://www.method.me/resources/how-to-reconcile-in-quickbooks-online/")</f>
        <v>https://www.method.me/resources/how-to-reconcile-in-quickbooks-online/</v>
      </c>
      <c r="B721" s="1" t="str">
        <f>IFERROR(__xludf.DUMMYFUNCTION("""COMPUTED_VALUE"""),"QuickBooks - How-to")</f>
        <v>QuickBooks - How-to</v>
      </c>
      <c r="C721" s="1" t="str">
        <f>IFERROR(__xludf.DUMMYFUNCTION("""COMPUTED_VALUE"""),"Guide")</f>
        <v>Guide</v>
      </c>
      <c r="D721" s="1" t="str">
        <f>IFERROR(__xludf.DUMMYFUNCTION("""COMPUTED_VALUE"""),"How to reconcile in Quickbooks Online and Desktop")</f>
        <v>How to reconcile in Quickbooks Online and Desktop</v>
      </c>
      <c r="E721" s="12">
        <f>IFERROR(__xludf.DUMMYFUNCTION("""COMPUTED_VALUE"""),45114.428622685184)</f>
        <v>45114.42862</v>
      </c>
    </row>
    <row r="722">
      <c r="A722" s="7" t="str">
        <f>IFERROR(__xludf.DUMMYFUNCTION("""COMPUTED_VALUE"""),"https://www.method.me/blog/commercial-renovation-cost-calculator/")</f>
        <v>https://www.method.me/blog/commercial-renovation-cost-calculator/</v>
      </c>
      <c r="B722" s="1" t="str">
        <f>IFERROR(__xludf.DUMMYFUNCTION("""COMPUTED_VALUE"""),"General how-to")</f>
        <v>General how-to</v>
      </c>
      <c r="C722" s="1" t="str">
        <f>IFERROR(__xludf.DUMMYFUNCTION("""COMPUTED_VALUE"""),"Blog")</f>
        <v>Blog</v>
      </c>
      <c r="D722" s="1" t="str">
        <f>IFERROR(__xludf.DUMMYFUNCTION("""COMPUTED_VALUE"""),"How to use a commercial renovation calculator")</f>
        <v>How to use a commercial renovation calculator</v>
      </c>
      <c r="E722" s="12">
        <f>IFERROR(__xludf.DUMMYFUNCTION("""COMPUTED_VALUE"""),45121.43703703704)</f>
        <v>45121.43704</v>
      </c>
    </row>
    <row r="723">
      <c r="A723" s="7" t="str">
        <f>IFERROR(__xludf.DUMMYFUNCTION("""COMPUTED_VALUE"""),"https://www.method.me/blog/electrical-contractor-price-book/")</f>
        <v>https://www.method.me/blog/electrical-contractor-price-book/</v>
      </c>
      <c r="B723" s="1" t="str">
        <f>IFERROR(__xludf.DUMMYFUNCTION("""COMPUTED_VALUE"""),"Field services / Contractors")</f>
        <v>Field services / Contractors</v>
      </c>
      <c r="C723" s="1" t="str">
        <f>IFERROR(__xludf.DUMMYFUNCTION("""COMPUTED_VALUE"""),"Blog")</f>
        <v>Blog</v>
      </c>
      <c r="D723" s="1" t="str">
        <f>IFERROR(__xludf.DUMMYFUNCTION("""COMPUTED_VALUE"""),"What is an electrical contractor price book?")</f>
        <v>What is an electrical contractor price book?</v>
      </c>
      <c r="E723" s="12">
        <f>IFERROR(__xludf.DUMMYFUNCTION("""COMPUTED_VALUE"""),45121.57193287037)</f>
        <v>45121.57193</v>
      </c>
    </row>
    <row r="724">
      <c r="A724" s="7" t="str">
        <f>IFERROR(__xludf.DUMMYFUNCTION("""COMPUTED_VALUE"""),"https://www.method.me/blog/price-a-job-as-a-contractor/")</f>
        <v>https://www.method.me/blog/price-a-job-as-a-contractor/</v>
      </c>
      <c r="B724" s="1" t="str">
        <f>IFERROR(__xludf.DUMMYFUNCTION("""COMPUTED_VALUE"""),"General how-to")</f>
        <v>General how-to</v>
      </c>
      <c r="C724" s="1" t="str">
        <f>IFERROR(__xludf.DUMMYFUNCTION("""COMPUTED_VALUE"""),"Blog")</f>
        <v>Blog</v>
      </c>
      <c r="D724" s="1" t="str">
        <f>IFERROR(__xludf.DUMMYFUNCTION("""COMPUTED_VALUE"""),"How to price a job as a contractor: A definitive guide")</f>
        <v>How to price a job as a contractor: A definitive guide</v>
      </c>
      <c r="E724" s="12">
        <f>IFERROR(__xludf.DUMMYFUNCTION("""COMPUTED_VALUE"""),45121.572222222225)</f>
        <v>45121.57222</v>
      </c>
    </row>
    <row r="725">
      <c r="A725" s="7" t="str">
        <f>IFERROR(__xludf.DUMMYFUNCTION("""COMPUTED_VALUE"""),"https://www.method.me/blog/create-invoice-in-excel/")</f>
        <v>https://www.method.me/blog/create-invoice-in-excel/</v>
      </c>
      <c r="B725" s="1" t="str">
        <f>IFERROR(__xludf.DUMMYFUNCTION("""COMPUTED_VALUE"""),"General how-to")</f>
        <v>General how-to</v>
      </c>
      <c r="C725" s="1" t="str">
        <f>IFERROR(__xludf.DUMMYFUNCTION("""COMPUTED_VALUE"""),"Blog")</f>
        <v>Blog</v>
      </c>
      <c r="D725" s="1" t="str">
        <f>IFERROR(__xludf.DUMMYFUNCTION("""COMPUTED_VALUE"""),"How to create an invoice in Excel: A definitive guide")</f>
        <v>How to create an invoice in Excel: A definitive guide</v>
      </c>
      <c r="E725" s="12">
        <f>IFERROR(__xludf.DUMMYFUNCTION("""COMPUTED_VALUE"""),45121.572291666664)</f>
        <v>45121.57229</v>
      </c>
    </row>
    <row r="726">
      <c r="A726" s="7" t="str">
        <f>IFERROR(__xludf.DUMMYFUNCTION("""COMPUTED_VALUE"""),"https://www.method.me/blog/invoice-as-a-contractor/")</f>
        <v>https://www.method.me/blog/invoice-as-a-contractor/</v>
      </c>
      <c r="B726" s="1" t="str">
        <f>IFERROR(__xludf.DUMMYFUNCTION("""COMPUTED_VALUE"""),"General how-to")</f>
        <v>General how-to</v>
      </c>
      <c r="C726" s="1" t="str">
        <f>IFERROR(__xludf.DUMMYFUNCTION("""COMPUTED_VALUE"""),"Blog")</f>
        <v>Blog</v>
      </c>
      <c r="D726" s="1" t="str">
        <f>IFERROR(__xludf.DUMMYFUNCTION("""COMPUTED_VALUE"""),"How to invoice as a contractor: All you need to know")</f>
        <v>How to invoice as a contractor: All you need to know</v>
      </c>
      <c r="E726" s="12">
        <f>IFERROR(__xludf.DUMMYFUNCTION("""COMPUTED_VALUE"""),45121.57236111111)</f>
        <v>45121.57236</v>
      </c>
    </row>
    <row r="727">
      <c r="A727" s="7" t="str">
        <f>IFERROR(__xludf.DUMMYFUNCTION("""COMPUTED_VALUE"""),"https://www.method.me/blog/estimating-construction-costs/")</f>
        <v>https://www.method.me/blog/estimating-construction-costs/</v>
      </c>
      <c r="B727" s="1" t="str">
        <f>IFERROR(__xludf.DUMMYFUNCTION("""COMPUTED_VALUE"""),"General how-to")</f>
        <v>General how-to</v>
      </c>
      <c r="C727" s="1" t="str">
        <f>IFERROR(__xludf.DUMMYFUNCTION("""COMPUTED_VALUE"""),"Blog")</f>
        <v>Blog</v>
      </c>
      <c r="D727" s="1" t="str">
        <f>IFERROR(__xludf.DUMMYFUNCTION("""COMPUTED_VALUE"""),"How to estimate construction costs")</f>
        <v>How to estimate construction costs</v>
      </c>
      <c r="E727" s="12">
        <f>IFERROR(__xludf.DUMMYFUNCTION("""COMPUTED_VALUE"""),45121.57244212963)</f>
        <v>45121.57244</v>
      </c>
    </row>
    <row r="728">
      <c r="A728" s="7" t="str">
        <f>IFERROR(__xludf.DUMMYFUNCTION("""COMPUTED_VALUE"""),"https://www.method.me/blog/construction-agreements/")</f>
        <v>https://www.method.me/blog/construction-agreements/</v>
      </c>
      <c r="B728" s="1" t="str">
        <f>IFERROR(__xludf.DUMMYFUNCTION("""COMPUTED_VALUE"""),"Field services / Contractors")</f>
        <v>Field services / Contractors</v>
      </c>
      <c r="C728" s="1" t="str">
        <f>IFERROR(__xludf.DUMMYFUNCTION("""COMPUTED_VALUE"""),"Blog")</f>
        <v>Blog</v>
      </c>
      <c r="D728" s="1" t="str">
        <f>IFERROR(__xludf.DUMMYFUNCTION("""COMPUTED_VALUE"""),"What is a construction agreement and contracts — All you need to know")</f>
        <v>What is a construction agreement and contracts — All you need to know</v>
      </c>
      <c r="E728" s="12">
        <f>IFERROR(__xludf.DUMMYFUNCTION("""COMPUTED_VALUE"""),45121.5725)</f>
        <v>45121.5725</v>
      </c>
    </row>
    <row r="729">
      <c r="A729" s="7" t="str">
        <f>IFERROR(__xludf.DUMMYFUNCTION("""COMPUTED_VALUE"""),"https://www.method.me/blog/reminder-email-for-quotation/")</f>
        <v>https://www.method.me/blog/reminder-email-for-quotation/</v>
      </c>
      <c r="B729" s="1" t="str">
        <f>IFERROR(__xludf.DUMMYFUNCTION("""COMPUTED_VALUE"""),"General how-to")</f>
        <v>General how-to</v>
      </c>
      <c r="C729" s="1" t="str">
        <f>IFERROR(__xludf.DUMMYFUNCTION("""COMPUTED_VALUE"""),"Blog")</f>
        <v>Blog</v>
      </c>
      <c r="D729" s="1" t="str">
        <f>IFERROR(__xludf.DUMMYFUNCTION("""COMPUTED_VALUE"""),"How to write a reminder email for a quotation")</f>
        <v>How to write a reminder email for a quotation</v>
      </c>
      <c r="E729" s="12">
        <f>IFERROR(__xludf.DUMMYFUNCTION("""COMPUTED_VALUE"""),45121.572546296295)</f>
        <v>45121.57255</v>
      </c>
    </row>
    <row r="730">
      <c r="A730" s="7" t="str">
        <f>IFERROR(__xludf.DUMMYFUNCTION("""COMPUTED_VALUE"""),"https://www.method.me/blog/custom-form-styles-in-quickbooks-online/")</f>
        <v>https://www.method.me/blog/custom-form-styles-in-quickbooks-online/</v>
      </c>
      <c r="B730" s="1" t="str">
        <f>IFERROR(__xludf.DUMMYFUNCTION("""COMPUTED_VALUE"""),"QuickBooks - How-to")</f>
        <v>QuickBooks - How-to</v>
      </c>
      <c r="C730" s="1" t="str">
        <f>IFERROR(__xludf.DUMMYFUNCTION("""COMPUTED_VALUE"""),"Blog")</f>
        <v>Blog</v>
      </c>
      <c r="D730" s="1" t="str">
        <f>IFERROR(__xludf.DUMMYFUNCTION("""COMPUTED_VALUE"""),"Custom form styles in QuickBooks Online: Everything you need to know")</f>
        <v>Custom form styles in QuickBooks Online: Everything you need to know</v>
      </c>
      <c r="E730" s="12">
        <f>IFERROR(__xludf.DUMMYFUNCTION("""COMPUTED_VALUE"""),45124.47282407407)</f>
        <v>45124.47282</v>
      </c>
    </row>
    <row r="731">
      <c r="A731" s="7" t="str">
        <f>IFERROR(__xludf.DUMMYFUNCTION("""COMPUTED_VALUE"""),"https://www.method.me/resources/how-to-void-a-check-in-quickbooks/")</f>
        <v>https://www.method.me/resources/how-to-void-a-check-in-quickbooks/</v>
      </c>
      <c r="B731" s="1" t="str">
        <f>IFERROR(__xludf.DUMMYFUNCTION("""COMPUTED_VALUE"""),"QuickBooks - How-to")</f>
        <v>QuickBooks - How-to</v>
      </c>
      <c r="C731" s="1" t="str">
        <f>IFERROR(__xludf.DUMMYFUNCTION("""COMPUTED_VALUE"""),"Guide")</f>
        <v>Guide</v>
      </c>
      <c r="D731" s="1" t="str">
        <f>IFERROR(__xludf.DUMMYFUNCTION("""COMPUTED_VALUE"""),"How to void a check in QuickBooks")</f>
        <v>How to void a check in QuickBooks</v>
      </c>
      <c r="E731" s="12">
        <f>IFERROR(__xludf.DUMMYFUNCTION("""COMPUTED_VALUE"""),45127.67224537037)</f>
        <v>45127.67225</v>
      </c>
    </row>
    <row r="732">
      <c r="A732" s="7" t="str">
        <f>IFERROR(__xludf.DUMMYFUNCTION("""COMPUTED_VALUE"""),"https://www.method.me/blog/how-to-customize-invoices-in-quickbooks/")</f>
        <v>https://www.method.me/blog/how-to-customize-invoices-in-quickbooks/</v>
      </c>
      <c r="B732" s="1" t="str">
        <f>IFERROR(__xludf.DUMMYFUNCTION("""COMPUTED_VALUE"""),"QuickBooks - How-to")</f>
        <v>QuickBooks - How-to</v>
      </c>
      <c r="C732" s="1" t="str">
        <f>IFERROR(__xludf.DUMMYFUNCTION("""COMPUTED_VALUE"""),"Blog")</f>
        <v>Blog</v>
      </c>
      <c r="D732" s="1" t="str">
        <f>IFERROR(__xludf.DUMMYFUNCTION("""COMPUTED_VALUE"""),"How to customize invoices in QuickBooks")</f>
        <v>How to customize invoices in QuickBooks</v>
      </c>
      <c r="E732" s="12">
        <f>IFERROR(__xludf.DUMMYFUNCTION("""COMPUTED_VALUE"""),45131.50745370371)</f>
        <v>45131.50745</v>
      </c>
    </row>
    <row r="733">
      <c r="A733" s="7" t="str">
        <f>IFERROR(__xludf.DUMMYFUNCTION("""COMPUTED_VALUE"""),"https://www.method.me/resources/how-to-create-an-invoice-in-quickbooks/")</f>
        <v>https://www.method.me/resources/how-to-create-an-invoice-in-quickbooks/</v>
      </c>
      <c r="B733" s="1" t="str">
        <f>IFERROR(__xludf.DUMMYFUNCTION("""COMPUTED_VALUE"""),"QuickBooks - How-to")</f>
        <v>QuickBooks - How-to</v>
      </c>
      <c r="C733" s="1" t="str">
        <f>IFERROR(__xludf.DUMMYFUNCTION("""COMPUTED_VALUE"""),"Guide")</f>
        <v>Guide</v>
      </c>
      <c r="D733" s="1" t="str">
        <f>IFERROR(__xludf.DUMMYFUNCTION("""COMPUTED_VALUE"""),"How to create an invoice in QuickBooks Online and Desktop")</f>
        <v>How to create an invoice in QuickBooks Online and Desktop</v>
      </c>
      <c r="E733" s="12">
        <f>IFERROR(__xludf.DUMMYFUNCTION("""COMPUTED_VALUE"""),45132.64849537037)</f>
        <v>45132.6485</v>
      </c>
    </row>
    <row r="734">
      <c r="A734" s="7" t="str">
        <f>IFERROR(__xludf.DUMMYFUNCTION("""COMPUTED_VALUE"""),"https://www.method.me/resources/how-to-print-a-customer-statement-in-quickbooks/")</f>
        <v>https://www.method.me/resources/how-to-print-a-customer-statement-in-quickbooks/</v>
      </c>
      <c r="B734" s="1" t="str">
        <f>IFERROR(__xludf.DUMMYFUNCTION("""COMPUTED_VALUE"""),"QuickBooks - How-to")</f>
        <v>QuickBooks - How-to</v>
      </c>
      <c r="C734" s="1" t="str">
        <f>IFERROR(__xludf.DUMMYFUNCTION("""COMPUTED_VALUE"""),"Guide")</f>
        <v>Guide</v>
      </c>
      <c r="D734" s="1" t="str">
        <f>IFERROR(__xludf.DUMMYFUNCTION("""COMPUTED_VALUE"""),"How to print a customer statement in QuickBooks")</f>
        <v>How to print a customer statement in QuickBooks</v>
      </c>
      <c r="E734" s="12">
        <f>IFERROR(__xludf.DUMMYFUNCTION("""COMPUTED_VALUE"""),45135.336701388886)</f>
        <v>45135.3367</v>
      </c>
    </row>
    <row r="735">
      <c r="A735" s="7" t="str">
        <f>IFERROR(__xludf.DUMMYFUNCTION("""COMPUTED_VALUE"""),"https://www.method.me/blog/purchase-order-to-invoice-process/")</f>
        <v>https://www.method.me/blog/purchase-order-to-invoice-process/</v>
      </c>
      <c r="B735" s="1" t="str">
        <f>IFERROR(__xludf.DUMMYFUNCTION("""COMPUTED_VALUE"""),"General how-to")</f>
        <v>General how-to</v>
      </c>
      <c r="C735" s="1" t="str">
        <f>IFERROR(__xludf.DUMMYFUNCTION("""COMPUTED_VALUE"""),"Blog")</f>
        <v>Blog</v>
      </c>
      <c r="D735" s="1" t="str">
        <f>IFERROR(__xludf.DUMMYFUNCTION("""COMPUTED_VALUE"""),"How to automate your purchase order to invoice process")</f>
        <v>How to automate your purchase order to invoice process</v>
      </c>
      <c r="E735" s="12">
        <f>IFERROR(__xludf.DUMMYFUNCTION("""COMPUTED_VALUE"""),45138.42601851852)</f>
        <v>45138.42602</v>
      </c>
    </row>
    <row r="736">
      <c r="A736" s="7" t="str">
        <f>IFERROR(__xludf.DUMMYFUNCTION("""COMPUTED_VALUE"""),"https://www.method.me/blog/create-purchase-orders-in-quickbooks/")</f>
        <v>https://www.method.me/blog/create-purchase-orders-in-quickbooks/</v>
      </c>
      <c r="B736" s="1" t="str">
        <f>IFERROR(__xludf.DUMMYFUNCTION("""COMPUTED_VALUE"""),"QuickBooks - How-to")</f>
        <v>QuickBooks - How-to</v>
      </c>
      <c r="C736" s="1" t="str">
        <f>IFERROR(__xludf.DUMMYFUNCTION("""COMPUTED_VALUE"""),"Blog")</f>
        <v>Blog</v>
      </c>
      <c r="D736" s="1" t="str">
        <f>IFERROR(__xludf.DUMMYFUNCTION("""COMPUTED_VALUE"""),"Guide on using QuickBooks’ purchase orders feature")</f>
        <v>Guide on using QuickBooks’ purchase orders feature</v>
      </c>
      <c r="E736" s="12">
        <f>IFERROR(__xludf.DUMMYFUNCTION("""COMPUTED_VALUE"""),45146.45346064815)</f>
        <v>45146.45346</v>
      </c>
    </row>
    <row r="737">
      <c r="A737" s="7" t="str">
        <f>IFERROR(__xludf.DUMMYFUNCTION("""COMPUTED_VALUE"""),"https://www.method.me/videos/quickbooks-manufacturing-reporting/")</f>
        <v>https://www.method.me/videos/quickbooks-manufacturing-reporting/</v>
      </c>
      <c r="B737" s="1" t="str">
        <f>IFERROR(__xludf.DUMMYFUNCTION("""COMPUTED_VALUE"""),"Video page")</f>
        <v>Video page</v>
      </c>
      <c r="C737" s="1" t="str">
        <f>IFERROR(__xludf.DUMMYFUNCTION("""COMPUTED_VALUE"""),"Other page")</f>
        <v>Other page</v>
      </c>
      <c r="D737" s="1" t="str">
        <f>IFERROR(__xludf.DUMMYFUNCTION("""COMPUTED_VALUE"""),"How to perfect your QuickBooks manufacturing reporting")</f>
        <v>How to perfect your QuickBooks manufacturing reporting</v>
      </c>
      <c r="E737" s="12">
        <f>IFERROR(__xludf.DUMMYFUNCTION("""COMPUTED_VALUE"""),45147.470625)</f>
        <v>45147.47063</v>
      </c>
    </row>
    <row r="738">
      <c r="A738" s="7" t="str">
        <f>IFERROR(__xludf.DUMMYFUNCTION("""COMPUTED_VALUE"""),"https://www.method.me/resources/how-to-customize-invoice-template-in-quickbooks-online/")</f>
        <v>https://www.method.me/resources/how-to-customize-invoice-template-in-quickbooks-online/</v>
      </c>
      <c r="B738" s="1" t="str">
        <f>IFERROR(__xludf.DUMMYFUNCTION("""COMPUTED_VALUE"""),"QuickBooks - How-to")</f>
        <v>QuickBooks - How-to</v>
      </c>
      <c r="C738" s="1" t="str">
        <f>IFERROR(__xludf.DUMMYFUNCTION("""COMPUTED_VALUE"""),"Guide")</f>
        <v>Guide</v>
      </c>
      <c r="D738" s="1" t="str">
        <f>IFERROR(__xludf.DUMMYFUNCTION("""COMPUTED_VALUE"""),"How to customize invoice template in QuickBooks Online")</f>
        <v>How to customize invoice template in QuickBooks Online</v>
      </c>
      <c r="E738" s="12">
        <f>IFERROR(__xludf.DUMMYFUNCTION("""COMPUTED_VALUE"""),45149.645104166666)</f>
        <v>45149.6451</v>
      </c>
    </row>
    <row r="739">
      <c r="A739" s="7" t="str">
        <f>IFERROR(__xludf.DUMMYFUNCTION("""COMPUTED_VALUE"""),"https://www.method.me/blog/why-reorders-are-a-must-have-feature-in-your-method-account/")</f>
        <v>https://www.method.me/blog/why-reorders-are-a-must-have-feature-in-your-method-account/</v>
      </c>
      <c r="B739" s="1" t="str">
        <f>IFERROR(__xludf.DUMMYFUNCTION("""COMPUTED_VALUE"""),"Method - Product Updates")</f>
        <v>Method - Product Updates</v>
      </c>
      <c r="C739" s="1" t="str">
        <f>IFERROR(__xludf.DUMMYFUNCTION("""COMPUTED_VALUE"""),"Blog")</f>
        <v>Blog</v>
      </c>
      <c r="D739" s="1" t="str">
        <f>IFERROR(__xludf.DUMMYFUNCTION("""COMPUTED_VALUE"""),"Why repeat purchases are a must-have feature in your Method account")</f>
        <v>Why repeat purchases are a must-have feature in your Method account</v>
      </c>
      <c r="E739" s="12">
        <f>IFERROR(__xludf.DUMMYFUNCTION("""COMPUTED_VALUE"""),45152.55038194444)</f>
        <v>45152.55038</v>
      </c>
    </row>
    <row r="740">
      <c r="A740" s="7" t="str">
        <f>IFERROR(__xludf.DUMMYFUNCTION("""COMPUTED_VALUE"""),"https://www.method.me/blog/quickbooks-inventory-management-software/")</f>
        <v>https://www.method.me/blog/quickbooks-inventory-management-software/</v>
      </c>
      <c r="B740" s="1" t="str">
        <f>IFERROR(__xludf.DUMMYFUNCTION("""COMPUTED_VALUE"""),"Listicle - QuickBooks")</f>
        <v>Listicle - QuickBooks</v>
      </c>
      <c r="C740" s="1" t="str">
        <f>IFERROR(__xludf.DUMMYFUNCTION("""COMPUTED_VALUE"""),"Blog")</f>
        <v>Blog</v>
      </c>
      <c r="D740" s="1" t="str">
        <f>IFERROR(__xludf.DUMMYFUNCTION("""COMPUTED_VALUE"""),"Top 5 QuickBooks inventory management software integrations")</f>
        <v>Top 5 QuickBooks inventory management software integrations</v>
      </c>
      <c r="E740" s="12">
        <f>IFERROR(__xludf.DUMMYFUNCTION("""COMPUTED_VALUE"""),45160.393483796295)</f>
        <v>45160.39348</v>
      </c>
    </row>
    <row r="741">
      <c r="A741" s="7" t="str">
        <f>IFERROR(__xludf.DUMMYFUNCTION("""COMPUTED_VALUE"""),"https://www.method.me/blog/quickbooks-online-inventory-management-everything-you-need-to-know/")</f>
        <v>https://www.method.me/blog/quickbooks-online-inventory-management-everything-you-need-to-know/</v>
      </c>
      <c r="B741" s="1" t="str">
        <f>IFERROR(__xludf.DUMMYFUNCTION("""COMPUTED_VALUE"""),"QuickBooks - How-to")</f>
        <v>QuickBooks - How-to</v>
      </c>
      <c r="C741" s="1" t="str">
        <f>IFERROR(__xludf.DUMMYFUNCTION("""COMPUTED_VALUE"""),"Blog")</f>
        <v>Blog</v>
      </c>
      <c r="D741" s="1" t="str">
        <f>IFERROR(__xludf.DUMMYFUNCTION("""COMPUTED_VALUE"""),"QuickBooks Online inventory management: Everything you need to know")</f>
        <v>QuickBooks Online inventory management: Everything you need to know</v>
      </c>
      <c r="E741" s="12">
        <f>IFERROR(__xludf.DUMMYFUNCTION("""COMPUTED_VALUE"""),45166.656273148146)</f>
        <v>45166.65627</v>
      </c>
    </row>
    <row r="742">
      <c r="A742" s="7" t="str">
        <f>IFERROR(__xludf.DUMMYFUNCTION("""COMPUTED_VALUE"""),"https://www.method.me/resources/how-to-issue-a-refund-in-quickbooks/")</f>
        <v>https://www.method.me/resources/how-to-issue-a-refund-in-quickbooks/</v>
      </c>
      <c r="B742" s="1" t="str">
        <f>IFERROR(__xludf.DUMMYFUNCTION("""COMPUTED_VALUE"""),"QuickBooks - How-to")</f>
        <v>QuickBooks - How-to</v>
      </c>
      <c r="C742" s="1" t="str">
        <f>IFERROR(__xludf.DUMMYFUNCTION("""COMPUTED_VALUE"""),"Guide")</f>
        <v>Guide</v>
      </c>
      <c r="D742" s="1" t="str">
        <f>IFERROR(__xludf.DUMMYFUNCTION("""COMPUTED_VALUE"""),"How to issue a refund in QuickBooks")</f>
        <v>How to issue a refund in QuickBooks</v>
      </c>
      <c r="E742" s="12">
        <f>IFERROR(__xludf.DUMMYFUNCTION("""COMPUTED_VALUE"""),45167.43305555556)</f>
        <v>45167.43306</v>
      </c>
    </row>
    <row r="743">
      <c r="A743" s="7" t="str">
        <f>IFERROR(__xludf.DUMMYFUNCTION("""COMPUTED_VALUE"""),"https://www.method.me/blog/warehouse-inventory-control-processes/")</f>
        <v>https://www.method.me/blog/warehouse-inventory-control-processes/</v>
      </c>
      <c r="B743" s="1" t="str">
        <f>IFERROR(__xludf.DUMMYFUNCTION("""COMPUTED_VALUE"""),"MWD")</f>
        <v>MWD</v>
      </c>
      <c r="C743" s="1" t="str">
        <f>IFERROR(__xludf.DUMMYFUNCTION("""COMPUTED_VALUE"""),"Blog")</f>
        <v>Blog</v>
      </c>
      <c r="D743" s="1" t="str">
        <f>IFERROR(__xludf.DUMMYFUNCTION("""COMPUTED_VALUE"""),"Warehouse inventory control: Top 3 processes you need to automate")</f>
        <v>Warehouse inventory control: Top 3 processes you need to automate</v>
      </c>
      <c r="E743" s="12">
        <f>IFERROR(__xludf.DUMMYFUNCTION("""COMPUTED_VALUE"""),45175.539375)</f>
        <v>45175.53938</v>
      </c>
    </row>
    <row r="744">
      <c r="A744" s="7" t="str">
        <f>IFERROR(__xludf.DUMMYFUNCTION("""COMPUTED_VALUE"""),"https://www.method.me/videos/workshop-depositsapprovals/")</f>
        <v>https://www.method.me/videos/workshop-depositsapprovals/</v>
      </c>
      <c r="B744" s="1" t="str">
        <f>IFERROR(__xludf.DUMMYFUNCTION("""COMPUTED_VALUE"""),"Video page")</f>
        <v>Video page</v>
      </c>
      <c r="C744" s="1" t="str">
        <f>IFERROR(__xludf.DUMMYFUNCTION("""COMPUTED_VALUE"""),"Other page")</f>
        <v>Other page</v>
      </c>
      <c r="D744" s="1" t="str">
        <f>IFERROR(__xludf.DUMMYFUNCTION("""COMPUTED_VALUE"""),"Customer workshop: How to stop chasing customers for deposits and approvals")</f>
        <v>Customer workshop: How to stop chasing customers for deposits and approvals</v>
      </c>
      <c r="E744" s="12">
        <f>IFERROR(__xludf.DUMMYFUNCTION("""COMPUTED_VALUE"""),45182.5815625)</f>
        <v>45182.58156</v>
      </c>
    </row>
    <row r="745">
      <c r="A745" s="7" t="str">
        <f>IFERROR(__xludf.DUMMYFUNCTION("""COMPUTED_VALUE"""),"https://www.method.me/blog/warehousing-and-inventory-management-best-practices/")</f>
        <v>https://www.method.me/blog/warehousing-and-inventory-management-best-practices/</v>
      </c>
      <c r="B745" s="1" t="str">
        <f>IFERROR(__xludf.DUMMYFUNCTION("""COMPUTED_VALUE"""),"MWD")</f>
        <v>MWD</v>
      </c>
      <c r="C745" s="1" t="str">
        <f>IFERROR(__xludf.DUMMYFUNCTION("""COMPUTED_VALUE"""),"Blog")</f>
        <v>Blog</v>
      </c>
      <c r="D745" s="1" t="str">
        <f>IFERROR(__xludf.DUMMYFUNCTION("""COMPUTED_VALUE"""),"7 best practices for warehousing and inventory management")</f>
        <v>7 best practices for warehousing and inventory management</v>
      </c>
      <c r="E745" s="12">
        <f>IFERROR(__xludf.DUMMYFUNCTION("""COMPUTED_VALUE"""),45183.674780092595)</f>
        <v>45183.67478</v>
      </c>
    </row>
    <row r="746">
      <c r="A746" s="7" t="str">
        <f>IFERROR(__xludf.DUMMYFUNCTION("""COMPUTED_VALUE"""),"https://www.method.me/blog/manufacturing-inventory-management-system/")</f>
        <v>https://www.method.me/blog/manufacturing-inventory-management-system/</v>
      </c>
      <c r="B746" s="1" t="str">
        <f>IFERROR(__xludf.DUMMYFUNCTION("""COMPUTED_VALUE"""),"MWD")</f>
        <v>MWD</v>
      </c>
      <c r="C746" s="1" t="str">
        <f>IFERROR(__xludf.DUMMYFUNCTION("""COMPUTED_VALUE"""),"Blog")</f>
        <v>Blog</v>
      </c>
      <c r="D746" s="1" t="str">
        <f>IFERROR(__xludf.DUMMYFUNCTION("""COMPUTED_VALUE"""),"What to look for in a manufacturing inventory management system")</f>
        <v>What to look for in a manufacturing inventory management system</v>
      </c>
      <c r="E746" s="12">
        <f>IFERROR(__xludf.DUMMYFUNCTION("""COMPUTED_VALUE"""),45187.49253472222)</f>
        <v>45187.49253</v>
      </c>
    </row>
    <row r="747">
      <c r="A747" s="7" t="str">
        <f>IFERROR(__xludf.DUMMYFUNCTION("""COMPUTED_VALUE"""),"https://www.method.me/videos/scale-your-business-with-method-and-quickbooks-online/")</f>
        <v>https://www.method.me/videos/scale-your-business-with-method-and-quickbooks-online/</v>
      </c>
      <c r="B747" s="1" t="str">
        <f>IFERROR(__xludf.DUMMYFUNCTION("""COMPUTED_VALUE"""),"Video page")</f>
        <v>Video page</v>
      </c>
      <c r="C747" s="1" t="str">
        <f>IFERROR(__xludf.DUMMYFUNCTION("""COMPUTED_VALUE"""),"Other page")</f>
        <v>Other page</v>
      </c>
      <c r="D747" s="1" t="str">
        <f>IFERROR(__xludf.DUMMYFUNCTION("""COMPUTED_VALUE"""),"Scale your business with Method and QuickBooks Online")</f>
        <v>Scale your business with Method and QuickBooks Online</v>
      </c>
      <c r="E747" s="12">
        <f>IFERROR(__xludf.DUMMYFUNCTION("""COMPUTED_VALUE"""),45191.447905092595)</f>
        <v>45191.44791</v>
      </c>
    </row>
    <row r="748">
      <c r="A748" s="7" t="str">
        <f>IFERROR(__xludf.DUMMYFUNCTION("""COMPUTED_VALUE"""),"https://www.method.me/blog/best-manufacturing-inventory-management-software/")</f>
        <v>https://www.method.me/blog/best-manufacturing-inventory-management-software/</v>
      </c>
      <c r="B748" s="1" t="str">
        <f>IFERROR(__xludf.DUMMYFUNCTION("""COMPUTED_VALUE"""),"Listicle - Software / Software overview")</f>
        <v>Listicle - Software / Software overview</v>
      </c>
      <c r="C748" s="1" t="str">
        <f>IFERROR(__xludf.DUMMYFUNCTION("""COMPUTED_VALUE"""),"Blog")</f>
        <v>Blog</v>
      </c>
      <c r="D748" s="1" t="str">
        <f>IFERROR(__xludf.DUMMYFUNCTION("""COMPUTED_VALUE"""),"Best manufacturing inventory management software: Top picks for 2024 and beyond")</f>
        <v>Best manufacturing inventory management software: Top picks for 2024 and beyond</v>
      </c>
      <c r="E748" s="12">
        <f>IFERROR(__xludf.DUMMYFUNCTION("""COMPUTED_VALUE"""),45196.39855324074)</f>
        <v>45196.39855</v>
      </c>
    </row>
    <row r="749">
      <c r="A749" s="7" t="str">
        <f>IFERROR(__xludf.DUMMYFUNCTION("""COMPUTED_VALUE"""),"https://www.method.me/blog/field-service-management-software-quickbooks/")</f>
        <v>https://www.method.me/blog/field-service-management-software-quickbooks/</v>
      </c>
      <c r="B749" s="1" t="str">
        <f>IFERROR(__xludf.DUMMYFUNCTION("""COMPUTED_VALUE"""),"QuickBooks - General")</f>
        <v>QuickBooks - General</v>
      </c>
      <c r="C749" s="1" t="str">
        <f>IFERROR(__xludf.DUMMYFUNCTION("""COMPUTED_VALUE"""),"Blog")</f>
        <v>Blog</v>
      </c>
      <c r="D749" s="1" t="str">
        <f>IFERROR(__xludf.DUMMYFUNCTION("""COMPUTED_VALUE"""),"Field service management software meets QuickBooks: A comprehensive guide")</f>
        <v>Field service management software meets QuickBooks: A comprehensive guide</v>
      </c>
      <c r="E749" s="12">
        <f>IFERROR(__xludf.DUMMYFUNCTION("""COMPUTED_VALUE"""),45205.575474537036)</f>
        <v>45205.57547</v>
      </c>
    </row>
    <row r="750">
      <c r="A750" s="7" t="str">
        <f>IFERROR(__xludf.DUMMYFUNCTION("""COMPUTED_VALUE"""),"https://www.method.me/legal/methodpartner-terms-of-service/")</f>
        <v>https://www.method.me/legal/methodpartner-terms-of-service/</v>
      </c>
      <c r="B750" s="1" t="str">
        <f>IFERROR(__xludf.DUMMYFUNCTION("""COMPUTED_VALUE"""),"Partner page")</f>
        <v>Partner page</v>
      </c>
      <c r="C750" s="1" t="str">
        <f>IFERROR(__xludf.DUMMYFUNCTION("""COMPUTED_VALUE"""),"Other page")</f>
        <v>Other page</v>
      </c>
      <c r="D750" s="1" t="str">
        <f>IFERROR(__xludf.DUMMYFUNCTION("""COMPUTED_VALUE"""),"Method:Partner Terms of Service")</f>
        <v>Method:Partner Terms of Service</v>
      </c>
      <c r="E750" s="12">
        <f>IFERROR(__xludf.DUMMYFUNCTION("""COMPUTED_VALUE"""),45211.489849537036)</f>
        <v>45211.48985</v>
      </c>
    </row>
    <row r="751">
      <c r="A751" s="7" t="str">
        <f>IFERROR(__xludf.DUMMYFUNCTION("""COMPUTED_VALUE"""),"https://www.method.me/videos/q4-reorder/")</f>
        <v>https://www.method.me/videos/q4-reorder/</v>
      </c>
      <c r="B751" s="1" t="str">
        <f>IFERROR(__xludf.DUMMYFUNCTION("""COMPUTED_VALUE"""),"Video page")</f>
        <v>Video page</v>
      </c>
      <c r="C751" s="1" t="str">
        <f>IFERROR(__xludf.DUMMYFUNCTION("""COMPUTED_VALUE"""),"Other page")</f>
        <v>Other page</v>
      </c>
      <c r="D751" s="1" t="str">
        <f>IFERROR(__xludf.DUMMYFUNCTION("""COMPUTED_VALUE"""),"Close your year off strong with Method’s new sales reorder feature")</f>
        <v>Close your year off strong with Method’s new sales reorder feature</v>
      </c>
      <c r="E751" s="12">
        <f>IFERROR(__xludf.DUMMYFUNCTION("""COMPUTED_VALUE"""),45211.656435185185)</f>
        <v>45211.65644</v>
      </c>
    </row>
    <row r="752">
      <c r="A752" s="7" t="str">
        <f>IFERROR(__xludf.DUMMYFUNCTION("""COMPUTED_VALUE"""),"https://www.method.me/blog/netsuite-vs-quickbooks/")</f>
        <v>https://www.method.me/blog/netsuite-vs-quickbooks/</v>
      </c>
      <c r="B752" s="1" t="str">
        <f>IFERROR(__xludf.DUMMYFUNCTION("""COMPUTED_VALUE"""),"QuickBooks - General")</f>
        <v>QuickBooks - General</v>
      </c>
      <c r="C752" s="1" t="str">
        <f>IFERROR(__xludf.DUMMYFUNCTION("""COMPUTED_VALUE"""),"Blog")</f>
        <v>Blog</v>
      </c>
      <c r="D752" s="1" t="str">
        <f>IFERROR(__xludf.DUMMYFUNCTION("""COMPUTED_VALUE"""),"NetSuite vs. QuickBooks: Which is best for your unique needs?")</f>
        <v>NetSuite vs. QuickBooks: Which is best for your unique needs?</v>
      </c>
      <c r="E752" s="12">
        <f>IFERROR(__xludf.DUMMYFUNCTION("""COMPUTED_VALUE"""),45212.4741087963)</f>
        <v>45212.47411</v>
      </c>
    </row>
    <row r="753">
      <c r="A753" s="7" t="str">
        <f>IFERROR(__xludf.DUMMYFUNCTION("""COMPUTED_VALUE"""),"https://www.method.me/blog/best-crm-software/")</f>
        <v>https://www.method.me/blog/best-crm-software/</v>
      </c>
      <c r="B753" s="1" t="str">
        <f>IFERROR(__xludf.DUMMYFUNCTION("""COMPUTED_VALUE"""),"Listicle - CRM")</f>
        <v>Listicle - CRM</v>
      </c>
      <c r="C753" s="1" t="str">
        <f>IFERROR(__xludf.DUMMYFUNCTION("""COMPUTED_VALUE"""),"Blog")</f>
        <v>Blog</v>
      </c>
      <c r="D753" s="1" t="str">
        <f>IFERROR(__xludf.DUMMYFUNCTION("""COMPUTED_VALUE"""),"Best CRM software solutions in 2024 – Top 6 picks")</f>
        <v>Best CRM software solutions in 2024 – Top 6 picks</v>
      </c>
      <c r="E753" s="12">
        <f>IFERROR(__xludf.DUMMYFUNCTION("""COMPUTED_VALUE"""),45216.52049768518)</f>
        <v>45216.5205</v>
      </c>
    </row>
    <row r="754">
      <c r="A754" s="7" t="str">
        <f>IFERROR(__xludf.DUMMYFUNCTION("""COMPUTED_VALUE"""),"https://www.method.me/resources/how-to-create-a-credit-memo-in-quickbooks/")</f>
        <v>https://www.method.me/resources/how-to-create-a-credit-memo-in-quickbooks/</v>
      </c>
      <c r="B754" s="1" t="str">
        <f>IFERROR(__xludf.DUMMYFUNCTION("""COMPUTED_VALUE"""),"QuickBooks - How-to")</f>
        <v>QuickBooks - How-to</v>
      </c>
      <c r="C754" s="1" t="str">
        <f>IFERROR(__xludf.DUMMYFUNCTION("""COMPUTED_VALUE"""),"Guide")</f>
        <v>Guide</v>
      </c>
      <c r="D754" s="1" t="str">
        <f>IFERROR(__xludf.DUMMYFUNCTION("""COMPUTED_VALUE"""),"How to create a credit memo in QuickBooks")</f>
        <v>How to create a credit memo in QuickBooks</v>
      </c>
      <c r="E754" s="12">
        <f>IFERROR(__xludf.DUMMYFUNCTION("""COMPUTED_VALUE"""),45224.694027777776)</f>
        <v>45224.69403</v>
      </c>
    </row>
    <row r="755">
      <c r="A755" s="7" t="str">
        <f>IFERROR(__xludf.DUMMYFUNCTION("""COMPUTED_VALUE"""),"https://www.method.me/blog/oracle-netsuite-vs-quickbooks-online/")</f>
        <v>https://www.method.me/blog/oracle-netsuite-vs-quickbooks-online/</v>
      </c>
      <c r="B755" s="1" t="str">
        <f>IFERROR(__xludf.DUMMYFUNCTION("""COMPUTED_VALUE"""),"QuickBooks - General")</f>
        <v>QuickBooks - General</v>
      </c>
      <c r="C755" s="1" t="str">
        <f>IFERROR(__xludf.DUMMYFUNCTION("""COMPUTED_VALUE"""),"Blog")</f>
        <v>Blog</v>
      </c>
      <c r="D755" s="1" t="str">
        <f>IFERROR(__xludf.DUMMYFUNCTION("""COMPUTED_VALUE"""),"NetSuite vs. QuickBooks Online: Which is the better business system?")</f>
        <v>NetSuite vs. QuickBooks Online: Which is the better business system?</v>
      </c>
      <c r="E755" s="12">
        <f>IFERROR(__xludf.DUMMYFUNCTION("""COMPUTED_VALUE"""),45225.39760416667)</f>
        <v>45225.3976</v>
      </c>
    </row>
    <row r="756">
      <c r="A756" s="7" t="str">
        <f>IFERROR(__xludf.DUMMYFUNCTION("""COMPUTED_VALUE"""),"https://www.method.me/blog/netsuite-vs-quickbooks-pricing/")</f>
        <v>https://www.method.me/blog/netsuite-vs-quickbooks-pricing/</v>
      </c>
      <c r="B756" s="1" t="str">
        <f>IFERROR(__xludf.DUMMYFUNCTION("""COMPUTED_VALUE"""),"QuickBooks - General")</f>
        <v>QuickBooks - General</v>
      </c>
      <c r="C756" s="1" t="str">
        <f>IFERROR(__xludf.DUMMYFUNCTION("""COMPUTED_VALUE"""),"Blog")</f>
        <v>Blog</v>
      </c>
      <c r="D756" s="1" t="str">
        <f>IFERROR(__xludf.DUMMYFUNCTION("""COMPUTED_VALUE"""),"NetSuite pricing vs. QuickBooks cost: 2024 comparison")</f>
        <v>NetSuite pricing vs. QuickBooks cost: 2024 comparison</v>
      </c>
      <c r="E756" s="12">
        <f>IFERROR(__xludf.DUMMYFUNCTION("""COMPUTED_VALUE"""),45230.497511574074)</f>
        <v>45230.49751</v>
      </c>
    </row>
    <row r="757">
      <c r="A757" s="7" t="str">
        <f>IFERROR(__xludf.DUMMYFUNCTION("""COMPUTED_VALUE"""),"https://www.method.me/videos/qbc-webinar/")</f>
        <v>https://www.method.me/videos/qbc-webinar/</v>
      </c>
      <c r="B757" s="1" t="str">
        <f>IFERROR(__xludf.DUMMYFUNCTION("""COMPUTED_VALUE"""),"Video page")</f>
        <v>Video page</v>
      </c>
      <c r="C757" s="1" t="str">
        <f>IFERROR(__xludf.DUMMYFUNCTION("""COMPUTED_VALUE"""),"Other page")</f>
        <v>Other page</v>
      </c>
      <c r="D757" s="1" t="str">
        <f>IFERROR(__xludf.DUMMYFUNCTION("""COMPUTED_VALUE"""),"QuickBooks Connect: What to know before you go")</f>
        <v>QuickBooks Connect: What to know before you go</v>
      </c>
      <c r="E757" s="12">
        <f>IFERROR(__xludf.DUMMYFUNCTION("""COMPUTED_VALUE"""),45230.699467592596)</f>
        <v>45230.69947</v>
      </c>
    </row>
    <row r="758">
      <c r="A758" s="7" t="str">
        <f>IFERROR(__xludf.DUMMYFUNCTION("""COMPUTED_VALUE"""),"https://www.method.me/blog/quickbooks-to-netsuite-migration/")</f>
        <v>https://www.method.me/blog/quickbooks-to-netsuite-migration/</v>
      </c>
      <c r="B758" s="1" t="str">
        <f>IFERROR(__xludf.DUMMYFUNCTION("""COMPUTED_VALUE"""),"Listicle - QuickBooks")</f>
        <v>Listicle - QuickBooks</v>
      </c>
      <c r="C758" s="1" t="str">
        <f>IFERROR(__xludf.DUMMYFUNCTION("""COMPUTED_VALUE"""),"Blog")</f>
        <v>Blog</v>
      </c>
      <c r="D758" s="1" t="str">
        <f>IFERROR(__xludf.DUMMYFUNCTION("""COMPUTED_VALUE"""),"7 things about QuickBooks to NetSuite migration you need to know")</f>
        <v>7 things about QuickBooks to NetSuite migration you need to know</v>
      </c>
      <c r="E758" s="12">
        <f>IFERROR(__xludf.DUMMYFUNCTION("""COMPUTED_VALUE"""),45240.650925925926)</f>
        <v>45240.65093</v>
      </c>
    </row>
    <row r="759">
      <c r="A759" s="7" t="str">
        <f>IFERROR(__xludf.DUMMYFUNCTION("""COMPUTED_VALUE"""),"https://www.method.me/outage-update-nov-10-2023/")</f>
        <v>https://www.method.me/outage-update-nov-10-2023/</v>
      </c>
      <c r="B759" s="1" t="str">
        <f>IFERROR(__xludf.DUMMYFUNCTION("""COMPUTED_VALUE"""),"Other page")</f>
        <v>Other page</v>
      </c>
      <c r="C759" s="1" t="str">
        <f>IFERROR(__xludf.DUMMYFUNCTION("""COMPUTED_VALUE"""),"Other page")</f>
        <v>Other page</v>
      </c>
      <c r="D759" s="1" t="str">
        <f>IFERROR(__xludf.DUMMYFUNCTION("""COMPUTED_VALUE"""),"Outage update – Nov 10, 2023")</f>
        <v>Outage update – Nov 10, 2023</v>
      </c>
      <c r="E759" s="12">
        <f>IFERROR(__xludf.DUMMYFUNCTION("""COMPUTED_VALUE"""),45240.68519675926)</f>
        <v>45240.6852</v>
      </c>
    </row>
    <row r="760">
      <c r="A760" s="7" t="str">
        <f>IFERROR(__xludf.DUMMYFUNCTION("""COMPUTED_VALUE"""),"https://www.method.me/blog/migrate-from-netsuite-to-quickbooks/")</f>
        <v>https://www.method.me/blog/migrate-from-netsuite-to-quickbooks/</v>
      </c>
      <c r="B760" s="1" t="str">
        <f>IFERROR(__xludf.DUMMYFUNCTION("""COMPUTED_VALUE"""),"QuickBooks - How-to")</f>
        <v>QuickBooks - How-to</v>
      </c>
      <c r="C760" s="1" t="str">
        <f>IFERROR(__xludf.DUMMYFUNCTION("""COMPUTED_VALUE"""),"Blog")</f>
        <v>Blog</v>
      </c>
      <c r="D760" s="1" t="str">
        <f>IFERROR(__xludf.DUMMYFUNCTION("""COMPUTED_VALUE"""),"How to migrate from NetSuite to QuickBooks to improve your bottom line")</f>
        <v>How to migrate from NetSuite to QuickBooks to improve your bottom line</v>
      </c>
      <c r="E760" s="12">
        <f>IFERROR(__xludf.DUMMYFUNCTION("""COMPUTED_VALUE"""),45247.484305555554)</f>
        <v>45247.48431</v>
      </c>
    </row>
    <row r="761">
      <c r="A761" s="7" t="str">
        <f>IFERROR(__xludf.DUMMYFUNCTION("""COMPUTED_VALUE"""),"https://www.method.me/blog/sales-reporting-software/")</f>
        <v>https://www.method.me/blog/sales-reporting-software/</v>
      </c>
      <c r="B761" s="1" t="str">
        <f>IFERROR(__xludf.DUMMYFUNCTION("""COMPUTED_VALUE"""),"Listicle - Software / Software overview")</f>
        <v>Listicle - Software / Software overview</v>
      </c>
      <c r="C761" s="1" t="str">
        <f>IFERROR(__xludf.DUMMYFUNCTION("""COMPUTED_VALUE"""),"Blog")</f>
        <v>Blog</v>
      </c>
      <c r="D761" s="1" t="str">
        <f>IFERROR(__xludf.DUMMYFUNCTION("""COMPUTED_VALUE"""),"Top best sales reporting software 2024")</f>
        <v>Top best sales reporting software 2024</v>
      </c>
      <c r="E761" s="12">
        <f>IFERROR(__xludf.DUMMYFUNCTION("""COMPUTED_VALUE"""),45247.58949074074)</f>
        <v>45247.58949</v>
      </c>
    </row>
    <row r="762">
      <c r="A762" s="7" t="str">
        <f>IFERROR(__xludf.DUMMYFUNCTION("""COMPUTED_VALUE"""),"https://www.method.me/blog/crm-and-accounting-software-integration/")</f>
        <v>https://www.method.me/blog/crm-and-accounting-software-integration/</v>
      </c>
      <c r="B762" s="1" t="str">
        <f>IFERROR(__xludf.DUMMYFUNCTION("""COMPUTED_VALUE"""),"CRM")</f>
        <v>CRM</v>
      </c>
      <c r="C762" s="1" t="str">
        <f>IFERROR(__xludf.DUMMYFUNCTION("""COMPUTED_VALUE"""),"Blog")</f>
        <v>Blog</v>
      </c>
      <c r="D762" s="1" t="str">
        <f>IFERROR(__xludf.DUMMYFUNCTION("""COMPUTED_VALUE"""),"Top reasons to integrate CRM and accounting software")</f>
        <v>Top reasons to integrate CRM and accounting software</v>
      </c>
      <c r="E762" s="12">
        <f>IFERROR(__xludf.DUMMYFUNCTION("""COMPUTED_VALUE"""),45250.64983796296)</f>
        <v>45250.64984</v>
      </c>
    </row>
    <row r="763">
      <c r="A763" s="7" t="str">
        <f>IFERROR(__xludf.DUMMYFUNCTION("""COMPUTED_VALUE"""),"https://www.method.me/blog/invoice-and-estimate-software/")</f>
        <v>https://www.method.me/blog/invoice-and-estimate-software/</v>
      </c>
      <c r="B763" s="1" t="str">
        <f>IFERROR(__xludf.DUMMYFUNCTION("""COMPUTED_VALUE"""),"Listicle - Software / Software overview")</f>
        <v>Listicle - Software / Software overview</v>
      </c>
      <c r="C763" s="1" t="str">
        <f>IFERROR(__xludf.DUMMYFUNCTION("""COMPUTED_VALUE"""),"Blog")</f>
        <v>Blog</v>
      </c>
      <c r="D763" s="1" t="str">
        <f>IFERROR(__xludf.DUMMYFUNCTION("""COMPUTED_VALUE"""),"Top 5 best invoice and estimate software 2024")</f>
        <v>Top 5 best invoice and estimate software 2024</v>
      </c>
      <c r="E763" s="12">
        <f>IFERROR(__xludf.DUMMYFUNCTION("""COMPUTED_VALUE"""),45254.670694444445)</f>
        <v>45254.67069</v>
      </c>
    </row>
    <row r="764">
      <c r="A764" s="7" t="str">
        <f>IFERROR(__xludf.DUMMYFUNCTION("""COMPUTED_VALUE"""),"https://www.method.me/blog/crm-software-outlook-integration/")</f>
        <v>https://www.method.me/blog/crm-software-outlook-integration/</v>
      </c>
      <c r="B764" s="1" t="str">
        <f>IFERROR(__xludf.DUMMYFUNCTION("""COMPUTED_VALUE"""),"Listicle - CRM")</f>
        <v>Listicle - CRM</v>
      </c>
      <c r="C764" s="1" t="str">
        <f>IFERROR(__xludf.DUMMYFUNCTION("""COMPUTED_VALUE"""),"Blog")</f>
        <v>Blog</v>
      </c>
      <c r="D764" s="1" t="str">
        <f>IFERROR(__xludf.DUMMYFUNCTION("""COMPUTED_VALUE"""),"Best CRM software for Outlook integration")</f>
        <v>Best CRM software for Outlook integration</v>
      </c>
      <c r="E764" s="12">
        <f>IFERROR(__xludf.DUMMYFUNCTION("""COMPUTED_VALUE"""),45254.67125)</f>
        <v>45254.67125</v>
      </c>
    </row>
    <row r="765">
      <c r="A765" s="7" t="str">
        <f>IFERROR(__xludf.DUMMYFUNCTION("""COMPUTED_VALUE"""),"https://www.method.me/blog/software-sales-pipeline-stages/")</f>
        <v>https://www.method.me/blog/software-sales-pipeline-stages/</v>
      </c>
      <c r="B765" s="1" t="str">
        <f>IFERROR(__xludf.DUMMYFUNCTION("""COMPUTED_VALUE"""),"Sales / Marketing / Lead gen")</f>
        <v>Sales / Marketing / Lead gen</v>
      </c>
      <c r="C765" s="1" t="str">
        <f>IFERROR(__xludf.DUMMYFUNCTION("""COMPUTED_VALUE"""),"Blog")</f>
        <v>Blog</v>
      </c>
      <c r="D765" s="1" t="str">
        <f>IFERROR(__xludf.DUMMYFUNCTION("""COMPUTED_VALUE"""),"Sales pipeline stages — A definitive guide on the best software")</f>
        <v>Sales pipeline stages — A definitive guide on the best software</v>
      </c>
      <c r="E765" s="12">
        <f>IFERROR(__xludf.DUMMYFUNCTION("""COMPUTED_VALUE"""),45254.671793981484)</f>
        <v>45254.67179</v>
      </c>
    </row>
    <row r="766">
      <c r="A766" s="7" t="str">
        <f>IFERROR(__xludf.DUMMYFUNCTION("""COMPUTED_VALUE"""),"https://www.method.me/blog/construction-software/")</f>
        <v>https://www.method.me/blog/construction-software/</v>
      </c>
      <c r="B766" s="1" t="str">
        <f>IFERROR(__xludf.DUMMYFUNCTION("""COMPUTED_VALUE"""),"Listicle - CRM")</f>
        <v>Listicle - CRM</v>
      </c>
      <c r="C766" s="1" t="str">
        <f>IFERROR(__xludf.DUMMYFUNCTION("""COMPUTED_VALUE"""),"Blog")</f>
        <v>Blog</v>
      </c>
      <c r="D766" s="1" t="str">
        <f>IFERROR(__xludf.DUMMYFUNCTION("""COMPUTED_VALUE"""),"Best construction CRM software 2024")</f>
        <v>Best construction CRM software 2024</v>
      </c>
      <c r="E766" s="12">
        <f>IFERROR(__xludf.DUMMYFUNCTION("""COMPUTED_VALUE"""),45254.671956018516)</f>
        <v>45254.67196</v>
      </c>
    </row>
    <row r="767">
      <c r="A767" s="7" t="str">
        <f>IFERROR(__xludf.DUMMYFUNCTION("""COMPUTED_VALUE"""),"https://www.method.me/blog/client-management-app/")</f>
        <v>https://www.method.me/blog/client-management-app/</v>
      </c>
      <c r="B767" s="1" t="str">
        <f>IFERROR(__xludf.DUMMYFUNCTION("""COMPUTED_VALUE"""),"Listicle - Software / Software overview")</f>
        <v>Listicle - Software / Software overview</v>
      </c>
      <c r="C767" s="1" t="str">
        <f>IFERROR(__xludf.DUMMYFUNCTION("""COMPUTED_VALUE"""),"Blog")</f>
        <v>Blog</v>
      </c>
      <c r="D767" s="1" t="str">
        <f>IFERROR(__xludf.DUMMYFUNCTION("""COMPUTED_VALUE"""),"Best client management apps you can use in 2024")</f>
        <v>Best client management apps you can use in 2024</v>
      </c>
      <c r="E767" s="12">
        <f>IFERROR(__xludf.DUMMYFUNCTION("""COMPUTED_VALUE"""),45254.67207175926)</f>
        <v>45254.67207</v>
      </c>
    </row>
    <row r="768">
      <c r="A768" s="7" t="str">
        <f>IFERROR(__xludf.DUMMYFUNCTION("""COMPUTED_VALUE"""),"https://www.method.me/blog/customer-tracking-software/")</f>
        <v>https://www.method.me/blog/customer-tracking-software/</v>
      </c>
      <c r="B768" s="1" t="str">
        <f>IFERROR(__xludf.DUMMYFUNCTION("""COMPUTED_VALUE"""),"Listicle - Software / Software overview")</f>
        <v>Listicle - Software / Software overview</v>
      </c>
      <c r="C768" s="1" t="str">
        <f>IFERROR(__xludf.DUMMYFUNCTION("""COMPUTED_VALUE"""),"Blog")</f>
        <v>Blog</v>
      </c>
      <c r="D768" s="1" t="str">
        <f>IFERROR(__xludf.DUMMYFUNCTION("""COMPUTED_VALUE"""),"Top best customer tracking software — A definitive guide")</f>
        <v>Top best customer tracking software — A definitive guide</v>
      </c>
      <c r="E768" s="12">
        <f>IFERROR(__xludf.DUMMYFUNCTION("""COMPUTED_VALUE"""),45254.67219907408)</f>
        <v>45254.6722</v>
      </c>
    </row>
    <row r="769">
      <c r="A769" s="7" t="str">
        <f>IFERROR(__xludf.DUMMYFUNCTION("""COMPUTED_VALUE"""),"https://www.method.me/blog/contact-management-software/")</f>
        <v>https://www.method.me/blog/contact-management-software/</v>
      </c>
      <c r="B769" s="1" t="str">
        <f>IFERROR(__xludf.DUMMYFUNCTION("""COMPUTED_VALUE"""),"Listicle - Software / Software overview")</f>
        <v>Listicle - Software / Software overview</v>
      </c>
      <c r="C769" s="1" t="str">
        <f>IFERROR(__xludf.DUMMYFUNCTION("""COMPUTED_VALUE"""),"Blog")</f>
        <v>Blog</v>
      </c>
      <c r="D769" s="1" t="str">
        <f>IFERROR(__xludf.DUMMYFUNCTION("""COMPUTED_VALUE"""),"A guide to the best contact management software 2024")</f>
        <v>A guide to the best contact management software 2024</v>
      </c>
      <c r="E769" s="12">
        <f>IFERROR(__xludf.DUMMYFUNCTION("""COMPUTED_VALUE"""),45254.672372685185)</f>
        <v>45254.67237</v>
      </c>
    </row>
    <row r="770">
      <c r="A770" s="7" t="str">
        <f>IFERROR(__xludf.DUMMYFUNCTION("""COMPUTED_VALUE"""),"https://www.method.me/blog/best-contractor-management-software/")</f>
        <v>https://www.method.me/blog/best-contractor-management-software/</v>
      </c>
      <c r="B770" s="1" t="str">
        <f>IFERROR(__xludf.DUMMYFUNCTION("""COMPUTED_VALUE"""),"Listicle - Software / Software overview")</f>
        <v>Listicle - Software / Software overview</v>
      </c>
      <c r="C770" s="1" t="str">
        <f>IFERROR(__xludf.DUMMYFUNCTION("""COMPUTED_VALUE"""),"Blog")</f>
        <v>Blog</v>
      </c>
      <c r="D770" s="1" t="str">
        <f>IFERROR(__xludf.DUMMYFUNCTION("""COMPUTED_VALUE"""),"Contractor management software: The complete guide?")</f>
        <v>Contractor management software: The complete guide?</v>
      </c>
      <c r="E770" s="12">
        <f>IFERROR(__xludf.DUMMYFUNCTION("""COMPUTED_VALUE"""),45254.67251157408)</f>
        <v>45254.67251</v>
      </c>
    </row>
    <row r="771">
      <c r="A771" s="7" t="str">
        <f>IFERROR(__xludf.DUMMYFUNCTION("""COMPUTED_VALUE"""),"https://www.method.me/blog/field-service-management-software/")</f>
        <v>https://www.method.me/blog/field-service-management-software/</v>
      </c>
      <c r="B771" s="1" t="str">
        <f>IFERROR(__xludf.DUMMYFUNCTION("""COMPUTED_VALUE"""),"Listicle - Software / Software overview")</f>
        <v>Listicle - Software / Software overview</v>
      </c>
      <c r="C771" s="1" t="str">
        <f>IFERROR(__xludf.DUMMYFUNCTION("""COMPUTED_VALUE"""),"Blog")</f>
        <v>Blog</v>
      </c>
      <c r="D771" s="1" t="str">
        <f>IFERROR(__xludf.DUMMYFUNCTION("""COMPUTED_VALUE"""),"Top 4 best field service management software 2024")</f>
        <v>Top 4 best field service management software 2024</v>
      </c>
      <c r="E771" s="12">
        <f>IFERROR(__xludf.DUMMYFUNCTION("""COMPUTED_VALUE"""),45254.67273148148)</f>
        <v>45254.67273</v>
      </c>
    </row>
    <row r="772">
      <c r="A772" s="7" t="str">
        <f>IFERROR(__xludf.DUMMYFUNCTION("""COMPUTED_VALUE"""),"https://www.method.me/blog/electrical-estimating-software/")</f>
        <v>https://www.method.me/blog/electrical-estimating-software/</v>
      </c>
      <c r="B772" s="1" t="str">
        <f>IFERROR(__xludf.DUMMYFUNCTION("""COMPUTED_VALUE"""),"Listicle - Software / Software overview")</f>
        <v>Listicle - Software / Software overview</v>
      </c>
      <c r="C772" s="1" t="str">
        <f>IFERROR(__xludf.DUMMYFUNCTION("""COMPUTED_VALUE"""),"Blog")</f>
        <v>Blog</v>
      </c>
      <c r="D772" s="1" t="str">
        <f>IFERROR(__xludf.DUMMYFUNCTION("""COMPUTED_VALUE"""),"Top 5 best electrical estimating software 2024")</f>
        <v>Top 5 best electrical estimating software 2024</v>
      </c>
      <c r="E772" s="12">
        <f>IFERROR(__xludf.DUMMYFUNCTION("""COMPUTED_VALUE"""),45254.672939814816)</f>
        <v>45254.67294</v>
      </c>
    </row>
    <row r="773">
      <c r="A773" s="7" t="str">
        <f>IFERROR(__xludf.DUMMYFUNCTION("""COMPUTED_VALUE"""),"https://www.method.me/blog/customer-data-management-software/")</f>
        <v>https://www.method.me/blog/customer-data-management-software/</v>
      </c>
      <c r="B773" s="1" t="str">
        <f>IFERROR(__xludf.DUMMYFUNCTION("""COMPUTED_VALUE"""),"Listicle - Software / Software overview")</f>
        <v>Listicle - Software / Software overview</v>
      </c>
      <c r="C773" s="1" t="str">
        <f>IFERROR(__xludf.DUMMYFUNCTION("""COMPUTED_VALUE"""),"Blog")</f>
        <v>Blog</v>
      </c>
      <c r="D773" s="1" t="str">
        <f>IFERROR(__xludf.DUMMYFUNCTION("""COMPUTED_VALUE"""),"Top 5 best customer data management software 2024")</f>
        <v>Top 5 best customer data management software 2024</v>
      </c>
      <c r="E773" s="12">
        <f>IFERROR(__xludf.DUMMYFUNCTION("""COMPUTED_VALUE"""),45254.673101851855)</f>
        <v>45254.6731</v>
      </c>
    </row>
    <row r="774">
      <c r="A774" s="7" t="str">
        <f>IFERROR(__xludf.DUMMYFUNCTION("""COMPUTED_VALUE"""),"https://www.method.me/blog/contractor-invoice-app/")</f>
        <v>https://www.method.me/blog/contractor-invoice-app/</v>
      </c>
      <c r="B774" s="1" t="str">
        <f>IFERROR(__xludf.DUMMYFUNCTION("""COMPUTED_VALUE"""),"Listicle - Software / Software overview")</f>
        <v>Listicle - Software / Software overview</v>
      </c>
      <c r="C774" s="1" t="str">
        <f>IFERROR(__xludf.DUMMYFUNCTION("""COMPUTED_VALUE"""),"Blog")</f>
        <v>Blog</v>
      </c>
      <c r="D774" s="1" t="str">
        <f>IFERROR(__xludf.DUMMYFUNCTION("""COMPUTED_VALUE"""),"Contractor invoicing app compared: A comprehensive guide")</f>
        <v>Contractor invoicing app compared: A comprehensive guide</v>
      </c>
      <c r="E774" s="12">
        <f>IFERROR(__xludf.DUMMYFUNCTION("""COMPUTED_VALUE"""),45254.67322916666)</f>
        <v>45254.67323</v>
      </c>
    </row>
    <row r="775">
      <c r="A775" s="7" t="str">
        <f>IFERROR(__xludf.DUMMYFUNCTION("""COMPUTED_VALUE"""),"https://www.method.me/blog/customer-management-app/")</f>
        <v>https://www.method.me/blog/customer-management-app/</v>
      </c>
      <c r="B775" s="1" t="str">
        <f>IFERROR(__xludf.DUMMYFUNCTION("""COMPUTED_VALUE"""),"Listicle - Software / Software overview")</f>
        <v>Listicle - Software / Software overview</v>
      </c>
      <c r="C775" s="1" t="str">
        <f>IFERROR(__xludf.DUMMYFUNCTION("""COMPUTED_VALUE"""),"Blog")</f>
        <v>Blog</v>
      </c>
      <c r="D775" s="1" t="str">
        <f>IFERROR(__xludf.DUMMYFUNCTION("""COMPUTED_VALUE"""),"Top 5 best customer management apps 2024")</f>
        <v>Top 5 best customer management apps 2024</v>
      </c>
      <c r="E775" s="12">
        <f>IFERROR(__xludf.DUMMYFUNCTION("""COMPUTED_VALUE"""),45254.6733912037)</f>
        <v>45254.67339</v>
      </c>
    </row>
    <row r="776">
      <c r="A776" s="7" t="str">
        <f>IFERROR(__xludf.DUMMYFUNCTION("""COMPUTED_VALUE"""),"https://www.method.me/blog/apps-that-integrate-with-quickbooks/")</f>
        <v>https://www.method.me/blog/apps-that-integrate-with-quickbooks/</v>
      </c>
      <c r="B776" s="1" t="str">
        <f>IFERROR(__xludf.DUMMYFUNCTION("""COMPUTED_VALUE"""),"Listicle - Software / Software overview")</f>
        <v>Listicle - Software / Software overview</v>
      </c>
      <c r="C776" s="1" t="str">
        <f>IFERROR(__xludf.DUMMYFUNCTION("""COMPUTED_VALUE"""),"Blog")</f>
        <v>Blog</v>
      </c>
      <c r="D776" s="1" t="str">
        <f>IFERROR(__xludf.DUMMYFUNCTION("""COMPUTED_VALUE"""),"Top 15 best apps for QuickBooks integration")</f>
        <v>Top 15 best apps for QuickBooks integration</v>
      </c>
      <c r="E776" s="12">
        <f>IFERROR(__xludf.DUMMYFUNCTION("""COMPUTED_VALUE"""),45254.673530092594)</f>
        <v>45254.67353</v>
      </c>
    </row>
    <row r="777">
      <c r="A777" s="7" t="str">
        <f>IFERROR(__xludf.DUMMYFUNCTION("""COMPUTED_VALUE"""),"https://www.method.me/blog/crm-software-integration/")</f>
        <v>https://www.method.me/blog/crm-software-integration/</v>
      </c>
      <c r="B777" s="1" t="str">
        <f>IFERROR(__xludf.DUMMYFUNCTION("""COMPUTED_VALUE"""),"CRM")</f>
        <v>CRM</v>
      </c>
      <c r="C777" s="1" t="str">
        <f>IFERROR(__xludf.DUMMYFUNCTION("""COMPUTED_VALUE"""),"Blog")</f>
        <v>Blog</v>
      </c>
      <c r="D777" s="1" t="str">
        <f>IFERROR(__xludf.DUMMYFUNCTION("""COMPUTED_VALUE"""),"What is CRM software integration? All you need to know")</f>
        <v>What is CRM software integration? All you need to know</v>
      </c>
      <c r="E777" s="12">
        <f>IFERROR(__xludf.DUMMYFUNCTION("""COMPUTED_VALUE"""),45254.67365740741)</f>
        <v>45254.67366</v>
      </c>
    </row>
    <row r="778">
      <c r="A778" s="7" t="str">
        <f>IFERROR(__xludf.DUMMYFUNCTION("""COMPUTED_VALUE"""),"https://www.method.me/blog/erp-software-companies/")</f>
        <v>https://www.method.me/blog/erp-software-companies/</v>
      </c>
      <c r="B778" s="1" t="str">
        <f>IFERROR(__xludf.DUMMYFUNCTION("""COMPUTED_VALUE"""),"Listicle - Software / Software overview")</f>
        <v>Listicle - Software / Software overview</v>
      </c>
      <c r="C778" s="1" t="str">
        <f>IFERROR(__xludf.DUMMYFUNCTION("""COMPUTED_VALUE"""),"Blog")</f>
        <v>Blog</v>
      </c>
      <c r="D778" s="1" t="str">
        <f>IFERROR(__xludf.DUMMYFUNCTION("""COMPUTED_VALUE"""),"Top best ERP software companies 2024")</f>
        <v>Top best ERP software companies 2024</v>
      </c>
      <c r="E778" s="12">
        <f>IFERROR(__xludf.DUMMYFUNCTION("""COMPUTED_VALUE"""),45254.673784722225)</f>
        <v>45254.67378</v>
      </c>
    </row>
    <row r="779">
      <c r="A779" s="7" t="str">
        <f>IFERROR(__xludf.DUMMYFUNCTION("""COMPUTED_VALUE"""),"https://www.method.me/blog/hvac-scheduling-software-quickbooks/")</f>
        <v>https://www.method.me/blog/hvac-scheduling-software-quickbooks/</v>
      </c>
      <c r="B779" s="1" t="str">
        <f>IFERROR(__xludf.DUMMYFUNCTION("""COMPUTED_VALUE"""),"Listicle - Software / Software overview")</f>
        <v>Listicle - Software / Software overview</v>
      </c>
      <c r="C779" s="1" t="str">
        <f>IFERROR(__xludf.DUMMYFUNCTION("""COMPUTED_VALUE"""),"Blog")</f>
        <v>Blog</v>
      </c>
      <c r="D779" s="1" t="str">
        <f>IFERROR(__xludf.DUMMYFUNCTION("""COMPUTED_VALUE"""),"Top 5 best HVAC scheduling software for QuickBooks")</f>
        <v>Top 5 best HVAC scheduling software for QuickBooks</v>
      </c>
      <c r="E779" s="12">
        <f>IFERROR(__xludf.DUMMYFUNCTION("""COMPUTED_VALUE"""),45254.67393518519)</f>
        <v>45254.67394</v>
      </c>
    </row>
    <row r="780">
      <c r="A780" s="7" t="str">
        <f>IFERROR(__xludf.DUMMYFUNCTION("""COMPUTED_VALUE"""),"https://www.method.me/blog/quickbooks-scheduling-software/")</f>
        <v>https://www.method.me/blog/quickbooks-scheduling-software/</v>
      </c>
      <c r="B780" s="1" t="str">
        <f>IFERROR(__xludf.DUMMYFUNCTION("""COMPUTED_VALUE"""),"Listicle - QuickBooks")</f>
        <v>Listicle - QuickBooks</v>
      </c>
      <c r="C780" s="1" t="str">
        <f>IFERROR(__xludf.DUMMYFUNCTION("""COMPUTED_VALUE"""),"Blog")</f>
        <v>Blog</v>
      </c>
      <c r="D780" s="1" t="str">
        <f>IFERROR(__xludf.DUMMYFUNCTION("""COMPUTED_VALUE"""),"Best QuickBooks scheduling software 2024")</f>
        <v>Best QuickBooks scheduling software 2024</v>
      </c>
      <c r="E780" s="12">
        <f>IFERROR(__xludf.DUMMYFUNCTION("""COMPUTED_VALUE"""),45254.67408564815)</f>
        <v>45254.67409</v>
      </c>
    </row>
    <row r="781">
      <c r="A781" s="7" t="str">
        <f>IFERROR(__xludf.DUMMYFUNCTION("""COMPUTED_VALUE"""),"https://www.method.me/blog/software-that-works-with-quickbooks/")</f>
        <v>https://www.method.me/blog/software-that-works-with-quickbooks/</v>
      </c>
      <c r="B781" s="1" t="str">
        <f>IFERROR(__xludf.DUMMYFUNCTION("""COMPUTED_VALUE"""),"Listicle - QuickBooks")</f>
        <v>Listicle - QuickBooks</v>
      </c>
      <c r="C781" s="1" t="str">
        <f>IFERROR(__xludf.DUMMYFUNCTION("""COMPUTED_VALUE"""),"Blog")</f>
        <v>Blog</v>
      </c>
      <c r="D781" s="1" t="str">
        <f>IFERROR(__xludf.DUMMYFUNCTION("""COMPUTED_VALUE"""),"Best software that works with QuickBooks — A comprehensive guide")</f>
        <v>Best software that works with QuickBooks — A comprehensive guide</v>
      </c>
      <c r="E781" s="12">
        <f>IFERROR(__xludf.DUMMYFUNCTION("""COMPUTED_VALUE"""),45254.674212962964)</f>
        <v>45254.67421</v>
      </c>
    </row>
    <row r="782">
      <c r="A782" s="7" t="str">
        <f>IFERROR(__xludf.DUMMYFUNCTION("""COMPUTED_VALUE"""),"https://www.method.me/blog/quickbooks-reporting-tools/")</f>
        <v>https://www.method.me/blog/quickbooks-reporting-tools/</v>
      </c>
      <c r="B782" s="1" t="str">
        <f>IFERROR(__xludf.DUMMYFUNCTION("""COMPUTED_VALUE"""),"QuickBooks - How-to")</f>
        <v>QuickBooks - How-to</v>
      </c>
      <c r="C782" s="1" t="str">
        <f>IFERROR(__xludf.DUMMYFUNCTION("""COMPUTED_VALUE"""),"Blog")</f>
        <v>Blog</v>
      </c>
      <c r="D782" s="1" t="str">
        <f>IFERROR(__xludf.DUMMYFUNCTION("""COMPUTED_VALUE"""),"All you need to know about QuickBooks reporting tools")</f>
        <v>All you need to know about QuickBooks reporting tools</v>
      </c>
      <c r="E782" s="12">
        <f>IFERROR(__xludf.DUMMYFUNCTION("""COMPUTED_VALUE"""),45254.6743287037)</f>
        <v>45254.67433</v>
      </c>
    </row>
    <row r="783">
      <c r="A783" s="7" t="str">
        <f>IFERROR(__xludf.DUMMYFUNCTION("""COMPUTED_VALUE"""),"https://www.method.me/blog/invoice-approval-software/")</f>
        <v>https://www.method.me/blog/invoice-approval-software/</v>
      </c>
      <c r="B783" s="1" t="str">
        <f>IFERROR(__xludf.DUMMYFUNCTION("""COMPUTED_VALUE"""),"Listicle - Software / Software overview")</f>
        <v>Listicle - Software / Software overview</v>
      </c>
      <c r="C783" s="1" t="str">
        <f>IFERROR(__xludf.DUMMYFUNCTION("""COMPUTED_VALUE"""),"Blog")</f>
        <v>Blog</v>
      </c>
      <c r="D783" s="1" t="str">
        <f>IFERROR(__xludf.DUMMYFUNCTION("""COMPUTED_VALUE"""),"Simple invoice approval software: Automating workflows")</f>
        <v>Simple invoice approval software: Automating workflows</v>
      </c>
      <c r="E783" s="12">
        <f>IFERROR(__xludf.DUMMYFUNCTION("""COMPUTED_VALUE"""),45254.675416666665)</f>
        <v>45254.67542</v>
      </c>
    </row>
    <row r="784">
      <c r="A784" s="7" t="str">
        <f>IFERROR(__xludf.DUMMYFUNCTION("""COMPUTED_VALUE"""),"https://www.method.me/blog/pool-service-software-quickbooks/")</f>
        <v>https://www.method.me/blog/pool-service-software-quickbooks/</v>
      </c>
      <c r="B784" s="1" t="str">
        <f>IFERROR(__xludf.DUMMYFUNCTION("""COMPUTED_VALUE"""),"Listicle - Software / Software overview")</f>
        <v>Listicle - Software / Software overview</v>
      </c>
      <c r="C784" s="1" t="str">
        <f>IFERROR(__xludf.DUMMYFUNCTION("""COMPUTED_VALUE"""),"Blog")</f>
        <v>Blog</v>
      </c>
      <c r="D784" s="1" t="str">
        <f>IFERROR(__xludf.DUMMYFUNCTION("""COMPUTED_VALUE"""),"The ultimate guide to pool service software QuickBooks")</f>
        <v>The ultimate guide to pool service software QuickBooks</v>
      </c>
      <c r="E784" s="12">
        <f>IFERROR(__xludf.DUMMYFUNCTION("""COMPUTED_VALUE"""),45254.67579861111)</f>
        <v>45254.6758</v>
      </c>
    </row>
    <row r="785">
      <c r="A785" s="7" t="str">
        <f>IFERROR(__xludf.DUMMYFUNCTION("""COMPUTED_VALUE"""),"https://www.method.me/blog/pest-control-software-quickbooks/")</f>
        <v>https://www.method.me/blog/pest-control-software-quickbooks/</v>
      </c>
      <c r="B785" s="1" t="str">
        <f>IFERROR(__xludf.DUMMYFUNCTION("""COMPUTED_VALUE"""),"Listicle - Software / Software overview")</f>
        <v>Listicle - Software / Software overview</v>
      </c>
      <c r="C785" s="1" t="str">
        <f>IFERROR(__xludf.DUMMYFUNCTION("""COMPUTED_VALUE"""),"Blog")</f>
        <v>Blog</v>
      </c>
      <c r="D785" s="1" t="str">
        <f>IFERROR(__xludf.DUMMYFUNCTION("""COMPUTED_VALUE"""),"Pest control software QuickBooks: An overview")</f>
        <v>Pest control software QuickBooks: An overview</v>
      </c>
      <c r="E785" s="12">
        <f>IFERROR(__xludf.DUMMYFUNCTION("""COMPUTED_VALUE"""),45254.67600694444)</f>
        <v>45254.67601</v>
      </c>
    </row>
    <row r="786">
      <c r="A786" s="7" t="str">
        <f>IFERROR(__xludf.DUMMYFUNCTION("""COMPUTED_VALUE"""),"https://www.method.me/blog/construction-contract-administration-software/")</f>
        <v>https://www.method.me/blog/construction-contract-administration-software/</v>
      </c>
      <c r="B786" s="1" t="str">
        <f>IFERROR(__xludf.DUMMYFUNCTION("""COMPUTED_VALUE"""),"Listicle - Software / Software overview")</f>
        <v>Listicle - Software / Software overview</v>
      </c>
      <c r="C786" s="1" t="str">
        <f>IFERROR(__xludf.DUMMYFUNCTION("""COMPUTED_VALUE"""),"Blog")</f>
        <v>Blog</v>
      </c>
      <c r="D786" s="1" t="str">
        <f>IFERROR(__xludf.DUMMYFUNCTION("""COMPUTED_VALUE"""),"Top best construction contract administration software")</f>
        <v>Top best construction contract administration software</v>
      </c>
      <c r="E786" s="12">
        <f>IFERROR(__xludf.DUMMYFUNCTION("""COMPUTED_VALUE"""),45254.67619212963)</f>
        <v>45254.67619</v>
      </c>
    </row>
    <row r="787">
      <c r="A787" s="7" t="str">
        <f>IFERROR(__xludf.DUMMYFUNCTION("""COMPUTED_VALUE"""),"https://www.method.me/blog/construction-scheduling-software-excel/")</f>
        <v>https://www.method.me/blog/construction-scheduling-software-excel/</v>
      </c>
      <c r="B787" s="1" t="str">
        <f>IFERROR(__xludf.DUMMYFUNCTION("""COMPUTED_VALUE"""),"General how-to")</f>
        <v>General how-to</v>
      </c>
      <c r="C787" s="1" t="str">
        <f>IFERROR(__xludf.DUMMYFUNCTION("""COMPUTED_VALUE"""),"Blog")</f>
        <v>Blog</v>
      </c>
      <c r="D787" s="1" t="str">
        <f>IFERROR(__xludf.DUMMYFUNCTION("""COMPUTED_VALUE"""),"Is there construction scheduling software for Excel? How to use it.")</f>
        <v>Is there construction scheduling software for Excel? How to use it.</v>
      </c>
      <c r="E787" s="12">
        <f>IFERROR(__xludf.DUMMYFUNCTION("""COMPUTED_VALUE"""),45254.67637731481)</f>
        <v>45254.67638</v>
      </c>
    </row>
    <row r="788">
      <c r="A788" s="7" t="str">
        <f>IFERROR(__xludf.DUMMYFUNCTION("""COMPUTED_VALUE"""),"https://www.method.me/blog/crm-app/")</f>
        <v>https://www.method.me/blog/crm-app/</v>
      </c>
      <c r="B788" s="1" t="str">
        <f>IFERROR(__xludf.DUMMYFUNCTION("""COMPUTED_VALUE"""),"Listicle - CRM")</f>
        <v>Listicle - CRM</v>
      </c>
      <c r="C788" s="1" t="str">
        <f>IFERROR(__xludf.DUMMYFUNCTION("""COMPUTED_VALUE"""),"Blog")</f>
        <v>Blog</v>
      </c>
      <c r="D788" s="1" t="str">
        <f>IFERROR(__xludf.DUMMYFUNCTION("""COMPUTED_VALUE"""),"Top 5 best CRM apps and why your small business needs it")</f>
        <v>Top 5 best CRM apps and why your small business needs it</v>
      </c>
      <c r="E788" s="12">
        <f>IFERROR(__xludf.DUMMYFUNCTION("""COMPUTED_VALUE"""),45254.676516203705)</f>
        <v>45254.67652</v>
      </c>
    </row>
    <row r="789">
      <c r="A789" s="7" t="str">
        <f>IFERROR(__xludf.DUMMYFUNCTION("""COMPUTED_VALUE"""),"https://www.method.me/blog/construction-resource-management-software/")</f>
        <v>https://www.method.me/blog/construction-resource-management-software/</v>
      </c>
      <c r="B789" s="1" t="str">
        <f>IFERROR(__xludf.DUMMYFUNCTION("""COMPUTED_VALUE"""),"Listicle - Software / Software overview")</f>
        <v>Listicle - Software / Software overview</v>
      </c>
      <c r="C789" s="1" t="str">
        <f>IFERROR(__xludf.DUMMYFUNCTION("""COMPUTED_VALUE"""),"Blog")</f>
        <v>Blog</v>
      </c>
      <c r="D789" s="1" t="str">
        <f>IFERROR(__xludf.DUMMYFUNCTION("""COMPUTED_VALUE"""),"Top 5 best construction resource management software systems 2024")</f>
        <v>Top 5 best construction resource management software systems 2024</v>
      </c>
      <c r="E789" s="12">
        <f>IFERROR(__xludf.DUMMYFUNCTION("""COMPUTED_VALUE"""),45254.676724537036)</f>
        <v>45254.67672</v>
      </c>
    </row>
    <row r="790">
      <c r="A790" s="7" t="str">
        <f>IFERROR(__xludf.DUMMYFUNCTION("""COMPUTED_VALUE"""),"https://www.method.me/blog/construction-crm-software/")</f>
        <v>https://www.method.me/blog/construction-crm-software/</v>
      </c>
      <c r="B790" s="1" t="str">
        <f>IFERROR(__xludf.DUMMYFUNCTION("""COMPUTED_VALUE"""),"Listicle - CRM")</f>
        <v>Listicle - CRM</v>
      </c>
      <c r="C790" s="1" t="str">
        <f>IFERROR(__xludf.DUMMYFUNCTION("""COMPUTED_VALUE"""),"Blog")</f>
        <v>Blog</v>
      </c>
      <c r="D790" s="1" t="str">
        <f>IFERROR(__xludf.DUMMYFUNCTION("""COMPUTED_VALUE"""),"What are the best construction CRM software 2024?")</f>
        <v>What are the best construction CRM software 2024?</v>
      </c>
      <c r="E790" s="12">
        <f>IFERROR(__xludf.DUMMYFUNCTION("""COMPUTED_VALUE"""),45254.676886574074)</f>
        <v>45254.67689</v>
      </c>
    </row>
    <row r="791">
      <c r="A791" s="7" t="str">
        <f>IFERROR(__xludf.DUMMYFUNCTION("""COMPUTED_VALUE"""),"https://www.method.me/blog/2023-year-in-review-methods-top-product-updates/")</f>
        <v>https://www.method.me/blog/2023-year-in-review-methods-top-product-updates/</v>
      </c>
      <c r="B791" s="1" t="str">
        <f>IFERROR(__xludf.DUMMYFUNCTION("""COMPUTED_VALUE"""),"Method - Product Updates")</f>
        <v>Method - Product Updates</v>
      </c>
      <c r="C791" s="1" t="str">
        <f>IFERROR(__xludf.DUMMYFUNCTION("""COMPUTED_VALUE"""),"Blog")</f>
        <v>Blog</v>
      </c>
      <c r="D791" s="1" t="str">
        <f>IFERROR(__xludf.DUMMYFUNCTION("""COMPUTED_VALUE"""),"2023 year in review: Method’s top product updates")</f>
        <v>2023 year in review: Method’s top product updates</v>
      </c>
      <c r="E791" s="12">
        <f>IFERROR(__xludf.DUMMYFUNCTION("""COMPUTED_VALUE"""),45261.4734837963)</f>
        <v>45261.47348</v>
      </c>
    </row>
    <row r="792">
      <c r="A792" s="7" t="str">
        <f>IFERROR(__xludf.DUMMYFUNCTION("""COMPUTED_VALUE"""),"https://www.method.me/blog/setting-up-pay-bills-in-quickbooks/")</f>
        <v>https://www.method.me/blog/setting-up-pay-bills-in-quickbooks/</v>
      </c>
      <c r="B792" s="1" t="str">
        <f>IFERROR(__xludf.DUMMYFUNCTION("""COMPUTED_VALUE"""),"QuickBooks - How-to")</f>
        <v>QuickBooks - How-to</v>
      </c>
      <c r="C792" s="1" t="str">
        <f>IFERROR(__xludf.DUMMYFUNCTION("""COMPUTED_VALUE"""),"Blog")</f>
        <v>Blog</v>
      </c>
      <c r="D792" s="1" t="str">
        <f>IFERROR(__xludf.DUMMYFUNCTION("""COMPUTED_VALUE"""),"Setting up pay bills in QuickBooks")</f>
        <v>Setting up pay bills in QuickBooks</v>
      </c>
      <c r="E792" s="12">
        <f>IFERROR(__xludf.DUMMYFUNCTION("""COMPUTED_VALUE"""),45267.38826388889)</f>
        <v>45267.38826</v>
      </c>
    </row>
    <row r="793">
      <c r="A793" s="7" t="str">
        <f>IFERROR(__xludf.DUMMYFUNCTION("""COMPUTED_VALUE"""),"https://www.method.me/videos/qb-2024-growth-webinar/")</f>
        <v>https://www.method.me/videos/qb-2024-growth-webinar/</v>
      </c>
      <c r="B793" s="1" t="str">
        <f>IFERROR(__xludf.DUMMYFUNCTION("""COMPUTED_VALUE"""),"Video page")</f>
        <v>Video page</v>
      </c>
      <c r="C793" s="1" t="str">
        <f>IFERROR(__xludf.DUMMYFUNCTION("""COMPUTED_VALUE"""),"Other page")</f>
        <v>Other page</v>
      </c>
      <c r="D793" s="1" t="str">
        <f>IFERROR(__xludf.DUMMYFUNCTION("""COMPUTED_VALUE"""),"Small business growth strategies for QuickBooks users in 2024")</f>
        <v>Small business growth strategies for QuickBooks users in 2024</v>
      </c>
      <c r="E793" s="12">
        <f>IFERROR(__xludf.DUMMYFUNCTION("""COMPUTED_VALUE"""),45272.623564814814)</f>
        <v>45272.62356</v>
      </c>
    </row>
    <row r="794">
      <c r="A794" s="7" t="str">
        <f>IFERROR(__xludf.DUMMYFUNCTION("""COMPUTED_VALUE"""),"https://www.method.me/blog/how-to-record-sales-tax-payments-in-quickbooks-online/")</f>
        <v>https://www.method.me/blog/how-to-record-sales-tax-payments-in-quickbooks-online/</v>
      </c>
      <c r="B794" s="1" t="str">
        <f>IFERROR(__xludf.DUMMYFUNCTION("""COMPUTED_VALUE"""),"QuickBooks - How-to")</f>
        <v>QuickBooks - How-to</v>
      </c>
      <c r="C794" s="1" t="str">
        <f>IFERROR(__xludf.DUMMYFUNCTION("""COMPUTED_VALUE"""),"Blog")</f>
        <v>Blog</v>
      </c>
      <c r="D794" s="1" t="str">
        <f>IFERROR(__xludf.DUMMYFUNCTION("""COMPUTED_VALUE"""),"How to record sales tax payments in QuickBooks Online")</f>
        <v>How to record sales tax payments in QuickBooks Online</v>
      </c>
      <c r="E794" s="12">
        <f>IFERROR(__xludf.DUMMYFUNCTION("""COMPUTED_VALUE"""),45274.62358796296)</f>
        <v>45274.62359</v>
      </c>
    </row>
    <row r="795">
      <c r="A795" s="7" t="str">
        <f>IFERROR(__xludf.DUMMYFUNCTION("""COMPUTED_VALUE"""),"https://www.method.me/blog/how-to-categorize-credit-card-payments-in-quickbooks/")</f>
        <v>https://www.method.me/blog/how-to-categorize-credit-card-payments-in-quickbooks/</v>
      </c>
      <c r="B795" s="1" t="str">
        <f>IFERROR(__xludf.DUMMYFUNCTION("""COMPUTED_VALUE"""),"QuickBooks - How-to")</f>
        <v>QuickBooks - How-to</v>
      </c>
      <c r="C795" s="1" t="str">
        <f>IFERROR(__xludf.DUMMYFUNCTION("""COMPUTED_VALUE"""),"Blog")</f>
        <v>Blog</v>
      </c>
      <c r="D795" s="1" t="str">
        <f>IFERROR(__xludf.DUMMYFUNCTION("""COMPUTED_VALUE"""),"How to categorize credit card payments in QuickBooks")</f>
        <v>How to categorize credit card payments in QuickBooks</v>
      </c>
      <c r="E795" s="12">
        <f>IFERROR(__xludf.DUMMYFUNCTION("""COMPUTED_VALUE"""),45281.35895833333)</f>
        <v>45281.35896</v>
      </c>
    </row>
    <row r="796">
      <c r="A796" s="7" t="str">
        <f>IFERROR(__xludf.DUMMYFUNCTION("""COMPUTED_VALUE"""),"https://www.method.me/blog/how-to-receive-payments-in-quickbooks-online/")</f>
        <v>https://www.method.me/blog/how-to-receive-payments-in-quickbooks-online/</v>
      </c>
      <c r="B796" s="1" t="str">
        <f>IFERROR(__xludf.DUMMYFUNCTION("""COMPUTED_VALUE"""),"QuickBooks - How-to")</f>
        <v>QuickBooks - How-to</v>
      </c>
      <c r="C796" s="1" t="str">
        <f>IFERROR(__xludf.DUMMYFUNCTION("""COMPUTED_VALUE"""),"Blog")</f>
        <v>Blog</v>
      </c>
      <c r="D796" s="1" t="str">
        <f>IFERROR(__xludf.DUMMYFUNCTION("""COMPUTED_VALUE"""),"How to receive payments in QuickBooks Online")</f>
        <v>How to receive payments in QuickBooks Online</v>
      </c>
      <c r="E796" s="12">
        <f>IFERROR(__xludf.DUMMYFUNCTION("""COMPUTED_VALUE"""),45288.38023148148)</f>
        <v>45288.38023</v>
      </c>
    </row>
    <row r="797">
      <c r="A797" s="7" t="str">
        <f>IFERROR(__xludf.DUMMYFUNCTION("""COMPUTED_VALUE"""),"https://www.method.me/blog/allow-partial-payment-on-invoice-quickbooks/")</f>
        <v>https://www.method.me/blog/allow-partial-payment-on-invoice-quickbooks/</v>
      </c>
      <c r="B797" s="1" t="str">
        <f>IFERROR(__xludf.DUMMYFUNCTION("""COMPUTED_VALUE"""),"QuickBooks - How-to")</f>
        <v>QuickBooks - How-to</v>
      </c>
      <c r="C797" s="1" t="str">
        <f>IFERROR(__xludf.DUMMYFUNCTION("""COMPUTED_VALUE"""),"Blog")</f>
        <v>Blog</v>
      </c>
      <c r="D797" s="1" t="str">
        <f>IFERROR(__xludf.DUMMYFUNCTION("""COMPUTED_VALUE"""),"How to allow partial payment on invoices in QuickBooks")</f>
        <v>How to allow partial payment on invoices in QuickBooks</v>
      </c>
      <c r="E797" s="12">
        <f>IFERROR(__xludf.DUMMYFUNCTION("""COMPUTED_VALUE"""),45293.623761574076)</f>
        <v>45293.62376</v>
      </c>
    </row>
    <row r="798">
      <c r="A798" s="7" t="str">
        <f>IFERROR(__xludf.DUMMYFUNCTION("""COMPUTED_VALUE"""),"https://www.method.me/videos/quickbooks-online-trends-2024/")</f>
        <v>https://www.method.me/videos/quickbooks-online-trends-2024/</v>
      </c>
      <c r="B798" s="1" t="str">
        <f>IFERROR(__xludf.DUMMYFUNCTION("""COMPUTED_VALUE"""),"Video page")</f>
        <v>Video page</v>
      </c>
      <c r="C798" s="1" t="str">
        <f>IFERROR(__xludf.DUMMYFUNCTION("""COMPUTED_VALUE"""),"Other page")</f>
        <v>Other page</v>
      </c>
      <c r="D798" s="1" t="str">
        <f>IFERROR(__xludf.DUMMYFUNCTION("""COMPUTED_VALUE"""),"Accounting trends for QuickBooks Online in 2024")</f>
        <v>Accounting trends for QuickBooks Online in 2024</v>
      </c>
      <c r="E798" s="12">
        <f>IFERROR(__xludf.DUMMYFUNCTION("""COMPUTED_VALUE"""),45300.70622685185)</f>
        <v>45300.70623</v>
      </c>
    </row>
    <row r="799">
      <c r="A799" s="7" t="str">
        <f>IFERROR(__xludf.DUMMYFUNCTION("""COMPUTED_VALUE"""),"https://www.method.me/blog/how-to-pay-vendors-in-quickbooks-online/")</f>
        <v>https://www.method.me/blog/how-to-pay-vendors-in-quickbooks-online/</v>
      </c>
      <c r="B799" s="1" t="str">
        <f>IFERROR(__xludf.DUMMYFUNCTION("""COMPUTED_VALUE"""),"QuickBooks - How-to")</f>
        <v>QuickBooks - How-to</v>
      </c>
      <c r="C799" s="1" t="str">
        <f>IFERROR(__xludf.DUMMYFUNCTION("""COMPUTED_VALUE"""),"Blog")</f>
        <v>Blog</v>
      </c>
      <c r="D799" s="1" t="str">
        <f>IFERROR(__xludf.DUMMYFUNCTION("""COMPUTED_VALUE"""),"How to pay vendors in QuickBooks Online")</f>
        <v>How to pay vendors in QuickBooks Online</v>
      </c>
      <c r="E799" s="12">
        <f>IFERROR(__xludf.DUMMYFUNCTION("""COMPUTED_VALUE"""),45301.68917824074)</f>
        <v>45301.68918</v>
      </c>
    </row>
    <row r="800">
      <c r="A800" s="7" t="str">
        <f>IFERROR(__xludf.DUMMYFUNCTION("""COMPUTED_VALUE"""),"https://www.method.me/blog/how-to-record-credit-card-payments-in-quickbooks/")</f>
        <v>https://www.method.me/blog/how-to-record-credit-card-payments-in-quickbooks/</v>
      </c>
      <c r="B800" s="1" t="str">
        <f>IFERROR(__xludf.DUMMYFUNCTION("""COMPUTED_VALUE"""),"QuickBooks - How-to")</f>
        <v>QuickBooks - How-to</v>
      </c>
      <c r="C800" s="1" t="str">
        <f>IFERROR(__xludf.DUMMYFUNCTION("""COMPUTED_VALUE"""),"Blog")</f>
        <v>Blog</v>
      </c>
      <c r="D800" s="1" t="str">
        <f>IFERROR(__xludf.DUMMYFUNCTION("""COMPUTED_VALUE"""),"How to record credit card payments in QuickBooks")</f>
        <v>How to record credit card payments in QuickBooks</v>
      </c>
      <c r="E800" s="12">
        <f>IFERROR(__xludf.DUMMYFUNCTION("""COMPUTED_VALUE"""),45307.69960648148)</f>
        <v>45307.69961</v>
      </c>
    </row>
    <row r="801">
      <c r="A801" s="7" t="str">
        <f>IFERROR(__xludf.DUMMYFUNCTION("""COMPUTED_VALUE"""),"https://www.method.me/blog/how-to-record-credit-card-payments-in-quickbooks-desktop/")</f>
        <v>https://www.method.me/blog/how-to-record-credit-card-payments-in-quickbooks-desktop/</v>
      </c>
      <c r="B801" s="1" t="str">
        <f>IFERROR(__xludf.DUMMYFUNCTION("""COMPUTED_VALUE"""),"QuickBooks - How-to")</f>
        <v>QuickBooks - How-to</v>
      </c>
      <c r="C801" s="1" t="str">
        <f>IFERROR(__xludf.DUMMYFUNCTION("""COMPUTED_VALUE"""),"Blog")</f>
        <v>Blog</v>
      </c>
      <c r="D801" s="1" t="str">
        <f>IFERROR(__xludf.DUMMYFUNCTION("""COMPUTED_VALUE"""),"How to record credit card payments in QuickBooks Desktop")</f>
        <v>How to record credit card payments in QuickBooks Desktop</v>
      </c>
      <c r="E801" s="12">
        <f>IFERROR(__xludf.DUMMYFUNCTION("""COMPUTED_VALUE"""),45308.44540509259)</f>
        <v>45308.44541</v>
      </c>
    </row>
    <row r="802">
      <c r="A802" s="7" t="str">
        <f>IFERROR(__xludf.DUMMYFUNCTION("""COMPUTED_VALUE"""),"https://www.method.me/blog/quickbooks-online-payments-fees/")</f>
        <v>https://www.method.me/blog/quickbooks-online-payments-fees/</v>
      </c>
      <c r="B802" s="1" t="str">
        <f>IFERROR(__xludf.DUMMYFUNCTION("""COMPUTED_VALUE"""),"QuickBooks - How-to")</f>
        <v>QuickBooks - How-to</v>
      </c>
      <c r="C802" s="1" t="str">
        <f>IFERROR(__xludf.DUMMYFUNCTION("""COMPUTED_VALUE"""),"Blog")</f>
        <v>Blog</v>
      </c>
      <c r="D802" s="1" t="str">
        <f>IFERROR(__xludf.DUMMYFUNCTION("""COMPUTED_VALUE"""),"QuickBooks Online payment fees: What you need to know")</f>
        <v>QuickBooks Online payment fees: What you need to know</v>
      </c>
      <c r="E802" s="12">
        <f>IFERROR(__xludf.DUMMYFUNCTION("""COMPUTED_VALUE"""),45314.402094907404)</f>
        <v>45314.40209</v>
      </c>
    </row>
    <row r="803">
      <c r="A803" s="7" t="str">
        <f>IFERROR(__xludf.DUMMYFUNCTION("""COMPUTED_VALUE"""),"https://www.method.me/resources/compare-service-fusion-vs-method-guide-making-right-choice/")</f>
        <v>https://www.method.me/resources/compare-service-fusion-vs-method-guide-making-right-choice/</v>
      </c>
      <c r="B803" s="1" t="str">
        <f>IFERROR(__xludf.DUMMYFUNCTION("""COMPUTED_VALUE"""),"Method - Competitor Comparison")</f>
        <v>Method - Competitor Comparison</v>
      </c>
      <c r="C803" s="1" t="str">
        <f>IFERROR(__xludf.DUMMYFUNCTION("""COMPUTED_VALUE"""),"Guide")</f>
        <v>Guide</v>
      </c>
      <c r="D803" s="1" t="str">
        <f>IFERROR(__xludf.DUMMYFUNCTION("""COMPUTED_VALUE"""),"Service Fusion vs. Method:Field Services comparison – Which one is better?")</f>
        <v>Service Fusion vs. Method:Field Services comparison – Which one is better?</v>
      </c>
      <c r="E803" s="12">
        <f>IFERROR(__xludf.DUMMYFUNCTION("""COMPUTED_VALUE"""),45315.61997685185)</f>
        <v>45315.61998</v>
      </c>
    </row>
    <row r="804">
      <c r="A804" s="7" t="str">
        <f>IFERROR(__xludf.DUMMYFUNCTION("""COMPUTED_VALUE"""),"https://www.method.me/blog/process-ach-payments-quickbooks-online/")</f>
        <v>https://www.method.me/blog/process-ach-payments-quickbooks-online/</v>
      </c>
      <c r="B804" s="1" t="str">
        <f>IFERROR(__xludf.DUMMYFUNCTION("""COMPUTED_VALUE"""),"QuickBooks - How-to")</f>
        <v>QuickBooks - How-to</v>
      </c>
      <c r="C804" s="1" t="str">
        <f>IFERROR(__xludf.DUMMYFUNCTION("""COMPUTED_VALUE"""),"Blog")</f>
        <v>Blog</v>
      </c>
      <c r="D804" s="1" t="str">
        <f>IFERROR(__xludf.DUMMYFUNCTION("""COMPUTED_VALUE"""),"How to process ACH payments in QuickBooks Online")</f>
        <v>How to process ACH payments in QuickBooks Online</v>
      </c>
      <c r="E804" s="12">
        <f>IFERROR(__xludf.DUMMYFUNCTION("""COMPUTED_VALUE"""),45316.44212962963)</f>
        <v>45316.44213</v>
      </c>
    </row>
    <row r="805">
      <c r="A805" s="7" t="str">
        <f>IFERROR(__xludf.DUMMYFUNCTION("""COMPUTED_VALUE"""),"https://www.method.me/resources/compare-fieldedge-vs-method-deciphering-best-for-field-services/")</f>
        <v>https://www.method.me/resources/compare-fieldedge-vs-method-deciphering-best-for-field-services/</v>
      </c>
      <c r="B805" s="1" t="str">
        <f>IFERROR(__xludf.DUMMYFUNCTION("""COMPUTED_VALUE"""),"Method - Competitor Comparison")</f>
        <v>Method - Competitor Comparison</v>
      </c>
      <c r="C805" s="1" t="str">
        <f>IFERROR(__xludf.DUMMYFUNCTION("""COMPUTED_VALUE"""),"Guide")</f>
        <v>Guide</v>
      </c>
      <c r="D805" s="1" t="str">
        <f>IFERROR(__xludf.DUMMYFUNCTION("""COMPUTED_VALUE"""),"FieldEdge vs. Method:Field Services comparison – Which one is better?")</f>
        <v>FieldEdge vs. Method:Field Services comparison – Which one is better?</v>
      </c>
      <c r="E805" s="12">
        <f>IFERROR(__xludf.DUMMYFUNCTION("""COMPUTED_VALUE"""),45316.45898148148)</f>
        <v>45316.45898</v>
      </c>
    </row>
    <row r="806">
      <c r="A806" s="7" t="str">
        <f>IFERROR(__xludf.DUMMYFUNCTION("""COMPUTED_VALUE"""),"https://www.method.me/resources/compare-housecall-pro-vs-method-side-by-side-analysis/")</f>
        <v>https://www.method.me/resources/compare-housecall-pro-vs-method-side-by-side-analysis/</v>
      </c>
      <c r="B806" s="1" t="str">
        <f>IFERROR(__xludf.DUMMYFUNCTION("""COMPUTED_VALUE"""),"Method - Competitor Comparison")</f>
        <v>Method - Competitor Comparison</v>
      </c>
      <c r="C806" s="1" t="str">
        <f>IFERROR(__xludf.DUMMYFUNCTION("""COMPUTED_VALUE"""),"Guide")</f>
        <v>Guide</v>
      </c>
      <c r="D806" s="1" t="str">
        <f>IFERROR(__xludf.DUMMYFUNCTION("""COMPUTED_VALUE"""),"Housecall Pro vs. Method:Field Services comparison – Which one is better?")</f>
        <v>Housecall Pro vs. Method:Field Services comparison – Which one is better?</v>
      </c>
      <c r="E806" s="12">
        <f>IFERROR(__xludf.DUMMYFUNCTION("""COMPUTED_VALUE"""),45316.460173611114)</f>
        <v>45316.46017</v>
      </c>
    </row>
    <row r="807">
      <c r="A807" s="7" t="str">
        <f>IFERROR(__xludf.DUMMYFUNCTION("""COMPUTED_VALUE"""),"https://www.method.me/resources/compare-kickserv-vs-method-go-to-guide-for-decision-makers/")</f>
        <v>https://www.method.me/resources/compare-kickserv-vs-method-go-to-guide-for-decision-makers/</v>
      </c>
      <c r="B807" s="1" t="str">
        <f>IFERROR(__xludf.DUMMYFUNCTION("""COMPUTED_VALUE"""),"Method - Competitor Comparison")</f>
        <v>Method - Competitor Comparison</v>
      </c>
      <c r="C807" s="1" t="str">
        <f>IFERROR(__xludf.DUMMYFUNCTION("""COMPUTED_VALUE"""),"Guide")</f>
        <v>Guide</v>
      </c>
      <c r="D807" s="1" t="str">
        <f>IFERROR(__xludf.DUMMYFUNCTION("""COMPUTED_VALUE"""),"Kickserv Vs. Method:Field Services comparison – Which one is better")</f>
        <v>Kickserv Vs. Method:Field Services comparison – Which one is better</v>
      </c>
      <c r="E807" s="12">
        <f>IFERROR(__xludf.DUMMYFUNCTION("""COMPUTED_VALUE"""),45316.465104166666)</f>
        <v>45316.4651</v>
      </c>
    </row>
    <row r="808">
      <c r="A808" s="7" t="str">
        <f>IFERROR(__xludf.DUMMYFUNCTION("""COMPUTED_VALUE"""),"https://www.method.me/resources/compare-servicetitan-vs-method-which-suits-your-business-needs/")</f>
        <v>https://www.method.me/resources/compare-servicetitan-vs-method-which-suits-your-business-needs/</v>
      </c>
      <c r="B808" s="1" t="str">
        <f>IFERROR(__xludf.DUMMYFUNCTION("""COMPUTED_VALUE"""),"Method - Competitor Comparison")</f>
        <v>Method - Competitor Comparison</v>
      </c>
      <c r="C808" s="1" t="str">
        <f>IFERROR(__xludf.DUMMYFUNCTION("""COMPUTED_VALUE"""),"Guide")</f>
        <v>Guide</v>
      </c>
      <c r="D808" s="1" t="str">
        <f>IFERROR(__xludf.DUMMYFUNCTION("""COMPUTED_VALUE"""),"ServiceTitan vs. Method:Field Services comparison – Which one is better?")</f>
        <v>ServiceTitan vs. Method:Field Services comparison – Which one is better?</v>
      </c>
      <c r="E808" s="12">
        <f>IFERROR(__xludf.DUMMYFUNCTION("""COMPUTED_VALUE"""),45316.46565972222)</f>
        <v>45316.46566</v>
      </c>
    </row>
    <row r="809">
      <c r="A809" s="7" t="str">
        <f>IFERROR(__xludf.DUMMYFUNCTION("""COMPUTED_VALUE"""),"https://www.method.me/blog/can-quickbooks-handle-multiple-companies/")</f>
        <v>https://www.method.me/blog/can-quickbooks-handle-multiple-companies/</v>
      </c>
      <c r="B809" s="1" t="str">
        <f>IFERROR(__xludf.DUMMYFUNCTION("""COMPUTED_VALUE"""),"QuickBooks - General")</f>
        <v>QuickBooks - General</v>
      </c>
      <c r="C809" s="1" t="str">
        <f>IFERROR(__xludf.DUMMYFUNCTION("""COMPUTED_VALUE"""),"Blog")</f>
        <v>Blog</v>
      </c>
      <c r="D809" s="1" t="str">
        <f>IFERROR(__xludf.DUMMYFUNCTION("""COMPUTED_VALUE"""),"Can QuickBooks handle multiple companies?")</f>
        <v>Can QuickBooks handle multiple companies?</v>
      </c>
      <c r="E809" s="12">
        <f>IFERROR(__xludf.DUMMYFUNCTION("""COMPUTED_VALUE"""),45317.41201388889)</f>
        <v>45317.41201</v>
      </c>
    </row>
    <row r="810">
      <c r="A810" s="7" t="str">
        <f>IFERROR(__xludf.DUMMYFUNCTION("""COMPUTED_VALUE"""),"https://www.method.me/blog/can-quickbooks-replace-an-accountant/")</f>
        <v>https://www.method.me/blog/can-quickbooks-replace-an-accountant/</v>
      </c>
      <c r="B810" s="1" t="str">
        <f>IFERROR(__xludf.DUMMYFUNCTION("""COMPUTED_VALUE"""),"QuickBooks - General")</f>
        <v>QuickBooks - General</v>
      </c>
      <c r="C810" s="1" t="str">
        <f>IFERROR(__xludf.DUMMYFUNCTION("""COMPUTED_VALUE"""),"Blog")</f>
        <v>Blog</v>
      </c>
      <c r="D810" s="1" t="str">
        <f>IFERROR(__xludf.DUMMYFUNCTION("""COMPUTED_VALUE"""),"Can QuickBooks replace an accountant? All you need to know")</f>
        <v>Can QuickBooks replace an accountant? All you need to know</v>
      </c>
      <c r="E810" s="12">
        <f>IFERROR(__xludf.DUMMYFUNCTION("""COMPUTED_VALUE"""),45317.47209490741)</f>
        <v>45317.47209</v>
      </c>
    </row>
    <row r="811">
      <c r="A811" s="7" t="str">
        <f>IFERROR(__xludf.DUMMYFUNCTION("""COMPUTED_VALUE"""),"https://www.method.me/blog/does-google-have-a-free-crm/")</f>
        <v>https://www.method.me/blog/does-google-have-a-free-crm/</v>
      </c>
      <c r="B811" s="1" t="str">
        <f>IFERROR(__xludf.DUMMYFUNCTION("""COMPUTED_VALUE"""),"Listicle - CRM")</f>
        <v>Listicle - CRM</v>
      </c>
      <c r="C811" s="1" t="str">
        <f>IFERROR(__xludf.DUMMYFUNCTION("""COMPUTED_VALUE"""),"Blog")</f>
        <v>Blog</v>
      </c>
      <c r="D811" s="1" t="str">
        <f>IFERROR(__xludf.DUMMYFUNCTION("""COMPUTED_VALUE"""),"Does Google have a free CRM? Best CRMs for Google users")</f>
        <v>Does Google have a free CRM? Best CRMs for Google users</v>
      </c>
      <c r="E811" s="12">
        <f>IFERROR(__xludf.DUMMYFUNCTION("""COMPUTED_VALUE"""),45317.47222222222)</f>
        <v>45317.47222</v>
      </c>
    </row>
    <row r="812">
      <c r="A812" s="7" t="str">
        <f>IFERROR(__xludf.DUMMYFUNCTION("""COMPUTED_VALUE"""),"https://www.method.me/blog/how-much-does-crm-cost/")</f>
        <v>https://www.method.me/blog/how-much-does-crm-cost/</v>
      </c>
      <c r="B812" s="1" t="str">
        <f>IFERROR(__xludf.DUMMYFUNCTION("""COMPUTED_VALUE"""),"CRM")</f>
        <v>CRM</v>
      </c>
      <c r="C812" s="1" t="str">
        <f>IFERROR(__xludf.DUMMYFUNCTION("""COMPUTED_VALUE"""),"Blog")</f>
        <v>Blog</v>
      </c>
      <c r="D812" s="1" t="str">
        <f>IFERROR(__xludf.DUMMYFUNCTION("""COMPUTED_VALUE"""),"How much does CRM cost – CRM pricing comparison guide")</f>
        <v>How much does CRM cost – CRM pricing comparison guide</v>
      </c>
      <c r="E812" s="12">
        <f>IFERROR(__xludf.DUMMYFUNCTION("""COMPUTED_VALUE"""),45317.472337962965)</f>
        <v>45317.47234</v>
      </c>
    </row>
    <row r="813">
      <c r="A813" s="7" t="str">
        <f>IFERROR(__xludf.DUMMYFUNCTION("""COMPUTED_VALUE"""),"https://www.method.me/blog/how-much-does-quickbooks-cost-per-year/")</f>
        <v>https://www.method.me/blog/how-much-does-quickbooks-cost-per-year/</v>
      </c>
      <c r="B813" s="1" t="str">
        <f>IFERROR(__xludf.DUMMYFUNCTION("""COMPUTED_VALUE"""),"QuickBooks - General")</f>
        <v>QuickBooks - General</v>
      </c>
      <c r="C813" s="1" t="str">
        <f>IFERROR(__xludf.DUMMYFUNCTION("""COMPUTED_VALUE"""),"Blog")</f>
        <v>Blog</v>
      </c>
      <c r="D813" s="1" t="str">
        <f>IFERROR(__xludf.DUMMYFUNCTION("""COMPUTED_VALUE"""),"How much does QuickBooks cost per year? QuickBooks pricing guide")</f>
        <v>How much does QuickBooks cost per year? QuickBooks pricing guide</v>
      </c>
      <c r="E813" s="12">
        <f>IFERROR(__xludf.DUMMYFUNCTION("""COMPUTED_VALUE"""),45317.47244212963)</f>
        <v>45317.47244</v>
      </c>
    </row>
    <row r="814">
      <c r="A814" s="7" t="str">
        <f>IFERROR(__xludf.DUMMYFUNCTION("""COMPUTED_VALUE"""),"https://www.method.me/blog/how-to-keep-track-of-inventory/")</f>
        <v>https://www.method.me/blog/how-to-keep-track-of-inventory/</v>
      </c>
      <c r="B814" s="1" t="str">
        <f>IFERROR(__xludf.DUMMYFUNCTION("""COMPUTED_VALUE"""),"General how-to")</f>
        <v>General how-to</v>
      </c>
      <c r="C814" s="1" t="str">
        <f>IFERROR(__xludf.DUMMYFUNCTION("""COMPUTED_VALUE"""),"Blog")</f>
        <v>Blog</v>
      </c>
      <c r="D814" s="1" t="str">
        <f>IFERROR(__xludf.DUMMYFUNCTION("""COMPUTED_VALUE"""),"How to keep track of inventory: A beginner’s guide")</f>
        <v>How to keep track of inventory: A beginner’s guide</v>
      </c>
      <c r="E814" s="12">
        <f>IFERROR(__xludf.DUMMYFUNCTION("""COMPUTED_VALUE"""),45317.472592592596)</f>
        <v>45317.47259</v>
      </c>
    </row>
    <row r="815">
      <c r="A815" s="7" t="str">
        <f>IFERROR(__xludf.DUMMYFUNCTION("""COMPUTED_VALUE"""),"https://www.method.me/blog/is-quickbooks-an-accounting-system/")</f>
        <v>https://www.method.me/blog/is-quickbooks-an-accounting-system/</v>
      </c>
      <c r="B815" s="1" t="str">
        <f>IFERROR(__xludf.DUMMYFUNCTION("""COMPUTED_VALUE"""),"QuickBooks - General")</f>
        <v>QuickBooks - General</v>
      </c>
      <c r="C815" s="1" t="str">
        <f>IFERROR(__xludf.DUMMYFUNCTION("""COMPUTED_VALUE"""),"Blog")</f>
        <v>Blog</v>
      </c>
      <c r="D815" s="1" t="str">
        <f>IFERROR(__xludf.DUMMYFUNCTION("""COMPUTED_VALUE"""),"Is QuickBooks an accounting system? – QuickBooks review")</f>
        <v>Is QuickBooks an accounting system? – QuickBooks review</v>
      </c>
      <c r="E815" s="12">
        <f>IFERROR(__xludf.DUMMYFUNCTION("""COMPUTED_VALUE"""),45317.472916666666)</f>
        <v>45317.47292</v>
      </c>
    </row>
    <row r="816">
      <c r="A816" s="7" t="str">
        <f>IFERROR(__xludf.DUMMYFUNCTION("""COMPUTED_VALUE"""),"https://www.method.me/blog/is-quickbooks-an-erp-system/")</f>
        <v>https://www.method.me/blog/is-quickbooks-an-erp-system/</v>
      </c>
      <c r="B816" s="1" t="str">
        <f>IFERROR(__xludf.DUMMYFUNCTION("""COMPUTED_VALUE"""),"QuickBooks - General")</f>
        <v>QuickBooks - General</v>
      </c>
      <c r="C816" s="1" t="str">
        <f>IFERROR(__xludf.DUMMYFUNCTION("""COMPUTED_VALUE"""),"Blog")</f>
        <v>Blog</v>
      </c>
      <c r="D816" s="1" t="str">
        <f>IFERROR(__xludf.DUMMYFUNCTION("""COMPUTED_VALUE"""),"Is QuickBooks an ERP system? QuickBooks vs. ERP")</f>
        <v>Is QuickBooks an ERP system? QuickBooks vs. ERP</v>
      </c>
      <c r="E816" s="12">
        <f>IFERROR(__xludf.DUMMYFUNCTION("""COMPUTED_VALUE"""),45317.47310185185)</f>
        <v>45317.4731</v>
      </c>
    </row>
    <row r="817">
      <c r="A817" s="7" t="str">
        <f>IFERROR(__xludf.DUMMYFUNCTION("""COMPUTED_VALUE"""),"https://www.method.me/blog/is-quickbooks-easy-to-learn/")</f>
        <v>https://www.method.me/blog/is-quickbooks-easy-to-learn/</v>
      </c>
      <c r="B817" s="1" t="str">
        <f>IFERROR(__xludf.DUMMYFUNCTION("""COMPUTED_VALUE"""),"QuickBooks - General")</f>
        <v>QuickBooks - General</v>
      </c>
      <c r="C817" s="1" t="str">
        <f>IFERROR(__xludf.DUMMYFUNCTION("""COMPUTED_VALUE"""),"Blog")</f>
        <v>Blog</v>
      </c>
      <c r="D817" s="1" t="str">
        <f>IFERROR(__xludf.DUMMYFUNCTION("""COMPUTED_VALUE"""),"Is QuickBooks easy to learn? Effective ways to learn QuickBooks")</f>
        <v>Is QuickBooks easy to learn? Effective ways to learn QuickBooks</v>
      </c>
      <c r="E817" s="12">
        <f>IFERROR(__xludf.DUMMYFUNCTION("""COMPUTED_VALUE"""),45317.47332175926)</f>
        <v>45317.47332</v>
      </c>
    </row>
    <row r="818">
      <c r="A818" s="7" t="str">
        <f>IFERROR(__xludf.DUMMYFUNCTION("""COMPUTED_VALUE"""),"https://www.method.me/blog/is-quickbooks-enterprise-cloud-based/")</f>
        <v>https://www.method.me/blog/is-quickbooks-enterprise-cloud-based/</v>
      </c>
      <c r="B818" s="1" t="str">
        <f>IFERROR(__xludf.DUMMYFUNCTION("""COMPUTED_VALUE"""),"QuickBooks - General")</f>
        <v>QuickBooks - General</v>
      </c>
      <c r="C818" s="1" t="str">
        <f>IFERROR(__xludf.DUMMYFUNCTION("""COMPUTED_VALUE"""),"Blog")</f>
        <v>Blog</v>
      </c>
      <c r="D818" s="1" t="str">
        <f>IFERROR(__xludf.DUMMYFUNCTION("""COMPUTED_VALUE"""),"Is QuickBooks Enterprise cloud-based? All you need to know")</f>
        <v>Is QuickBooks Enterprise cloud-based? All you need to know</v>
      </c>
      <c r="E818" s="12">
        <f>IFERROR(__xludf.DUMMYFUNCTION("""COMPUTED_VALUE"""),45317.473495370374)</f>
        <v>45317.4735</v>
      </c>
    </row>
    <row r="819">
      <c r="A819" s="7" t="str">
        <f>IFERROR(__xludf.DUMMYFUNCTION("""COMPUTED_VALUE"""),"https://www.method.me/blog/is-hubspot-better-than-salesforce/")</f>
        <v>https://www.method.me/blog/is-hubspot-better-than-salesforce/</v>
      </c>
      <c r="B819" s="1" t="str">
        <f>IFERROR(__xludf.DUMMYFUNCTION("""COMPUTED_VALUE"""),"Method - Competitor Comparison")</f>
        <v>Method - Competitor Comparison</v>
      </c>
      <c r="C819" s="1" t="str">
        <f>IFERROR(__xludf.DUMMYFUNCTION("""COMPUTED_VALUE"""),"Blog")</f>
        <v>Blog</v>
      </c>
      <c r="D819" s="1" t="str">
        <f>IFERROR(__xludf.DUMMYFUNCTION("""COMPUTED_VALUE"""),"HubSpot vs. Salesforce: Is HubSpot better than Salesforce?")</f>
        <v>HubSpot vs. Salesforce: Is HubSpot better than Salesforce?</v>
      </c>
      <c r="E819" s="12">
        <f>IFERROR(__xludf.DUMMYFUNCTION("""COMPUTED_VALUE"""),45317.473599537036)</f>
        <v>45317.4736</v>
      </c>
    </row>
    <row r="820">
      <c r="A820" s="7" t="str">
        <f>IFERROR(__xludf.DUMMYFUNCTION("""COMPUTED_VALUE"""),"https://www.method.me/blog/is-zoho-free-to-use/")</f>
        <v>https://www.method.me/blog/is-zoho-free-to-use/</v>
      </c>
      <c r="B820" s="1" t="str">
        <f>IFERROR(__xludf.DUMMYFUNCTION("""COMPUTED_VALUE"""),"Listicle - Software / Software overview")</f>
        <v>Listicle - Software / Software overview</v>
      </c>
      <c r="C820" s="1" t="str">
        <f>IFERROR(__xludf.DUMMYFUNCTION("""COMPUTED_VALUE"""),"Blog")</f>
        <v>Blog</v>
      </c>
      <c r="D820" s="1" t="str">
        <f>IFERROR(__xludf.DUMMYFUNCTION("""COMPUTED_VALUE"""),"Is Zoho free to use — What will you get in the free version?")</f>
        <v>Is Zoho free to use — What will you get in the free version?</v>
      </c>
      <c r="E820" s="12">
        <f>IFERROR(__xludf.DUMMYFUNCTION("""COMPUTED_VALUE"""),45317.47377314815)</f>
        <v>45317.47377</v>
      </c>
    </row>
    <row r="821">
      <c r="A821" s="7" t="str">
        <f>IFERROR(__xludf.DUMMYFUNCTION("""COMPUTED_VALUE"""),"https://www.method.me/blog/what-is-a-crm-software/")</f>
        <v>https://www.method.me/blog/what-is-a-crm-software/</v>
      </c>
      <c r="B821" s="1" t="str">
        <f>IFERROR(__xludf.DUMMYFUNCTION("""COMPUTED_VALUE"""),"CRM")</f>
        <v>CRM</v>
      </c>
      <c r="C821" s="1" t="str">
        <f>IFERROR(__xludf.DUMMYFUNCTION("""COMPUTED_VALUE"""),"Blog")</f>
        <v>Blog</v>
      </c>
      <c r="D821" s="1" t="str">
        <f>IFERROR(__xludf.DUMMYFUNCTION("""COMPUTED_VALUE"""),"What is a CRM software? All you need to know")</f>
        <v>What is a CRM software? All you need to know</v>
      </c>
      <c r="E821" s="12">
        <f>IFERROR(__xludf.DUMMYFUNCTION("""COMPUTED_VALUE"""),45317.47388888889)</f>
        <v>45317.47389</v>
      </c>
    </row>
    <row r="822">
      <c r="A822" s="7" t="str">
        <f>IFERROR(__xludf.DUMMYFUNCTION("""COMPUTED_VALUE"""),"https://www.method.me/blog/what-is-a-service-item-in-quickbooks/")</f>
        <v>https://www.method.me/blog/what-is-a-service-item-in-quickbooks/</v>
      </c>
      <c r="B822" s="1" t="str">
        <f>IFERROR(__xludf.DUMMYFUNCTION("""COMPUTED_VALUE"""),"QuickBooks - General")</f>
        <v>QuickBooks - General</v>
      </c>
      <c r="C822" s="1" t="str">
        <f>IFERROR(__xludf.DUMMYFUNCTION("""COMPUTED_VALUE"""),"Blog")</f>
        <v>Blog</v>
      </c>
      <c r="D822" s="1" t="str">
        <f>IFERROR(__xludf.DUMMYFUNCTION("""COMPUTED_VALUE"""),"What is a service item in QuickBooks?")</f>
        <v>What is a service item in QuickBooks?</v>
      </c>
      <c r="E822" s="12">
        <f>IFERROR(__xludf.DUMMYFUNCTION("""COMPUTED_VALUE"""),45317.47400462963)</f>
        <v>45317.474</v>
      </c>
    </row>
    <row r="823">
      <c r="A823" s="7" t="str">
        <f>IFERROR(__xludf.DUMMYFUNCTION("""COMPUTED_VALUE"""),"https://www.method.me/blog/what-is-better-than-excel-for-large-data/")</f>
        <v>https://www.method.me/blog/what-is-better-than-excel-for-large-data/</v>
      </c>
      <c r="B823" s="1" t="str">
        <f>IFERROR(__xludf.DUMMYFUNCTION("""COMPUTED_VALUE"""),"Listicle - Software / Software overview")</f>
        <v>Listicle - Software / Software overview</v>
      </c>
      <c r="C823" s="1" t="str">
        <f>IFERROR(__xludf.DUMMYFUNCTION("""COMPUTED_VALUE"""),"Blog")</f>
        <v>Blog</v>
      </c>
      <c r="D823" s="1" t="str">
        <f>IFERROR(__xludf.DUMMYFUNCTION("""COMPUTED_VALUE"""),"What is better than Excel for large data — best Excel alternatives")</f>
        <v>What is better than Excel for large data — best Excel alternatives</v>
      </c>
      <c r="E823" s="12">
        <f>IFERROR(__xludf.DUMMYFUNCTION("""COMPUTED_VALUE"""),45317.47412037037)</f>
        <v>45317.47412</v>
      </c>
    </row>
    <row r="824">
      <c r="A824" s="7" t="str">
        <f>IFERROR(__xludf.DUMMYFUNCTION("""COMPUTED_VALUE"""),"https://www.method.me/blog/why-crm-is-important-for-small-business/")</f>
        <v>https://www.method.me/blog/why-crm-is-important-for-small-business/</v>
      </c>
      <c r="B824" s="1" t="str">
        <f>IFERROR(__xludf.DUMMYFUNCTION("""COMPUTED_VALUE"""),"CRM")</f>
        <v>CRM</v>
      </c>
      <c r="C824" s="1" t="str">
        <f>IFERROR(__xludf.DUMMYFUNCTION("""COMPUTED_VALUE"""),"Blog")</f>
        <v>Blog</v>
      </c>
      <c r="D824" s="1" t="str">
        <f>IFERROR(__xludf.DUMMYFUNCTION("""COMPUTED_VALUE"""),"Why CRM is important for small businesses")</f>
        <v>Why CRM is important for small businesses</v>
      </c>
      <c r="E824" s="12">
        <f>IFERROR(__xludf.DUMMYFUNCTION("""COMPUTED_VALUE"""),45317.47424768518)</f>
        <v>45317.47425</v>
      </c>
    </row>
    <row r="825">
      <c r="A825" s="7" t="str">
        <f>IFERROR(__xludf.DUMMYFUNCTION("""COMPUTED_VALUE"""),"https://www.method.me/blog/what-is-opportunity-in-crm/")</f>
        <v>https://www.method.me/blog/what-is-opportunity-in-crm/</v>
      </c>
      <c r="B825" s="1" t="str">
        <f>IFERROR(__xludf.DUMMYFUNCTION("""COMPUTED_VALUE"""),"CRM")</f>
        <v>CRM</v>
      </c>
      <c r="C825" s="1" t="str">
        <f>IFERROR(__xludf.DUMMYFUNCTION("""COMPUTED_VALUE"""),"Blog")</f>
        <v>Blog</v>
      </c>
      <c r="D825" s="1" t="str">
        <f>IFERROR(__xludf.DUMMYFUNCTION("""COMPUTED_VALUE"""),"What is opportunity in CRM?")</f>
        <v>What is opportunity in CRM?</v>
      </c>
      <c r="E825" s="12">
        <f>IFERROR(__xludf.DUMMYFUNCTION("""COMPUTED_VALUE"""),45317.474328703705)</f>
        <v>45317.47433</v>
      </c>
    </row>
    <row r="826">
      <c r="A826" s="7" t="str">
        <f>IFERROR(__xludf.DUMMYFUNCTION("""COMPUTED_VALUE"""),"https://www.method.me/blog/how-to-use-categories-in-quickbooks-online/")</f>
        <v>https://www.method.me/blog/how-to-use-categories-in-quickbooks-online/</v>
      </c>
      <c r="B826" s="1" t="str">
        <f>IFERROR(__xludf.DUMMYFUNCTION("""COMPUTED_VALUE"""),"QuickBooks - How-to")</f>
        <v>QuickBooks - How-to</v>
      </c>
      <c r="C826" s="1" t="str">
        <f>IFERROR(__xludf.DUMMYFUNCTION("""COMPUTED_VALUE"""),"Blog")</f>
        <v>Blog</v>
      </c>
      <c r="D826" s="1" t="str">
        <f>IFERROR(__xludf.DUMMYFUNCTION("""COMPUTED_VALUE"""),"How to use categories in QuickBooks Online")</f>
        <v>How to use categories in QuickBooks Online</v>
      </c>
      <c r="E826" s="12">
        <f>IFERROR(__xludf.DUMMYFUNCTION("""COMPUTED_VALUE"""),45317.474444444444)</f>
        <v>45317.47444</v>
      </c>
    </row>
    <row r="827">
      <c r="A827" s="7" t="str">
        <f>IFERROR(__xludf.DUMMYFUNCTION("""COMPUTED_VALUE"""),"https://www.method.me/blog/how-to-set-up-recurring-payments-in-quickbooks-online/")</f>
        <v>https://www.method.me/blog/how-to-set-up-recurring-payments-in-quickbooks-online/</v>
      </c>
      <c r="B827" s="1" t="str">
        <f>IFERROR(__xludf.DUMMYFUNCTION("""COMPUTED_VALUE"""),"QuickBooks - How-to")</f>
        <v>QuickBooks - How-to</v>
      </c>
      <c r="C827" s="1" t="str">
        <f>IFERROR(__xludf.DUMMYFUNCTION("""COMPUTED_VALUE"""),"Blog")</f>
        <v>Blog</v>
      </c>
      <c r="D827" s="1" t="str">
        <f>IFERROR(__xludf.DUMMYFUNCTION("""COMPUTED_VALUE"""),"How to set up recurring payments in QuickBooks Online")</f>
        <v>How to set up recurring payments in QuickBooks Online</v>
      </c>
      <c r="E827" s="12">
        <f>IFERROR(__xludf.DUMMYFUNCTION("""COMPUTED_VALUE"""),45321.41402777778)</f>
        <v>45321.41403</v>
      </c>
    </row>
    <row r="828">
      <c r="A828" s="7" t="str">
        <f>IFERROR(__xludf.DUMMYFUNCTION("""COMPUTED_VALUE"""),"https://www.method.me/blog/best-credit-card-processing-for-quickbooks/")</f>
        <v>https://www.method.me/blog/best-credit-card-processing-for-quickbooks/</v>
      </c>
      <c r="B828" s="1" t="str">
        <f>IFERROR(__xludf.DUMMYFUNCTION("""COMPUTED_VALUE"""),"Listicle - QuickBooks")</f>
        <v>Listicle - QuickBooks</v>
      </c>
      <c r="C828" s="1" t="str">
        <f>IFERROR(__xludf.DUMMYFUNCTION("""COMPUTED_VALUE"""),"Blog")</f>
        <v>Blog</v>
      </c>
      <c r="D828" s="1" t="str">
        <f>IFERROR(__xludf.DUMMYFUNCTION("""COMPUTED_VALUE"""),"6 best credit card processing for QuickBooks")</f>
        <v>6 best credit card processing for QuickBooks</v>
      </c>
      <c r="E828" s="12">
        <f>IFERROR(__xludf.DUMMYFUNCTION("""COMPUTED_VALUE"""),45323.431655092594)</f>
        <v>45323.43166</v>
      </c>
    </row>
    <row r="829">
      <c r="A829" s="7" t="str">
        <f>IFERROR(__xludf.DUMMYFUNCTION("""COMPUTED_VALUE"""),"https://www.method.me/videos/quickbooks-desktop-trends-2024/")</f>
        <v>https://www.method.me/videos/quickbooks-desktop-trends-2024/</v>
      </c>
      <c r="B829" s="1" t="str">
        <f>IFERROR(__xludf.DUMMYFUNCTION("""COMPUTED_VALUE"""),"Video page")</f>
        <v>Video page</v>
      </c>
      <c r="C829" s="1" t="str">
        <f>IFERROR(__xludf.DUMMYFUNCTION("""COMPUTED_VALUE"""),"Other page")</f>
        <v>Other page</v>
      </c>
      <c r="D829" s="1" t="str">
        <f>IFERROR(__xludf.DUMMYFUNCTION("""COMPUTED_VALUE"""),"2024 QuickBooks Desktop trends and new features to know")</f>
        <v>2024 QuickBooks Desktop trends and new features to know</v>
      </c>
      <c r="E829" s="12">
        <f>IFERROR(__xludf.DUMMYFUNCTION("""COMPUTED_VALUE"""),45328.69657407407)</f>
        <v>45328.69657</v>
      </c>
    </row>
    <row r="830">
      <c r="A830" s="7" t="str">
        <f>IFERROR(__xludf.DUMMYFUNCTION("""COMPUTED_VALUE"""),"https://www.method.me/blog/how-to-export-quickbooks-to-excel/")</f>
        <v>https://www.method.me/blog/how-to-export-quickbooks-to-excel/</v>
      </c>
      <c r="B830" s="1" t="str">
        <f>IFERROR(__xludf.DUMMYFUNCTION("""COMPUTED_VALUE"""),"QuickBooks - How-to")</f>
        <v>QuickBooks - How-to</v>
      </c>
      <c r="C830" s="1" t="str">
        <f>IFERROR(__xludf.DUMMYFUNCTION("""COMPUTED_VALUE"""),"Blog")</f>
        <v>Blog</v>
      </c>
      <c r="D830" s="1" t="str">
        <f>IFERROR(__xludf.DUMMYFUNCTION("""COMPUTED_VALUE"""),"QuickBooks export to Excel: What you need to know")</f>
        <v>QuickBooks export to Excel: What you need to know</v>
      </c>
      <c r="E830" s="12">
        <f>IFERROR(__xludf.DUMMYFUNCTION("""COMPUTED_VALUE"""),45330.64115740741)</f>
        <v>45330.64116</v>
      </c>
    </row>
    <row r="831">
      <c r="A831" s="7" t="str">
        <f>IFERROR(__xludf.DUMMYFUNCTION("""COMPUTED_VALUE"""),"https://www.method.me/blog/how-to-import-excel-into-quickbooks/")</f>
        <v>https://www.method.me/blog/how-to-import-excel-into-quickbooks/</v>
      </c>
      <c r="B831" s="1" t="str">
        <f>IFERROR(__xludf.DUMMYFUNCTION("""COMPUTED_VALUE"""),"QuickBooks - How-to")</f>
        <v>QuickBooks - How-to</v>
      </c>
      <c r="C831" s="1" t="str">
        <f>IFERROR(__xludf.DUMMYFUNCTION("""COMPUTED_VALUE"""),"Blog")</f>
        <v>Blog</v>
      </c>
      <c r="D831" s="1" t="str">
        <f>IFERROR(__xludf.DUMMYFUNCTION("""COMPUTED_VALUE"""),"How to import Excel into QuickBooks")</f>
        <v>How to import Excel into QuickBooks</v>
      </c>
      <c r="E831" s="12">
        <f>IFERROR(__xludf.DUMMYFUNCTION("""COMPUTED_VALUE"""),45330.64129629629)</f>
        <v>45330.6413</v>
      </c>
    </row>
    <row r="832">
      <c r="A832" s="7" t="str">
        <f>IFERROR(__xludf.DUMMYFUNCTION("""COMPUTED_VALUE"""),"https://www.method.me/blog/how-to-import-transactions-into-quickbooks-desktop-from-excel/")</f>
        <v>https://www.method.me/blog/how-to-import-transactions-into-quickbooks-desktop-from-excel/</v>
      </c>
      <c r="B832" s="1" t="str">
        <f>IFERROR(__xludf.DUMMYFUNCTION("""COMPUTED_VALUE"""),"QuickBooks - How-to")</f>
        <v>QuickBooks - How-to</v>
      </c>
      <c r="C832" s="1" t="str">
        <f>IFERROR(__xludf.DUMMYFUNCTION("""COMPUTED_VALUE"""),"Blog")</f>
        <v>Blog</v>
      </c>
      <c r="D832" s="1" t="str">
        <f>IFERROR(__xludf.DUMMYFUNCTION("""COMPUTED_VALUE"""),"How to import transactions into QuickBooks Desktop from Excel")</f>
        <v>How to import transactions into QuickBooks Desktop from Excel</v>
      </c>
      <c r="E832" s="12">
        <f>IFERROR(__xludf.DUMMYFUNCTION("""COMPUTED_VALUE"""),45330.64145833333)</f>
        <v>45330.64146</v>
      </c>
    </row>
    <row r="833">
      <c r="A833" s="7" t="str">
        <f>IFERROR(__xludf.DUMMYFUNCTION("""COMPUTED_VALUE"""),"https://www.method.me/blog/how-to-import-transactions-into-quickbooks-online-from-excel/")</f>
        <v>https://www.method.me/blog/how-to-import-transactions-into-quickbooks-online-from-excel/</v>
      </c>
      <c r="B833" s="1" t="str">
        <f>IFERROR(__xludf.DUMMYFUNCTION("""COMPUTED_VALUE"""),"QuickBooks - How-to")</f>
        <v>QuickBooks - How-to</v>
      </c>
      <c r="C833" s="1" t="str">
        <f>IFERROR(__xludf.DUMMYFUNCTION("""COMPUTED_VALUE"""),"Blog")</f>
        <v>Blog</v>
      </c>
      <c r="D833" s="1" t="str">
        <f>IFERROR(__xludf.DUMMYFUNCTION("""COMPUTED_VALUE"""),"How to import transactions into QuickBooks Online from Excel")</f>
        <v>How to import transactions into QuickBooks Online from Excel</v>
      </c>
      <c r="E833" s="12">
        <f>IFERROR(__xludf.DUMMYFUNCTION("""COMPUTED_VALUE"""),45330.64164351852)</f>
        <v>45330.64164</v>
      </c>
    </row>
    <row r="834">
      <c r="A834" s="7" t="str">
        <f>IFERROR(__xludf.DUMMYFUNCTION("""COMPUTED_VALUE"""),"https://www.method.me/blog/quickbooks-import-excel-and-csv-toolkit/")</f>
        <v>https://www.method.me/blog/quickbooks-import-excel-and-csv-toolkit/</v>
      </c>
      <c r="B834" s="1" t="str">
        <f>IFERROR(__xludf.DUMMYFUNCTION("""COMPUTED_VALUE"""),"QuickBooks - How-to")</f>
        <v>QuickBooks - How-to</v>
      </c>
      <c r="C834" s="1" t="str">
        <f>IFERROR(__xludf.DUMMYFUNCTION("""COMPUTED_VALUE"""),"Blog")</f>
        <v>Blog</v>
      </c>
      <c r="D834" s="1" t="str">
        <f>IFERROR(__xludf.DUMMYFUNCTION("""COMPUTED_VALUE"""),"QuickBooks Import Excel and CSV toolkit: Step by step")</f>
        <v>QuickBooks Import Excel and CSV toolkit: Step by step</v>
      </c>
      <c r="E834" s="12">
        <f>IFERROR(__xludf.DUMMYFUNCTION("""COMPUTED_VALUE"""),45330.64178240741)</f>
        <v>45330.64178</v>
      </c>
    </row>
    <row r="835">
      <c r="A835" s="7" t="str">
        <f>IFERROR(__xludf.DUMMYFUNCTION("""COMPUTED_VALUE"""),"https://www.method.me/blog/quickbooks-vs-excel-for-small-business/")</f>
        <v>https://www.method.me/blog/quickbooks-vs-excel-for-small-business/</v>
      </c>
      <c r="B835" s="1" t="str">
        <f>IFERROR(__xludf.DUMMYFUNCTION("""COMPUTED_VALUE"""),"QuickBooks - General")</f>
        <v>QuickBooks - General</v>
      </c>
      <c r="C835" s="1" t="str">
        <f>IFERROR(__xludf.DUMMYFUNCTION("""COMPUTED_VALUE"""),"Blog")</f>
        <v>Blog</v>
      </c>
      <c r="D835" s="1" t="str">
        <f>IFERROR(__xludf.DUMMYFUNCTION("""COMPUTED_VALUE"""),"QuickBooks vs. Excel for small business accounting in 2024")</f>
        <v>QuickBooks vs. Excel for small business accounting in 2024</v>
      </c>
      <c r="E835" s="12">
        <f>IFERROR(__xludf.DUMMYFUNCTION("""COMPUTED_VALUE"""),45330.641921296294)</f>
        <v>45330.64192</v>
      </c>
    </row>
    <row r="836">
      <c r="A836" s="7" t="str">
        <f>IFERROR(__xludf.DUMMYFUNCTION("""COMPUTED_VALUE"""),"https://www.method.me/blog/quickbooks-chart-of-accounts-template-excel/")</f>
        <v>https://www.method.me/blog/quickbooks-chart-of-accounts-template-excel/</v>
      </c>
      <c r="B836" s="1" t="str">
        <f>IFERROR(__xludf.DUMMYFUNCTION("""COMPUTED_VALUE"""),"QuickBooks - General")</f>
        <v>QuickBooks - General</v>
      </c>
      <c r="C836" s="1" t="str">
        <f>IFERROR(__xludf.DUMMYFUNCTION("""COMPUTED_VALUE"""),"Blog")</f>
        <v>Blog</v>
      </c>
      <c r="D836" s="1" t="str">
        <f>IFERROR(__xludf.DUMMYFUNCTION("""COMPUTED_VALUE"""),"The ultimate QuickBooks chart of accounts template Excel")</f>
        <v>The ultimate QuickBooks chart of accounts template Excel</v>
      </c>
      <c r="E836" s="12">
        <f>IFERROR(__xludf.DUMMYFUNCTION("""COMPUTED_VALUE"""),45330.64208333333)</f>
        <v>45330.64208</v>
      </c>
    </row>
    <row r="837">
      <c r="A837" s="7" t="str">
        <f>IFERROR(__xludf.DUMMYFUNCTION("""COMPUTED_VALUE"""),"https://www.method.me/blog/intuit-fsm-vs-method-fsm/")</f>
        <v>https://www.method.me/blog/intuit-fsm-vs-method-fsm/</v>
      </c>
      <c r="B837" s="1" t="str">
        <f>IFERROR(__xludf.DUMMYFUNCTION("""COMPUTED_VALUE"""),"Method - Competitor Comparison")</f>
        <v>Method - Competitor Comparison</v>
      </c>
      <c r="C837" s="1" t="str">
        <f>IFERROR(__xludf.DUMMYFUNCTION("""COMPUTED_VALUE"""),"Blog")</f>
        <v>Blog</v>
      </c>
      <c r="D837" s="1" t="str">
        <f>IFERROR(__xludf.DUMMYFUNCTION("""COMPUTED_VALUE"""),"Intuit FSM vs. Method: Which field service management solution is better?")</f>
        <v>Intuit FSM vs. Method: Which field service management solution is better?</v>
      </c>
      <c r="E837" s="12">
        <f>IFERROR(__xludf.DUMMYFUNCTION("""COMPUTED_VALUE"""),45334.47173611111)</f>
        <v>45334.47174</v>
      </c>
    </row>
    <row r="838">
      <c r="A838" s="7" t="str">
        <f>IFERROR(__xludf.DUMMYFUNCTION("""COMPUTED_VALUE"""),"https://www.method.me/blog/housecallpro-vs-jobber-vs-method/")</f>
        <v>https://www.method.me/blog/housecallpro-vs-jobber-vs-method/</v>
      </c>
      <c r="B838" s="1" t="str">
        <f>IFERROR(__xludf.DUMMYFUNCTION("""COMPUTED_VALUE"""),"Method - Competitor Comparison")</f>
        <v>Method - Competitor Comparison</v>
      </c>
      <c r="C838" s="1" t="str">
        <f>IFERROR(__xludf.DUMMYFUNCTION("""COMPUTED_VALUE"""),"Blog")</f>
        <v>Blog</v>
      </c>
      <c r="D838" s="1" t="str">
        <f>IFERROR(__xludf.DUMMYFUNCTION("""COMPUTED_VALUE"""),"Housecall Pro vs. Jobber vs. Method: Comprehensive comparison guide")</f>
        <v>Housecall Pro vs. Jobber vs. Method: Comprehensive comparison guide</v>
      </c>
      <c r="E838" s="12">
        <f>IFERROR(__xludf.DUMMYFUNCTION("""COMPUTED_VALUE"""),45334.49170138889)</f>
        <v>45334.4917</v>
      </c>
    </row>
    <row r="839">
      <c r="A839" s="7" t="str">
        <f>IFERROR(__xludf.DUMMYFUNCTION("""COMPUTED_VALUE"""),"https://www.method.me/blog/method-vs-jobber-vs-quickbooks/")</f>
        <v>https://www.method.me/blog/method-vs-jobber-vs-quickbooks/</v>
      </c>
      <c r="B839" s="1" t="str">
        <f>IFERROR(__xludf.DUMMYFUNCTION("""COMPUTED_VALUE"""),"Method - Competitor Comparison")</f>
        <v>Method - Competitor Comparison</v>
      </c>
      <c r="C839" s="1" t="str">
        <f>IFERROR(__xludf.DUMMYFUNCTION("""COMPUTED_VALUE"""),"Blog")</f>
        <v>Blog</v>
      </c>
      <c r="D839" s="1" t="str">
        <f>IFERROR(__xludf.DUMMYFUNCTION("""COMPUTED_VALUE"""),"Method vs. Jobber vs. QuickBooks: What differentiates them?")</f>
        <v>Method vs. Jobber vs. QuickBooks: What differentiates them?</v>
      </c>
      <c r="E839" s="12">
        <f>IFERROR(__xludf.DUMMYFUNCTION("""COMPUTED_VALUE"""),45334.51534722222)</f>
        <v>45334.51535</v>
      </c>
    </row>
    <row r="840">
      <c r="A840" s="7" t="str">
        <f>IFERROR(__xludf.DUMMYFUNCTION("""COMPUTED_VALUE"""),"https://www.method.me/blog/buildertrend-vs-coconstruct-vs-method/")</f>
        <v>https://www.method.me/blog/buildertrend-vs-coconstruct-vs-method/</v>
      </c>
      <c r="B840" s="1" t="str">
        <f>IFERROR(__xludf.DUMMYFUNCTION("""COMPUTED_VALUE"""),"Method - Competitor Comparison")</f>
        <v>Method - Competitor Comparison</v>
      </c>
      <c r="C840" s="1" t="str">
        <f>IFERROR(__xludf.DUMMYFUNCTION("""COMPUTED_VALUE"""),"Blog")</f>
        <v>Blog</v>
      </c>
      <c r="D840" s="1" t="str">
        <f>IFERROR(__xludf.DUMMYFUNCTION("""COMPUTED_VALUE"""),"BuilderTrend vs. CoConstruct vs. Method: Comprehensive comparison guide")</f>
        <v>BuilderTrend vs. CoConstruct vs. Method: Comprehensive comparison guide</v>
      </c>
      <c r="E840" s="12">
        <f>IFERROR(__xludf.DUMMYFUNCTION("""COMPUTED_VALUE"""),45334.6231712963)</f>
        <v>45334.62317</v>
      </c>
    </row>
    <row r="841">
      <c r="A841" s="7" t="str">
        <f>IFERROR(__xludf.DUMMYFUNCTION("""COMPUTED_VALUE"""),"https://www.method.me/blog/jobber-vs-workiz-vs-method/")</f>
        <v>https://www.method.me/blog/jobber-vs-workiz-vs-method/</v>
      </c>
      <c r="B841" s="1" t="str">
        <f>IFERROR(__xludf.DUMMYFUNCTION("""COMPUTED_VALUE"""),"Method - Competitor Comparison")</f>
        <v>Method - Competitor Comparison</v>
      </c>
      <c r="C841" s="1" t="str">
        <f>IFERROR(__xludf.DUMMYFUNCTION("""COMPUTED_VALUE"""),"Blog")</f>
        <v>Blog</v>
      </c>
      <c r="D841" s="1" t="str">
        <f>IFERROR(__xludf.DUMMYFUNCTION("""COMPUTED_VALUE"""),"Jobber vs. Workiz vs. Method: Which is more affordable?")</f>
        <v>Jobber vs. Workiz vs. Method: Which is more affordable?</v>
      </c>
      <c r="E841" s="12">
        <f>IFERROR(__xludf.DUMMYFUNCTION("""COMPUTED_VALUE"""),45334.654756944445)</f>
        <v>45334.65476</v>
      </c>
    </row>
    <row r="842">
      <c r="A842" s="7" t="str">
        <f>IFERROR(__xludf.DUMMYFUNCTION("""COMPUTED_VALUE"""),"https://www.method.me/blog/servicetitan-vs-housecallpro-vs-method/")</f>
        <v>https://www.method.me/blog/servicetitan-vs-housecallpro-vs-method/</v>
      </c>
      <c r="B842" s="1" t="str">
        <f>IFERROR(__xludf.DUMMYFUNCTION("""COMPUTED_VALUE"""),"Method - Competitor Comparison")</f>
        <v>Method - Competitor Comparison</v>
      </c>
      <c r="C842" s="1" t="str">
        <f>IFERROR(__xludf.DUMMYFUNCTION("""COMPUTED_VALUE"""),"Blog")</f>
        <v>Blog</v>
      </c>
      <c r="D842" s="1" t="str">
        <f>IFERROR(__xludf.DUMMYFUNCTION("""COMPUTED_VALUE"""),"ServiceTitan vs. Housecall Pro vs. Method: What’s the difference?")</f>
        <v>ServiceTitan vs. Housecall Pro vs. Method: What’s the difference?</v>
      </c>
      <c r="E842" s="12">
        <f>IFERROR(__xludf.DUMMYFUNCTION("""COMPUTED_VALUE"""),45335.39549768518)</f>
        <v>45335.3955</v>
      </c>
    </row>
    <row r="843">
      <c r="A843" s="7" t="str">
        <f>IFERROR(__xludf.DUMMYFUNCTION("""COMPUTED_VALUE"""),"https://www.method.me/blog/kickserv-vs-jobber-vs-method/")</f>
        <v>https://www.method.me/blog/kickserv-vs-jobber-vs-method/</v>
      </c>
      <c r="B843" s="1" t="str">
        <f>IFERROR(__xludf.DUMMYFUNCTION("""COMPUTED_VALUE"""),"Method - Competitor Comparison")</f>
        <v>Method - Competitor Comparison</v>
      </c>
      <c r="C843" s="1" t="str">
        <f>IFERROR(__xludf.DUMMYFUNCTION("""COMPUTED_VALUE"""),"Blog")</f>
        <v>Blog</v>
      </c>
      <c r="D843" s="1" t="str">
        <f>IFERROR(__xludf.DUMMYFUNCTION("""COMPUTED_VALUE"""),"Kickserv vs. Jobber vs. Method: Which is better?")</f>
        <v>Kickserv vs. Jobber vs. Method: Which is better?</v>
      </c>
      <c r="E843" s="12">
        <f>IFERROR(__xludf.DUMMYFUNCTION("""COMPUTED_VALUE"""),45335.43509259259)</f>
        <v>45335.43509</v>
      </c>
    </row>
    <row r="844">
      <c r="A844" s="7" t="str">
        <f>IFERROR(__xludf.DUMMYFUNCTION("""COMPUTED_VALUE"""),"https://www.method.me/blog/fieldedge-vs-servicetitan-vs-method/")</f>
        <v>https://www.method.me/blog/fieldedge-vs-servicetitan-vs-method/</v>
      </c>
      <c r="B844" s="1" t="str">
        <f>IFERROR(__xludf.DUMMYFUNCTION("""COMPUTED_VALUE"""),"Method - Competitor Comparison")</f>
        <v>Method - Competitor Comparison</v>
      </c>
      <c r="C844" s="1" t="str">
        <f>IFERROR(__xludf.DUMMYFUNCTION("""COMPUTED_VALUE"""),"Blog")</f>
        <v>Blog</v>
      </c>
      <c r="D844" s="1" t="str">
        <f>IFERROR(__xludf.DUMMYFUNCTION("""COMPUTED_VALUE"""),"FieldEdge vs. ServiceTitan vs. Method compared (2024)")</f>
        <v>FieldEdge vs. ServiceTitan vs. Method compared (2024)</v>
      </c>
      <c r="E844" s="12">
        <f>IFERROR(__xludf.DUMMYFUNCTION("""COMPUTED_VALUE"""),45335.48043981481)</f>
        <v>45335.48044</v>
      </c>
    </row>
    <row r="845">
      <c r="A845" s="7" t="str">
        <f>IFERROR(__xludf.DUMMYFUNCTION("""COMPUTED_VALUE"""),"https://www.method.me/blog/service-fusion-alternative/")</f>
        <v>https://www.method.me/blog/service-fusion-alternative/</v>
      </c>
      <c r="B845" s="1" t="str">
        <f>IFERROR(__xludf.DUMMYFUNCTION("""COMPUTED_VALUE"""),"Listicle - Software / Software overview")</f>
        <v>Listicle - Software / Software overview</v>
      </c>
      <c r="C845" s="1" t="str">
        <f>IFERROR(__xludf.DUMMYFUNCTION("""COMPUTED_VALUE"""),"Blog")</f>
        <v>Blog</v>
      </c>
      <c r="D845" s="1" t="str">
        <f>IFERROR(__xludf.DUMMYFUNCTION("""COMPUTED_VALUE"""),"Top 5 Service Fusion alternatives (2024)")</f>
        <v>Top 5 Service Fusion alternatives (2024)</v>
      </c>
      <c r="E845" s="12">
        <f>IFERROR(__xludf.DUMMYFUNCTION("""COMPUTED_VALUE"""),45335.50517361111)</f>
        <v>45335.50517</v>
      </c>
    </row>
    <row r="846">
      <c r="A846" s="7" t="str">
        <f>IFERROR(__xludf.DUMMYFUNCTION("""COMPUTED_VALUE"""),"https://www.method.me/blog/service-fusion-vs-jobber-vs-method-which-one-is-the-best/")</f>
        <v>https://www.method.me/blog/service-fusion-vs-jobber-vs-method-which-one-is-the-best/</v>
      </c>
      <c r="B846" s="1" t="str">
        <f>IFERROR(__xludf.DUMMYFUNCTION("""COMPUTED_VALUE"""),"Method - Competitor Comparison")</f>
        <v>Method - Competitor Comparison</v>
      </c>
      <c r="C846" s="1" t="str">
        <f>IFERROR(__xludf.DUMMYFUNCTION("""COMPUTED_VALUE"""),"Blog")</f>
        <v>Blog</v>
      </c>
      <c r="D846" s="1" t="str">
        <f>IFERROR(__xludf.DUMMYFUNCTION("""COMPUTED_VALUE"""),"Service Fusion vs. Jobber vs. Method: Which one is the best?")</f>
        <v>Service Fusion vs. Jobber vs. Method: Which one is the best?</v>
      </c>
      <c r="E846" s="12">
        <f>IFERROR(__xludf.DUMMYFUNCTION("""COMPUTED_VALUE"""),45335.57144675926)</f>
        <v>45335.57145</v>
      </c>
    </row>
    <row r="847">
      <c r="A847" s="7" t="str">
        <f>IFERROR(__xludf.DUMMYFUNCTION("""COMPUTED_VALUE"""),"https://www.method.me/blog/kickserv-alternative/")</f>
        <v>https://www.method.me/blog/kickserv-alternative/</v>
      </c>
      <c r="B847" s="1" t="str">
        <f>IFERROR(__xludf.DUMMYFUNCTION("""COMPUTED_VALUE"""),"Listicle - Software / Software overview")</f>
        <v>Listicle - Software / Software overview</v>
      </c>
      <c r="C847" s="1" t="str">
        <f>IFERROR(__xludf.DUMMYFUNCTION("""COMPUTED_VALUE"""),"Blog")</f>
        <v>Blog</v>
      </c>
      <c r="D847" s="1" t="str">
        <f>IFERROR(__xludf.DUMMYFUNCTION("""COMPUTED_VALUE"""),"What is the best Kickserv alternative? A detailed guide")</f>
        <v>What is the best Kickserv alternative? A detailed guide</v>
      </c>
      <c r="E847" s="12">
        <f>IFERROR(__xludf.DUMMYFUNCTION("""COMPUTED_VALUE"""),45335.62899305556)</f>
        <v>45335.62899</v>
      </c>
    </row>
    <row r="848">
      <c r="A848" s="7" t="str">
        <f>IFERROR(__xludf.DUMMYFUNCTION("""COMPUTED_VALUE"""),"https://www.method.me/blog/fieldedge-alternative/")</f>
        <v>https://www.method.me/blog/fieldedge-alternative/</v>
      </c>
      <c r="B848" s="1" t="str">
        <f>IFERROR(__xludf.DUMMYFUNCTION("""COMPUTED_VALUE"""),"Listicle - Software / Software overview")</f>
        <v>Listicle - Software / Software overview</v>
      </c>
      <c r="C848" s="1" t="str">
        <f>IFERROR(__xludf.DUMMYFUNCTION("""COMPUTED_VALUE"""),"Blog")</f>
        <v>Blog</v>
      </c>
      <c r="D848" s="1" t="str">
        <f>IFERROR(__xludf.DUMMYFUNCTION("""COMPUTED_VALUE"""),"Top 11 FieldEdge alternatives and competitors")</f>
        <v>Top 11 FieldEdge alternatives and competitors</v>
      </c>
      <c r="E848" s="12">
        <f>IFERROR(__xludf.DUMMYFUNCTION("""COMPUTED_VALUE"""),45335.65503472222)</f>
        <v>45335.65503</v>
      </c>
    </row>
    <row r="849">
      <c r="A849" s="7" t="str">
        <f>IFERROR(__xludf.DUMMYFUNCTION("""COMPUTED_VALUE"""),"https://www.method.me/blog/servicetitan-competitors/")</f>
        <v>https://www.method.me/blog/servicetitan-competitors/</v>
      </c>
      <c r="B849" s="1" t="str">
        <f>IFERROR(__xludf.DUMMYFUNCTION("""COMPUTED_VALUE"""),"Listicle - Software / Software overview")</f>
        <v>Listicle - Software / Software overview</v>
      </c>
      <c r="C849" s="1" t="str">
        <f>IFERROR(__xludf.DUMMYFUNCTION("""COMPUTED_VALUE"""),"Blog")</f>
        <v>Blog</v>
      </c>
      <c r="D849" s="1" t="str">
        <f>IFERROR(__xludf.DUMMYFUNCTION("""COMPUTED_VALUE"""),"What are the best ServiceTitan alternatives?")</f>
        <v>What are the best ServiceTitan alternatives?</v>
      </c>
      <c r="E849" s="12">
        <f>IFERROR(__xludf.DUMMYFUNCTION("""COMPUTED_VALUE"""),45335.68003472222)</f>
        <v>45335.68003</v>
      </c>
    </row>
    <row r="850">
      <c r="A850" s="7" t="str">
        <f>IFERROR(__xludf.DUMMYFUNCTION("""COMPUTED_VALUE"""),"https://www.method.me/blog/promat-modex-conference/")</f>
        <v>https://www.method.me/blog/promat-modex-conference/</v>
      </c>
      <c r="B850" s="1" t="str">
        <f>IFERROR(__xludf.DUMMYFUNCTION("""COMPUTED_VALUE"""),"Conference / Event")</f>
        <v>Conference / Event</v>
      </c>
      <c r="C850" s="1" t="str">
        <f>IFERROR(__xludf.DUMMYFUNCTION("""COMPUTED_VALUE"""),"Blog")</f>
        <v>Blog</v>
      </c>
      <c r="D850" s="1" t="str">
        <f>IFERROR(__xludf.DUMMYFUNCTION("""COMPUTED_VALUE"""),"MODEX Conference 2024: Learnings and takeaways")</f>
        <v>MODEX Conference 2024: Learnings and takeaways</v>
      </c>
      <c r="E850" s="12">
        <f>IFERROR(__xludf.DUMMYFUNCTION("""COMPUTED_VALUE"""),45336.38591435185)</f>
        <v>45336.38591</v>
      </c>
    </row>
    <row r="851">
      <c r="A851" s="7" t="str">
        <f>IFERROR(__xludf.DUMMYFUNCTION("""COMPUTED_VALUE"""),"https://www.method.me/videos/xero-trends-2024/")</f>
        <v>https://www.method.me/videos/xero-trends-2024/</v>
      </c>
      <c r="B851" s="1" t="str">
        <f>IFERROR(__xludf.DUMMYFUNCTION("""COMPUTED_VALUE"""),"Video page")</f>
        <v>Video page</v>
      </c>
      <c r="C851" s="1" t="str">
        <f>IFERROR(__xludf.DUMMYFUNCTION("""COMPUTED_VALUE"""),"Other page")</f>
        <v>Other page</v>
      </c>
      <c r="D851" s="1" t="str">
        <f>IFERROR(__xludf.DUMMYFUNCTION("""COMPUTED_VALUE"""),"The top Xero trends for 2024 and beyond")</f>
        <v>The top Xero trends for 2024 and beyond</v>
      </c>
      <c r="E851" s="12">
        <f>IFERROR(__xludf.DUMMYFUNCTION("""COMPUTED_VALUE"""),45337.6771875)</f>
        <v>45337.67719</v>
      </c>
    </row>
    <row r="852">
      <c r="A852" s="7" t="str">
        <f>IFERROR(__xludf.DUMMYFUNCTION("""COMPUTED_VALUE"""),"https://www.method.me/blog/software-for-customer-service-automation/")</f>
        <v>https://www.method.me/blog/software-for-customer-service-automation/</v>
      </c>
      <c r="B852" s="1" t="str">
        <f>IFERROR(__xludf.DUMMYFUNCTION("""COMPUTED_VALUE"""),"Listicle - Software / Software overview")</f>
        <v>Listicle - Software / Software overview</v>
      </c>
      <c r="C852" s="1" t="str">
        <f>IFERROR(__xludf.DUMMYFUNCTION("""COMPUTED_VALUE"""),"Blog")</f>
        <v>Blog</v>
      </c>
      <c r="D852" s="1" t="str">
        <f>IFERROR(__xludf.DUMMYFUNCTION("""COMPUTED_VALUE"""),"The best software for customer service automation in 2024")</f>
        <v>The best software for customer service automation in 2024</v>
      </c>
      <c r="E852" s="12">
        <f>IFERROR(__xludf.DUMMYFUNCTION("""COMPUTED_VALUE"""),45343.38383101852)</f>
        <v>45343.38383</v>
      </c>
    </row>
    <row r="853">
      <c r="A853" s="7" t="str">
        <f>IFERROR(__xludf.DUMMYFUNCTION("""COMPUTED_VALUE"""),"https://www.method.me/blog/is-zapier-worth-it-pros-cons/")</f>
        <v>https://www.method.me/blog/is-zapier-worth-it-pros-cons/</v>
      </c>
      <c r="B853" s="1" t="str">
        <f>IFERROR(__xludf.DUMMYFUNCTION("""COMPUTED_VALUE"""),"Listicle - Software / Software overview")</f>
        <v>Listicle - Software / Software overview</v>
      </c>
      <c r="C853" s="1" t="str">
        <f>IFERROR(__xludf.DUMMYFUNCTION("""COMPUTED_VALUE"""),"Blog")</f>
        <v>Blog</v>
      </c>
      <c r="D853" s="1" t="str">
        <f>IFERROR(__xludf.DUMMYFUNCTION("""COMPUTED_VALUE"""),"Is Zapier worth it? Zapier pros, cons, and pricing")</f>
        <v>Is Zapier worth it? Zapier pros, cons, and pricing</v>
      </c>
      <c r="E853" s="12">
        <f>IFERROR(__xludf.DUMMYFUNCTION("""COMPUTED_VALUE"""),45349.35803240741)</f>
        <v>45349.35803</v>
      </c>
    </row>
    <row r="854">
      <c r="A854" s="7" t="str">
        <f>IFERROR(__xludf.DUMMYFUNCTION("""COMPUTED_VALUE"""),"https://www.method.me/blog/best-zapier-automations/")</f>
        <v>https://www.method.me/blog/best-zapier-automations/</v>
      </c>
      <c r="B854" s="1" t="str">
        <f>IFERROR(__xludf.DUMMYFUNCTION("""COMPUTED_VALUE"""),"Listicle - General")</f>
        <v>Listicle - General</v>
      </c>
      <c r="C854" s="1" t="str">
        <f>IFERROR(__xludf.DUMMYFUNCTION("""COMPUTED_VALUE"""),"Blog")</f>
        <v>Blog</v>
      </c>
      <c r="D854" s="1" t="str">
        <f>IFERROR(__xludf.DUMMYFUNCTION("""COMPUTED_VALUE"""),"Best Zapier automations to boost productivity at work")</f>
        <v>Best Zapier automations to boost productivity at work</v>
      </c>
      <c r="E854" s="12">
        <f>IFERROR(__xludf.DUMMYFUNCTION("""COMPUTED_VALUE"""),45349.38967592592)</f>
        <v>45349.38968</v>
      </c>
    </row>
    <row r="855">
      <c r="A855" s="7" t="str">
        <f>IFERROR(__xludf.DUMMYFUNCTION("""COMPUTED_VALUE"""),"https://www.method.me/blog/zapier-integration-quickbooks-desktop/")</f>
        <v>https://www.method.me/blog/zapier-integration-quickbooks-desktop/</v>
      </c>
      <c r="B855" s="1" t="str">
        <f>IFERROR(__xludf.DUMMYFUNCTION("""COMPUTED_VALUE"""),"QuickBooks - How-to")</f>
        <v>QuickBooks - How-to</v>
      </c>
      <c r="C855" s="1" t="str">
        <f>IFERROR(__xludf.DUMMYFUNCTION("""COMPUTED_VALUE"""),"Blog")</f>
        <v>Blog</v>
      </c>
      <c r="D855" s="1" t="str">
        <f>IFERROR(__xludf.DUMMYFUNCTION("""COMPUTED_VALUE"""),"Zapier QuickBooks integration: How to automate your workflows")</f>
        <v>Zapier QuickBooks integration: How to automate your workflows</v>
      </c>
      <c r="E855" s="12">
        <f>IFERROR(__xludf.DUMMYFUNCTION("""COMPUTED_VALUE"""),45350.436574074076)</f>
        <v>45350.43657</v>
      </c>
    </row>
    <row r="856">
      <c r="A856" s="7" t="str">
        <f>IFERROR(__xludf.DUMMYFUNCTION("""COMPUTED_VALUE"""),"https://www.method.me/blog/quickbooks-online-vs-enterprise/")</f>
        <v>https://www.method.me/blog/quickbooks-online-vs-enterprise/</v>
      </c>
      <c r="B856" s="1" t="str">
        <f>IFERROR(__xludf.DUMMYFUNCTION("""COMPUTED_VALUE"""),"QuickBooks - General")</f>
        <v>QuickBooks - General</v>
      </c>
      <c r="C856" s="1" t="str">
        <f>IFERROR(__xludf.DUMMYFUNCTION("""COMPUTED_VALUE"""),"Blog")</f>
        <v>Blog</v>
      </c>
      <c r="D856" s="1" t="str">
        <f>IFERROR(__xludf.DUMMYFUNCTION("""COMPUTED_VALUE"""),"QuickBooks Online vs. Enterprise: 2024 comparison guide")</f>
        <v>QuickBooks Online vs. Enterprise: 2024 comparison guide</v>
      </c>
      <c r="E856" s="12">
        <f>IFERROR(__xludf.DUMMYFUNCTION("""COMPUTED_VALUE"""),45356.567094907405)</f>
        <v>45356.56709</v>
      </c>
    </row>
    <row r="857">
      <c r="A857" s="7" t="str">
        <f>IFERROR(__xludf.DUMMYFUNCTION("""COMPUTED_VALUE"""),"https://www.method.me/blog/3pl-billing-invoice-process/")</f>
        <v>https://www.method.me/blog/3pl-billing-invoice-process/</v>
      </c>
      <c r="B857" s="1" t="str">
        <f>IFERROR(__xludf.DUMMYFUNCTION("""COMPUTED_VALUE"""),"MWD")</f>
        <v>MWD</v>
      </c>
      <c r="C857" s="1" t="str">
        <f>IFERROR(__xludf.DUMMYFUNCTION("""COMPUTED_VALUE"""),"Blog")</f>
        <v>Blog</v>
      </c>
      <c r="D857" s="1" t="str">
        <f>IFERROR(__xludf.DUMMYFUNCTION("""COMPUTED_VALUE"""),"3PL billing and invoices: All you need to know")</f>
        <v>3PL billing and invoices: All you need to know</v>
      </c>
      <c r="E857" s="12">
        <f>IFERROR(__xludf.DUMMYFUNCTION("""COMPUTED_VALUE"""),45357.36641203704)</f>
        <v>45357.36641</v>
      </c>
    </row>
    <row r="858">
      <c r="A858" s="7" t="str">
        <f>IFERROR(__xludf.DUMMYFUNCTION("""COMPUTED_VALUE"""),"https://www.method.me/blog/what-is-quickbooks-enterprise-vs-pro/")</f>
        <v>https://www.method.me/blog/what-is-quickbooks-enterprise-vs-pro/</v>
      </c>
      <c r="B858" s="1" t="str">
        <f>IFERROR(__xludf.DUMMYFUNCTION("""COMPUTED_VALUE"""),"QuickBooks - General")</f>
        <v>QuickBooks - General</v>
      </c>
      <c r="C858" s="1" t="str">
        <f>IFERROR(__xludf.DUMMYFUNCTION("""COMPUTED_VALUE"""),"Blog")</f>
        <v>Blog</v>
      </c>
      <c r="D858" s="1" t="str">
        <f>IFERROR(__xludf.DUMMYFUNCTION("""COMPUTED_VALUE"""),"QuickBooks Enterprise vs. Pro: 2024 comparison guide")</f>
        <v>QuickBooks Enterprise vs. Pro: 2024 comparison guide</v>
      </c>
      <c r="E858" s="12">
        <f>IFERROR(__xludf.DUMMYFUNCTION("""COMPUTED_VALUE"""),45357.652650462966)</f>
        <v>45357.65265</v>
      </c>
    </row>
    <row r="859">
      <c r="A859" s="7" t="str">
        <f>IFERROR(__xludf.DUMMYFUNCTION("""COMPUTED_VALUE"""),"https://www.method.me/blog/best-crm-for-service-business/")</f>
        <v>https://www.method.me/blog/best-crm-for-service-business/</v>
      </c>
      <c r="B859" s="1" t="str">
        <f>IFERROR(__xludf.DUMMYFUNCTION("""COMPUTED_VALUE"""),"CRM")</f>
        <v>CRM</v>
      </c>
      <c r="C859" s="1" t="str">
        <f>IFERROR(__xludf.DUMMYFUNCTION("""COMPUTED_VALUE"""),"Blog")</f>
        <v>Blog</v>
      </c>
      <c r="D859" s="1" t="str">
        <f>IFERROR(__xludf.DUMMYFUNCTION("""COMPUTED_VALUE"""),"How to choose the best CRM for your service business")</f>
        <v>How to choose the best CRM for your service business</v>
      </c>
      <c r="E859" s="12">
        <f>IFERROR(__xludf.DUMMYFUNCTION("""COMPUTED_VALUE"""),45357.681921296295)</f>
        <v>45357.68192</v>
      </c>
    </row>
    <row r="860">
      <c r="A860" s="7" t="str">
        <f>IFERROR(__xludf.DUMMYFUNCTION("""COMPUTED_VALUE"""),"https://www.method.me/blog/3pl-meaning-logistics/")</f>
        <v>https://www.method.me/blog/3pl-meaning-logistics/</v>
      </c>
      <c r="B860" s="1" t="str">
        <f>IFERROR(__xludf.DUMMYFUNCTION("""COMPUTED_VALUE"""),"MWD")</f>
        <v>MWD</v>
      </c>
      <c r="C860" s="1" t="str">
        <f>IFERROR(__xludf.DUMMYFUNCTION("""COMPUTED_VALUE"""),"Blog")</f>
        <v>Blog</v>
      </c>
      <c r="D860" s="1" t="str">
        <f>IFERROR(__xludf.DUMMYFUNCTION("""COMPUTED_VALUE"""),"3PL meaning in logistics: Everything you need to know")</f>
        <v>3PL meaning in logistics: Everything you need to know</v>
      </c>
      <c r="E860" s="12">
        <f>IFERROR(__xludf.DUMMYFUNCTION("""COMPUTED_VALUE"""),45357.697175925925)</f>
        <v>45357.69718</v>
      </c>
    </row>
    <row r="861">
      <c r="A861" s="7" t="str">
        <f>IFERROR(__xludf.DUMMYFUNCTION("""COMPUTED_VALUE"""),"https://www.method.me/blog/what-is-3pl-warehouse-management-system/")</f>
        <v>https://www.method.me/blog/what-is-3pl-warehouse-management-system/</v>
      </c>
      <c r="B861" s="1" t="str">
        <f>IFERROR(__xludf.DUMMYFUNCTION("""COMPUTED_VALUE"""),"MWD")</f>
        <v>MWD</v>
      </c>
      <c r="C861" s="1" t="str">
        <f>IFERROR(__xludf.DUMMYFUNCTION("""COMPUTED_VALUE"""),"Blog")</f>
        <v>Blog</v>
      </c>
      <c r="D861" s="1" t="str">
        <f>IFERROR(__xludf.DUMMYFUNCTION("""COMPUTED_VALUE"""),"3PL warehouse: Your ultimate guide")</f>
        <v>3PL warehouse: Your ultimate guide</v>
      </c>
      <c r="E861" s="12">
        <f>IFERROR(__xludf.DUMMYFUNCTION("""COMPUTED_VALUE"""),45363.36886574074)</f>
        <v>45363.36887</v>
      </c>
    </row>
    <row r="862">
      <c r="A862" s="7" t="str">
        <f>IFERROR(__xludf.DUMMYFUNCTION("""COMPUTED_VALUE"""),"https://www.method.me/blog/quickbooks-premier-vs-enterprise/")</f>
        <v>https://www.method.me/blog/quickbooks-premier-vs-enterprise/</v>
      </c>
      <c r="B862" s="1" t="str">
        <f>IFERROR(__xludf.DUMMYFUNCTION("""COMPUTED_VALUE"""),"QuickBooks - General")</f>
        <v>QuickBooks - General</v>
      </c>
      <c r="C862" s="1" t="str">
        <f>IFERROR(__xludf.DUMMYFUNCTION("""COMPUTED_VALUE"""),"Blog")</f>
        <v>Blog</v>
      </c>
      <c r="D862" s="1" t="str">
        <f>IFERROR(__xludf.DUMMYFUNCTION("""COMPUTED_VALUE"""),"QuickBooks Premier vs Enterprise: 2024 comparison guide")</f>
        <v>QuickBooks Premier vs Enterprise: 2024 comparison guide</v>
      </c>
      <c r="E862" s="12">
        <f>IFERROR(__xludf.DUMMYFUNCTION("""COMPUTED_VALUE"""),45363.70108796296)</f>
        <v>45363.70109</v>
      </c>
    </row>
    <row r="863">
      <c r="A863" s="7" t="str">
        <f>IFERROR(__xludf.DUMMYFUNCTION("""COMPUTED_VALUE"""),"https://www.method.me/blog/3pl-warehouse-automation/")</f>
        <v>https://www.method.me/blog/3pl-warehouse-automation/</v>
      </c>
      <c r="B863" s="1" t="str">
        <f>IFERROR(__xludf.DUMMYFUNCTION("""COMPUTED_VALUE"""),"MWD")</f>
        <v>MWD</v>
      </c>
      <c r="C863" s="1" t="str">
        <f>IFERROR(__xludf.DUMMYFUNCTION("""COMPUTED_VALUE"""),"Blog")</f>
        <v>Blog</v>
      </c>
      <c r="D863" s="1" t="str">
        <f>IFERROR(__xludf.DUMMYFUNCTION("""COMPUTED_VALUE"""),"3PL automation: The key to successful supply chains")</f>
        <v>3PL automation: The key to successful supply chains</v>
      </c>
      <c r="E863" s="12">
        <f>IFERROR(__xludf.DUMMYFUNCTION("""COMPUTED_VALUE"""),45363.71608796297)</f>
        <v>45363.71609</v>
      </c>
    </row>
    <row r="864">
      <c r="A864" s="7" t="str">
        <f>IFERROR(__xludf.DUMMYFUNCTION("""COMPUTED_VALUE"""),"https://www.method.me/blog/how-to-issue-a-refund-in-quickbooks/")</f>
        <v>https://www.method.me/blog/how-to-issue-a-refund-in-quickbooks/</v>
      </c>
      <c r="B864" s="1" t="str">
        <f>IFERROR(__xludf.DUMMYFUNCTION("""COMPUTED_VALUE"""),"QuickBooks - How-to")</f>
        <v>QuickBooks - How-to</v>
      </c>
      <c r="C864" s="1" t="str">
        <f>IFERROR(__xludf.DUMMYFUNCTION("""COMPUTED_VALUE"""),"Blog")</f>
        <v>Blog</v>
      </c>
      <c r="D864" s="1" t="str">
        <f>IFERROR(__xludf.DUMMYFUNCTION("""COMPUTED_VALUE"""),"How to issue a refund in QuickBooks")</f>
        <v>How to issue a refund in QuickBooks</v>
      </c>
      <c r="E864" s="12">
        <f>IFERROR(__xludf.DUMMYFUNCTION("""COMPUTED_VALUE"""),45365.70525462963)</f>
        <v>45365.70525</v>
      </c>
    </row>
    <row r="865">
      <c r="A865" s="7" t="str">
        <f>IFERROR(__xludf.DUMMYFUNCTION("""COMPUTED_VALUE"""),"https://www.method.me/blog/how-to-optimize-warehouse-operations/")</f>
        <v>https://www.method.me/blog/how-to-optimize-warehouse-operations/</v>
      </c>
      <c r="B865" s="1" t="str">
        <f>IFERROR(__xludf.DUMMYFUNCTION("""COMPUTED_VALUE"""),"General how-to")</f>
        <v>General how-to</v>
      </c>
      <c r="C865" s="1" t="str">
        <f>IFERROR(__xludf.DUMMYFUNCTION("""COMPUTED_VALUE"""),"Blog")</f>
        <v>Blog</v>
      </c>
      <c r="D865" s="1" t="str">
        <f>IFERROR(__xludf.DUMMYFUNCTION("""COMPUTED_VALUE"""),"How to optimize warehouse operations in 2024 and beyond")</f>
        <v>How to optimize warehouse operations in 2024 and beyond</v>
      </c>
      <c r="E865" s="12">
        <f>IFERROR(__xludf.DUMMYFUNCTION("""COMPUTED_VALUE"""),45369.51675925926)</f>
        <v>45369.51676</v>
      </c>
    </row>
    <row r="866">
      <c r="A866" s="7" t="str">
        <f>IFERROR(__xludf.DUMMYFUNCTION("""COMPUTED_VALUE"""),"https://www.method.me/blog/oracle-netsuite-quickbooks/")</f>
        <v>https://www.method.me/blog/oracle-netsuite-quickbooks/</v>
      </c>
      <c r="B866" s="1" t="str">
        <f>IFERROR(__xludf.DUMMYFUNCTION("""COMPUTED_VALUE"""),"QuickBooks - General")</f>
        <v>QuickBooks - General</v>
      </c>
      <c r="C866" s="1" t="str">
        <f>IFERROR(__xludf.DUMMYFUNCTION("""COMPUTED_VALUE"""),"Blog")</f>
        <v>Blog</v>
      </c>
      <c r="D866" s="1" t="str">
        <f>IFERROR(__xludf.DUMMYFUNCTION("""COMPUTED_VALUE"""),"Oracle NetSuite vs. QuickBooks: 2024 Comparison")</f>
        <v>Oracle NetSuite vs. QuickBooks: 2024 Comparison</v>
      </c>
      <c r="E866" s="12">
        <f>IFERROR(__xludf.DUMMYFUNCTION("""COMPUTED_VALUE"""),45369.69211805556)</f>
        <v>45369.69212</v>
      </c>
    </row>
    <row r="867">
      <c r="A867" s="7" t="str">
        <f>IFERROR(__xludf.DUMMYFUNCTION("""COMPUTED_VALUE"""),"https://www.method.me/blog/improve-warehouse-efficiency/")</f>
        <v>https://www.method.me/blog/improve-warehouse-efficiency/</v>
      </c>
      <c r="B867" s="1" t="str">
        <f>IFERROR(__xludf.DUMMYFUNCTION("""COMPUTED_VALUE"""),"General how-to")</f>
        <v>General how-to</v>
      </c>
      <c r="C867" s="1" t="str">
        <f>IFERROR(__xludf.DUMMYFUNCTION("""COMPUTED_VALUE"""),"Blog")</f>
        <v>Blog</v>
      </c>
      <c r="D867" s="1" t="str">
        <f>IFERROR(__xludf.DUMMYFUNCTION("""COMPUTED_VALUE"""),"How to run an efficient warehouse: Top tips for 2024 and beyond")</f>
        <v>How to run an efficient warehouse: Top tips for 2024 and beyond</v>
      </c>
      <c r="E867" s="12">
        <f>IFERROR(__xludf.DUMMYFUNCTION("""COMPUTED_VALUE"""),45371.72715277778)</f>
        <v>45371.72715</v>
      </c>
    </row>
    <row r="868">
      <c r="A868" s="7" t="str">
        <f>IFERROR(__xludf.DUMMYFUNCTION("""COMPUTED_VALUE"""),"https://www.method.me/blog/what-is-supply-chain-automation/")</f>
        <v>https://www.method.me/blog/what-is-supply-chain-automation/</v>
      </c>
      <c r="B868" s="1" t="str">
        <f>IFERROR(__xludf.DUMMYFUNCTION("""COMPUTED_VALUE"""),"MWD")</f>
        <v>MWD</v>
      </c>
      <c r="C868" s="1" t="str">
        <f>IFERROR(__xludf.DUMMYFUNCTION("""COMPUTED_VALUE"""),"Blog")</f>
        <v>Blog</v>
      </c>
      <c r="D868" s="1" t="str">
        <f>IFERROR(__xludf.DUMMYFUNCTION("""COMPUTED_VALUE"""),"Supply chain automation guide in 2024: Benefits, tools, and cost")</f>
        <v>Supply chain automation guide in 2024: Benefits, tools, and cost</v>
      </c>
      <c r="E868" s="12">
        <f>IFERROR(__xludf.DUMMYFUNCTION("""COMPUTED_VALUE"""),45377.351435185185)</f>
        <v>45377.35144</v>
      </c>
    </row>
    <row r="869">
      <c r="A869" s="7" t="str">
        <f>IFERROR(__xludf.DUMMYFUNCTION("""COMPUTED_VALUE"""),"https://www.method.me/blog/automation-in-logistics/")</f>
        <v>https://www.method.me/blog/automation-in-logistics/</v>
      </c>
      <c r="B869" s="1" t="str">
        <f>IFERROR(__xludf.DUMMYFUNCTION("""COMPUTED_VALUE"""),"MWD")</f>
        <v>MWD</v>
      </c>
      <c r="C869" s="1" t="str">
        <f>IFERROR(__xludf.DUMMYFUNCTION("""COMPUTED_VALUE"""),"Blog")</f>
        <v>Blog</v>
      </c>
      <c r="D869" s="1" t="str">
        <f>IFERROR(__xludf.DUMMYFUNCTION("""COMPUTED_VALUE"""),"The value of logistics automation in 2024 and beyond")</f>
        <v>The value of logistics automation in 2024 and beyond</v>
      </c>
      <c r="E869" s="12">
        <f>IFERROR(__xludf.DUMMYFUNCTION("""COMPUTED_VALUE"""),45378.45060185185)</f>
        <v>45378.4506</v>
      </c>
    </row>
    <row r="870">
      <c r="A870" s="7" t="str">
        <f>IFERROR(__xludf.DUMMYFUNCTION("""COMPUTED_VALUE"""),"https://www.method.me/videos/transforming-sales-teams/")</f>
        <v>https://www.method.me/videos/transforming-sales-teams/</v>
      </c>
      <c r="B870" s="1" t="str">
        <f>IFERROR(__xludf.DUMMYFUNCTION("""COMPUTED_VALUE"""),"Video page")</f>
        <v>Video page</v>
      </c>
      <c r="C870" s="1" t="str">
        <f>IFERROR(__xludf.DUMMYFUNCTION("""COMPUTED_VALUE"""),"Other page")</f>
        <v>Other page</v>
      </c>
      <c r="D870" s="1" t="str">
        <f>IFERROR(__xludf.DUMMYFUNCTION("""COMPUTED_VALUE"""),"Transforming sales teams: From good to great")</f>
        <v>Transforming sales teams: From good to great</v>
      </c>
      <c r="E870" s="12">
        <f>IFERROR(__xludf.DUMMYFUNCTION("""COMPUTED_VALUE"""),45384.400613425925)</f>
        <v>45384.40061</v>
      </c>
    </row>
    <row r="871">
      <c r="A871" s="7" t="str">
        <f>IFERROR(__xludf.DUMMYFUNCTION("""COMPUTED_VALUE"""),"https://www.method.me/blog/how-to-get-more-plumbing-leads/")</f>
        <v>https://www.method.me/blog/how-to-get-more-plumbing-leads/</v>
      </c>
      <c r="B871" s="1" t="str">
        <f>IFERROR(__xludf.DUMMYFUNCTION("""COMPUTED_VALUE"""),"Sales / Marketing / Lead gen")</f>
        <v>Sales / Marketing / Lead gen</v>
      </c>
      <c r="C871" s="1" t="str">
        <f>IFERROR(__xludf.DUMMYFUNCTION("""COMPUTED_VALUE"""),"Blog")</f>
        <v>Blog</v>
      </c>
      <c r="D871" s="1" t="str">
        <f>IFERROR(__xludf.DUMMYFUNCTION("""COMPUTED_VALUE"""),"How to get more plumbing leads with proven tactics")</f>
        <v>How to get more plumbing leads with proven tactics</v>
      </c>
      <c r="E871" s="12">
        <f>IFERROR(__xludf.DUMMYFUNCTION("""COMPUTED_VALUE"""),45384.549108796295)</f>
        <v>45384.54911</v>
      </c>
    </row>
    <row r="872">
      <c r="A872" s="7" t="str">
        <f>IFERROR(__xludf.DUMMYFUNCTION("""COMPUTED_VALUE"""),"https://www.method.me/blog/digital-marketing-for-plumbers/")</f>
        <v>https://www.method.me/blog/digital-marketing-for-plumbers/</v>
      </c>
      <c r="B872" s="1" t="str">
        <f>IFERROR(__xludf.DUMMYFUNCTION("""COMPUTED_VALUE"""),"Sales / Marketing / Lead gen")</f>
        <v>Sales / Marketing / Lead gen</v>
      </c>
      <c r="C872" s="1" t="str">
        <f>IFERROR(__xludf.DUMMYFUNCTION("""COMPUTED_VALUE"""),"Blog")</f>
        <v>Blog</v>
      </c>
      <c r="D872" s="1" t="str">
        <f>IFERROR(__xludf.DUMMYFUNCTION("""COMPUTED_VALUE"""),"Digital marketing for plumbers: 2024 guide")</f>
        <v>Digital marketing for plumbers: 2024 guide</v>
      </c>
      <c r="E872" s="12">
        <f>IFERROR(__xludf.DUMMYFUNCTION("""COMPUTED_VALUE"""),45386.388344907406)</f>
        <v>45386.38834</v>
      </c>
    </row>
    <row r="873">
      <c r="A873" s="7" t="str">
        <f>IFERROR(__xludf.DUMMYFUNCTION("""COMPUTED_VALUE"""),"https://www.method.me/blog/how-to-start-a-plumbing-business/")</f>
        <v>https://www.method.me/blog/how-to-start-a-plumbing-business/</v>
      </c>
      <c r="B873" s="1" t="str">
        <f>IFERROR(__xludf.DUMMYFUNCTION("""COMPUTED_VALUE"""),"General how-to")</f>
        <v>General how-to</v>
      </c>
      <c r="C873" s="1" t="str">
        <f>IFERROR(__xludf.DUMMYFUNCTION("""COMPUTED_VALUE"""),"Blog")</f>
        <v>Blog</v>
      </c>
      <c r="D873" s="1" t="str">
        <f>IFERROR(__xludf.DUMMYFUNCTION("""COMPUTED_VALUE"""),"How to start a plumbing business from scratch")</f>
        <v>How to start a plumbing business from scratch</v>
      </c>
      <c r="E873" s="12">
        <f>IFERROR(__xludf.DUMMYFUNCTION("""COMPUTED_VALUE"""),45391.50813657408)</f>
        <v>45391.50814</v>
      </c>
    </row>
    <row r="874">
      <c r="A874" s="7" t="str">
        <f>IFERROR(__xludf.DUMMYFUNCTION("""COMPUTED_VALUE"""),"https://www.method.me/blog/best-way-to-get-hvac-leads/")</f>
        <v>https://www.method.me/blog/best-way-to-get-hvac-leads/</v>
      </c>
      <c r="B874" s="1" t="str">
        <f>IFERROR(__xludf.DUMMYFUNCTION("""COMPUTED_VALUE"""),"Sales / Marketing / Lead gen")</f>
        <v>Sales / Marketing / Lead gen</v>
      </c>
      <c r="C874" s="1" t="str">
        <f>IFERROR(__xludf.DUMMYFUNCTION("""COMPUTED_VALUE"""),"Blog")</f>
        <v>Blog</v>
      </c>
      <c r="D874" s="1" t="str">
        <f>IFERROR(__xludf.DUMMYFUNCTION("""COMPUTED_VALUE"""),"Best way to get HVAC leads")</f>
        <v>Best way to get HVAC leads</v>
      </c>
      <c r="E874" s="12">
        <f>IFERROR(__xludf.DUMMYFUNCTION("""COMPUTED_VALUE"""),45393.39104166667)</f>
        <v>45393.39104</v>
      </c>
    </row>
    <row r="875">
      <c r="A875" s="7" t="str">
        <f>IFERROR(__xludf.DUMMYFUNCTION("""COMPUTED_VALUE"""),"https://www.method.me/blog/job-scheduling-app/")</f>
        <v>https://www.method.me/blog/job-scheduling-app/</v>
      </c>
      <c r="B875" s="1" t="str">
        <f>IFERROR(__xludf.DUMMYFUNCTION("""COMPUTED_VALUE"""),"Listicle - Software / Software overview")</f>
        <v>Listicle - Software / Software overview</v>
      </c>
      <c r="C875" s="1" t="str">
        <f>IFERROR(__xludf.DUMMYFUNCTION("""COMPUTED_VALUE"""),"Blog")</f>
        <v>Blog</v>
      </c>
      <c r="D875" s="1" t="str">
        <f>IFERROR(__xludf.DUMMYFUNCTION("""COMPUTED_VALUE"""),"How to choose the best job scheduling app for trades")</f>
        <v>How to choose the best job scheduling app for trades</v>
      </c>
      <c r="E875" s="12">
        <f>IFERROR(__xludf.DUMMYFUNCTION("""COMPUTED_VALUE"""),45398.40467592593)</f>
        <v>45398.40468</v>
      </c>
    </row>
    <row r="876">
      <c r="A876" s="7" t="str">
        <f>IFERROR(__xludf.DUMMYFUNCTION("""COMPUTED_VALUE"""),"https://www.method.me/customer-success/container-one/")</f>
        <v>https://www.method.me/customer-success/container-one/</v>
      </c>
      <c r="B876" s="1" t="str">
        <f>IFERROR(__xludf.DUMMYFUNCTION("""COMPUTED_VALUE"""),"Method - Customer / Partner Success")</f>
        <v>Method - Customer / Partner Success</v>
      </c>
      <c r="C876" s="1" t="str">
        <f>IFERROR(__xludf.DUMMYFUNCTION("""COMPUTED_VALUE"""),"Other page")</f>
        <v>Other page</v>
      </c>
      <c r="D876" s="1" t="str">
        <f>IFERROR(__xludf.DUMMYFUNCTION("""COMPUTED_VALUE"""),"Container One")</f>
        <v>Container One</v>
      </c>
      <c r="E876" s="12">
        <f>IFERROR(__xludf.DUMMYFUNCTION("""COMPUTED_VALUE"""),45398.60724537037)</f>
        <v>45398.60725</v>
      </c>
    </row>
    <row r="877">
      <c r="A877" s="7" t="str">
        <f>IFERROR(__xludf.DUMMYFUNCTION("""COMPUTED_VALUE"""),"https://www.method.me/videos/qbo-automation/")</f>
        <v>https://www.method.me/videos/qbo-automation/</v>
      </c>
      <c r="B877" s="1" t="str">
        <f>IFERROR(__xludf.DUMMYFUNCTION("""COMPUTED_VALUE"""),"Video page")</f>
        <v>Video page</v>
      </c>
      <c r="C877" s="1" t="str">
        <f>IFERROR(__xludf.DUMMYFUNCTION("""COMPUTED_VALUE"""),"Other page")</f>
        <v>Other page</v>
      </c>
      <c r="D877" s="1" t="str">
        <f>IFERROR(__xludf.DUMMYFUNCTION("""COMPUTED_VALUE"""),"How to maximize efficiency with QuickBooks Online automation")</f>
        <v>How to maximize efficiency with QuickBooks Online automation</v>
      </c>
      <c r="E877" s="12">
        <f>IFERROR(__xludf.DUMMYFUNCTION("""COMPUTED_VALUE"""),45398.69878472222)</f>
        <v>45398.69878</v>
      </c>
    </row>
    <row r="878">
      <c r="A878" s="7" t="str">
        <f>IFERROR(__xludf.DUMMYFUNCTION("""COMPUTED_VALUE"""),"https://www.method.me/blog/cold-calling-script/")</f>
        <v>https://www.method.me/blog/cold-calling-script/</v>
      </c>
      <c r="B878" s="1" t="str">
        <f>IFERROR(__xludf.DUMMYFUNCTION("""COMPUTED_VALUE"""),"Sales / Marketing / Lead gen")</f>
        <v>Sales / Marketing / Lead gen</v>
      </c>
      <c r="C878" s="1" t="str">
        <f>IFERROR(__xludf.DUMMYFUNCTION("""COMPUTED_VALUE"""),"Blog")</f>
        <v>Blog</v>
      </c>
      <c r="D878" s="1" t="str">
        <f>IFERROR(__xludf.DUMMYFUNCTION("""COMPUTED_VALUE"""),"The best cold call script (that actually works)")</f>
        <v>The best cold call script (that actually works)</v>
      </c>
      <c r="E878" s="12">
        <f>IFERROR(__xludf.DUMMYFUNCTION("""COMPUTED_VALUE"""),45400.55165509259)</f>
        <v>45400.55166</v>
      </c>
    </row>
    <row r="879">
      <c r="A879" s="7" t="str">
        <f>IFERROR(__xludf.DUMMYFUNCTION("""COMPUTED_VALUE"""),"https://www.method.me/customer-success/vintage-makers/")</f>
        <v>https://www.method.me/customer-success/vintage-makers/</v>
      </c>
      <c r="B879" s="1" t="str">
        <f>IFERROR(__xludf.DUMMYFUNCTION("""COMPUTED_VALUE"""),"Method - Customer / Partner Success")</f>
        <v>Method - Customer / Partner Success</v>
      </c>
      <c r="C879" s="1" t="str">
        <f>IFERROR(__xludf.DUMMYFUNCTION("""COMPUTED_VALUE"""),"Other page")</f>
        <v>Other page</v>
      </c>
      <c r="D879" s="1" t="str">
        <f>IFERROR(__xludf.DUMMYFUNCTION("""COMPUTED_VALUE"""),"Vintage Makers")</f>
        <v>Vintage Makers</v>
      </c>
      <c r="E879" s="12">
        <f>IFERROR(__xludf.DUMMYFUNCTION("""COMPUTED_VALUE"""),45404.533425925925)</f>
        <v>45404.53343</v>
      </c>
    </row>
    <row r="880">
      <c r="A880" s="7" t="str">
        <f>IFERROR(__xludf.DUMMYFUNCTION("""COMPUTED_VALUE"""),"https://www.method.me/blog/record-returned-checks-in-quickbooks/")</f>
        <v>https://www.method.me/blog/record-returned-checks-in-quickbooks/</v>
      </c>
      <c r="B880" s="1" t="str">
        <f>IFERROR(__xludf.DUMMYFUNCTION("""COMPUTED_VALUE"""),"QuickBooks - How-to")</f>
        <v>QuickBooks - How-to</v>
      </c>
      <c r="C880" s="1" t="str">
        <f>IFERROR(__xludf.DUMMYFUNCTION("""COMPUTED_VALUE"""),"Blog")</f>
        <v>Blog</v>
      </c>
      <c r="D880" s="1" t="str">
        <f>IFERROR(__xludf.DUMMYFUNCTION("""COMPUTED_VALUE"""),"How to record returned checks in QuickBooks Online")</f>
        <v>How to record returned checks in QuickBooks Online</v>
      </c>
      <c r="E880" s="12">
        <f>IFERROR(__xludf.DUMMYFUNCTION("""COMPUTED_VALUE"""),45405.456296296295)</f>
        <v>45405.4563</v>
      </c>
    </row>
    <row r="881">
      <c r="A881" s="7" t="str">
        <f>IFERROR(__xludf.DUMMYFUNCTION("""COMPUTED_VALUE"""),"https://www.method.me/blog/print-check-in-quickbooks-online/")</f>
        <v>https://www.method.me/blog/print-check-in-quickbooks-online/</v>
      </c>
      <c r="B881" s="1" t="str">
        <f>IFERROR(__xludf.DUMMYFUNCTION("""COMPUTED_VALUE"""),"QuickBooks - How-to")</f>
        <v>QuickBooks - How-to</v>
      </c>
      <c r="C881" s="1" t="str">
        <f>IFERROR(__xludf.DUMMYFUNCTION("""COMPUTED_VALUE"""),"Blog")</f>
        <v>Blog</v>
      </c>
      <c r="D881" s="1" t="str">
        <f>IFERROR(__xludf.DUMMYFUNCTION("""COMPUTED_VALUE"""),"How to print checks in QuickBooks Online")</f>
        <v>How to print checks in QuickBooks Online</v>
      </c>
      <c r="E881" s="12">
        <f>IFERROR(__xludf.DUMMYFUNCTION("""COMPUTED_VALUE"""),45408.43703703704)</f>
        <v>45408.43704</v>
      </c>
    </row>
    <row r="882">
      <c r="A882" s="7" t="str">
        <f>IFERROR(__xludf.DUMMYFUNCTION("""COMPUTED_VALUE"""),"https://www.method.me/blog/delete-transactions-in-quickbooks/")</f>
        <v>https://www.method.me/blog/delete-transactions-in-quickbooks/</v>
      </c>
      <c r="B882" s="1" t="str">
        <f>IFERROR(__xludf.DUMMYFUNCTION("""COMPUTED_VALUE"""),"QuickBooks - How-to")</f>
        <v>QuickBooks - How-to</v>
      </c>
      <c r="C882" s="1" t="str">
        <f>IFERROR(__xludf.DUMMYFUNCTION("""COMPUTED_VALUE"""),"Blog")</f>
        <v>Blog</v>
      </c>
      <c r="D882" s="1" t="str">
        <f>IFERROR(__xludf.DUMMYFUNCTION("""COMPUTED_VALUE"""),"How to delete transactions in QuickBooks Online safely")</f>
        <v>How to delete transactions in QuickBooks Online safely</v>
      </c>
      <c r="E882" s="12">
        <f>IFERROR(__xludf.DUMMYFUNCTION("""COMPUTED_VALUE"""),45413.40924768519)</f>
        <v>45413.40925</v>
      </c>
    </row>
    <row r="883">
      <c r="A883" s="7" t="str">
        <f>IFERROR(__xludf.DUMMYFUNCTION("""COMPUTED_VALUE"""),"https://www.method.me/blog/delete-payment-from-deposit-quickbooks/")</f>
        <v>https://www.method.me/blog/delete-payment-from-deposit-quickbooks/</v>
      </c>
      <c r="B883" s="1" t="str">
        <f>IFERROR(__xludf.DUMMYFUNCTION("""COMPUTED_VALUE"""),"QuickBooks - How-to")</f>
        <v>QuickBooks - How-to</v>
      </c>
      <c r="C883" s="1" t="str">
        <f>IFERROR(__xludf.DUMMYFUNCTION("""COMPUTED_VALUE"""),"Blog")</f>
        <v>Blog</v>
      </c>
      <c r="D883" s="1" t="str">
        <f>IFERROR(__xludf.DUMMYFUNCTION("""COMPUTED_VALUE"""),"How to delete payments from deposits in QuickBooks")</f>
        <v>How to delete payments from deposits in QuickBooks</v>
      </c>
      <c r="E883" s="12">
        <f>IFERROR(__xludf.DUMMYFUNCTION("""COMPUTED_VALUE"""),45414.542962962965)</f>
        <v>45414.54296</v>
      </c>
    </row>
    <row r="884">
      <c r="A884" s="7" t="str">
        <f>IFERROR(__xludf.DUMMYFUNCTION("""COMPUTED_VALUE"""),"https://www.method.me/videos/erp-alternative/")</f>
        <v>https://www.method.me/videos/erp-alternative/</v>
      </c>
      <c r="B884" s="1" t="str">
        <f>IFERROR(__xludf.DUMMYFUNCTION("""COMPUTED_VALUE"""),"Video page")</f>
        <v>Video page</v>
      </c>
      <c r="C884" s="1" t="str">
        <f>IFERROR(__xludf.DUMMYFUNCTION("""COMPUTED_VALUE"""),"Other page")</f>
        <v>Other page</v>
      </c>
      <c r="D884" s="1" t="str">
        <f>IFERROR(__xludf.DUMMYFUNCTION("""COMPUTED_VALUE"""),"An alternative to ERP: Scale your business with Method and QuickBooks Online")</f>
        <v>An alternative to ERP: Scale your business with Method and QuickBooks Online</v>
      </c>
      <c r="E884" s="12">
        <f>IFERROR(__xludf.DUMMYFUNCTION("""COMPUTED_VALUE"""),45415.404375)</f>
        <v>45415.40438</v>
      </c>
    </row>
    <row r="885">
      <c r="A885" s="7" t="str">
        <f>IFERROR(__xludf.DUMMYFUNCTION("""COMPUTED_VALUE"""),"https://www.method.me/blog/best-invoice-software-for-small-business/")</f>
        <v>https://www.method.me/blog/best-invoice-software-for-small-business/</v>
      </c>
      <c r="B885" s="1" t="str">
        <f>IFERROR(__xludf.DUMMYFUNCTION("""COMPUTED_VALUE"""),"Listicle - Software / Software overview")</f>
        <v>Listicle - Software / Software overview</v>
      </c>
      <c r="C885" s="1" t="str">
        <f>IFERROR(__xludf.DUMMYFUNCTION("""COMPUTED_VALUE"""),"Blog")</f>
        <v>Blog</v>
      </c>
      <c r="D885" s="1" t="str">
        <f>IFERROR(__xludf.DUMMYFUNCTION("""COMPUTED_VALUE"""),"Best invoice software for small business in 2024")</f>
        <v>Best invoice software for small business in 2024</v>
      </c>
      <c r="E885" s="12">
        <f>IFERROR(__xludf.DUMMYFUNCTION("""COMPUTED_VALUE"""),45419.671331018515)</f>
        <v>45419.67133</v>
      </c>
    </row>
    <row r="886">
      <c r="A886" s="7" t="str">
        <f>IFERROR(__xludf.DUMMYFUNCTION("""COMPUTED_VALUE"""),"https://www.method.me/blog/time-billing-software/")</f>
        <v>https://www.method.me/blog/time-billing-software/</v>
      </c>
      <c r="B886" s="1" t="str">
        <f>IFERROR(__xludf.DUMMYFUNCTION("""COMPUTED_VALUE"""),"Listicle - Software / Software overview")</f>
        <v>Listicle - Software / Software overview</v>
      </c>
      <c r="C886" s="1" t="str">
        <f>IFERROR(__xludf.DUMMYFUNCTION("""COMPUTED_VALUE"""),"Blog")</f>
        <v>Blog</v>
      </c>
      <c r="D886" s="1" t="str">
        <f>IFERROR(__xludf.DUMMYFUNCTION("""COMPUTED_VALUE"""),"Time and billing software for accountants: Top picks 2024")</f>
        <v>Time and billing software for accountants: Top picks 2024</v>
      </c>
      <c r="E886" s="12">
        <f>IFERROR(__xludf.DUMMYFUNCTION("""COMPUTED_VALUE"""),45421.6196875)</f>
        <v>45421.61969</v>
      </c>
    </row>
    <row r="887">
      <c r="A887" s="7" t="str">
        <f>IFERROR(__xludf.DUMMYFUNCTION("""COMPUTED_VALUE"""),"https://www.method.me/blog/e-invoicing-software/")</f>
        <v>https://www.method.me/blog/e-invoicing-software/</v>
      </c>
      <c r="B887" s="1" t="str">
        <f>IFERROR(__xludf.DUMMYFUNCTION("""COMPUTED_VALUE"""),"Listicle - Software / Software overview")</f>
        <v>Listicle - Software / Software overview</v>
      </c>
      <c r="C887" s="1" t="str">
        <f>IFERROR(__xludf.DUMMYFUNCTION("""COMPUTED_VALUE"""),"Blog")</f>
        <v>Blog</v>
      </c>
      <c r="D887" s="1" t="str">
        <f>IFERROR(__xludf.DUMMYFUNCTION("""COMPUTED_VALUE"""),"Best e-invoicing software and how to choose one")</f>
        <v>Best e-invoicing software and how to choose one</v>
      </c>
      <c r="E887" s="12">
        <f>IFERROR(__xludf.DUMMYFUNCTION("""COMPUTED_VALUE"""),45426.4034375)</f>
        <v>45426.40344</v>
      </c>
    </row>
    <row r="888">
      <c r="A888" s="7" t="str">
        <f>IFERROR(__xludf.DUMMYFUNCTION("""COMPUTED_VALUE"""),"https://www.method.me/blog/pandadoc-alternatives/")</f>
        <v>https://www.method.me/blog/pandadoc-alternatives/</v>
      </c>
      <c r="B888" s="1" t="str">
        <f>IFERROR(__xludf.DUMMYFUNCTION("""COMPUTED_VALUE"""),"Listicle - Software / Software overview")</f>
        <v>Listicle - Software / Software overview</v>
      </c>
      <c r="C888" s="1" t="str">
        <f>IFERROR(__xludf.DUMMYFUNCTION("""COMPUTED_VALUE"""),"Blog")</f>
        <v>Blog</v>
      </c>
      <c r="D888" s="1" t="str">
        <f>IFERROR(__xludf.DUMMYFUNCTION("""COMPUTED_VALUE"""),"PandaDoc alternatives, competitors, and reviews in 2024")</f>
        <v>PandaDoc alternatives, competitors, and reviews in 2024</v>
      </c>
      <c r="E888" s="12">
        <f>IFERROR(__xludf.DUMMYFUNCTION("""COMPUTED_VALUE"""),45429.45533564815)</f>
        <v>45429.45534</v>
      </c>
    </row>
    <row r="889">
      <c r="A889" s="7" t="str">
        <f>IFERROR(__xludf.DUMMYFUNCTION("""COMPUTED_VALUE"""),"https://www.method.me/blog/convert-estimate-to-invoice-in-quickbooks-online/")</f>
        <v>https://www.method.me/blog/convert-estimate-to-invoice-in-quickbooks-online/</v>
      </c>
      <c r="B889" s="1" t="str">
        <f>IFERROR(__xludf.DUMMYFUNCTION("""COMPUTED_VALUE"""),"QuickBooks - How-to")</f>
        <v>QuickBooks - How-to</v>
      </c>
      <c r="C889" s="1" t="str">
        <f>IFERROR(__xludf.DUMMYFUNCTION("""COMPUTED_VALUE"""),"Blog")</f>
        <v>Blog</v>
      </c>
      <c r="D889" s="1" t="str">
        <f>IFERROR(__xludf.DUMMYFUNCTION("""COMPUTED_VALUE"""),"How to convert an estimate to an invoice in QuickBooks")</f>
        <v>How to convert an estimate to an invoice in QuickBooks</v>
      </c>
      <c r="E889" s="12">
        <f>IFERROR(__xludf.DUMMYFUNCTION("""COMPUTED_VALUE"""),45434.405127314814)</f>
        <v>45434.40513</v>
      </c>
    </row>
    <row r="890">
      <c r="A890" s="7" t="str">
        <f>IFERROR(__xludf.DUMMYFUNCTION("""COMPUTED_VALUE"""),"https://www.method.me/blog/quickbooks-estimate-vs-quote/")</f>
        <v>https://www.method.me/blog/quickbooks-estimate-vs-quote/</v>
      </c>
      <c r="B890" s="1" t="str">
        <f>IFERROR(__xludf.DUMMYFUNCTION("""COMPUTED_VALUE"""),"QuickBooks - General")</f>
        <v>QuickBooks - General</v>
      </c>
      <c r="C890" s="1" t="str">
        <f>IFERROR(__xludf.DUMMYFUNCTION("""COMPUTED_VALUE"""),"Blog")</f>
        <v>Blog</v>
      </c>
      <c r="D890" s="1" t="str">
        <f>IFERROR(__xludf.DUMMYFUNCTION("""COMPUTED_VALUE"""),"Difference between a quote and an estimate in QuickBooks: A detailed guide")</f>
        <v>Difference between a quote and an estimate in QuickBooks: A detailed guide</v>
      </c>
      <c r="E890" s="12">
        <f>IFERROR(__xludf.DUMMYFUNCTION("""COMPUTED_VALUE"""),45435.40398148148)</f>
        <v>45435.40398</v>
      </c>
    </row>
    <row r="891">
      <c r="A891" s="7" t="str">
        <f>IFERROR(__xludf.DUMMYFUNCTION("""COMPUTED_VALUE"""),"https://www.method.me/blog/create-quote-in-quickbooks/")</f>
        <v>https://www.method.me/blog/create-quote-in-quickbooks/</v>
      </c>
      <c r="B891" s="1" t="str">
        <f>IFERROR(__xludf.DUMMYFUNCTION("""COMPUTED_VALUE"""),"QuickBooks - How-to")</f>
        <v>QuickBooks - How-to</v>
      </c>
      <c r="C891" s="1" t="str">
        <f>IFERROR(__xludf.DUMMYFUNCTION("""COMPUTED_VALUE"""),"Blog")</f>
        <v>Blog</v>
      </c>
      <c r="D891" s="1" t="str">
        <f>IFERROR(__xludf.DUMMYFUNCTION("""COMPUTED_VALUE"""),"Using QuickBooks quote template to create a quote")</f>
        <v>Using QuickBooks quote template to create a quote</v>
      </c>
      <c r="E891" s="12">
        <f>IFERROR(__xludf.DUMMYFUNCTION("""COMPUTED_VALUE"""),45441.55614583333)</f>
        <v>45441.55615</v>
      </c>
    </row>
    <row r="892">
      <c r="A892" s="7" t="str">
        <f>IFERROR(__xludf.DUMMYFUNCTION("""COMPUTED_VALUE"""),"https://www.method.me/blog/change-address-on-quickbooks-invoice/")</f>
        <v>https://www.method.me/blog/change-address-on-quickbooks-invoice/</v>
      </c>
      <c r="B892" s="1" t="str">
        <f>IFERROR(__xludf.DUMMYFUNCTION("""COMPUTED_VALUE"""),"QuickBooks - How-to")</f>
        <v>QuickBooks - How-to</v>
      </c>
      <c r="C892" s="1" t="str">
        <f>IFERROR(__xludf.DUMMYFUNCTION("""COMPUTED_VALUE"""),"Blog")</f>
        <v>Blog</v>
      </c>
      <c r="D892" s="1" t="str">
        <f>IFERROR(__xludf.DUMMYFUNCTION("""COMPUTED_VALUE"""),"How to change address on QuickBooks invoice: A complete guide")</f>
        <v>How to change address on QuickBooks invoice: A complete guide</v>
      </c>
      <c r="E892" s="12">
        <f>IFERROR(__xludf.DUMMYFUNCTION("""COMPUTED_VALUE"""),45442.39418981481)</f>
        <v>45442.39419</v>
      </c>
    </row>
    <row r="893">
      <c r="A893" s="7" t="str">
        <f>IFERROR(__xludf.DUMMYFUNCTION("""COMPUTED_VALUE"""),"https://www.method.me/blog/how-to-change-invoice-number-in-quickbooks-online/")</f>
        <v>https://www.method.me/blog/how-to-change-invoice-number-in-quickbooks-online/</v>
      </c>
      <c r="B893" s="1" t="str">
        <f>IFERROR(__xludf.DUMMYFUNCTION("""COMPUTED_VALUE"""),"QuickBooks - How-to")</f>
        <v>QuickBooks - How-to</v>
      </c>
      <c r="C893" s="1" t="str">
        <f>IFERROR(__xludf.DUMMYFUNCTION("""COMPUTED_VALUE"""),"Blog")</f>
        <v>Blog</v>
      </c>
      <c r="D893" s="1" t="str">
        <f>IFERROR(__xludf.DUMMYFUNCTION("""COMPUTED_VALUE"""),"How to change invoice number in QuickBooks Online")</f>
        <v>How to change invoice number in QuickBooks Online</v>
      </c>
      <c r="E893" s="12">
        <f>IFERROR(__xludf.DUMMYFUNCTION("""COMPUTED_VALUE"""),45447.72560185185)</f>
        <v>45447.7256</v>
      </c>
    </row>
    <row r="894">
      <c r="A894" s="7" t="str">
        <f>IFERROR(__xludf.DUMMYFUNCTION("""COMPUTED_VALUE"""),"https://www.method.me/blog/add-logo-to-quickbooks-invoice/")</f>
        <v>https://www.method.me/blog/add-logo-to-quickbooks-invoice/</v>
      </c>
      <c r="B894" s="1" t="str">
        <f>IFERROR(__xludf.DUMMYFUNCTION("""COMPUTED_VALUE"""),"QuickBooks - How-to")</f>
        <v>QuickBooks - How-to</v>
      </c>
      <c r="C894" s="1" t="str">
        <f>IFERROR(__xludf.DUMMYFUNCTION("""COMPUTED_VALUE"""),"Blog")</f>
        <v>Blog</v>
      </c>
      <c r="D894" s="1" t="str">
        <f>IFERROR(__xludf.DUMMYFUNCTION("""COMPUTED_VALUE"""),"How to add logo to QuickBooks invoice with 8 easy steps")</f>
        <v>How to add logo to QuickBooks invoice with 8 easy steps</v>
      </c>
      <c r="E894" s="12">
        <f>IFERROR(__xludf.DUMMYFUNCTION("""COMPUTED_VALUE"""),45449.67835648148)</f>
        <v>45449.67836</v>
      </c>
    </row>
    <row r="895">
      <c r="A895" s="7" t="str">
        <f>IFERROR(__xludf.DUMMYFUNCTION("""COMPUTED_VALUE"""),"https://www.method.me/blog/creatio-alternative/")</f>
        <v>https://www.method.me/blog/creatio-alternative/</v>
      </c>
      <c r="B895" s="1" t="str">
        <f>IFERROR(__xludf.DUMMYFUNCTION("""COMPUTED_VALUE"""),"Listicle - Software / Software overview")</f>
        <v>Listicle - Software / Software overview</v>
      </c>
      <c r="C895" s="1" t="str">
        <f>IFERROR(__xludf.DUMMYFUNCTION("""COMPUTED_VALUE"""),"Blog")</f>
        <v>Blog</v>
      </c>
      <c r="D895" s="1" t="str">
        <f>IFERROR(__xludf.DUMMYFUNCTION("""COMPUTED_VALUE"""),"Top Creatio competitors and alternatives in 2024")</f>
        <v>Top Creatio competitors and alternatives in 2024</v>
      </c>
      <c r="E895" s="12">
        <f>IFERROR(__xludf.DUMMYFUNCTION("""COMPUTED_VALUE"""),45454.64164351852)</f>
        <v>45454.64164</v>
      </c>
    </row>
    <row r="896">
      <c r="A896" s="7" t="str">
        <f>IFERROR(__xludf.DUMMYFUNCTION("""COMPUTED_VALUE"""),"https://www.method.me/blog/general-contractor-license/")</f>
        <v>https://www.method.me/blog/general-contractor-license/</v>
      </c>
      <c r="B896" s="1" t="str">
        <f>IFERROR(__xludf.DUMMYFUNCTION("""COMPUTED_VALUE"""),"General how-to")</f>
        <v>General how-to</v>
      </c>
      <c r="C896" s="1" t="str">
        <f>IFERROR(__xludf.DUMMYFUNCTION("""COMPUTED_VALUE"""),"Blog")</f>
        <v>Blog</v>
      </c>
      <c r="D896" s="1" t="str">
        <f>IFERROR(__xludf.DUMMYFUNCTION("""COMPUTED_VALUE"""),"Simple steps to obtain a general contractor license")</f>
        <v>Simple steps to obtain a general contractor license</v>
      </c>
      <c r="E896" s="12">
        <f>IFERROR(__xludf.DUMMYFUNCTION("""COMPUTED_VALUE"""),45456.50537037037)</f>
        <v>45456.50537</v>
      </c>
    </row>
    <row r="897">
      <c r="A897" s="7" t="str">
        <f>IFERROR(__xludf.DUMMYFUNCTION("""COMPUTED_VALUE"""),"https://www.method.me/blog/accounting-best-practices/")</f>
        <v>https://www.method.me/blog/accounting-best-practices/</v>
      </c>
      <c r="B897" s="1" t="str">
        <f>IFERROR(__xludf.DUMMYFUNCTION("""COMPUTED_VALUE"""),"QuickBooks - General")</f>
        <v>QuickBooks - General</v>
      </c>
      <c r="C897" s="1" t="str">
        <f>IFERROR(__xludf.DUMMYFUNCTION("""COMPUTED_VALUE"""),"Blog")</f>
        <v>Blog</v>
      </c>
      <c r="D897" s="1" t="str">
        <f>IFERROR(__xludf.DUMMYFUNCTION("""COMPUTED_VALUE"""),"Accounting best practices for QuickBooks Desktop in 2024")</f>
        <v>Accounting best practices for QuickBooks Desktop in 2024</v>
      </c>
      <c r="E897" s="12">
        <f>IFERROR(__xludf.DUMMYFUNCTION("""COMPUTED_VALUE"""),45461.81627314815)</f>
        <v>45461.81627</v>
      </c>
    </row>
    <row r="898">
      <c r="A898" s="7" t="str">
        <f>IFERROR(__xludf.DUMMYFUNCTION("""COMPUTED_VALUE"""),"https://www.method.me/blog/start-hvac-business/")</f>
        <v>https://www.method.me/blog/start-hvac-business/</v>
      </c>
      <c r="B898" s="1" t="str">
        <f>IFERROR(__xludf.DUMMYFUNCTION("""COMPUTED_VALUE"""),"General how-to")</f>
        <v>General how-to</v>
      </c>
      <c r="C898" s="1" t="str">
        <f>IFERROR(__xludf.DUMMYFUNCTION("""COMPUTED_VALUE"""),"Blog")</f>
        <v>Blog</v>
      </c>
      <c r="D898" s="1" t="str">
        <f>IFERROR(__xludf.DUMMYFUNCTION("""COMPUTED_VALUE"""),"How to start an HVAC business in 2024 and mistakes to avoid")</f>
        <v>How to start an HVAC business in 2024 and mistakes to avoid</v>
      </c>
      <c r="E898" s="12">
        <f>IFERROR(__xludf.DUMMYFUNCTION("""COMPUTED_VALUE"""),45463.61923611111)</f>
        <v>45463.61924</v>
      </c>
    </row>
    <row r="899">
      <c r="A899" s="7" t="str">
        <f>IFERROR(__xludf.DUMMYFUNCTION("""COMPUTED_VALUE"""),"https://www.method.me/blog/hvac-contractor-marketing-strategies/")</f>
        <v>https://www.method.me/blog/hvac-contractor-marketing-strategies/</v>
      </c>
      <c r="B899" s="1" t="str">
        <f>IFERROR(__xludf.DUMMYFUNCTION("""COMPUTED_VALUE"""),"Field services / Contractors")</f>
        <v>Field services / Contractors</v>
      </c>
      <c r="C899" s="1" t="str">
        <f>IFERROR(__xludf.DUMMYFUNCTION("""COMPUTED_VALUE"""),"Blog")</f>
        <v>Blog</v>
      </c>
      <c r="D899" s="1" t="str">
        <f>IFERROR(__xludf.DUMMYFUNCTION("""COMPUTED_VALUE"""),"7 best HVAC contractor marketing strategies you must try")</f>
        <v>7 best HVAC contractor marketing strategies you must try</v>
      </c>
      <c r="E899" s="12">
        <f>IFERROR(__xludf.DUMMYFUNCTION("""COMPUTED_VALUE"""),45468.74592592593)</f>
        <v>45468.74593</v>
      </c>
    </row>
    <row r="900">
      <c r="A900" s="7" t="str">
        <f>IFERROR(__xludf.DUMMYFUNCTION("""COMPUTED_VALUE"""),"https://www.method.me/blog/get-hvac-license/")</f>
        <v>https://www.method.me/blog/get-hvac-license/</v>
      </c>
      <c r="B900" s="1" t="str">
        <f>IFERROR(__xludf.DUMMYFUNCTION("""COMPUTED_VALUE"""),"General how-to")</f>
        <v>General how-to</v>
      </c>
      <c r="C900" s="1" t="str">
        <f>IFERROR(__xludf.DUMMYFUNCTION("""COMPUTED_VALUE"""),"Blog")</f>
        <v>Blog</v>
      </c>
      <c r="D900" s="1" t="str">
        <f>IFERROR(__xludf.DUMMYFUNCTION("""COMPUTED_VALUE"""),"How to get HVAC license in 2024: A comprehensive guide")</f>
        <v>How to get HVAC license in 2024: A comprehensive guide</v>
      </c>
      <c r="E900" s="12">
        <f>IFERROR(__xludf.DUMMYFUNCTION("""COMPUTED_VALUE"""),45470.809386574074)</f>
        <v>45470.80939</v>
      </c>
    </row>
    <row r="901">
      <c r="A901" s="7" t="str">
        <f>IFERROR(__xludf.DUMMYFUNCTION("""COMPUTED_VALUE"""),"https://www.method.me/blog/florida-general-contractor-license/")</f>
        <v>https://www.method.me/blog/florida-general-contractor-license/</v>
      </c>
      <c r="B901" s="1" t="str">
        <f>IFERROR(__xludf.DUMMYFUNCTION("""COMPUTED_VALUE"""),"General how-to")</f>
        <v>General how-to</v>
      </c>
      <c r="C901" s="1" t="str">
        <f>IFERROR(__xludf.DUMMYFUNCTION("""COMPUTED_VALUE"""),"Blog")</f>
        <v>Blog</v>
      </c>
      <c r="D901" s="1" t="str">
        <f>IFERROR(__xludf.DUMMYFUNCTION("""COMPUTED_VALUE"""),"How to apply for a Florida general contractor license")</f>
        <v>How to apply for a Florida general contractor license</v>
      </c>
      <c r="E901" s="12">
        <f>IFERROR(__xludf.DUMMYFUNCTION("""COMPUTED_VALUE"""),45476.38508101852)</f>
        <v>45476.38508</v>
      </c>
    </row>
    <row r="902">
      <c r="A902" s="7" t="str">
        <f>IFERROR(__xludf.DUMMYFUNCTION("""COMPUTED_VALUE"""),"https://www.method.me/blog/illinois-general-contractor-license/")</f>
        <v>https://www.method.me/blog/illinois-general-contractor-license/</v>
      </c>
      <c r="B902" s="1" t="str">
        <f>IFERROR(__xludf.DUMMYFUNCTION("""COMPUTED_VALUE"""),"General how-to")</f>
        <v>General how-to</v>
      </c>
      <c r="C902" s="1" t="str">
        <f>IFERROR(__xludf.DUMMYFUNCTION("""COMPUTED_VALUE"""),"Blog")</f>
        <v>Blog</v>
      </c>
      <c r="D902" s="1" t="str">
        <f>IFERROR(__xludf.DUMMYFUNCTION("""COMPUTED_VALUE"""),"How to get Illinois general contractor license")</f>
        <v>How to get Illinois general contractor license</v>
      </c>
      <c r="E902" s="12">
        <f>IFERROR(__xludf.DUMMYFUNCTION("""COMPUTED_VALUE"""),45483.91762731481)</f>
        <v>45483.91763</v>
      </c>
    </row>
    <row r="903">
      <c r="A903" s="7" t="str">
        <f>IFERROR(__xludf.DUMMYFUNCTION("""COMPUTED_VALUE"""),"https://www.method.me/blog/quickbooks-desktop-discontinued/")</f>
        <v>https://www.method.me/blog/quickbooks-desktop-discontinued/</v>
      </c>
      <c r="B903" s="1" t="str">
        <f>IFERROR(__xludf.DUMMYFUNCTION("""COMPUTED_VALUE"""),"QuickBooks - General")</f>
        <v>QuickBooks - General</v>
      </c>
      <c r="C903" s="1" t="str">
        <f>IFERROR(__xludf.DUMMYFUNCTION("""COMPUTED_VALUE"""),"Blog")</f>
        <v>Blog</v>
      </c>
      <c r="D903" s="1" t="str">
        <f>IFERROR(__xludf.DUMMYFUNCTION("""COMPUTED_VALUE"""),"QuickBooks Desktop discontinued: Next steps for Desktop users")</f>
        <v>QuickBooks Desktop discontinued: Next steps for Desktop users</v>
      </c>
      <c r="E903" s="12">
        <f>IFERROR(__xludf.DUMMYFUNCTION("""COMPUTED_VALUE"""),45489.72583333333)</f>
        <v>45489.72583</v>
      </c>
    </row>
    <row r="904">
      <c r="A904" s="7" t="str">
        <f>IFERROR(__xludf.DUMMYFUNCTION("""COMPUTED_VALUE"""),"https://www.method.me/blog/upgrade-quickbooks-desktop/")</f>
        <v>https://www.method.me/blog/upgrade-quickbooks-desktop/</v>
      </c>
      <c r="B904" s="1" t="str">
        <f>IFERROR(__xludf.DUMMYFUNCTION("""COMPUTED_VALUE"""),"QuickBooks - How-to")</f>
        <v>QuickBooks - How-to</v>
      </c>
      <c r="C904" s="1" t="str">
        <f>IFERROR(__xludf.DUMMYFUNCTION("""COMPUTED_VALUE"""),"Blog")</f>
        <v>Blog</v>
      </c>
      <c r="D904" s="1" t="str">
        <f>IFERROR(__xludf.DUMMYFUNCTION("""COMPUTED_VALUE"""),"How to upgrade QuickBooks Desktop in 5 simple steps")</f>
        <v>How to upgrade QuickBooks Desktop in 5 simple steps</v>
      </c>
      <c r="E904" s="12">
        <f>IFERROR(__xludf.DUMMYFUNCTION("""COMPUTED_VALUE"""),45496.709502314814)</f>
        <v>45496.7095</v>
      </c>
    </row>
    <row r="905">
      <c r="A905" s="7" t="str">
        <f>IFERROR(__xludf.DUMMYFUNCTION("""COMPUTED_VALUE"""),"https://www.method.me/videos/quickbooks-desktop-continuity-plan/")</f>
        <v>https://www.method.me/videos/quickbooks-desktop-continuity-plan/</v>
      </c>
      <c r="B905" s="1" t="str">
        <f>IFERROR(__xludf.DUMMYFUNCTION("""COMPUTED_VALUE"""),"Video page")</f>
        <v>Video page</v>
      </c>
      <c r="C905" s="1" t="str">
        <f>IFERROR(__xludf.DUMMYFUNCTION("""COMPUTED_VALUE"""),"Other page")</f>
        <v>Other page</v>
      </c>
      <c r="D905" s="1" t="str">
        <f>IFERROR(__xludf.DUMMYFUNCTION("""COMPUTED_VALUE"""),"Building your QuickBooks Desktop continuity plan")</f>
        <v>Building your QuickBooks Desktop continuity plan</v>
      </c>
      <c r="E905" s="12">
        <f>IFERROR(__xludf.DUMMYFUNCTION("""COMPUTED_VALUE"""),45505.40693287037)</f>
        <v>45505.40693</v>
      </c>
    </row>
    <row r="906">
      <c r="A906" s="7" t="str">
        <f>IFERROR(__xludf.DUMMYFUNCTION("""COMPUTED_VALUE"""),"https://www.method.me/blog/michigan-general-contractor-license/")</f>
        <v>https://www.method.me/blog/michigan-general-contractor-license/</v>
      </c>
      <c r="B906" s="1" t="str">
        <f>IFERROR(__xludf.DUMMYFUNCTION("""COMPUTED_VALUE"""),"General how-to")</f>
        <v>General how-to</v>
      </c>
      <c r="C906" s="1" t="str">
        <f>IFERROR(__xludf.DUMMYFUNCTION("""COMPUTED_VALUE"""),"Blog")</f>
        <v>Blog</v>
      </c>
      <c r="D906" s="1" t="str">
        <f>IFERROR(__xludf.DUMMYFUNCTION("""COMPUTED_VALUE"""),"Steps to get a Michigan general contractor license")</f>
        <v>Steps to get a Michigan general contractor license</v>
      </c>
      <c r="E906" s="12">
        <f>IFERROR(__xludf.DUMMYFUNCTION("""COMPUTED_VALUE"""),45505.69075231482)</f>
        <v>45505.69075</v>
      </c>
    </row>
    <row r="907">
      <c r="A907" s="7" t="str">
        <f>IFERROR(__xludf.DUMMYFUNCTION("""COMPUTED_VALUE"""),"https://www.method.me/blog/manufacturing-cogs/")</f>
        <v>https://www.method.me/blog/manufacturing-cogs/</v>
      </c>
      <c r="B907" s="1" t="str">
        <f>IFERROR(__xludf.DUMMYFUNCTION("""COMPUTED_VALUE"""),"MWD")</f>
        <v>MWD</v>
      </c>
      <c r="C907" s="1" t="str">
        <f>IFERROR(__xludf.DUMMYFUNCTION("""COMPUTED_VALUE"""),"Blog")</f>
        <v>Blog</v>
      </c>
      <c r="D907" s="1" t="str">
        <f>IFERROR(__xludf.DUMMYFUNCTION("""COMPUTED_VALUE"""),"Manufacturing COGS: Everything you need to know")</f>
        <v>Manufacturing COGS: Everything you need to know</v>
      </c>
      <c r="E907" s="12">
        <f>IFERROR(__xludf.DUMMYFUNCTION("""COMPUTED_VALUE"""),45520.66349537037)</f>
        <v>45520.6635</v>
      </c>
    </row>
    <row r="908">
      <c r="A908" s="7" t="str">
        <f>IFERROR(__xludf.DUMMYFUNCTION("""COMPUTED_VALUE"""),"https://www.method.me/blog/maryland-general-contractor-license/")</f>
        <v>https://www.method.me/blog/maryland-general-contractor-license/</v>
      </c>
      <c r="B908" s="1" t="str">
        <f>IFERROR(__xludf.DUMMYFUNCTION("""COMPUTED_VALUE"""),"General how-to")</f>
        <v>General how-to</v>
      </c>
      <c r="C908" s="1" t="str">
        <f>IFERROR(__xludf.DUMMYFUNCTION("""COMPUTED_VALUE"""),"Blog")</f>
        <v>Blog</v>
      </c>
      <c r="D908" s="1" t="str">
        <f>IFERROR(__xludf.DUMMYFUNCTION("""COMPUTED_VALUE"""),"How to get a Maryland general contractor license")</f>
        <v>How to get a Maryland general contractor license</v>
      </c>
      <c r="E908" s="12">
        <f>IFERROR(__xludf.DUMMYFUNCTION("""COMPUTED_VALUE"""),45520.70967592593)</f>
        <v>45520.70968</v>
      </c>
    </row>
    <row r="909">
      <c r="A909" s="7" t="str">
        <f>IFERROR(__xludf.DUMMYFUNCTION("""COMPUTED_VALUE"""),"https://www.method.me/blog/work-in-process-accounting/")</f>
        <v>https://www.method.me/blog/work-in-process-accounting/</v>
      </c>
      <c r="B909" s="1" t="str">
        <f>IFERROR(__xludf.DUMMYFUNCTION("""COMPUTED_VALUE"""),"MWD")</f>
        <v>MWD</v>
      </c>
      <c r="C909" s="1" t="str">
        <f>IFERROR(__xludf.DUMMYFUNCTION("""COMPUTED_VALUE"""),"Blog")</f>
        <v>Blog</v>
      </c>
      <c r="D909" s="1" t="str">
        <f>IFERROR(__xludf.DUMMYFUNCTION("""COMPUTED_VALUE"""),"What is work in process (WIP) and how to use it")</f>
        <v>What is work in process (WIP) and how to use it</v>
      </c>
      <c r="E909" s="12">
        <f>IFERROR(__xludf.DUMMYFUNCTION("""COMPUTED_VALUE"""),45524.85523148148)</f>
        <v>45524.85523</v>
      </c>
    </row>
    <row r="910">
      <c r="A910" s="7" t="str">
        <f>IFERROR(__xludf.DUMMYFUNCTION("""COMPUTED_VALUE"""),"https://www.method.me/blog/cycle-inventory/")</f>
        <v>https://www.method.me/blog/cycle-inventory/</v>
      </c>
      <c r="B910" s="1" t="str">
        <f>IFERROR(__xludf.DUMMYFUNCTION("""COMPUTED_VALUE"""),"MWD")</f>
        <v>MWD</v>
      </c>
      <c r="C910" s="1" t="str">
        <f>IFERROR(__xludf.DUMMYFUNCTION("""COMPUTED_VALUE"""),"Blog")</f>
        <v>Blog</v>
      </c>
      <c r="D910" s="1" t="str">
        <f>IFERROR(__xludf.DUMMYFUNCTION("""COMPUTED_VALUE"""),"Understanding cycle inventory and how to manage it")</f>
        <v>Understanding cycle inventory and how to manage it</v>
      </c>
      <c r="E910" s="12">
        <f>IFERROR(__xludf.DUMMYFUNCTION("""COMPUTED_VALUE"""),45534.58608796296)</f>
        <v>45534.58609</v>
      </c>
    </row>
    <row r="911">
      <c r="A911" s="7" t="str">
        <f>IFERROR(__xludf.DUMMYFUNCTION("""COMPUTED_VALUE"""),"https://www.method.me/blog/quickbooks-add-ons-for-manufacturing/")</f>
        <v>https://www.method.me/blog/quickbooks-add-ons-for-manufacturing/</v>
      </c>
      <c r="B911" s="1" t="str">
        <f>IFERROR(__xludf.DUMMYFUNCTION("""COMPUTED_VALUE"""),"QuickBooks - General")</f>
        <v>QuickBooks - General</v>
      </c>
      <c r="C911" s="1" t="str">
        <f>IFERROR(__xludf.DUMMYFUNCTION("""COMPUTED_VALUE"""),"Blog")</f>
        <v>Blog</v>
      </c>
      <c r="D911" s="1" t="str">
        <f>IFERROR(__xludf.DUMMYFUNCTION("""COMPUTED_VALUE"""),"QuickBooks Add-Ons for Manufacturing: What to Know")</f>
        <v>QuickBooks Add-Ons for Manufacturing: What to Know</v>
      </c>
      <c r="E911" s="12">
        <f>IFERROR(__xludf.DUMMYFUNCTION("""COMPUTED_VALUE"""),45545.58295138889)</f>
        <v>45545.58295</v>
      </c>
    </row>
    <row r="912">
      <c r="A912" s="7" t="str">
        <f>IFERROR(__xludf.DUMMYFUNCTION("""COMPUTED_VALUE"""),"https://www.method.me/videos/grow-manufacturing-quickbooks/")</f>
        <v>https://www.method.me/videos/grow-manufacturing-quickbooks/</v>
      </c>
      <c r="B912" s="1" t="str">
        <f>IFERROR(__xludf.DUMMYFUNCTION("""COMPUTED_VALUE"""),"Video page")</f>
        <v>Video page</v>
      </c>
      <c r="C912" s="1" t="str">
        <f>IFERROR(__xludf.DUMMYFUNCTION("""COMPUTED_VALUE"""),"Other page")</f>
        <v>Other page</v>
      </c>
      <c r="D912" s="1" t="str">
        <f>IFERROR(__xludf.DUMMYFUNCTION("""COMPUTED_VALUE"""),"How to grow your manufacturing business on QuickBooks")</f>
        <v>How to grow your manufacturing business on QuickBooks</v>
      </c>
      <c r="E912" s="12">
        <f>IFERROR(__xludf.DUMMYFUNCTION("""COMPUTED_VALUE"""),45552.54472222222)</f>
        <v>45552.54472</v>
      </c>
    </row>
    <row r="913">
      <c r="A913" s="7" t="str">
        <f>IFERROR(__xludf.DUMMYFUNCTION("""COMPUTED_VALUE"""),"https://www.method.me/blog/best-apps-for-electricians/")</f>
        <v>https://www.method.me/blog/best-apps-for-electricians/</v>
      </c>
      <c r="B913" s="1" t="str">
        <f>IFERROR(__xludf.DUMMYFUNCTION("""COMPUTED_VALUE"""),"Listicle - Software / Software overview")</f>
        <v>Listicle - Software / Software overview</v>
      </c>
      <c r="C913" s="1" t="str">
        <f>IFERROR(__xludf.DUMMYFUNCTION("""COMPUTED_VALUE"""),"Blog")</f>
        <v>Blog</v>
      </c>
      <c r="D913" s="1" t="str">
        <f>IFERROR(__xludf.DUMMYFUNCTION("""COMPUTED_VALUE"""),"5 best electrician apps that will save you time and effort")</f>
        <v>5 best electrician apps that will save you time and effort</v>
      </c>
      <c r="E913" s="12">
        <f>IFERROR(__xludf.DUMMYFUNCTION("""COMPUTED_VALUE"""),45552.77675925926)</f>
        <v>45552.77676</v>
      </c>
    </row>
    <row r="914">
      <c r="A914" s="7" t="str">
        <f>IFERROR(__xludf.DUMMYFUNCTION("""COMPUTED_VALUE"""),"https://www.method.me/blog/best-salesforce-alternatives/")</f>
        <v>https://www.method.me/blog/best-salesforce-alternatives/</v>
      </c>
      <c r="B914" s="1" t="str">
        <f>IFERROR(__xludf.DUMMYFUNCTION("""COMPUTED_VALUE"""),"Listicle - Software / Software overview")</f>
        <v>Listicle - Software / Software overview</v>
      </c>
      <c r="C914" s="1" t="str">
        <f>IFERROR(__xludf.DUMMYFUNCTION("""COMPUTED_VALUE"""),"Blog")</f>
        <v>Blog</v>
      </c>
      <c r="D914" s="1" t="str">
        <f>IFERROR(__xludf.DUMMYFUNCTION("""COMPUTED_VALUE"""),"12 best Salesforce alternatives for 2024")</f>
        <v>12 best Salesforce alternatives for 2024</v>
      </c>
      <c r="E914" s="12">
        <f>IFERROR(__xludf.DUMMYFUNCTION("""COMPUTED_VALUE"""),45555.530381944445)</f>
        <v>45555.53038</v>
      </c>
    </row>
    <row r="915">
      <c r="A915" s="7" t="str">
        <f>IFERROR(__xludf.DUMMYFUNCTION("""COMPUTED_VALUE"""),"https://www.method.me/blog/integrated-payments/")</f>
        <v>https://www.method.me/blog/integrated-payments/</v>
      </c>
      <c r="B915" s="1" t="str">
        <f>IFERROR(__xludf.DUMMYFUNCTION("""COMPUTED_VALUE"""),"Misc. info")</f>
        <v>Misc. info</v>
      </c>
      <c r="C915" s="1" t="str">
        <f>IFERROR(__xludf.DUMMYFUNCTION("""COMPUTED_VALUE"""),"Blog")</f>
        <v>Blog</v>
      </c>
      <c r="D915" s="1" t="str">
        <f>IFERROR(__xludf.DUMMYFUNCTION("""COMPUTED_VALUE"""),"Why integrated payments are essential to grow your business")</f>
        <v>Why integrated payments are essential to grow your business</v>
      </c>
      <c r="E915" s="12">
        <f>IFERROR(__xludf.DUMMYFUNCTION("""COMPUTED_VALUE"""),45559.54604166667)</f>
        <v>45559.54604</v>
      </c>
    </row>
    <row r="916">
      <c r="A916" s="7" t="str">
        <f>IFERROR(__xludf.DUMMYFUNCTION("""COMPUTED_VALUE"""),"https://www.method.me/blog/payment-gateway-benefits/")</f>
        <v>https://www.method.me/blog/payment-gateway-benefits/</v>
      </c>
      <c r="B916" s="1" t="str">
        <f>IFERROR(__xludf.DUMMYFUNCTION("""COMPUTED_VALUE"""),"Misc. info")</f>
        <v>Misc. info</v>
      </c>
      <c r="C916" s="1" t="str">
        <f>IFERROR(__xludf.DUMMYFUNCTION("""COMPUTED_VALUE"""),"Blog")</f>
        <v>Blog</v>
      </c>
      <c r="D916" s="1" t="str">
        <f>IFERROR(__xludf.DUMMYFUNCTION("""COMPUTED_VALUE"""),"The benefits of payment gateways for your business")</f>
        <v>The benefits of payment gateways for your business</v>
      </c>
      <c r="E916" s="12">
        <f>IFERROR(__xludf.DUMMYFUNCTION("""COMPUTED_VALUE"""),45559.57829861111)</f>
        <v>45559.5783</v>
      </c>
    </row>
    <row r="917">
      <c r="A917" s="7" t="str">
        <f>IFERROR(__xludf.DUMMYFUNCTION("""COMPUTED_VALUE"""),"https://www.method.me/blog/marketing-tips-for-electrical-contractors/")</f>
        <v>https://www.method.me/blog/marketing-tips-for-electrical-contractors/</v>
      </c>
      <c r="B917" s="1" t="str">
        <f>IFERROR(__xludf.DUMMYFUNCTION("""COMPUTED_VALUE"""),"Listicle - General")</f>
        <v>Listicle - General</v>
      </c>
      <c r="C917" s="1" t="str">
        <f>IFERROR(__xludf.DUMMYFUNCTION("""COMPUTED_VALUE"""),"Blog")</f>
        <v>Blog</v>
      </c>
      <c r="D917" s="1" t="str">
        <f>IFERROR(__xludf.DUMMYFUNCTION("""COMPUTED_VALUE"""),"Electrician marketing tips: 8 ways to get more customers")</f>
        <v>Electrician marketing tips: 8 ways to get more customers</v>
      </c>
      <c r="E917" s="12">
        <f>IFERROR(__xludf.DUMMYFUNCTION("""COMPUTED_VALUE"""),45559.685324074075)</f>
        <v>45559.68532</v>
      </c>
    </row>
    <row r="918">
      <c r="A918" s="7" t="str">
        <f>IFERROR(__xludf.DUMMYFUNCTION("""COMPUTED_VALUE"""),"https://www.method.me/blog/best-hubspot-alternatives/")</f>
        <v>https://www.method.me/blog/best-hubspot-alternatives/</v>
      </c>
      <c r="B918" s="1" t="str">
        <f>IFERROR(__xludf.DUMMYFUNCTION("""COMPUTED_VALUE"""),"Listicle - Software / Software overview")</f>
        <v>Listicle - Software / Software overview</v>
      </c>
      <c r="C918" s="1" t="str">
        <f>IFERROR(__xludf.DUMMYFUNCTION("""COMPUTED_VALUE"""),"Blog")</f>
        <v>Blog</v>
      </c>
      <c r="D918" s="1" t="str">
        <f>IFERROR(__xludf.DUMMYFUNCTION("""COMPUTED_VALUE"""),"The 8 best HubSpot alternatives for every business in 2024")</f>
        <v>The 8 best HubSpot alternatives for every business in 2024</v>
      </c>
      <c r="E918" s="12">
        <f>IFERROR(__xludf.DUMMYFUNCTION("""COMPUTED_VALUE"""),45567.43736111111)</f>
        <v>45567.43736</v>
      </c>
    </row>
    <row r="919">
      <c r="A919" s="7" t="str">
        <f>IFERROR(__xludf.DUMMYFUNCTION("""COMPUTED_VALUE"""),"https://www.method.me/blog/unreconcile-quickbooks-online/")</f>
        <v>https://www.method.me/blog/unreconcile-quickbooks-online/</v>
      </c>
      <c r="B919" s="1" t="str">
        <f>IFERROR(__xludf.DUMMYFUNCTION("""COMPUTED_VALUE"""),"QuickBooks - How-to")</f>
        <v>QuickBooks - How-to</v>
      </c>
      <c r="C919" s="1" t="str">
        <f>IFERROR(__xludf.DUMMYFUNCTION("""COMPUTED_VALUE"""),"Blog")</f>
        <v>Blog</v>
      </c>
      <c r="D919" s="1" t="str">
        <f>IFERROR(__xludf.DUMMYFUNCTION("""COMPUTED_VALUE"""),"How to unreconcile in Quickbooks Online safely and easily")</f>
        <v>How to unreconcile in Quickbooks Online safely and easily</v>
      </c>
      <c r="E919" s="12">
        <f>IFERROR(__xludf.DUMMYFUNCTION("""COMPUTED_VALUE"""),45569.563055555554)</f>
        <v>45569.56306</v>
      </c>
    </row>
    <row r="920">
      <c r="A920" s="7" t="str">
        <f>IFERROR(__xludf.DUMMYFUNCTION("""COMPUTED_VALUE"""),"https://www.method.me/blog/convert-leads-into-sales/")</f>
        <v>https://www.method.me/blog/convert-leads-into-sales/</v>
      </c>
      <c r="B920" s="1" t="str">
        <f>IFERROR(__xludf.DUMMYFUNCTION("""COMPUTED_VALUE"""),"Sales / Marketing / Lead gen")</f>
        <v>Sales / Marketing / Lead gen</v>
      </c>
      <c r="C920" s="1" t="str">
        <f>IFERROR(__xludf.DUMMYFUNCTION("""COMPUTED_VALUE"""),"Blog")</f>
        <v>Blog</v>
      </c>
      <c r="D920" s="1" t="str">
        <f>IFERROR(__xludf.DUMMYFUNCTION("""COMPUTED_VALUE"""),"The best way to convert leads into sales and increase profits")</f>
        <v>The best way to convert leads into sales and increase profits</v>
      </c>
      <c r="E920" s="12">
        <f>IFERROR(__xludf.DUMMYFUNCTION("""COMPUTED_VALUE"""),45573.50202546296)</f>
        <v>45573.50203</v>
      </c>
    </row>
    <row r="921">
      <c r="A921" s="7" t="str">
        <f>IFERROR(__xludf.DUMMYFUNCTION("""COMPUTED_VALUE"""),"https://www.method.me/blog/lead-to-customer-conversion-rate/")</f>
        <v>https://www.method.me/blog/lead-to-customer-conversion-rate/</v>
      </c>
      <c r="B921" s="1" t="str">
        <f>IFERROR(__xludf.DUMMYFUNCTION("""COMPUTED_VALUE"""),"Sales / Marketing / Lead gen")</f>
        <v>Sales / Marketing / Lead gen</v>
      </c>
      <c r="C921" s="1" t="str">
        <f>IFERROR(__xludf.DUMMYFUNCTION("""COMPUTED_VALUE"""),"Blog")</f>
        <v>Blog</v>
      </c>
      <c r="D921" s="1" t="str">
        <f>IFERROR(__xludf.DUMMYFUNCTION("""COMPUTED_VALUE"""),"6 strategies to improve your lead-to-customer conversion rate and how to calculate it")</f>
        <v>6 strategies to improve your lead-to-customer conversion rate and how to calculate it</v>
      </c>
      <c r="E921" s="12">
        <f>IFERROR(__xludf.DUMMYFUNCTION("""COMPUTED_VALUE"""),45575.66054398148)</f>
        <v>45575.66054</v>
      </c>
    </row>
    <row r="922">
      <c r="A922" s="7" t="str">
        <f>IFERROR(__xludf.DUMMYFUNCTION("""COMPUTED_VALUE"""),"https://www.method.me/blog/lead-generation-strategies/")</f>
        <v>https://www.method.me/blog/lead-generation-strategies/</v>
      </c>
      <c r="B922" s="1" t="str">
        <f>IFERROR(__xludf.DUMMYFUNCTION("""COMPUTED_VALUE"""),"Listicle - General")</f>
        <v>Listicle - General</v>
      </c>
      <c r="C922" s="1" t="str">
        <f>IFERROR(__xludf.DUMMYFUNCTION("""COMPUTED_VALUE"""),"Blog")</f>
        <v>Blog</v>
      </c>
      <c r="D922" s="1" t="str">
        <f>IFERROR(__xludf.DUMMYFUNCTION("""COMPUTED_VALUE"""),"The top 25 lead generation strategies to set your sales up for success")</f>
        <v>The top 25 lead generation strategies to set your sales up for success</v>
      </c>
      <c r="E922" s="12">
        <f>IFERROR(__xludf.DUMMYFUNCTION("""COMPUTED_VALUE"""),45581.41140046297)</f>
        <v>45581.4114</v>
      </c>
    </row>
    <row r="923">
      <c r="A923" s="7" t="str">
        <f>IFERROR(__xludf.DUMMYFUNCTION("""COMPUTED_VALUE"""),"https://www.method.me/blog/close-books-quickbooks-online/")</f>
        <v>https://www.method.me/blog/close-books-quickbooks-online/</v>
      </c>
      <c r="B923" s="1" t="str">
        <f>IFERROR(__xludf.DUMMYFUNCTION("""COMPUTED_VALUE"""),"QuickBooks - How-to")</f>
        <v>QuickBooks - How-to</v>
      </c>
      <c r="C923" s="1" t="str">
        <f>IFERROR(__xludf.DUMMYFUNCTION("""COMPUTED_VALUE"""),"Blog")</f>
        <v>Blog</v>
      </c>
      <c r="D923" s="1" t="str">
        <f>IFERROR(__xludf.DUMMYFUNCTION("""COMPUTED_VALUE"""),"How to close books in Quickbooks Online and maintain financial security")</f>
        <v>How to close books in Quickbooks Online and maintain financial security</v>
      </c>
      <c r="E923" s="12">
        <f>IFERROR(__xludf.DUMMYFUNCTION("""COMPUTED_VALUE"""),45587.66675925926)</f>
        <v>45587.66676</v>
      </c>
    </row>
    <row r="924">
      <c r="A924" s="7" t="str">
        <f>IFERROR(__xludf.DUMMYFUNCTION("""COMPUTED_VALUE"""),"https://www.method.me/videos/manufacturing-lead-strategies/")</f>
        <v>https://www.method.me/videos/manufacturing-lead-strategies/</v>
      </c>
      <c r="B924" s="1" t="str">
        <f>IFERROR(__xludf.DUMMYFUNCTION("""COMPUTED_VALUE"""),"Video page")</f>
        <v>Video page</v>
      </c>
      <c r="C924" s="1" t="str">
        <f>IFERROR(__xludf.DUMMYFUNCTION("""COMPUTED_VALUE"""),"Other page")</f>
        <v>Other page</v>
      </c>
      <c r="D924" s="1" t="str">
        <f>IFERROR(__xludf.DUMMYFUNCTION("""COMPUTED_VALUE"""),"7 ways for manufacturers to get—and close—more leads")</f>
        <v>7 ways for manufacturers to get—and close—more leads</v>
      </c>
      <c r="E924" s="12">
        <f>IFERROR(__xludf.DUMMYFUNCTION("""COMPUTED_VALUE"""),45588.42606481481)</f>
        <v>45588.42606</v>
      </c>
    </row>
    <row r="925">
      <c r="A925" s="7" t="str">
        <f>IFERROR(__xludf.DUMMYFUNCTION("""COMPUTED_VALUE"""),"https://www.method.me/blog/automated-lead-generation/")</f>
        <v>https://www.method.me/blog/automated-lead-generation/</v>
      </c>
      <c r="B925" s="1" t="str">
        <f>IFERROR(__xludf.DUMMYFUNCTION("""COMPUTED_VALUE"""),"Listicle - Software / Software overview")</f>
        <v>Listicle - Software / Software overview</v>
      </c>
      <c r="C925" s="1" t="str">
        <f>IFERROR(__xludf.DUMMYFUNCTION("""COMPUTED_VALUE"""),"Blog")</f>
        <v>Blog</v>
      </c>
      <c r="D925" s="1" t="str">
        <f>IFERROR(__xludf.DUMMYFUNCTION("""COMPUTED_VALUE"""),"The 7 best tools for automated lead generation")</f>
        <v>The 7 best tools for automated lead generation</v>
      </c>
      <c r="E925" s="12">
        <f>IFERROR(__xludf.DUMMYFUNCTION("""COMPUTED_VALUE"""),45589.71019675926)</f>
        <v>45589.7102</v>
      </c>
    </row>
    <row r="926">
      <c r="A926" s="7" t="str">
        <f>IFERROR(__xludf.DUMMYFUNCTION("""COMPUTED_VALUE"""),"https://www.method.me/blog/convert-leads-into-customers/")</f>
        <v>https://www.method.me/blog/convert-leads-into-customers/</v>
      </c>
      <c r="B926" s="1" t="str">
        <f>IFERROR(__xludf.DUMMYFUNCTION("""COMPUTED_VALUE"""),"Sales / Marketing / Lead gen")</f>
        <v>Sales / Marketing / Lead gen</v>
      </c>
      <c r="C926" s="1" t="str">
        <f>IFERROR(__xludf.DUMMYFUNCTION("""COMPUTED_VALUE"""),"Blog")</f>
        <v>Blog</v>
      </c>
      <c r="D926" s="1" t="str">
        <f>IFERROR(__xludf.DUMMYFUNCTION("""COMPUTED_VALUE"""),"How to convert leads into customers and keep them coming back")</f>
        <v>How to convert leads into customers and keep them coming back</v>
      </c>
      <c r="E926" s="12">
        <f>IFERROR(__xludf.DUMMYFUNCTION("""COMPUTED_VALUE"""),45594.50648148148)</f>
        <v>45594.50648</v>
      </c>
    </row>
    <row r="927">
      <c r="A927" s="7" t="str">
        <f>IFERROR(__xludf.DUMMYFUNCTION("""COMPUTED_VALUE"""),"https://www.method.me/blog/quote-to-cash/")</f>
        <v>https://www.method.me/blog/quote-to-cash/</v>
      </c>
      <c r="B927" s="1" t="str">
        <f>IFERROR(__xludf.DUMMYFUNCTION("""COMPUTED_VALUE"""),"Sales / Marketing / Lead gen")</f>
        <v>Sales / Marketing / Lead gen</v>
      </c>
      <c r="C927" s="1" t="str">
        <f>IFERROR(__xludf.DUMMYFUNCTION("""COMPUTED_VALUE"""),"Blog")</f>
        <v>Blog</v>
      </c>
      <c r="D927" s="1" t="str">
        <f>IFERROR(__xludf.DUMMYFUNCTION("""COMPUTED_VALUE"""),"From quote to cash: How to master the Q2C process")</f>
        <v>From quote to cash: How to master the Q2C process</v>
      </c>
      <c r="E927" s="12">
        <f>IFERROR(__xludf.DUMMYFUNCTION("""COMPUTED_VALUE"""),45596.56842592593)</f>
        <v>45596.56843</v>
      </c>
    </row>
    <row r="928">
      <c r="A928" s="7" t="str">
        <f>IFERROR(__xludf.DUMMYFUNCTION("""COMPUTED_VALUE"""),"https://www.method.me/blog/make-journal-entry-in-quickbooks/")</f>
        <v>https://www.method.me/blog/make-journal-entry-in-quickbooks/</v>
      </c>
      <c r="B928" s="1" t="str">
        <f>IFERROR(__xludf.DUMMYFUNCTION("""COMPUTED_VALUE"""),"QuickBooks - How-to")</f>
        <v>QuickBooks - How-to</v>
      </c>
      <c r="C928" s="1" t="str">
        <f>IFERROR(__xludf.DUMMYFUNCTION("""COMPUTED_VALUE"""),"Blog")</f>
        <v>Blog</v>
      </c>
      <c r="D928" s="1" t="str">
        <f>IFERROR(__xludf.DUMMYFUNCTION("""COMPUTED_VALUE"""),"How to make a journal entry in QuickBooks Online: Pro tips for accurate bookkeeping")</f>
        <v>How to make a journal entry in QuickBooks Online: Pro tips for accurate bookkeeping</v>
      </c>
      <c r="E928" s="12">
        <f>IFERROR(__xludf.DUMMYFUNCTION("""COMPUTED_VALUE"""),45601.55136574074)</f>
        <v>45601.55137</v>
      </c>
    </row>
    <row r="929">
      <c r="A929" s="7" t="str">
        <f>IFERROR(__xludf.DUMMYFUNCTION("""COMPUTED_VALUE"""),"https://www.method.me/blog/hvac-service-contract/")</f>
        <v>https://www.method.me/blog/hvac-service-contract/</v>
      </c>
      <c r="B929" s="1" t="str">
        <f>IFERROR(__xludf.DUMMYFUNCTION("""COMPUTED_VALUE"""),"Field services / Contractors")</f>
        <v>Field services / Contractors</v>
      </c>
      <c r="C929" s="1" t="str">
        <f>IFERROR(__xludf.DUMMYFUNCTION("""COMPUTED_VALUE"""),"Blog")</f>
        <v>Blog</v>
      </c>
      <c r="D929" s="1" t="str">
        <f>IFERROR(__xludf.DUMMYFUNCTION("""COMPUTED_VALUE"""),"Ultimate guide to HVAC service contract: What you need to know")</f>
        <v>Ultimate guide to HVAC service contract: What you need to know</v>
      </c>
      <c r="E929" s="12">
        <f>IFERROR(__xludf.DUMMYFUNCTION("""COMPUTED_VALUE"""),45603.63012731481)</f>
        <v>45603.63013</v>
      </c>
    </row>
    <row r="930">
      <c r="A930" s="7" t="str">
        <f>IFERROR(__xludf.DUMMYFUNCTION("""COMPUTED_VALUE"""),"https://www.method.me/blog/automate-sales-process/")</f>
        <v>https://www.method.me/blog/automate-sales-process/</v>
      </c>
      <c r="B930" s="1" t="str">
        <f>IFERROR(__xludf.DUMMYFUNCTION("""COMPUTED_VALUE"""),"Sales / Marketing / Lead gen")</f>
        <v>Sales / Marketing / Lead gen</v>
      </c>
      <c r="C930" s="1" t="str">
        <f>IFERROR(__xludf.DUMMYFUNCTION("""COMPUTED_VALUE"""),"Blog")</f>
        <v>Blog</v>
      </c>
      <c r="D930" s="1" t="str">
        <f>IFERROR(__xludf.DUMMYFUNCTION("""COMPUTED_VALUE"""),"How to automate your sales process: A comprehensive guide")</f>
        <v>How to automate your sales process: A comprehensive guide</v>
      </c>
      <c r="E930" s="12">
        <f>IFERROR(__xludf.DUMMYFUNCTION("""COMPUTED_VALUE"""),45608.708865740744)</f>
        <v>45608.70887</v>
      </c>
    </row>
    <row r="931">
      <c r="A931" s="7" t="str">
        <f>IFERROR(__xludf.DUMMYFUNCTION("""COMPUTED_VALUE"""),"https://www.method.me/blog/lost-sales-opportunity/")</f>
        <v>https://www.method.me/blog/lost-sales-opportunity/</v>
      </c>
      <c r="B931" s="1" t="str">
        <f>IFERROR(__xludf.DUMMYFUNCTION("""COMPUTED_VALUE"""),"Sales / Marketing / Lead gen")</f>
        <v>Sales / Marketing / Lead gen</v>
      </c>
      <c r="C931" s="1" t="str">
        <f>IFERROR(__xludf.DUMMYFUNCTION("""COMPUTED_VALUE"""),"Blog")</f>
        <v>Blog</v>
      </c>
      <c r="D931" s="1" t="str">
        <f>IFERROR(__xludf.DUMMYFUNCTION("""COMPUTED_VALUE"""),"How to prevent a lost sales opportunity from ever happening again")</f>
        <v>How to prevent a lost sales opportunity from ever happening again</v>
      </c>
      <c r="E931" s="12">
        <f>IFERROR(__xludf.DUMMYFUNCTION("""COMPUTED_VALUE"""),45615.550625)</f>
        <v>45615.55063</v>
      </c>
    </row>
    <row r="932">
      <c r="A932" s="7" t="str">
        <f>IFERROR(__xludf.DUMMYFUNCTION("""COMPUTED_VALUE"""),"https://www.method.me/blog/streamline-customer-service/")</f>
        <v>https://www.method.me/blog/streamline-customer-service/</v>
      </c>
      <c r="B932" s="1" t="str">
        <f>IFERROR(__xludf.DUMMYFUNCTION("""COMPUTED_VALUE"""),"General how-to")</f>
        <v>General how-to</v>
      </c>
      <c r="C932" s="1" t="str">
        <f>IFERROR(__xludf.DUMMYFUNCTION("""COMPUTED_VALUE"""),"Blog")</f>
        <v>Blog</v>
      </c>
      <c r="D932" s="1" t="str">
        <f>IFERROR(__xludf.DUMMYFUNCTION("""COMPUTED_VALUE"""),"How to streamline customer service and deliver an exceptional experience with every sale")</f>
        <v>How to streamline customer service and deliver an exceptional experience with every sale</v>
      </c>
      <c r="E932" s="12">
        <f>IFERROR(__xludf.DUMMYFUNCTION("""COMPUTED_VALUE"""),45617.71252314815)</f>
        <v>45617.71252</v>
      </c>
    </row>
    <row r="933">
      <c r="A933" s="7" t="str">
        <f>IFERROR(__xludf.DUMMYFUNCTION("""COMPUTED_VALUE"""),"https://www.method.me/blog/streamline-sales-process/")</f>
        <v>https://www.method.me/blog/streamline-sales-process/</v>
      </c>
      <c r="B933" s="1" t="str">
        <f>IFERROR(__xludf.DUMMYFUNCTION("""COMPUTED_VALUE"""),"Sales / Marketing / Lead gen")</f>
        <v>Sales / Marketing / Lead gen</v>
      </c>
      <c r="C933" s="1" t="str">
        <f>IFERROR(__xludf.DUMMYFUNCTION("""COMPUTED_VALUE"""),"Blog")</f>
        <v>Blog</v>
      </c>
      <c r="D933" s="1" t="str">
        <f>IFERROR(__xludf.DUMMYFUNCTION("""COMPUTED_VALUE"""),"How your business can streamline sales process steps from beginning to end")</f>
        <v>How your business can streamline sales process steps from beginning to end</v>
      </c>
      <c r="E933" s="12">
        <f>IFERROR(__xludf.DUMMYFUNCTION("""COMPUTED_VALUE"""),45622.60565972222)</f>
        <v>45622.60566</v>
      </c>
    </row>
    <row r="934">
      <c r="A934" s="7" t="str">
        <f>IFERROR(__xludf.DUMMYFUNCTION("""COMPUTED_VALUE"""),"https://www.method.me/blog/close-rate-vs-win-rate/")</f>
        <v>https://www.method.me/blog/close-rate-vs-win-rate/</v>
      </c>
      <c r="B934" s="1" t="str">
        <f>IFERROR(__xludf.DUMMYFUNCTION("""COMPUTED_VALUE"""),"Sales / Marketing / Lead gen")</f>
        <v>Sales / Marketing / Lead gen</v>
      </c>
      <c r="C934" s="1" t="str">
        <f>IFERROR(__xludf.DUMMYFUNCTION("""COMPUTED_VALUE"""),"Blog")</f>
        <v>Blog</v>
      </c>
      <c r="D934" s="1" t="str">
        <f>IFERROR(__xludf.DUMMYFUNCTION("""COMPUTED_VALUE"""),"The difference between close rate vs. win rate and how to improve both")</f>
        <v>The difference between close rate vs. win rate and how to improve both</v>
      </c>
      <c r="E934" s="12">
        <f>IFERROR(__xludf.DUMMYFUNCTION("""COMPUTED_VALUE"""),45624.541909722226)</f>
        <v>45624.54191</v>
      </c>
    </row>
    <row r="935">
      <c r="A935" s="7" t="str">
        <f>IFERROR(__xludf.DUMMYFUNCTION("""COMPUTED_VALUE"""),"https://www.method.me/blog/sales-lead-tracking/")</f>
        <v>https://www.method.me/blog/sales-lead-tracking/</v>
      </c>
      <c r="B935" s="1" t="str">
        <f>IFERROR(__xludf.DUMMYFUNCTION("""COMPUTED_VALUE"""),"Listicle - Software / Software overview")</f>
        <v>Listicle - Software / Software overview</v>
      </c>
      <c r="C935" s="1" t="str">
        <f>IFERROR(__xludf.DUMMYFUNCTION("""COMPUTED_VALUE"""),"Blog")</f>
        <v>Blog</v>
      </c>
      <c r="D935" s="1" t="str">
        <f>IFERROR(__xludf.DUMMYFUNCTION("""COMPUTED_VALUE"""),"The top 6 sales lead tracking solutions to never miss an opportunity again")</f>
        <v>The top 6 sales lead tracking solutions to never miss an opportunity again</v>
      </c>
      <c r="E935" s="12">
        <f>IFERROR(__xludf.DUMMYFUNCTION("""COMPUTED_VALUE"""),45629.69021990741)</f>
        <v>45629.69022</v>
      </c>
    </row>
    <row r="936">
      <c r="A936" s="7" t="str">
        <f>IFERROR(__xludf.DUMMYFUNCTION("""COMPUTED_VALUE"""),"https://www.method.me/blog/add-accountant-to-quickbooks-online/")</f>
        <v>https://www.method.me/blog/add-accountant-to-quickbooks-online/</v>
      </c>
      <c r="B936" s="1" t="str">
        <f>IFERROR(__xludf.DUMMYFUNCTION("""COMPUTED_VALUE"""),"QuickBooks - How-to")</f>
        <v>QuickBooks - How-to</v>
      </c>
      <c r="C936" s="1" t="str">
        <f>IFERROR(__xludf.DUMMYFUNCTION("""COMPUTED_VALUE"""),"Blog")</f>
        <v>Blog</v>
      </c>
      <c r="D936" s="1" t="str">
        <f>IFERROR(__xludf.DUMMYFUNCTION("""COMPUTED_VALUE"""),"How to add an accountant to QuickBooks Online: Important steps")</f>
        <v>How to add an accountant to QuickBooks Online: Important steps</v>
      </c>
      <c r="E936" s="12">
        <f>IFERROR(__xludf.DUMMYFUNCTION("""COMPUTED_VALUE"""),45631.711493055554)</f>
        <v>45631.71149</v>
      </c>
    </row>
    <row r="937">
      <c r="A937" s="7" t="str">
        <f>IFERROR(__xludf.DUMMYFUNCTION("""COMPUTED_VALUE"""),"https://www.method.me/blog/how-to-process-payroll-in-quickbooks/")</f>
        <v>https://www.method.me/blog/how-to-process-payroll-in-quickbooks/</v>
      </c>
      <c r="B937" s="1" t="str">
        <f>IFERROR(__xludf.DUMMYFUNCTION("""COMPUTED_VALUE"""),"QuickBooks - How-to")</f>
        <v>QuickBooks - How-to</v>
      </c>
      <c r="C937" s="1" t="str">
        <f>IFERROR(__xludf.DUMMYFUNCTION("""COMPUTED_VALUE"""),"Blog")</f>
        <v>Blog</v>
      </c>
      <c r="D937" s="1" t="str">
        <f>IFERROR(__xludf.DUMMYFUNCTION("""COMPUTED_VALUE"""),"How to process payroll in QuickBooks: Easy steps")</f>
        <v>How to process payroll in QuickBooks: Easy steps</v>
      </c>
      <c r="E937" s="12">
        <f>IFERROR(__xludf.DUMMYFUNCTION("""COMPUTED_VALUE"""),45636.71423611111)</f>
        <v>45636.71424</v>
      </c>
    </row>
    <row r="938">
      <c r="A938" s="7" t="str">
        <f>IFERROR(__xludf.DUMMYFUNCTION("""COMPUTED_VALUE"""),"https://www.method.me/blog/transfer-quickbooks-to-new-computer/")</f>
        <v>https://www.method.me/blog/transfer-quickbooks-to-new-computer/</v>
      </c>
      <c r="B938" s="1" t="str">
        <f>IFERROR(__xludf.DUMMYFUNCTION("""COMPUTED_VALUE"""),"QuickBooks - How-to")</f>
        <v>QuickBooks - How-to</v>
      </c>
      <c r="C938" s="1" t="str">
        <f>IFERROR(__xludf.DUMMYFUNCTION("""COMPUTED_VALUE"""),"Blog")</f>
        <v>Blog</v>
      </c>
      <c r="D938" s="1" t="str">
        <f>IFERROR(__xludf.DUMMYFUNCTION("""COMPUTED_VALUE"""),"How to transfer QuickBooks to a new computer on Windows: A step-by-step guide")</f>
        <v>How to transfer QuickBooks to a new computer on Windows: A step-by-step guide</v>
      </c>
      <c r="E938" s="12">
        <f>IFERROR(__xludf.DUMMYFUNCTION("""COMPUTED_VALUE"""),45638.64488425926)</f>
        <v>45638.64488</v>
      </c>
    </row>
    <row r="939">
      <c r="A939" s="7" t="str">
        <f>IFERROR(__xludf.DUMMYFUNCTION("""COMPUTED_VALUE"""),"https://www.method.me/blog/write-off-bad-debt-in-quickbooks/")</f>
        <v>https://www.method.me/blog/write-off-bad-debt-in-quickbooks/</v>
      </c>
      <c r="B939" s="1" t="str">
        <f>IFERROR(__xludf.DUMMYFUNCTION("""COMPUTED_VALUE"""),"QuickBooks - How-to")</f>
        <v>QuickBooks - How-to</v>
      </c>
      <c r="C939" s="1" t="str">
        <f>IFERROR(__xludf.DUMMYFUNCTION("""COMPUTED_VALUE"""),"Blog")</f>
        <v>Blog</v>
      </c>
      <c r="D939" s="1" t="str">
        <f>IFERROR(__xludf.DUMMYFUNCTION("""COMPUTED_VALUE"""),"How to write off bad debt in QuickBooks Online: A definitive guide")</f>
        <v>How to write off bad debt in QuickBooks Online: A definitive guide</v>
      </c>
      <c r="E939" s="12">
        <f>IFERROR(__xludf.DUMMYFUNCTION("""COMPUTED_VALUE"""),45643.666979166665)</f>
        <v>45643.66698</v>
      </c>
    </row>
    <row r="940">
      <c r="A940" s="7" t="str">
        <f>IFERROR(__xludf.DUMMYFUNCTION("""COMPUTED_VALUE"""),"https://www.method.me/blog/quickbooks-charges-for-credit-card-payments/")</f>
        <v>https://www.method.me/blog/quickbooks-charges-for-credit-card-payments/</v>
      </c>
      <c r="B940" s="1" t="str">
        <f>IFERROR(__xludf.DUMMYFUNCTION("""COMPUTED_VALUE"""),"QuickBooks - General")</f>
        <v>QuickBooks - General</v>
      </c>
      <c r="C940" s="1" t="str">
        <f>IFERROR(__xludf.DUMMYFUNCTION("""COMPUTED_VALUE"""),"Blog")</f>
        <v>Blog</v>
      </c>
      <c r="D940" s="1" t="str">
        <f>IFERROR(__xludf.DUMMYFUNCTION("""COMPUTED_VALUE"""),"How much does QuickBooks charge for credit card payments?")</f>
        <v>How much does QuickBooks charge for credit card payments?</v>
      </c>
      <c r="E940" s="12">
        <f>IFERROR(__xludf.DUMMYFUNCTION("""COMPUTED_VALUE"""),45645.59960648148)</f>
        <v>45645.59961</v>
      </c>
    </row>
    <row r="941">
      <c r="A941" s="7" t="str">
        <f>IFERROR(__xludf.DUMMYFUNCTION("""COMPUTED_VALUE"""),"https://www.method.me/blog/apply-vendor-credit-in-quickbooks-online/")</f>
        <v>https://www.method.me/blog/apply-vendor-credit-in-quickbooks-online/</v>
      </c>
      <c r="B941" s="1" t="str">
        <f>IFERROR(__xludf.DUMMYFUNCTION("""COMPUTED_VALUE"""),"QuickBooks - How-to")</f>
        <v>QuickBooks - How-to</v>
      </c>
      <c r="C941" s="1" t="str">
        <f>IFERROR(__xludf.DUMMYFUNCTION("""COMPUTED_VALUE"""),"Blog")</f>
        <v>Blog</v>
      </c>
      <c r="D941" s="1" t="str">
        <f>IFERROR(__xludf.DUMMYFUNCTION("""COMPUTED_VALUE"""),"How to apply vendor credits in QuickBooks Online efficiently")</f>
        <v>How to apply vendor credits in QuickBooks Online efficiently</v>
      </c>
      <c r="E941" s="12">
        <f>IFERROR(__xludf.DUMMYFUNCTION("""COMPUTED_VALUE"""),45650.57659722222)</f>
        <v>45650.5766</v>
      </c>
    </row>
    <row r="942">
      <c r="A942" s="7" t="str">
        <f>IFERROR(__xludf.DUMMYFUNCTION("""COMPUTED_VALUE"""),"https://www.method.me/blog/change-primary-admin-in-quickbooks-online/")</f>
        <v>https://www.method.me/blog/change-primary-admin-in-quickbooks-online/</v>
      </c>
      <c r="B942" s="1" t="str">
        <f>IFERROR(__xludf.DUMMYFUNCTION("""COMPUTED_VALUE"""),"QuickBooks - How-to")</f>
        <v>QuickBooks - How-to</v>
      </c>
      <c r="C942" s="1" t="str">
        <f>IFERROR(__xludf.DUMMYFUNCTION("""COMPUTED_VALUE"""),"Blog")</f>
        <v>Blog</v>
      </c>
      <c r="D942" s="1" t="str">
        <f>IFERROR(__xludf.DUMMYFUNCTION("""COMPUTED_VALUE"""),"How to change the primary administrator in QuickBooks Online")</f>
        <v>How to change the primary administrator in QuickBooks Online</v>
      </c>
      <c r="E942" s="12">
        <f>IFERROR(__xludf.DUMMYFUNCTION("""COMPUTED_VALUE"""),45656.69641203704)</f>
        <v>45656.69641</v>
      </c>
    </row>
    <row r="943">
      <c r="A943" s="7" t="str">
        <f>IFERROR(__xludf.DUMMYFUNCTION("""COMPUTED_VALUE"""),"https://www.method.me/blog/reprint-checks-in-quickbooks/")</f>
        <v>https://www.method.me/blog/reprint-checks-in-quickbooks/</v>
      </c>
      <c r="B943" s="1" t="str">
        <f>IFERROR(__xludf.DUMMYFUNCTION("""COMPUTED_VALUE"""),"QuickBooks - How-to")</f>
        <v>QuickBooks - How-to</v>
      </c>
      <c r="C943" s="1" t="str">
        <f>IFERROR(__xludf.DUMMYFUNCTION("""COMPUTED_VALUE"""),"Blog")</f>
        <v>Blog</v>
      </c>
      <c r="D943" s="1" t="str">
        <f>IFERROR(__xludf.DUMMYFUNCTION("""COMPUTED_VALUE"""),"How to reprint checks in QuickBooks easily")</f>
        <v>How to reprint checks in QuickBooks easily</v>
      </c>
      <c r="E943" s="12">
        <f>IFERROR(__xludf.DUMMYFUNCTION("""COMPUTED_VALUE"""),45660.7058912037)</f>
        <v>45660.70589</v>
      </c>
    </row>
    <row r="944">
      <c r="A944" s="7" t="str">
        <f>IFERROR(__xludf.DUMMYFUNCTION("""COMPUTED_VALUE"""),"https://www.method.me/blog/quickbooks-ach-payments-charges/")</f>
        <v>https://www.method.me/blog/quickbooks-ach-payments-charges/</v>
      </c>
      <c r="B944" s="1" t="str">
        <f>IFERROR(__xludf.DUMMYFUNCTION("""COMPUTED_VALUE"""),"QuickBooks - General")</f>
        <v>QuickBooks - General</v>
      </c>
      <c r="C944" s="1" t="str">
        <f>IFERROR(__xludf.DUMMYFUNCTION("""COMPUTED_VALUE"""),"Blog")</f>
        <v>Blog</v>
      </c>
      <c r="D944" s="1" t="str">
        <f>IFERROR(__xludf.DUMMYFUNCTION("""COMPUTED_VALUE"""),"How much does QuickBooks charge for ACH payments?")</f>
        <v>How much does QuickBooks charge for ACH payments?</v>
      </c>
      <c r="E944" s="12">
        <f>IFERROR(__xludf.DUMMYFUNCTION("""COMPUTED_VALUE"""),45664.70363425926)</f>
        <v>45664.70363</v>
      </c>
    </row>
    <row r="945">
      <c r="A945" s="7" t="str">
        <f>IFERROR(__xludf.DUMMYFUNCTION("""COMPUTED_VALUE"""),"https://www.method.me/blog/categorize-expenses-in-quickbooks/")</f>
        <v>https://www.method.me/blog/categorize-expenses-in-quickbooks/</v>
      </c>
      <c r="B945" s="1" t="str">
        <f>IFERROR(__xludf.DUMMYFUNCTION("""COMPUTED_VALUE"""),"QuickBooks - How-to")</f>
        <v>QuickBooks - How-to</v>
      </c>
      <c r="C945" s="1" t="str">
        <f>IFERROR(__xludf.DUMMYFUNCTION("""COMPUTED_VALUE"""),"Blog")</f>
        <v>Blog</v>
      </c>
      <c r="D945" s="1" t="str">
        <f>IFERROR(__xludf.DUMMYFUNCTION("""COMPUTED_VALUE"""),"How to categorize expenses in QuickBooks Online and keep your books clean")</f>
        <v>How to categorize expenses in QuickBooks Online and keep your books clean</v>
      </c>
      <c r="E945" s="12">
        <f>IFERROR(__xludf.DUMMYFUNCTION("""COMPUTED_VALUE"""),45667.42530092593)</f>
        <v>45667.4253</v>
      </c>
    </row>
    <row r="946">
      <c r="A946" s="7" t="str">
        <f>IFERROR(__xludf.DUMMYFUNCTION("""COMPUTED_VALUE"""),"https://www.method.me/blog/import-accountant-changes-in-quickbooks/")</f>
        <v>https://www.method.me/blog/import-accountant-changes-in-quickbooks/</v>
      </c>
      <c r="B946" s="1" t="str">
        <f>IFERROR(__xludf.DUMMYFUNCTION("""COMPUTED_VALUE"""),"QuickBooks - How-to")</f>
        <v>QuickBooks - How-to</v>
      </c>
      <c r="C946" s="1" t="str">
        <f>IFERROR(__xludf.DUMMYFUNCTION("""COMPUTED_VALUE"""),"Blog")</f>
        <v>Blog</v>
      </c>
      <c r="D946" s="1" t="str">
        <f>IFERROR(__xludf.DUMMYFUNCTION("""COMPUTED_VALUE"""),"How to import accountant changes in QuickBooks in 5 easy steps")</f>
        <v>How to import accountant changes in QuickBooks in 5 easy steps</v>
      </c>
      <c r="E946" s="12">
        <f>IFERROR(__xludf.DUMMYFUNCTION("""COMPUTED_VALUE"""),45671.69841435185)</f>
        <v>45671.69841</v>
      </c>
    </row>
    <row r="947">
      <c r="A947" s="7" t="str">
        <f>IFERROR(__xludf.DUMMYFUNCTION("""COMPUTED_VALUE"""),"https://www.method.me/blog/record-vendor-refund-in-quickbooks/")</f>
        <v>https://www.method.me/blog/record-vendor-refund-in-quickbooks/</v>
      </c>
      <c r="B947" s="1" t="str">
        <f>IFERROR(__xludf.DUMMYFUNCTION("""COMPUTED_VALUE"""),"QuickBooks - How-to")</f>
        <v>QuickBooks - How-to</v>
      </c>
      <c r="C947" s="1" t="str">
        <f>IFERROR(__xludf.DUMMYFUNCTION("""COMPUTED_VALUE"""),"Blog")</f>
        <v>Blog</v>
      </c>
      <c r="D947" s="1" t="str">
        <f>IFERROR(__xludf.DUMMYFUNCTION("""COMPUTED_VALUE"""),"How to record refunds from a vendor in QuickBooks Online")</f>
        <v>How to record refunds from a vendor in QuickBooks Online</v>
      </c>
      <c r="E947" s="12">
        <f>IFERROR(__xludf.DUMMYFUNCTION("""COMPUTED_VALUE"""),45673.665185185186)</f>
        <v>45673.66519</v>
      </c>
    </row>
    <row r="948">
      <c r="A948" s="7" t="str">
        <f>IFERROR(__xludf.DUMMYFUNCTION("""COMPUTED_VALUE"""),"https://www.method.me/videos/2025-quickbooks-trends/")</f>
        <v>https://www.method.me/videos/2025-quickbooks-trends/</v>
      </c>
      <c r="B948" s="1" t="str">
        <f>IFERROR(__xludf.DUMMYFUNCTION("""COMPUTED_VALUE"""),"Video page")</f>
        <v>Video page</v>
      </c>
      <c r="C948" s="1" t="str">
        <f>IFERROR(__xludf.DUMMYFUNCTION("""COMPUTED_VALUE"""),"Other page")</f>
        <v>Other page</v>
      </c>
      <c r="D948" s="1" t="str">
        <f>IFERROR(__xludf.DUMMYFUNCTION("""COMPUTED_VALUE"""),"2025 QuickBooks trends every small business needs to know")</f>
        <v>2025 QuickBooks trends every small business needs to know</v>
      </c>
      <c r="E948" s="12">
        <f>IFERROR(__xludf.DUMMYFUNCTION("""COMPUTED_VALUE"""),45674.43790509259)</f>
        <v>45674.43791</v>
      </c>
    </row>
    <row r="949">
      <c r="A949" s="7" t="str">
        <f>IFERROR(__xludf.DUMMYFUNCTION("""COMPUTED_VALUE"""),"https://www.method.me/blog/what-is-opening-balance-equity-in-quickbooks/")</f>
        <v>https://www.method.me/blog/what-is-opening-balance-equity-in-quickbooks/</v>
      </c>
      <c r="B949" s="1" t="str">
        <f>IFERROR(__xludf.DUMMYFUNCTION("""COMPUTED_VALUE"""),"QuickBooks - How-to")</f>
        <v>QuickBooks - How-to</v>
      </c>
      <c r="C949" s="1" t="str">
        <f>IFERROR(__xludf.DUMMYFUNCTION("""COMPUTED_VALUE"""),"Blog")</f>
        <v>Blog</v>
      </c>
      <c r="D949" s="1" t="str">
        <f>IFERROR(__xludf.DUMMYFUNCTION("""COMPUTED_VALUE"""),"What is opening balance equity in QuickBooks and how to use it")</f>
        <v>What is opening balance equity in QuickBooks and how to use it</v>
      </c>
      <c r="E949" s="12">
        <f>IFERROR(__xludf.DUMMYFUNCTION("""COMPUTED_VALUE"""),45679.573171296295)</f>
        <v>45679.57317</v>
      </c>
    </row>
    <row r="950">
      <c r="A950" s="7" t="str">
        <f>IFERROR(__xludf.DUMMYFUNCTION("""COMPUTED_VALUE"""),"https://www.method.me/blog/merge-vendors-in-quickbooks/")</f>
        <v>https://www.method.me/blog/merge-vendors-in-quickbooks/</v>
      </c>
      <c r="B950" s="1" t="str">
        <f>IFERROR(__xludf.DUMMYFUNCTION("""COMPUTED_VALUE"""),"QuickBooks - How-to")</f>
        <v>QuickBooks - How-to</v>
      </c>
      <c r="C950" s="1" t="str">
        <f>IFERROR(__xludf.DUMMYFUNCTION("""COMPUTED_VALUE"""),"Blog")</f>
        <v>Blog</v>
      </c>
      <c r="D950" s="1" t="str">
        <f>IFERROR(__xludf.DUMMYFUNCTION("""COMPUTED_VALUE"""),"How to merge vendors in QuickBooks: A step-by-step guide")</f>
        <v>How to merge vendors in QuickBooks: A step-by-step guide</v>
      </c>
      <c r="E950" s="12">
        <f>IFERROR(__xludf.DUMMYFUNCTION("""COMPUTED_VALUE"""),45680.58542824074)</f>
        <v>45680.58543</v>
      </c>
    </row>
    <row r="951">
      <c r="A951" s="7" t="str">
        <f>IFERROR(__xludf.DUMMYFUNCTION("""COMPUTED_VALUE"""),"https://www.method.me/blog/view-journal-entries-in-quickbooks/")</f>
        <v>https://www.method.me/blog/view-journal-entries-in-quickbooks/</v>
      </c>
      <c r="B951" s="1" t="str">
        <f>IFERROR(__xludf.DUMMYFUNCTION("""COMPUTED_VALUE"""),"QuickBooks - How-to")</f>
        <v>QuickBooks - How-to</v>
      </c>
      <c r="C951" s="1" t="str">
        <f>IFERROR(__xludf.DUMMYFUNCTION("""COMPUTED_VALUE"""),"Blog")</f>
        <v>Blog</v>
      </c>
      <c r="D951" s="1" t="str">
        <f>IFERROR(__xludf.DUMMYFUNCTION("""COMPUTED_VALUE"""),"How to view journal entries in QuickBooks Online: Easy steps")</f>
        <v>How to view journal entries in QuickBooks Online: Easy steps</v>
      </c>
      <c r="E951" s="12">
        <f>IFERROR(__xludf.DUMMYFUNCTION("""COMPUTED_VALUE"""),45685.709861111114)</f>
        <v>45685.70986</v>
      </c>
    </row>
    <row r="952">
      <c r="A952" s="7" t="str">
        <f>IFERROR(__xludf.DUMMYFUNCTION("""COMPUTED_VALUE"""),"https://www.method.me/blog/delete-journal-entries-in-quickbooks/")</f>
        <v>https://www.method.me/blog/delete-journal-entries-in-quickbooks/</v>
      </c>
      <c r="B952" s="1" t="str">
        <f>IFERROR(__xludf.DUMMYFUNCTION("""COMPUTED_VALUE"""),"QuickBooks - How-to")</f>
        <v>QuickBooks - How-to</v>
      </c>
      <c r="C952" s="1" t="str">
        <f>IFERROR(__xludf.DUMMYFUNCTION("""COMPUTED_VALUE"""),"Blog")</f>
        <v>Blog</v>
      </c>
      <c r="D952" s="1" t="str">
        <f>IFERROR(__xludf.DUMMYFUNCTION("""COMPUTED_VALUE"""),"How to delete journal entries in QuickBooks: Complete guide")</f>
        <v>How to delete journal entries in QuickBooks: Complete guide</v>
      </c>
      <c r="E952" s="12">
        <f>IFERROR(__xludf.DUMMYFUNCTION("""COMPUTED_VALUE"""),45687.70513888889)</f>
        <v>45687.70514</v>
      </c>
    </row>
    <row r="953">
      <c r="A953" s="7" t="str">
        <f>IFERROR(__xludf.DUMMYFUNCTION("""COMPUTED_VALUE"""),"https://www.method.me/blog/adjust-retained-earnings-in-quickbooks/")</f>
        <v>https://www.method.me/blog/adjust-retained-earnings-in-quickbooks/</v>
      </c>
      <c r="B953" s="1" t="str">
        <f>IFERROR(__xludf.DUMMYFUNCTION("""COMPUTED_VALUE"""),"QuickBooks - How-to")</f>
        <v>QuickBooks - How-to</v>
      </c>
      <c r="C953" s="1" t="str">
        <f>IFERROR(__xludf.DUMMYFUNCTION("""COMPUTED_VALUE"""),"Blog")</f>
        <v>Blog</v>
      </c>
      <c r="D953" s="1" t="str">
        <f>IFERROR(__xludf.DUMMYFUNCTION("""COMPUTED_VALUE"""),"How to adjust retained earnings in QuickBooks")</f>
        <v>How to adjust retained earnings in QuickBooks</v>
      </c>
      <c r="E953" s="12">
        <f>IFERROR(__xludf.DUMMYFUNCTION("""COMPUTED_VALUE"""),45692.72180555556)</f>
        <v>45692.72181</v>
      </c>
    </row>
    <row r="954">
      <c r="A954" s="7" t="str">
        <f>IFERROR(__xludf.DUMMYFUNCTION("""COMPUTED_VALUE"""),"https://www.method.me/customer-success/wearing-williams/")</f>
        <v>https://www.method.me/customer-success/wearing-williams/</v>
      </c>
      <c r="B954" s="1" t="str">
        <f>IFERROR(__xludf.DUMMYFUNCTION("""COMPUTED_VALUE"""),"Method - Customer / Partner Success")</f>
        <v>Method - Customer / Partner Success</v>
      </c>
      <c r="C954" s="1" t="str">
        <f>IFERROR(__xludf.DUMMYFUNCTION("""COMPUTED_VALUE"""),"Other page")</f>
        <v>Other page</v>
      </c>
      <c r="D954" s="1" t="str">
        <f>IFERROR(__xludf.DUMMYFUNCTION("""COMPUTED_VALUE"""),"Wearing Williams")</f>
        <v>Wearing Williams</v>
      </c>
      <c r="E954" s="12">
        <f>IFERROR(__xludf.DUMMYFUNCTION("""COMPUTED_VALUE"""),45693.50815972222)</f>
        <v>45693.50816</v>
      </c>
    </row>
    <row r="955">
      <c r="A955" s="7" t="str">
        <f>IFERROR(__xludf.DUMMYFUNCTION("""COMPUTED_VALUE"""),"https://www.method.me/videos/sales-finance-in-lockstep-webinar/")</f>
        <v>https://www.method.me/videos/sales-finance-in-lockstep-webinar/</v>
      </c>
      <c r="B955" s="1" t="str">
        <f>IFERROR(__xludf.DUMMYFUNCTION("""COMPUTED_VALUE"""),"Video page")</f>
        <v>Video page</v>
      </c>
      <c r="C955" s="1" t="str">
        <f>IFERROR(__xludf.DUMMYFUNCTION("""COMPUTED_VALUE"""),"Other page")</f>
        <v>Other page</v>
      </c>
      <c r="D955" s="1" t="str">
        <f>IFERROR(__xludf.DUMMYFUNCTION("""COMPUTED_VALUE"""),"How to Get Sales and Finance Working in Lockstep (In QuickBooks)")</f>
        <v>How to Get Sales and Finance Working in Lockstep (In QuickBooks)</v>
      </c>
      <c r="E955" s="12">
        <f>IFERROR(__xludf.DUMMYFUNCTION("""COMPUTED_VALUE"""),45707.71805555555)</f>
        <v>45707.71806</v>
      </c>
    </row>
    <row r="956">
      <c r="A956" s="7" t="str">
        <f>IFERROR(__xludf.DUMMYFUNCTION("""COMPUTED_VALUE"""),"https://www.method.me/videos/field-to-office-workflows-webinar/")</f>
        <v>https://www.method.me/videos/field-to-office-workflows-webinar/</v>
      </c>
      <c r="B956" s="1" t="str">
        <f>IFERROR(__xludf.DUMMYFUNCTION("""COMPUTED_VALUE"""),"Video page")</f>
        <v>Video page</v>
      </c>
      <c r="C956" s="1" t="str">
        <f>IFERROR(__xludf.DUMMYFUNCTION("""COMPUTED_VALUE"""),"Other page")</f>
        <v>Other page</v>
      </c>
      <c r="D956" s="1" t="str">
        <f>IFERROR(__xludf.DUMMYFUNCTION("""COMPUTED_VALUE"""),"How to Solve Complex Field-to-Office Workflows with QuickBooks &amp; Method")</f>
        <v>How to Solve Complex Field-to-Office Workflows with QuickBooks &amp; Method</v>
      </c>
      <c r="E956" s="12">
        <f>IFERROR(__xludf.DUMMYFUNCTION("""COMPUTED_VALUE"""),45744.385416666664)</f>
        <v>45744.38542</v>
      </c>
    </row>
    <row r="957">
      <c r="A957" s="7" t="str">
        <f>IFERROR(__xludf.DUMMYFUNCTION("""COMPUTED_VALUE"""),"https://www.method.me/industry/manufacturing-wholesale/")</f>
        <v>https://www.method.me/industry/manufacturing-wholesale/</v>
      </c>
      <c r="B957" s="1" t="str">
        <f>IFERROR(__xludf.DUMMYFUNCTION("""COMPUTED_VALUE"""),"Industries page")</f>
        <v>Industries page</v>
      </c>
      <c r="C957" s="1" t="str">
        <f>IFERROR(__xludf.DUMMYFUNCTION("""COMPUTED_VALUE"""),"Other page")</f>
        <v>Other page</v>
      </c>
      <c r="D957" s="1" t="str">
        <f>IFERROR(__xludf.DUMMYFUNCTION("""COMPUTED_VALUE"""),"Best manufacturing CRM for QuickBooks")</f>
        <v>Best manufacturing CRM for QuickBooks</v>
      </c>
      <c r="E957" s="12">
        <f>IFERROR(__xludf.DUMMYFUNCTION("""COMPUTED_VALUE"""),45763.708333333336)</f>
        <v>45763.70833</v>
      </c>
    </row>
    <row r="958">
      <c r="A958" s="7" t="str">
        <f>IFERROR(__xludf.DUMMYFUNCTION("""COMPUTED_VALUE"""),"https://www.method.me/industry/warehousing-distribution/")</f>
        <v>https://www.method.me/industry/warehousing-distribution/</v>
      </c>
      <c r="B958" s="1" t="str">
        <f>IFERROR(__xludf.DUMMYFUNCTION("""COMPUTED_VALUE"""),"Industries page")</f>
        <v>Industries page</v>
      </c>
      <c r="C958" s="1" t="str">
        <f>IFERROR(__xludf.DUMMYFUNCTION("""COMPUTED_VALUE"""),"Other page")</f>
        <v>Other page</v>
      </c>
      <c r="D958" s="1" t="str">
        <f>IFERROR(__xludf.DUMMYFUNCTION("""COMPUTED_VALUE"""),"Best distribution CRM for QuickBooks")</f>
        <v>Best distribution CRM for QuickBooks</v>
      </c>
      <c r="E958" s="12">
        <f>IFERROR(__xludf.DUMMYFUNCTION("""COMPUTED_VALUE"""),45763.708333333336)</f>
        <v>45763.70833</v>
      </c>
    </row>
    <row r="959">
      <c r="A959" s="7" t="str">
        <f>IFERROR(__xludf.DUMMYFUNCTION("""COMPUTED_VALUE"""),"https://www.method.me/industry/field-services/")</f>
        <v>https://www.method.me/industry/field-services/</v>
      </c>
      <c r="B959" s="1" t="str">
        <f>IFERROR(__xludf.DUMMYFUNCTION("""COMPUTED_VALUE"""),"Industries page")</f>
        <v>Industries page</v>
      </c>
      <c r="C959" s="1" t="str">
        <f>IFERROR(__xludf.DUMMYFUNCTION("""COMPUTED_VALUE"""),"Other page")</f>
        <v>Other page</v>
      </c>
      <c r="D959" s="1" t="str">
        <f>IFERROR(__xludf.DUMMYFUNCTION("""COMPUTED_VALUE"""),"The top field service CRM for QuickBooks")</f>
        <v>The top field service CRM for QuickBooks</v>
      </c>
      <c r="E959" s="12">
        <f>IFERROR(__xludf.DUMMYFUNCTION("""COMPUTED_VALUE"""),45763.708333333336)</f>
        <v>45763.70833</v>
      </c>
    </row>
    <row r="960">
      <c r="A960" s="7" t="str">
        <f>IFERROR(__xludf.DUMMYFUNCTION("""COMPUTED_VALUE"""),"https://www.method.me/industry/construction-contractors/")</f>
        <v>https://www.method.me/industry/construction-contractors/</v>
      </c>
      <c r="B960" s="1" t="str">
        <f>IFERROR(__xludf.DUMMYFUNCTION("""COMPUTED_VALUE"""),"Industries page")</f>
        <v>Industries page</v>
      </c>
      <c r="C960" s="1" t="str">
        <f>IFERROR(__xludf.DUMMYFUNCTION("""COMPUTED_VALUE"""),"Other page")</f>
        <v>Other page</v>
      </c>
      <c r="D960" s="1" t="str">
        <f>IFERROR(__xludf.DUMMYFUNCTION("""COMPUTED_VALUE"""),"The top construction CRM for QuickBooks")</f>
        <v>The top construction CRM for QuickBooks</v>
      </c>
      <c r="E960" s="12">
        <f>IFERROR(__xludf.DUMMYFUNCTION("""COMPUTED_VALUE"""),45763.708333333336)</f>
        <v>45763.70833</v>
      </c>
    </row>
    <row r="961">
      <c r="A961" s="7" t="str">
        <f>IFERROR(__xludf.DUMMYFUNCTION("""COMPUTED_VALUE"""),"https://www.method.me/industry/it-consulting-services/")</f>
        <v>https://www.method.me/industry/it-consulting-services/</v>
      </c>
      <c r="B961" s="1" t="str">
        <f>IFERROR(__xludf.DUMMYFUNCTION("""COMPUTED_VALUE"""),"Industries page")</f>
        <v>Industries page</v>
      </c>
      <c r="C961" s="1" t="str">
        <f>IFERROR(__xludf.DUMMYFUNCTION("""COMPUTED_VALUE"""),"Other page")</f>
        <v>Other page</v>
      </c>
      <c r="D961" s="1" t="str">
        <f>IFERROR(__xludf.DUMMYFUNCTION("""COMPUTED_VALUE"""),"Best professional services &amp; consulting CRM for QuickBooks")</f>
        <v>Best professional services &amp; consulting CRM for QuickBooks</v>
      </c>
      <c r="E961" s="12">
        <f>IFERROR(__xludf.DUMMYFUNCTION("""COMPUTED_VALUE"""),45763.708333333336)</f>
        <v>45763.70833</v>
      </c>
    </row>
    <row r="962">
      <c r="A962" s="7" t="str">
        <f>IFERROR(__xludf.DUMMYFUNCTION("""COMPUTED_VALUE"""),"https://www.method.me/videos/sales-order-inventory-automation-2025/")</f>
        <v>https://www.method.me/videos/sales-order-inventory-automation-2025/</v>
      </c>
      <c r="B962" s="1" t="str">
        <f>IFERROR(__xludf.DUMMYFUNCTION("""COMPUTED_VALUE"""),"Video page")</f>
        <v>Video page</v>
      </c>
      <c r="C962" s="1" t="str">
        <f>IFERROR(__xludf.DUMMYFUNCTION("""COMPUTED_VALUE"""),"Other page")</f>
        <v>Other page</v>
      </c>
      <c r="D962" s="1" t="str">
        <f>IFERROR(__xludf.DUMMYFUNCTION("""COMPUTED_VALUE"""),"What Sales, Order &amp; Inventory Automation Should Look Like in 2025")</f>
        <v>What Sales, Order &amp; Inventory Automation Should Look Like in 2025</v>
      </c>
      <c r="E962" s="12">
        <f>IFERROR(__xludf.DUMMYFUNCTION("""COMPUTED_VALUE"""),45776.22638888889)</f>
        <v>45776.22639</v>
      </c>
    </row>
    <row r="963">
      <c r="A963" s="7" t="str">
        <f>IFERROR(__xludf.DUMMYFUNCTION("""COMPUTED_VALUE"""),"https://www.method.me/blog/quickbooks-intercompany-transactions/")</f>
        <v>https://www.method.me/blog/quickbooks-intercompany-transactions/</v>
      </c>
      <c r="B963" s="1" t="str">
        <f>IFERROR(__xludf.DUMMYFUNCTION("""COMPUTED_VALUE"""),"QuickBooks - How-to")</f>
        <v>QuickBooks - How-to</v>
      </c>
      <c r="C963" s="1" t="str">
        <f>IFERROR(__xludf.DUMMYFUNCTION("""COMPUTED_VALUE"""),"Blog")</f>
        <v>Blog</v>
      </c>
      <c r="D963" s="1" t="str">
        <f>IFERROR(__xludf.DUMMYFUNCTION("""COMPUTED_VALUE"""),"QuickBooks intercompany transactions: How to manage multiple entities efficiently")</f>
        <v>QuickBooks intercompany transactions: How to manage multiple entities efficiently</v>
      </c>
      <c r="E963" s="12">
        <f>IFERROR(__xludf.DUMMYFUNCTION("""COMPUTED_VALUE"""),45777.53333333333)</f>
        <v>45777.53333</v>
      </c>
    </row>
    <row r="964">
      <c r="A964" s="7" t="str">
        <f>IFERROR(__xludf.DUMMYFUNCTION("""COMPUTED_VALUE"""),"https://www.method.me/blog/quickbooks-desktop-alternatives/")</f>
        <v>https://www.method.me/blog/quickbooks-desktop-alternatives/</v>
      </c>
      <c r="B964" s="1" t="str">
        <f>IFERROR(__xludf.DUMMYFUNCTION("""COMPUTED_VALUE"""),"Listicle - QuickBooks")</f>
        <v>Listicle - QuickBooks</v>
      </c>
      <c r="C964" s="1" t="str">
        <f>IFERROR(__xludf.DUMMYFUNCTION("""COMPUTED_VALUE"""),"Blog")</f>
        <v>Blog</v>
      </c>
      <c r="D964" s="1" t="str">
        <f>IFERROR(__xludf.DUMMYFUNCTION("""COMPUTED_VALUE"""),"3 Best QuickBooks Desktop alternatives for 2025 (Navigate the Stop-Sell)")</f>
        <v>3 Best QuickBooks Desktop alternatives for 2025 (Navigate the Stop-Sell)</v>
      </c>
      <c r="E964" s="12">
        <f>IFERROR(__xludf.DUMMYFUNCTION("""COMPUTED_VALUE"""),45778.68194444444)</f>
        <v>45778.68194</v>
      </c>
    </row>
    <row r="965">
      <c r="A965" s="7" t="str">
        <f>IFERROR(__xludf.DUMMYFUNCTION("""COMPUTED_VALUE"""),"https://www.method.me/blog/crm-for-blinds-manufacturers/")</f>
        <v>https://www.method.me/blog/crm-for-blinds-manufacturers/</v>
      </c>
      <c r="B965" s="1" t="str">
        <f>IFERROR(__xludf.DUMMYFUNCTION("""COMPUTED_VALUE"""),"Listicle - Software / Software overview")</f>
        <v>Listicle - Software / Software overview</v>
      </c>
      <c r="C965" s="1" t="str">
        <f>IFERROR(__xludf.DUMMYFUNCTION("""COMPUTED_VALUE"""),"Blog")</f>
        <v>Blog</v>
      </c>
      <c r="D965" s="1" t="str">
        <f>IFERROR(__xludf.DUMMYFUNCTION("""COMPUTED_VALUE"""),"The best 6 CRMs for blinds manufacturers: A complete buyer’s guide")</f>
        <v>The best 6 CRMs for blinds manufacturers: A complete buyer’s guide</v>
      </c>
      <c r="E965" s="12">
        <f>IFERROR(__xludf.DUMMYFUNCTION("""COMPUTED_VALUE"""),45785.498611111114)</f>
        <v>45785.49861</v>
      </c>
    </row>
    <row r="966">
      <c r="A966" s="7" t="str">
        <f>IFERROR(__xludf.DUMMYFUNCTION("""COMPUTED_VALUE"""),"https://www.method.me/multi-entity-crm/")</f>
        <v>https://www.method.me/multi-entity-crm/</v>
      </c>
      <c r="B966" s="1" t="str">
        <f>IFERROR(__xludf.DUMMYFUNCTION("""COMPUTED_VALUE"""),"Features page")</f>
        <v>Features page</v>
      </c>
      <c r="C966" s="1" t="str">
        <f>IFERROR(__xludf.DUMMYFUNCTION("""COMPUTED_VALUE"""),"Other page")</f>
        <v>Other page</v>
      </c>
      <c r="D966" s="1" t="str">
        <f>IFERROR(__xludf.DUMMYFUNCTION("""COMPUTED_VALUE"""),"Multi-entity accounting CRM built to sync with QuickBooks")</f>
        <v>Multi-entity accounting CRM built to sync with QuickBooks</v>
      </c>
      <c r="E966" s="12">
        <f>IFERROR(__xludf.DUMMYFUNCTION("""COMPUTED_VALUE"""),45799.69930555556)</f>
        <v>45799.69931</v>
      </c>
    </row>
    <row r="967">
      <c r="A967" s="7" t="str">
        <f>IFERROR(__xludf.DUMMYFUNCTION("""COMPUTED_VALUE"""),"https://www.method.me/proposals/")</f>
        <v>https://www.method.me/proposals/</v>
      </c>
      <c r="B967" s="1" t="str">
        <f>IFERROR(__xludf.DUMMYFUNCTION("""COMPUTED_VALUE"""),"Features page")</f>
        <v>Features page</v>
      </c>
      <c r="C967" s="1" t="str">
        <f>IFERROR(__xludf.DUMMYFUNCTION("""COMPUTED_VALUE"""),"Other page")</f>
        <v>Other page</v>
      </c>
      <c r="D967" s="1" t="str">
        <f>IFERROR(__xludf.DUMMYFUNCTION("""COMPUTED_VALUE"""),"Your complete proposals solution for QuickBooks")</f>
        <v>Your complete proposals solution for QuickBooks</v>
      </c>
      <c r="E967" s="12">
        <f>IFERROR(__xludf.DUMMYFUNCTION("""COMPUTED_VALUE"""),45800.64375)</f>
        <v>45800.64375</v>
      </c>
    </row>
    <row r="968">
      <c r="A968" s="7" t="str">
        <f>IFERROR(__xludf.DUMMYFUNCTION("""COMPUTED_VALUE"""),"https://www.method.me/blog/quickbooks-online-vs-desktop-for-multiple-companies/")</f>
        <v>https://www.method.me/blog/quickbooks-online-vs-desktop-for-multiple-companies/</v>
      </c>
      <c r="B968" s="1" t="str">
        <f>IFERROR(__xludf.DUMMYFUNCTION("""COMPUTED_VALUE"""),"QuickBooks - General")</f>
        <v>QuickBooks - General</v>
      </c>
      <c r="C968" s="1" t="str">
        <f>IFERROR(__xludf.DUMMYFUNCTION("""COMPUTED_VALUE"""),"Blog")</f>
        <v>Blog</v>
      </c>
      <c r="D968" s="1" t="str">
        <f>IFERROR(__xludf.DUMMYFUNCTION("""COMPUTED_VALUE"""),"QuickBooks Online vs. Desktop for multiple companies: The ultimate comparison")</f>
        <v>QuickBooks Online vs. Desktop for multiple companies: The ultimate comparison</v>
      </c>
      <c r="E968" s="12">
        <f>IFERROR(__xludf.DUMMYFUNCTION("""COMPUTED_VALUE"""),45804.49930555555)</f>
        <v>45804.49931</v>
      </c>
    </row>
    <row r="969">
      <c r="A969" s="7" t="str">
        <f>IFERROR(__xludf.DUMMYFUNCTION("""COMPUTED_VALUE"""),"https://www.method.me/blog/multiple-companies-quickbooks-deskt/")</f>
        <v>https://www.method.me/blog/multiple-companies-quickbooks-deskt/</v>
      </c>
      <c r="B969" s="1" t="str">
        <f>IFERROR(__xludf.DUMMYFUNCTION("""COMPUTED_VALUE"""),"QuickBooks - How-to")</f>
        <v>QuickBooks - How-to</v>
      </c>
      <c r="C969" s="1" t="str">
        <f>IFERROR(__xludf.DUMMYFUNCTION("""COMPUTED_VALUE"""),"Blog")</f>
        <v>Blog</v>
      </c>
      <c r="D969" s="1" t="str">
        <f>IFERROR(__xludf.DUMMYFUNCTION("""COMPUTED_VALUE"""),"How to set up multiple companies in QuickBooks Desktop​ (Step-by-Step Guide)")</f>
        <v>How to set up multiple companies in QuickBooks Desktop​ (Step-by-Step Guide)</v>
      </c>
      <c r="E969" s="12">
        <f>IFERROR(__xludf.DUMMYFUNCTION("""COMPUTED_VALUE"""),45804.72708333333)</f>
        <v>45804.72708</v>
      </c>
    </row>
    <row r="970">
      <c r="A970" s="7" t="str">
        <f>IFERROR(__xludf.DUMMYFUNCTION("""COMPUTED_VALUE"""),"https://www.method.me/blog/field-service-software-quickbooks-integration/")</f>
        <v>https://www.method.me/blog/field-service-software-quickbooks-integration/</v>
      </c>
      <c r="B970" s="1" t="str">
        <f>IFERROR(__xludf.DUMMYFUNCTION("""COMPUTED_VALUE"""),"Listicle - Software / Software overview")</f>
        <v>Listicle - Software / Software overview</v>
      </c>
      <c r="C970" s="1" t="str">
        <f>IFERROR(__xludf.DUMMYFUNCTION("""COMPUTED_VALUE"""),"Blog")</f>
        <v>Blog</v>
      </c>
      <c r="D970" s="1" t="str">
        <f>IFERROR(__xludf.DUMMYFUNCTION("""COMPUTED_VALUE"""),"QuickBooks-compatible field service software: 6 top picks")</f>
        <v>QuickBooks-compatible field service software: 6 top picks</v>
      </c>
      <c r="E970" s="12">
        <f>IFERROR(__xludf.DUMMYFUNCTION("""COMPUTED_VALUE"""),45804.76180555556)</f>
        <v>45804.76181</v>
      </c>
    </row>
    <row r="971">
      <c r="A971" s="7" t="str">
        <f>IFERROR(__xludf.DUMMYFUNCTION("""COMPUTED_VALUE"""),"https://www.method.me/blog/crm-for-multiple-businesses/")</f>
        <v>https://www.method.me/blog/crm-for-multiple-businesses/</v>
      </c>
      <c r="B971" s="1" t="str">
        <f>IFERROR(__xludf.DUMMYFUNCTION("""COMPUTED_VALUE"""),"Listicle - Software / Software overview")</f>
        <v>Listicle - Software / Software overview</v>
      </c>
      <c r="C971" s="1" t="str">
        <f>IFERROR(__xludf.DUMMYFUNCTION("""COMPUTED_VALUE"""),"Blog")</f>
        <v>Blog</v>
      </c>
      <c r="D971" s="1" t="str">
        <f>IFERROR(__xludf.DUMMYFUNCTION("""COMPUTED_VALUE"""),"7 best CRMs for multiple businesses in 2025")</f>
        <v>7 best CRMs for multiple businesses in 2025</v>
      </c>
      <c r="E971" s="12">
        <f>IFERROR(__xludf.DUMMYFUNCTION("""COMPUTED_VALUE"""),45806.450694444444)</f>
        <v>45806.45069</v>
      </c>
    </row>
    <row r="972">
      <c r="A972" s="7" t="str">
        <f>IFERROR(__xludf.DUMMYFUNCTION("""COMPUTED_VALUE"""),"https://www.method.me/blog/crm-for-logistics/")</f>
        <v>https://www.method.me/blog/crm-for-logistics/</v>
      </c>
      <c r="B972" s="1" t="str">
        <f>IFERROR(__xludf.DUMMYFUNCTION("""COMPUTED_VALUE"""),"Listicle - Software / Software overview")</f>
        <v>Listicle - Software / Software overview</v>
      </c>
      <c r="C972" s="1" t="str">
        <f>IFERROR(__xludf.DUMMYFUNCTION("""COMPUTED_VALUE"""),"Blog")</f>
        <v>Blog</v>
      </c>
      <c r="D972" s="1" t="str">
        <f>IFERROR(__xludf.DUMMYFUNCTION("""COMPUTED_VALUE"""),"Top 7 CRM solutions for logistics companies in 2025")</f>
        <v>Top 7 CRM solutions for logistics companies in 2025</v>
      </c>
      <c r="E972" s="12">
        <f>IFERROR(__xludf.DUMMYFUNCTION("""COMPUTED_VALUE"""),45810.73541666667)</f>
        <v>45810.73542</v>
      </c>
    </row>
    <row r="973">
      <c r="A973" s="7" t="str">
        <f>IFERROR(__xludf.DUMMYFUNCTION("""COMPUTED_VALUE"""),"https://www.method.me/blog/best-crm-landscapers/")</f>
        <v>https://www.method.me/blog/best-crm-landscapers/</v>
      </c>
      <c r="B973" s="1" t="str">
        <f>IFERROR(__xludf.DUMMYFUNCTION("""COMPUTED_VALUE"""),"Listicle - Software / Software overview")</f>
        <v>Listicle - Software / Software overview</v>
      </c>
      <c r="C973" s="1" t="str">
        <f>IFERROR(__xludf.DUMMYFUNCTION("""COMPUTED_VALUE"""),"Blog")</f>
        <v>Blog</v>
      </c>
      <c r="D973" s="1" t="str">
        <f>IFERROR(__xludf.DUMMYFUNCTION("""COMPUTED_VALUE"""),"7 best CRMs for landscapers who have complex workflows")</f>
        <v>7 best CRMs for landscapers who have complex workflows</v>
      </c>
      <c r="E973" s="12">
        <f>IFERROR(__xludf.DUMMYFUNCTION("""COMPUTED_VALUE"""),45811.45416666667)</f>
        <v>45811.45417</v>
      </c>
    </row>
    <row r="974">
      <c r="A974" s="7" t="str">
        <f>IFERROR(__xludf.DUMMYFUNCTION("""COMPUTED_VALUE"""),"https://www.method.me/blog/crms-for-construction-business/")</f>
        <v>https://www.method.me/blog/crms-for-construction-business/</v>
      </c>
      <c r="B974" s="1" t="str">
        <f>IFERROR(__xludf.DUMMYFUNCTION("""COMPUTED_VALUE"""),"Listicle - Software / Software overview")</f>
        <v>Listicle - Software / Software overview</v>
      </c>
      <c r="C974" s="1" t="str">
        <f>IFERROR(__xludf.DUMMYFUNCTION("""COMPUTED_VALUE"""),"Blog")</f>
        <v>Blog</v>
      </c>
      <c r="D974" s="1" t="str">
        <f>IFERROR(__xludf.DUMMYFUNCTION("""COMPUTED_VALUE"""),"7 best CRMs for construction businesses in 2025")</f>
        <v>7 best CRMs for construction businesses in 2025</v>
      </c>
      <c r="E974" s="12">
        <f>IFERROR(__xludf.DUMMYFUNCTION("""COMPUTED_VALUE"""),45811.458333333336)</f>
        <v>45811.45833</v>
      </c>
    </row>
    <row r="975">
      <c r="A975" s="7" t="str">
        <f>IFERROR(__xludf.DUMMYFUNCTION("""COMPUTED_VALUE"""),"https://www.method.me/blog/best-crm-manufacturing/")</f>
        <v>https://www.method.me/blog/best-crm-manufacturing/</v>
      </c>
      <c r="B975" s="1" t="str">
        <f>IFERROR(__xludf.DUMMYFUNCTION("""COMPUTED_VALUE"""),"Listicle - Software / Software overview")</f>
        <v>Listicle - Software / Software overview</v>
      </c>
      <c r="C975" s="1" t="str">
        <f>IFERROR(__xludf.DUMMYFUNCTION("""COMPUTED_VALUE"""),"Blog")</f>
        <v>Blog</v>
      </c>
      <c r="D975" s="1" t="str">
        <f>IFERROR(__xludf.DUMMYFUNCTION("""COMPUTED_VALUE"""),"7 best CRMs for manufacturing (eliminate spreadsheets and get more control)")</f>
        <v>7 best CRMs for manufacturing (eliminate spreadsheets and get more control)</v>
      </c>
      <c r="E975" s="12">
        <f>IFERROR(__xludf.DUMMYFUNCTION("""COMPUTED_VALUE"""),45811.50625)</f>
        <v>45811.50625</v>
      </c>
    </row>
    <row r="976">
      <c r="A976" s="7" t="str">
        <f>IFERROR(__xludf.DUMMYFUNCTION("""COMPUTED_VALUE"""),"https://www.method.me/blog/crm-for-it-service-providers/")</f>
        <v>https://www.method.me/blog/crm-for-it-service-providers/</v>
      </c>
      <c r="B976" s="1" t="str">
        <f>IFERROR(__xludf.DUMMYFUNCTION("""COMPUTED_VALUE"""),"Listicle - Software / Software overview")</f>
        <v>Listicle - Software / Software overview</v>
      </c>
      <c r="C976" s="1" t="str">
        <f>IFERROR(__xludf.DUMMYFUNCTION("""COMPUTED_VALUE"""),"Blog")</f>
        <v>Blog</v>
      </c>
      <c r="D976" s="1" t="str">
        <f>IFERROR(__xludf.DUMMYFUNCTION("""COMPUTED_VALUE"""),"7 best CRMs for IT service providers in 2025")</f>
        <v>7 best CRMs for IT service providers in 2025</v>
      </c>
      <c r="E976" s="12">
        <f>IFERROR(__xludf.DUMMYFUNCTION("""COMPUTED_VALUE"""),45811.52361111111)</f>
        <v>45811.52361</v>
      </c>
    </row>
    <row r="977">
      <c r="A977" s="7" t="str">
        <f>IFERROR(__xludf.DUMMYFUNCTION("""COMPUTED_VALUE"""),"https://www.method.me/blog/crm-evaluation-checklist/")</f>
        <v>https://www.method.me/blog/crm-evaluation-checklist/</v>
      </c>
      <c r="B977" s="1" t="str">
        <f>IFERROR(__xludf.DUMMYFUNCTION("""COMPUTED_VALUE"""),"CRM")</f>
        <v>CRM</v>
      </c>
      <c r="C977" s="1" t="str">
        <f>IFERROR(__xludf.DUMMYFUNCTION("""COMPUTED_VALUE"""),"Blog")</f>
        <v>Blog</v>
      </c>
      <c r="D977" s="1" t="str">
        <f>IFERROR(__xludf.DUMMYFUNCTION("""COMPUTED_VALUE"""),"CRM Evaluation Checklist: 6 steps to choosing the right CRM system for your business")</f>
        <v>CRM Evaluation Checklist: 6 steps to choosing the right CRM system for your business</v>
      </c>
      <c r="E977" s="12">
        <f>IFERROR(__xludf.DUMMYFUNCTION("""COMPUTED_VALUE"""),45828.62708333333)</f>
        <v>45828.62708</v>
      </c>
    </row>
    <row r="978">
      <c r="A978" s="7" t="str">
        <f>IFERROR(__xludf.DUMMYFUNCTION("""COMPUTED_VALUE"""),"https://www.method.me/blog/customer-self-service-portal/")</f>
        <v>https://www.method.me/blog/customer-self-service-portal/</v>
      </c>
      <c r="B978" s="1" t="str">
        <f>IFERROR(__xludf.DUMMYFUNCTION("""COMPUTED_VALUE"""),"Sales / Marketing / Lead gen")</f>
        <v>Sales / Marketing / Lead gen</v>
      </c>
      <c r="C978" s="1" t="str">
        <f>IFERROR(__xludf.DUMMYFUNCTION("""COMPUTED_VALUE"""),"Blog")</f>
        <v>Blog</v>
      </c>
      <c r="D978" s="1" t="str">
        <f>IFERROR(__xludf.DUMMYFUNCTION("""COMPUTED_VALUE"""),"What is a customer self-service portal? (And do you need one)")</f>
        <v>What is a customer self-service portal? (And do you need one)</v>
      </c>
      <c r="E978" s="12">
        <f>IFERROR(__xludf.DUMMYFUNCTION("""COMPUTED_VALUE"""),45828.65555555555)</f>
        <v>45828.65556</v>
      </c>
    </row>
    <row r="979">
      <c r="A979" s="7" t="str">
        <f>IFERROR(__xludf.DUMMYFUNCTION("""COMPUTED_VALUE"""),"https://www.method.me/blog/netsuite-alternatives-small-business/")</f>
        <v>https://www.method.me/blog/netsuite-alternatives-small-business/</v>
      </c>
      <c r="B979" s="1" t="str">
        <f>IFERROR(__xludf.DUMMYFUNCTION("""COMPUTED_VALUE"""),"Listicle - Software / Software overview")</f>
        <v>Listicle - Software / Software overview</v>
      </c>
      <c r="C979" s="1" t="str">
        <f>IFERROR(__xludf.DUMMYFUNCTION("""COMPUTED_VALUE"""),"Blog")</f>
        <v>Blog</v>
      </c>
      <c r="D979" s="1" t="str">
        <f>IFERROR(__xludf.DUMMYFUNCTION("""COMPUTED_VALUE"""),"7 Top NetSuite Alternatives for Small Businesses")</f>
        <v>7 Top NetSuite Alternatives for Small Businesses</v>
      </c>
      <c r="E979" s="12">
        <f>IFERROR(__xludf.DUMMYFUNCTION("""COMPUTED_VALUE"""),45828.760416666664)</f>
        <v>45828.76042</v>
      </c>
    </row>
    <row r="980">
      <c r="A980" s="7" t="str">
        <f>IFERROR(__xludf.DUMMYFUNCTION("""COMPUTED_VALUE"""),"https://www.method.me/blog/method-crm-vs-thryv/")</f>
        <v>https://www.method.me/blog/method-crm-vs-thryv/</v>
      </c>
      <c r="B980" s="1" t="str">
        <f>IFERROR(__xludf.DUMMYFUNCTION("""COMPUTED_VALUE"""),"Method - Comparison")</f>
        <v>Method - Comparison</v>
      </c>
      <c r="C980" s="1" t="str">
        <f>IFERROR(__xludf.DUMMYFUNCTION("""COMPUTED_VALUE"""),"Blog")</f>
        <v>Blog</v>
      </c>
      <c r="D980" s="1" t="str">
        <f>IFERROR(__xludf.DUMMYFUNCTION("""COMPUTED_VALUE"""),"Method CRM vs Thryv: How do the tools stack up?")</f>
        <v>Method CRM vs Thryv: How do the tools stack up?</v>
      </c>
      <c r="E980" s="12">
        <f>IFERROR(__xludf.DUMMYFUNCTION("""COMPUTED_VALUE"""),45831.48055555556)</f>
        <v>45831.48056</v>
      </c>
    </row>
    <row r="981">
      <c r="A981" s="7" t="str">
        <f>IFERROR(__xludf.DUMMYFUNCTION("""COMPUTED_VALUE"""),"https://www.method.me/blog/method-crm-vs-odoo/")</f>
        <v>https://www.method.me/blog/method-crm-vs-odoo/</v>
      </c>
      <c r="B981" s="1" t="str">
        <f>IFERROR(__xludf.DUMMYFUNCTION("""COMPUTED_VALUE"""),"Method - Comparison")</f>
        <v>Method - Comparison</v>
      </c>
      <c r="C981" s="1" t="str">
        <f>IFERROR(__xludf.DUMMYFUNCTION("""COMPUTED_VALUE"""),"Blog")</f>
        <v>Blog</v>
      </c>
      <c r="D981" s="1" t="str">
        <f>IFERROR(__xludf.DUMMYFUNCTION("""COMPUTED_VALUE"""),"Method CRM vs Odoo: Which is right for your business?")</f>
        <v>Method CRM vs Odoo: Which is right for your business?</v>
      </c>
      <c r="E981" s="12">
        <f>IFERROR(__xludf.DUMMYFUNCTION("""COMPUTED_VALUE"""),45831.48333333333)</f>
        <v>45831.48333</v>
      </c>
    </row>
    <row r="982">
      <c r="A982" s="7" t="str">
        <f>IFERROR(__xludf.DUMMYFUNCTION("""COMPUTED_VALUE"""),"https://www.method.me/blog/netsuite-vs-method-crm/")</f>
        <v>https://www.method.me/blog/netsuite-vs-method-crm/</v>
      </c>
      <c r="B982" s="1" t="str">
        <f>IFERROR(__xludf.DUMMYFUNCTION("""COMPUTED_VALUE"""),"Method - Comparison")</f>
        <v>Method - Comparison</v>
      </c>
      <c r="C982" s="1" t="str">
        <f>IFERROR(__xludf.DUMMYFUNCTION("""COMPUTED_VALUE"""),"Blog")</f>
        <v>Blog</v>
      </c>
      <c r="D982" s="1" t="str">
        <f>IFERROR(__xludf.DUMMYFUNCTION("""COMPUTED_VALUE"""),"NetSuite vs Method CRM: What’s best for your business?")</f>
        <v>NetSuite vs Method CRM: What’s best for your business?</v>
      </c>
      <c r="E982" s="12">
        <f>IFERROR(__xludf.DUMMYFUNCTION("""COMPUTED_VALUE"""),45831.48541666667)</f>
        <v>45831.48542</v>
      </c>
    </row>
    <row r="983">
      <c r="A983" s="7" t="str">
        <f>IFERROR(__xludf.DUMMYFUNCTION("""COMPUTED_VALUE"""),"https://www.method.me/blog/procore-vs-method-crm/")</f>
        <v>https://www.method.me/blog/procore-vs-method-crm/</v>
      </c>
      <c r="B983" s="1" t="str">
        <f>IFERROR(__xludf.DUMMYFUNCTION("""COMPUTED_VALUE"""),"Method - Comparison")</f>
        <v>Method - Comparison</v>
      </c>
      <c r="C983" s="1" t="str">
        <f>IFERROR(__xludf.DUMMYFUNCTION("""COMPUTED_VALUE"""),"Blog")</f>
        <v>Blog</v>
      </c>
      <c r="D983" s="1" t="str">
        <f>IFERROR(__xludf.DUMMYFUNCTION("""COMPUTED_VALUE"""),"Procore vs Method CRM: Which Is Right for You?")</f>
        <v>Procore vs Method CRM: Which Is Right for You?</v>
      </c>
      <c r="E983" s="12">
        <f>IFERROR(__xludf.DUMMYFUNCTION("""COMPUTED_VALUE"""),45835.61041666667)</f>
        <v>45835.61042</v>
      </c>
    </row>
    <row r="984">
      <c r="A984" s="7" t="str">
        <f>IFERROR(__xludf.DUMMYFUNCTION("""COMPUTED_VALUE"""),"https://www.method.me/blog/freshsales-vs-method-crm/")</f>
        <v>https://www.method.me/blog/freshsales-vs-method-crm/</v>
      </c>
      <c r="B984" s="1" t="str">
        <f>IFERROR(__xludf.DUMMYFUNCTION("""COMPUTED_VALUE"""),"Method - Comparison")</f>
        <v>Method - Comparison</v>
      </c>
      <c r="C984" s="1" t="str">
        <f>IFERROR(__xludf.DUMMYFUNCTION("""COMPUTED_VALUE"""),"Blog")</f>
        <v>Blog</v>
      </c>
      <c r="D984" s="1" t="str">
        <f>IFERROR(__xludf.DUMMYFUNCTION("""COMPUTED_VALUE"""),"Freshsales vs Method CRM Comparison")</f>
        <v>Freshsales vs Method CRM Comparison</v>
      </c>
      <c r="E984" s="12">
        <f>IFERROR(__xludf.DUMMYFUNCTION("""COMPUTED_VALUE"""),45835.66527777778)</f>
        <v>45835.66528</v>
      </c>
    </row>
    <row r="985">
      <c r="A985" s="7" t="str">
        <f>IFERROR(__xludf.DUMMYFUNCTION("""COMPUTED_VALUE"""),"https://www.method.me/blog/builder-prime-vs-method-crm/")</f>
        <v>https://www.method.me/blog/builder-prime-vs-method-crm/</v>
      </c>
      <c r="B985" s="1" t="str">
        <f>IFERROR(__xludf.DUMMYFUNCTION("""COMPUTED_VALUE"""),"Method - Comparison")</f>
        <v>Method - Comparison</v>
      </c>
      <c r="C985" s="1" t="str">
        <f>IFERROR(__xludf.DUMMYFUNCTION("""COMPUTED_VALUE"""),"Blog")</f>
        <v>Blog</v>
      </c>
      <c r="D985" s="1" t="str">
        <f>IFERROR(__xludf.DUMMYFUNCTION("""COMPUTED_VALUE"""),"Builder Prime vs Method CRM Comparison")</f>
        <v>Builder Prime vs Method CRM Comparison</v>
      </c>
      <c r="E985" s="12">
        <f>IFERROR(__xludf.DUMMYFUNCTION("""COMPUTED_VALUE"""),45835.71597222222)</f>
        <v>45835.71597</v>
      </c>
    </row>
    <row r="986">
      <c r="A986" s="7" t="str">
        <f>IFERROR(__xludf.DUMMYFUNCTION("""COMPUTED_VALUE"""),"https://www.method.me/blog/lead-generation-manufacturing/")</f>
        <v>https://www.method.me/blog/lead-generation-manufacturing/</v>
      </c>
      <c r="B986" s="1" t="str">
        <f>IFERROR(__xludf.DUMMYFUNCTION("""COMPUTED_VALUE"""),"Sales / Marketing / Lead gen")</f>
        <v>Sales / Marketing / Lead gen</v>
      </c>
      <c r="C986" s="1" t="str">
        <f>IFERROR(__xludf.DUMMYFUNCTION("""COMPUTED_VALUE"""),"Blog")</f>
        <v>Blog</v>
      </c>
      <c r="D986" s="1" t="str">
        <f>IFERROR(__xludf.DUMMYFUNCTION("""COMPUTED_VALUE"""),"How to generate more leads for your manufacturing business")</f>
        <v>How to generate more leads for your manufacturing business</v>
      </c>
      <c r="E986" s="12">
        <f>IFERROR(__xludf.DUMMYFUNCTION("""COMPUTED_VALUE"""),45846.54722222222)</f>
        <v>45846.54722</v>
      </c>
    </row>
    <row r="987">
      <c r="A987" s="7" t="str">
        <f>IFERROR(__xludf.DUMMYFUNCTION("""COMPUTED_VALUE"""),"https://www.method.me/resources/compare/zoho-alternative/")</f>
        <v>https://www.method.me/resources/compare/zoho-alternative/</v>
      </c>
      <c r="B987" s="1" t="str">
        <f>IFERROR(__xludf.DUMMYFUNCTION("""COMPUTED_VALUE"""),"Listicle - Software / Software overview")</f>
        <v>Listicle - Software / Software overview</v>
      </c>
      <c r="C987" s="1" t="str">
        <f>IFERROR(__xludf.DUMMYFUNCTION("""COMPUTED_VALUE"""),"Guide")</f>
        <v>Guide</v>
      </c>
      <c r="D987" s="1" t="str">
        <f>IFERROR(__xludf.DUMMYFUNCTION("""COMPUTED_VALUE"""),"Top Zoho CRM alternatives: A complete guide for 2025")</f>
        <v>Top Zoho CRM alternatives: A complete guide for 2025</v>
      </c>
      <c r="E987" s="12">
        <f>IFERROR(__xludf.DUMMYFUNCTION("""COMPUTED_VALUE"""),45841.63055555556)</f>
        <v>45841.63056</v>
      </c>
    </row>
    <row r="988">
      <c r="A988" s="7" t="str">
        <f>IFERROR(__xludf.DUMMYFUNCTION("""COMPUTED_VALUE"""),"https://www.method.me/blog/crm-systems-for-small-business/")</f>
        <v>https://www.method.me/blog/crm-systems-for-small-business/</v>
      </c>
      <c r="B988" s="1" t="str">
        <f>IFERROR(__xludf.DUMMYFUNCTION("""COMPUTED_VALUE"""),"Listicle - CRM")</f>
        <v>Listicle - CRM</v>
      </c>
      <c r="C988" s="1" t="str">
        <f>IFERROR(__xludf.DUMMYFUNCTION("""COMPUTED_VALUE"""),"Blog")</f>
        <v>Blog</v>
      </c>
      <c r="D988" s="1" t="str">
        <f>IFERROR(__xludf.DUMMYFUNCTION("""COMPUTED_VALUE"""),"12 best CRMs for small businesses in 2025")</f>
        <v>12 best CRMs for small businesses in 2025</v>
      </c>
      <c r="E988" s="12">
        <f>IFERROR(__xludf.DUMMYFUNCTION("""COMPUTED_VALUE"""),45846.54722222222)</f>
        <v>45846.54722</v>
      </c>
    </row>
    <row r="989">
      <c r="A989" s="7" t="str">
        <f>IFERROR(__xludf.DUMMYFUNCTION("""COMPUTED_VALUE"""),"https://www.method.me/blog/houzz-pro-vs-method-crm/")</f>
        <v>https://www.method.me/blog/houzz-pro-vs-method-crm/</v>
      </c>
      <c r="B989" s="1" t="str">
        <f>IFERROR(__xludf.DUMMYFUNCTION("""COMPUTED_VALUE"""),"Method - Comparison")</f>
        <v>Method - Comparison</v>
      </c>
      <c r="C989" s="1" t="str">
        <f>IFERROR(__xludf.DUMMYFUNCTION("""COMPUTED_VALUE"""),"Blog")</f>
        <v>Blog</v>
      </c>
      <c r="D989" s="1" t="str">
        <f>IFERROR(__xludf.DUMMYFUNCTION("""COMPUTED_VALUE"""),"Houzz Pro vs Method CRM Comparison")</f>
        <v>Houzz Pro vs Method CRM Comparison</v>
      </c>
      <c r="E989" s="12">
        <f>IFERROR(__xludf.DUMMYFUNCTION("""COMPUTED_VALUE"""),45847.50625)</f>
        <v>45847.50625</v>
      </c>
    </row>
    <row r="990">
      <c r="A990" s="7" t="str">
        <f>IFERROR(__xludf.DUMMYFUNCTION("""COMPUTED_VALUE"""),"https://www.method.me/blog/mrpeasy-vs-method-crm-comparison/")</f>
        <v>https://www.method.me/blog/mrpeasy-vs-method-crm-comparison/</v>
      </c>
      <c r="B990" s="1" t="str">
        <f>IFERROR(__xludf.DUMMYFUNCTION("""COMPUTED_VALUE"""),"Method - Comparison")</f>
        <v>Method - Comparison</v>
      </c>
      <c r="C990" s="1" t="str">
        <f>IFERROR(__xludf.DUMMYFUNCTION("""COMPUTED_VALUE"""),"Blog")</f>
        <v>Blog</v>
      </c>
      <c r="D990" s="1" t="str">
        <f>IFERROR(__xludf.DUMMYFUNCTION("""COMPUTED_VALUE"""),"MRPeasy vs Method CRM Comparison")</f>
        <v>MRPeasy vs Method CRM Comparison</v>
      </c>
      <c r="E990" s="12">
        <f>IFERROR(__xludf.DUMMYFUNCTION("""COMPUTED_VALUE"""),45847.57430555556)</f>
        <v>45847.57431</v>
      </c>
    </row>
    <row r="991">
      <c r="A991" s="7" t="str">
        <f>IFERROR(__xludf.DUMMYFUNCTION("""COMPUTED_VALUE"""),"https://www.method.me/blog/crm-best-practices/")</f>
        <v>https://www.method.me/blog/crm-best-practices/</v>
      </c>
      <c r="B991" s="1" t="str">
        <f>IFERROR(__xludf.DUMMYFUNCTION("""COMPUTED_VALUE"""),"CRM")</f>
        <v>CRM</v>
      </c>
      <c r="C991" s="1" t="str">
        <f>IFERROR(__xludf.DUMMYFUNCTION("""COMPUTED_VALUE"""),"Blog")</f>
        <v>Blog</v>
      </c>
      <c r="D991" s="1" t="str">
        <f>IFERROR(__xludf.DUMMYFUNCTION("""COMPUTED_VALUE"""),"CRM best practices for small businesses (2025 guide)")</f>
        <v>CRM best practices for small businesses (2025 guide)</v>
      </c>
      <c r="E991" s="12">
        <f>IFERROR(__xludf.DUMMYFUNCTION("""COMPUTED_VALUE"""),45849.50555555556)</f>
        <v>45849.50556</v>
      </c>
    </row>
    <row r="992">
      <c r="A992" s="7" t="str">
        <f>IFERROR(__xludf.DUMMYFUNCTION("""COMPUTED_VALUE"""),"https://www.method.me/blog/multi-entity-playbook/")</f>
        <v>https://www.method.me/blog/multi-entity-playbook/</v>
      </c>
      <c r="B992" s="1" t="str">
        <f>IFERROR(__xludf.DUMMYFUNCTION("""COMPUTED_VALUE"""),"CRM")</f>
        <v>CRM</v>
      </c>
      <c r="C992" s="1" t="str">
        <f>IFERROR(__xludf.DUMMYFUNCTION("""COMPUTED_VALUE"""),"Blog")</f>
        <v>Blog</v>
      </c>
      <c r="D992" s="1" t="str">
        <f>IFERROR(__xludf.DUMMYFUNCTION("""COMPUTED_VALUE"""),"The Multi-Entity Playbook: A Smarter Way to Scale on QuickBooks")</f>
        <v>The Multi-Entity Playbook: A Smarter Way to Scale on QuickBooks</v>
      </c>
      <c r="E992" s="12">
        <f>IFERROR(__xludf.DUMMYFUNCTION("""COMPUTED_VALUE"""),45852.69097222222)</f>
        <v>45852.69097</v>
      </c>
    </row>
    <row r="993">
      <c r="A993" s="7" t="str">
        <f>IFERROR(__xludf.DUMMYFUNCTION("""COMPUTED_VALUE"""),"https://www.method.me/resources/best-electrical-contractor-software/")</f>
        <v>https://www.method.me/resources/best-electrical-contractor-software/</v>
      </c>
      <c r="B993" s="1" t="str">
        <f>IFERROR(__xludf.DUMMYFUNCTION("""COMPUTED_VALUE"""),"Listicle - CRM")</f>
        <v>Listicle - CRM</v>
      </c>
      <c r="C993" s="1" t="str">
        <f>IFERROR(__xludf.DUMMYFUNCTION("""COMPUTED_VALUE"""),"Guide")</f>
        <v>Guide</v>
      </c>
      <c r="D993" s="1" t="str">
        <f>IFERROR(__xludf.DUMMYFUNCTION("""COMPUTED_VALUE"""),"13 best electrical contractor software in 2025")</f>
        <v>13 best electrical contractor software in 2025</v>
      </c>
      <c r="E993" s="12">
        <f>IFERROR(__xludf.DUMMYFUNCTION("""COMPUTED_VALUE"""),45854.625)</f>
        <v>45854.625</v>
      </c>
    </row>
    <row r="994">
      <c r="A994" s="7" t="str">
        <f>IFERROR(__xludf.DUMMYFUNCTION("""COMPUTED_VALUE"""),"https://www.method.me/blog/lead-follow-up-system/")</f>
        <v>https://www.method.me/blog/lead-follow-up-system/</v>
      </c>
      <c r="B994" s="1" t="str">
        <f>IFERROR(__xludf.DUMMYFUNCTION("""COMPUTED_VALUE"""),"Sales / Marketing / Lead gen")</f>
        <v>Sales / Marketing / Lead gen</v>
      </c>
      <c r="C994" s="1" t="str">
        <f>IFERROR(__xludf.DUMMYFUNCTION("""COMPUTED_VALUE"""),"Blog")</f>
        <v>Blog</v>
      </c>
      <c r="D994" s="1" t="str">
        <f>IFERROR(__xludf.DUMMYFUNCTION("""COMPUTED_VALUE"""),"Lead follow-up systems: The key to converting more prospects")</f>
        <v>Lead follow-up systems: The key to converting more prospects</v>
      </c>
      <c r="E994" s="12">
        <f>IFERROR(__xludf.DUMMYFUNCTION("""COMPUTED_VALUE"""),45854.708333333336)</f>
        <v>45854.70833</v>
      </c>
    </row>
    <row r="995">
      <c r="A995" s="7" t="str">
        <f>IFERROR(__xludf.DUMMYFUNCTION("""COMPUTED_VALUE"""),"https://www.method.me/blog/reclassify-transactions-in-quickbooks/")</f>
        <v>https://www.method.me/blog/reclassify-transactions-in-quickbooks/</v>
      </c>
      <c r="B995" s="1" t="str">
        <f>IFERROR(__xludf.DUMMYFUNCTION("""COMPUTED_VALUE"""),"QuickBooks - How-to")</f>
        <v>QuickBooks - How-to</v>
      </c>
      <c r="C995" s="1" t="str">
        <f>IFERROR(__xludf.DUMMYFUNCTION("""COMPUTED_VALUE"""),"Blog")</f>
        <v>Blog</v>
      </c>
      <c r="D995" s="1" t="str">
        <f>IFERROR(__xludf.DUMMYFUNCTION("""COMPUTED_VALUE"""),"How to reclassify transactions in QuickBooks")</f>
        <v>How to reclassify transactions in QuickBooks</v>
      </c>
      <c r="E995" s="1" t="str">
        <f>IFERROR(__xludf.DUMMYFUNCTION("""COMPUTED_VALUE"""),"2025-07-23-11:00:00")</f>
        <v>2025-07-23-11:00:00</v>
      </c>
    </row>
    <row r="996">
      <c r="A996" s="7" t="str">
        <f>IFERROR(__xludf.DUMMYFUNCTION("""COMPUTED_VALUE"""),"https://www.method.me/blog/how-to-enter-adjusting-journal-entries-in-quickbooks/")</f>
        <v>https://www.method.me/blog/how-to-enter-adjusting-journal-entries-in-quickbooks/</v>
      </c>
      <c r="B996" s="1" t="str">
        <f>IFERROR(__xludf.DUMMYFUNCTION("""COMPUTED_VALUE"""),"QuickBooks - How-to")</f>
        <v>QuickBooks - How-to</v>
      </c>
      <c r="C996" s="1" t="str">
        <f>IFERROR(__xludf.DUMMYFUNCTION("""COMPUTED_VALUE"""),"Blog")</f>
        <v>Blog</v>
      </c>
      <c r="D996" s="1" t="str">
        <f>IFERROR(__xludf.DUMMYFUNCTION("""COMPUTED_VALUE"""),"How to enter adjusting journal entries in Quickbooks")</f>
        <v>How to enter adjusting journal entries in Quickbooks</v>
      </c>
      <c r="E996" s="12">
        <f>IFERROR(__xludf.DUMMYFUNCTION("""COMPUTED_VALUE"""),45862.68680555555)</f>
        <v>45862.68681</v>
      </c>
    </row>
    <row r="997">
      <c r="A997" s="7" t="str">
        <f>IFERROR(__xludf.DUMMYFUNCTION("""COMPUTED_VALUE"""),"https://www.method.me/blog/how-to-add-another-company-in-quickbooks-online/")</f>
        <v>https://www.method.me/blog/how-to-add-another-company-in-quickbooks-online/</v>
      </c>
      <c r="B997" s="1" t="str">
        <f>IFERROR(__xludf.DUMMYFUNCTION("""COMPUTED_VALUE"""),"QuickBooks - How-to")</f>
        <v>QuickBooks - How-to</v>
      </c>
      <c r="C997" s="1" t="str">
        <f>IFERROR(__xludf.DUMMYFUNCTION("""COMPUTED_VALUE"""),"Blog")</f>
        <v>Blog</v>
      </c>
      <c r="D997" s="1" t="str">
        <f>IFERROR(__xludf.DUMMYFUNCTION("""COMPUTED_VALUE"""),"How to add another company in QuickBooks Online")</f>
        <v>How to add another company in QuickBooks Online</v>
      </c>
      <c r="E997" s="12">
        <f>IFERROR(__xludf.DUMMYFUNCTION("""COMPUTED_VALUE"""),45863.65138888889)</f>
        <v>45863.65139</v>
      </c>
    </row>
    <row r="998">
      <c r="A998" s="7" t="str">
        <f>IFERROR(__xludf.DUMMYFUNCTION("""COMPUTED_VALUE"""),"https://www.method.me/blog/how-to-delete-multiple-transactions-in-quickbooks-desktop-and-online/")</f>
        <v>https://www.method.me/blog/how-to-delete-multiple-transactions-in-quickbooks-desktop-and-online/</v>
      </c>
      <c r="B998" s="1" t="str">
        <f>IFERROR(__xludf.DUMMYFUNCTION("""COMPUTED_VALUE"""),"QuickBooks - How-to")</f>
        <v>QuickBooks - How-to</v>
      </c>
      <c r="C998" s="1" t="str">
        <f>IFERROR(__xludf.DUMMYFUNCTION("""COMPUTED_VALUE"""),"Blog")</f>
        <v>Blog</v>
      </c>
      <c r="D998" s="1" t="str">
        <f>IFERROR(__xludf.DUMMYFUNCTION("""COMPUTED_VALUE"""),"How to delete multiple transactions in QuickBooks Desktop and Online")</f>
        <v>How to delete multiple transactions in QuickBooks Desktop and Online</v>
      </c>
      <c r="E998" s="12">
        <f>IFERROR(__xludf.DUMMYFUNCTION("""COMPUTED_VALUE"""),45868.69375)</f>
        <v>45868.69375</v>
      </c>
    </row>
    <row r="999">
      <c r="A999" s="7" t="str">
        <f>IFERROR(__xludf.DUMMYFUNCTION("""COMPUTED_VALUE"""),"https://www.method.me/blog/best-hvac-apps/")</f>
        <v>https://www.method.me/blog/best-hvac-apps/</v>
      </c>
      <c r="B999" s="1" t="str">
        <f>IFERROR(__xludf.DUMMYFUNCTION("""COMPUTED_VALUE"""),"Listicle - Software / Software overview")</f>
        <v>Listicle - Software / Software overview</v>
      </c>
      <c r="C999" s="1" t="str">
        <f>IFERROR(__xludf.DUMMYFUNCTION("""COMPUTED_VALUE"""),"Blog")</f>
        <v>Blog</v>
      </c>
      <c r="D999" s="1" t="str">
        <f>IFERROR(__xludf.DUMMYFUNCTION("""COMPUTED_VALUE"""),"5 best HVAC apps in 2025 ")</f>
        <v>5 best HVAC apps in 2025 </v>
      </c>
      <c r="E999" s="12">
        <f>IFERROR(__xludf.DUMMYFUNCTION("""COMPUTED_VALUE"""),45869.59375)</f>
        <v>45869.59375</v>
      </c>
    </row>
    <row r="1000">
      <c r="A1000" s="7" t="str">
        <f>IFERROR(__xludf.DUMMYFUNCTION("""COMPUTED_VALUE"""),"https://www.method.me/blog/docusign-quickbooks-integration/")</f>
        <v>https://www.method.me/blog/docusign-quickbooks-integration/</v>
      </c>
      <c r="B1000" s="1" t="str">
        <f>IFERROR(__xludf.DUMMYFUNCTION("""COMPUTED_VALUE"""),"Method - Comparison")</f>
        <v>Method - Comparison</v>
      </c>
      <c r="C1000" s="1" t="str">
        <f>IFERROR(__xludf.DUMMYFUNCTION("""COMPUTED_VALUE"""),"Blog")</f>
        <v>Blog</v>
      </c>
      <c r="D1000" s="1" t="str">
        <f>IFERROR(__xludf.DUMMYFUNCTION("""COMPUTED_VALUE"""),"QuickBooks Docusign integration: A better way")</f>
        <v>QuickBooks Docusign integration: A better way</v>
      </c>
      <c r="E1000" s="12">
        <f>IFERROR(__xludf.DUMMYFUNCTION("""COMPUTED_VALUE"""),44823.416666666664)</f>
        <v>44823.41667</v>
      </c>
    </row>
    <row r="1001">
      <c r="A1001" s="7" t="str">
        <f>IFERROR(__xludf.DUMMYFUNCTION("""COMPUTED_VALUE"""),"https://www.method.me/blog/crm-for-project-management/")</f>
        <v>https://www.method.me/blog/crm-for-project-management/</v>
      </c>
      <c r="B1001" s="1" t="str">
        <f>IFERROR(__xludf.DUMMYFUNCTION("""COMPUTED_VALUE"""),"Method - Comparison")</f>
        <v>Method - Comparison</v>
      </c>
      <c r="C1001" s="1" t="str">
        <f>IFERROR(__xludf.DUMMYFUNCTION("""COMPUTED_VALUE"""),"Blog ")</f>
        <v>Blog </v>
      </c>
      <c r="D1001" s="1" t="str">
        <f>IFERROR(__xludf.DUMMYFUNCTION("""COMPUTED_VALUE"""),"Best CRM for project management in 2025 ")</f>
        <v>Best CRM for project management in 2025 </v>
      </c>
      <c r="E1001" s="12">
        <f>IFERROR(__xludf.DUMMYFUNCTION("""COMPUTED_VALUE"""),45874.72708333333)</f>
        <v>45874.72708</v>
      </c>
    </row>
    <row r="1002">
      <c r="A1002" s="7" t="str">
        <f>IFERROR(__xludf.DUMMYFUNCTION("""COMPUTED_VALUE"""),"https://www.method.me/blog/crm-for-manufacturing-industry/")</f>
        <v>https://www.method.me/blog/crm-for-manufacturing-industry/</v>
      </c>
      <c r="B1002" s="1" t="str">
        <f>IFERROR(__xludf.DUMMYFUNCTION("""COMPUTED_VALUE"""),"Listicle - Software / Software overview")</f>
        <v>Listicle - Software / Software overview</v>
      </c>
      <c r="C1002" s="1" t="str">
        <f>IFERROR(__xludf.DUMMYFUNCTION("""COMPUTED_VALUE"""),"Blog")</f>
        <v>Blog</v>
      </c>
      <c r="D1002" s="1" t="str">
        <f>IFERROR(__xludf.DUMMYFUNCTION("""COMPUTED_VALUE"""),"CRM for manufacturing: 12 best options for 2025 ")</f>
        <v>CRM for manufacturing: 12 best options for 2025 </v>
      </c>
      <c r="E1002" s="12">
        <f>IFERROR(__xludf.DUMMYFUNCTION("""COMPUTED_VALUE"""),44910.47777777778)</f>
        <v>44910.47778</v>
      </c>
    </row>
    <row r="1003">
      <c r="A1003" s="7" t="str">
        <f>IFERROR(__xludf.DUMMYFUNCTION("""COMPUTED_VALUE"""),"https://www.method.me/blog/bitrix24-alternative/")</f>
        <v>https://www.method.me/blog/bitrix24-alternative/</v>
      </c>
      <c r="B1003" s="1" t="str">
        <f>IFERROR(__xludf.DUMMYFUNCTION("""COMPUTED_VALUE"""),"Method - Comparison")</f>
        <v>Method - Comparison</v>
      </c>
      <c r="C1003" s="1" t="str">
        <f>IFERROR(__xludf.DUMMYFUNCTION("""COMPUTED_VALUE"""),"Blog ")</f>
        <v>Blog </v>
      </c>
      <c r="D1003" s="1" t="str">
        <f>IFERROR(__xludf.DUMMYFUNCTION("""COMPUTED_VALUE"""),"Bitrix24 alternative: 6 options to consider in 2025")</f>
        <v>Bitrix24 alternative: 6 options to consider in 2025</v>
      </c>
      <c r="E1003" s="12">
        <f>IFERROR(__xludf.DUMMYFUNCTION("""COMPUTED_VALUE"""),45876.68958333333)</f>
        <v>45876.68958</v>
      </c>
    </row>
    <row r="1004">
      <c r="A1004" s="7" t="str">
        <f>IFERROR(__xludf.DUMMYFUNCTION("""COMPUTED_VALUE"""),"https://www.method.me/blog/zendesk-alternative/")</f>
        <v>https://www.method.me/blog/zendesk-alternative/</v>
      </c>
      <c r="B1004" s="1" t="str">
        <f>IFERROR(__xludf.DUMMYFUNCTION("""COMPUTED_VALUE"""),"Method - Comparison")</f>
        <v>Method - Comparison</v>
      </c>
      <c r="C1004" s="1" t="str">
        <f>IFERROR(__xludf.DUMMYFUNCTION("""COMPUTED_VALUE"""),"Blog")</f>
        <v>Blog</v>
      </c>
      <c r="D1004" s="1" t="str">
        <f>IFERROR(__xludf.DUMMYFUNCTION("""COMPUTED_VALUE"""),"Zendesk alternative guide: 15 platforms to compare")</f>
        <v>Zendesk alternative guide: 15 platforms to compare</v>
      </c>
      <c r="E1004" s="12">
        <f>IFERROR(__xludf.DUMMYFUNCTION("""COMPUTED_VALUE"""),45877.989583333336)</f>
        <v>45877.98958</v>
      </c>
    </row>
    <row r="1005">
      <c r="A1005" s="7" t="str">
        <f>IFERROR(__xludf.DUMMYFUNCTION("""COMPUTED_VALUE"""),"https://www.method.me/blog/best-crm-for-service-business/")</f>
        <v>https://www.method.me/blog/best-crm-for-service-business/</v>
      </c>
      <c r="B1005" s="1" t="str">
        <f>IFERROR(__xludf.DUMMYFUNCTION("""COMPUTED_VALUE"""),"Method - Comparison")</f>
        <v>Method - Comparison</v>
      </c>
      <c r="C1005" s="1" t="str">
        <f>IFERROR(__xludf.DUMMYFUNCTION("""COMPUTED_VALUE"""),"Blog")</f>
        <v>Blog</v>
      </c>
      <c r="D1005" s="1" t="str">
        <f>IFERROR(__xludf.DUMMYFUNCTION("""COMPUTED_VALUE"""),"Best CRM for your service business in 2025")</f>
        <v>Best CRM for your service business in 2025</v>
      </c>
      <c r="E1005" s="12">
        <f>IFERROR(__xludf.DUMMYFUNCTION("""COMPUTED_VALUE"""),45357.68125)</f>
        <v>45357.68125</v>
      </c>
    </row>
    <row r="1006">
      <c r="A1006" s="7" t="str">
        <f>IFERROR(__xludf.DUMMYFUNCTION("""COMPUTED_VALUE"""),"https://www.method.me/blog/pipedrive-alternative/")</f>
        <v>https://www.method.me/blog/pipedrive-alternative/</v>
      </c>
      <c r="B1006" s="1" t="str">
        <f>IFERROR(__xludf.DUMMYFUNCTION("""COMPUTED_VALUE"""),"Method - Comparison")</f>
        <v>Method - Comparison</v>
      </c>
      <c r="C1006" s="1" t="str">
        <f>IFERROR(__xludf.DUMMYFUNCTION("""COMPUTED_VALUE"""),"Blog")</f>
        <v>Blog</v>
      </c>
      <c r="D1006" s="1" t="str">
        <f>IFERROR(__xludf.DUMMYFUNCTION("""COMPUTED_VALUE"""),"Best Pipedrive alternatives for small businesses")</f>
        <v>Best Pipedrive alternatives for small businesses</v>
      </c>
      <c r="E1006" s="12">
        <f>IFERROR(__xludf.DUMMYFUNCTION("""COMPUTED_VALUE"""),45881.625)</f>
        <v>45881.625</v>
      </c>
    </row>
    <row r="1007">
      <c r="A1007" s="7" t="str">
        <f>IFERROR(__xludf.DUMMYFUNCTION("""COMPUTED_VALUE"""),"https://www.method.me/blog/streak-crm-alternatives/")</f>
        <v>https://www.method.me/blog/streak-crm-alternatives/</v>
      </c>
      <c r="B1007" s="1" t="str">
        <f>IFERROR(__xludf.DUMMYFUNCTION("""COMPUTED_VALUE"""),"Method - Comparison")</f>
        <v>Method - Comparison</v>
      </c>
      <c r="C1007" s="1" t="str">
        <f>IFERROR(__xludf.DUMMYFUNCTION("""COMPUTED_VALUE"""),"Blog")</f>
        <v>Blog</v>
      </c>
      <c r="D1007" s="1" t="str">
        <f>IFERROR(__xludf.DUMMYFUNCTION("""COMPUTED_VALUE"""),"Streak CRM alternatives with Gmail integration")</f>
        <v>Streak CRM alternatives with Gmail integration</v>
      </c>
      <c r="E1007" s="12">
        <f>IFERROR(__xludf.DUMMYFUNCTION("""COMPUTED_VALUE"""),45887.675)</f>
        <v>45887.675</v>
      </c>
    </row>
    <row r="1008">
      <c r="A1008" s="7" t="str">
        <f>IFERROR(__xludf.DUMMYFUNCTION("""COMPUTED_VALUE"""),"https://www.method.me/blog/salesloft-alternative/")</f>
        <v>https://www.method.me/blog/salesloft-alternative/</v>
      </c>
      <c r="B1008" s="1" t="str">
        <f>IFERROR(__xludf.DUMMYFUNCTION("""COMPUTED_VALUE"""),"Method - Comparison")</f>
        <v>Method - Comparison</v>
      </c>
      <c r="C1008" s="1" t="str">
        <f>IFERROR(__xludf.DUMMYFUNCTION("""COMPUTED_VALUE"""),"Blog")</f>
        <v>Blog</v>
      </c>
      <c r="D1008" s="1" t="str">
        <f>IFERROR(__xludf.DUMMYFUNCTION("""COMPUTED_VALUE"""),"Salesloft alternative: Pricing and features (2025)")</f>
        <v>Salesloft alternative: Pricing and features (2025)</v>
      </c>
      <c r="E1008" s="12">
        <f>IFERROR(__xludf.DUMMYFUNCTION("""COMPUTED_VALUE"""),45887.67569444444)</f>
        <v>45887.67569</v>
      </c>
    </row>
    <row r="1009">
      <c r="A1009" s="7" t="str">
        <f>IFERROR(__xludf.DUMMYFUNCTION("""COMPUTED_VALUE"""),"https://www.method.me/blog/copper-crm-alternative/")</f>
        <v>https://www.method.me/blog/copper-crm-alternative/</v>
      </c>
      <c r="B1009" s="1" t="str">
        <f>IFERROR(__xludf.DUMMYFUNCTION("""COMPUTED_VALUE"""),"Method - Comparison")</f>
        <v>Method - Comparison</v>
      </c>
      <c r="C1009" s="1" t="str">
        <f>IFERROR(__xludf.DUMMYFUNCTION("""COMPUTED_VALUE"""),"Blog")</f>
        <v>Blog</v>
      </c>
      <c r="D1009" s="1" t="str">
        <f>IFERROR(__xludf.DUMMYFUNCTION("""COMPUTED_VALUE"""),"Copper CRM alternative guide")</f>
        <v>Copper CRM alternative guide</v>
      </c>
      <c r="E1009" s="12">
        <f>IFERROR(__xludf.DUMMYFUNCTION("""COMPUTED_VALUE"""),45887.67638888889)</f>
        <v>45887.67639</v>
      </c>
    </row>
    <row r="1010">
      <c r="A1010" s="7" t="str">
        <f>IFERROR(__xludf.DUMMYFUNCTION("""COMPUTED_VALUE"""),"https://www.method.me/blog/best-monday-com-alternatives/")</f>
        <v>https://www.method.me/blog/best-monday-com-alternatives/</v>
      </c>
      <c r="B1010" s="1" t="str">
        <f>IFERROR(__xludf.DUMMYFUNCTION("""COMPUTED_VALUE"""),"Method - Comparison")</f>
        <v>Method - Comparison</v>
      </c>
      <c r="C1010" s="1" t="str">
        <f>IFERROR(__xludf.DUMMYFUNCTION("""COMPUTED_VALUE"""),"Blog")</f>
        <v>Blog</v>
      </c>
      <c r="D1010" s="7" t="str">
        <f>IFERROR(__xludf.DUMMYFUNCTION("""COMPUTED_VALUE"""),"Best monday.com alternatives ")</f>
        <v>Best monday.com alternatives </v>
      </c>
      <c r="E1010" s="12">
        <f>IFERROR(__xludf.DUMMYFUNCTION("""COMPUTED_VALUE"""),45888.60833333333)</f>
        <v>45888.60833</v>
      </c>
    </row>
    <row r="1011">
      <c r="A1011" s="7" t="str">
        <f>IFERROR(__xludf.DUMMYFUNCTION("""COMPUTED_VALUE"""),"https://www.method.me/resources/compare/keap-alternative/")</f>
        <v>https://www.method.me/resources/compare/keap-alternative/</v>
      </c>
      <c r="B1011" s="1" t="str">
        <f>IFERROR(__xludf.DUMMYFUNCTION("""COMPUTED_VALUE"""),"Method - Comparison")</f>
        <v>Method - Comparison</v>
      </c>
      <c r="C1011" s="1" t="str">
        <f>IFERROR(__xludf.DUMMYFUNCTION("""COMPUTED_VALUE"""),"Blog ")</f>
        <v>Blog </v>
      </c>
      <c r="D1011" s="1" t="str">
        <f>IFERROR(__xludf.DUMMYFUNCTION("""COMPUTED_VALUE"""),"The best Keap alternatives for 2025 ")</f>
        <v>The best Keap alternatives for 2025 </v>
      </c>
      <c r="E1011" s="12">
        <f>IFERROR(__xludf.DUMMYFUNCTION("""COMPUTED_VALUE"""),44811.61666666667)</f>
        <v>44811.61667</v>
      </c>
    </row>
    <row r="1012">
      <c r="A1012" s="7" t="str">
        <f>IFERROR(__xludf.DUMMYFUNCTION("""COMPUTED_VALUE"""),"https://www.method.me/blog/best-canopy-alternatives/")</f>
        <v>https://www.method.me/blog/best-canopy-alternatives/</v>
      </c>
      <c r="B1012" s="1" t="str">
        <f>IFERROR(__xludf.DUMMYFUNCTION("""COMPUTED_VALUE"""),"Method - Comparison")</f>
        <v>Method - Comparison</v>
      </c>
      <c r="C1012" s="1" t="str">
        <f>IFERROR(__xludf.DUMMYFUNCTION("""COMPUTED_VALUE"""),"Blog")</f>
        <v>Blog</v>
      </c>
      <c r="D1012" s="1" t="str">
        <f>IFERROR(__xludf.DUMMYFUNCTION("""COMPUTED_VALUE"""),"7 best Canopy alternatives (2025)")</f>
        <v>7 best Canopy alternatives (2025)</v>
      </c>
      <c r="E1012" s="12">
        <f>IFERROR(__xludf.DUMMYFUNCTION("""COMPUTED_VALUE"""),45890.595138888886)</f>
        <v>45890.59514</v>
      </c>
    </row>
    <row r="1013">
      <c r="A1013" s="7" t="str">
        <f>IFERROR(__xludf.DUMMYFUNCTION("""COMPUTED_VALUE"""),"https://www.method.me/blog/crm-for-painting-contractors/")</f>
        <v>https://www.method.me/blog/crm-for-painting-contractors/</v>
      </c>
      <c r="B1013" s="1" t="str">
        <f>IFERROR(__xludf.DUMMYFUNCTION("""COMPUTED_VALUE"""),"Listicle - Software / Software overview")</f>
        <v>Listicle - Software / Software overview</v>
      </c>
      <c r="C1013" s="1" t="str">
        <f>IFERROR(__xludf.DUMMYFUNCTION("""COMPUTED_VALUE"""),"Blog")</f>
        <v>Blog</v>
      </c>
      <c r="D1013" s="1" t="str">
        <f>IFERROR(__xludf.DUMMYFUNCTION("""COMPUTED_VALUE"""),"6 top CRMs for painting contractors (2025)")</f>
        <v>6 top CRMs for painting contractors (2025)</v>
      </c>
      <c r="E1013" s="12">
        <f>IFERROR(__xludf.DUMMYFUNCTION("""COMPUTED_VALUE"""),45891.663194444445)</f>
        <v>45891.66319</v>
      </c>
    </row>
    <row r="1014">
      <c r="A1014" s="7" t="str">
        <f>IFERROR(__xludf.DUMMYFUNCTION("""COMPUTED_VALUE"""),"https://www.method.me/blog/crm-for-lead-management/")</f>
        <v>https://www.method.me/blog/crm-for-lead-management/</v>
      </c>
      <c r="B1014" s="1" t="str">
        <f>IFERROR(__xludf.DUMMYFUNCTION("""COMPUTED_VALUE"""),"CRM")</f>
        <v>CRM</v>
      </c>
      <c r="C1014" s="1" t="str">
        <f>IFERROR(__xludf.DUMMYFUNCTION("""COMPUTED_VALUE"""),"Blog")</f>
        <v>Blog</v>
      </c>
      <c r="D1014" s="1" t="str">
        <f>IFERROR(__xludf.DUMMYFUNCTION("""COMPUTED_VALUE"""),"CRM for lead management: Your 2025 guide ")</f>
        <v>CRM for lead management: Your 2025 guide </v>
      </c>
      <c r="E1014" s="12">
        <f>IFERROR(__xludf.DUMMYFUNCTION("""COMPUTED_VALUE"""),45896.49722222222)</f>
        <v>45896.49722</v>
      </c>
    </row>
    <row r="1015">
      <c r="A1015" s="7" t="str">
        <f>IFERROR(__xludf.DUMMYFUNCTION("""COMPUTED_VALUE"""),"https://www.method.me/blog/accelo-alternatives/")</f>
        <v>https://www.method.me/blog/accelo-alternatives/</v>
      </c>
      <c r="B1015" s="1" t="str">
        <f>IFERROR(__xludf.DUMMYFUNCTION("""COMPUTED_VALUE"""),"Method - Comparison")</f>
        <v>Method - Comparison</v>
      </c>
      <c r="C1015" s="1" t="str">
        <f>IFERROR(__xludf.DUMMYFUNCTION("""COMPUTED_VALUE"""),"Blog")</f>
        <v>Blog</v>
      </c>
      <c r="D1015" s="1" t="str">
        <f>IFERROR(__xludf.DUMMYFUNCTION("""COMPUTED_VALUE"""),"6 best Accelo alternatives in 2025")</f>
        <v>6 best Accelo alternatives in 2025</v>
      </c>
      <c r="E1015" s="12">
        <f>IFERROR(__xludf.DUMMYFUNCTION("""COMPUTED_VALUE"""),45902.73888888889)</f>
        <v>45902.73889</v>
      </c>
    </row>
    <row r="1016">
      <c r="A1016" s="7" t="str">
        <f>IFERROR(__xludf.DUMMYFUNCTION("""COMPUTED_VALUE"""),"https://www.method.me/blog/best-salesforce-alternatives/")</f>
        <v>https://www.method.me/blog/best-salesforce-alternatives/</v>
      </c>
      <c r="B1016" s="1" t="str">
        <f>IFERROR(__xludf.DUMMYFUNCTION("""COMPUTED_VALUE"""),"Method - Comparison")</f>
        <v>Method - Comparison</v>
      </c>
      <c r="C1016" s="1" t="str">
        <f>IFERROR(__xludf.DUMMYFUNCTION("""COMPUTED_VALUE"""),"Blog ")</f>
        <v>Blog </v>
      </c>
      <c r="D1016" s="1" t="str">
        <f>IFERROR(__xludf.DUMMYFUNCTION("""COMPUTED_VALUE"""),"15 best Salesforce alternative CRMs for 2025")</f>
        <v>15 best Salesforce alternative CRMs for 2025</v>
      </c>
      <c r="E1016" s="13">
        <f>IFERROR(__xludf.DUMMYFUNCTION("""COMPUTED_VALUE"""),45536.0)</f>
        <v>45536</v>
      </c>
    </row>
    <row r="1017">
      <c r="A1017" s="7" t="str">
        <f>IFERROR(__xludf.DUMMYFUNCTION("""COMPUTED_VALUE"""),"https://www.method.me/blog/how-much-does-hubspot-cost/")</f>
        <v>https://www.method.me/blog/how-much-does-hubspot-cost/</v>
      </c>
      <c r="B1017" s="1" t="str">
        <f>IFERROR(__xludf.DUMMYFUNCTION("""COMPUTED_VALUE"""),"Method - Comparison")</f>
        <v>Method - Comparison</v>
      </c>
      <c r="C1017" s="1" t="str">
        <f>IFERROR(__xludf.DUMMYFUNCTION("""COMPUTED_VALUE"""),"Blog")</f>
        <v>Blog</v>
      </c>
      <c r="D1017" s="1" t="str">
        <f>IFERROR(__xludf.DUMMYFUNCTION("""COMPUTED_VALUE"""),"How much does HubSpot cost? (2025 pricing breakdown)")</f>
        <v>How much does HubSpot cost? (2025 pricing breakdown)</v>
      </c>
      <c r="E1017" s="12">
        <f>IFERROR(__xludf.DUMMYFUNCTION("""COMPUTED_VALUE"""),45905.975)</f>
        <v>45905.975</v>
      </c>
    </row>
    <row r="1018">
      <c r="A1018" s="7" t="str">
        <f>IFERROR(__xludf.DUMMYFUNCTION("""COMPUTED_VALUE"""),"https://www.method.me/blog/best-hubspot-alternatives/")</f>
        <v>https://www.method.me/blog/best-hubspot-alternatives/</v>
      </c>
      <c r="B1018" s="1" t="str">
        <f>IFERROR(__xludf.DUMMYFUNCTION("""COMPUTED_VALUE"""),"Method - Comparison")</f>
        <v>Method - Comparison</v>
      </c>
      <c r="C1018" s="1" t="str">
        <f>IFERROR(__xludf.DUMMYFUNCTION("""COMPUTED_VALUE"""),"Blog")</f>
        <v>Blog</v>
      </c>
      <c r="D1018" s="1" t="str">
        <f>IFERROR(__xludf.DUMMYFUNCTION("""COMPUTED_VALUE"""),"12 best HubSpot alternatives in 2025 ")</f>
        <v>12 best HubSpot alternatives in 2025 </v>
      </c>
      <c r="E1018" s="12">
        <f>IFERROR(__xludf.DUMMYFUNCTION("""COMPUTED_VALUE"""),45567.43680555555)</f>
        <v>45567.43681</v>
      </c>
    </row>
    <row r="1019">
      <c r="A1019" s="7" t="str">
        <f>IFERROR(__xludf.DUMMYFUNCTION("""COMPUTED_VALUE"""),"https://www.method.me/blog/how-much-does-pipedrive-cost/")</f>
        <v>https://www.method.me/blog/how-much-does-pipedrive-cost/</v>
      </c>
      <c r="B1019" s="1" t="str">
        <f>IFERROR(__xludf.DUMMYFUNCTION("""COMPUTED_VALUE"""),"Method - Comparison")</f>
        <v>Method - Comparison</v>
      </c>
      <c r="C1019" s="1" t="str">
        <f>IFERROR(__xludf.DUMMYFUNCTION("""COMPUTED_VALUE"""),"Blog")</f>
        <v>Blog</v>
      </c>
      <c r="D1019" s="1" t="str">
        <f>IFERROR(__xludf.DUMMYFUNCTION("""COMPUTED_VALUE"""),"How much does Pipedrive cost in 2025?")</f>
        <v>How much does Pipedrive cost in 2025?</v>
      </c>
      <c r="E1019" s="12">
        <f>IFERROR(__xludf.DUMMYFUNCTION("""COMPUTED_VALUE"""),45909.993055555555)</f>
        <v>45909.99306</v>
      </c>
    </row>
    <row r="1020">
      <c r="A1020" s="7" t="str">
        <f>IFERROR(__xludf.DUMMYFUNCTION("""COMPUTED_VALUE"""),"https://www.method.me/blog/19-manufacturing-project-management-software-solutions-2025/")</f>
        <v>https://www.method.me/blog/19-manufacturing-project-management-software-solutions-2025/</v>
      </c>
      <c r="B1020" s="1" t="str">
        <f>IFERROR(__xludf.DUMMYFUNCTION("""COMPUTED_VALUE"""),"Listicle - Software / Software overview")</f>
        <v>Listicle - Software / Software overview</v>
      </c>
      <c r="C1020" s="1" t="str">
        <f>IFERROR(__xludf.DUMMYFUNCTION("""COMPUTED_VALUE"""),"Blog")</f>
        <v>Blog</v>
      </c>
      <c r="D1020" s="1" t="str">
        <f>IFERROR(__xludf.DUMMYFUNCTION("""COMPUTED_VALUE"""),"19 manufacturing project management software solutions (2025)")</f>
        <v>19 manufacturing project management software solutions (2025)</v>
      </c>
      <c r="E1020" s="12">
        <f>IFERROR(__xludf.DUMMYFUNCTION("""COMPUTED_VALUE"""),45911.697916666664)</f>
        <v>45911.69792</v>
      </c>
    </row>
    <row r="1021">
      <c r="A1021" s="7" t="str">
        <f>IFERROR(__xludf.DUMMYFUNCTION("""COMPUTED_VALUE"""),"https://www.method.me/blog/intercom-alternatives/")</f>
        <v>https://www.method.me/blog/intercom-alternatives/</v>
      </c>
      <c r="B1021" s="1" t="str">
        <f>IFERROR(__xludf.DUMMYFUNCTION("""COMPUTED_VALUE"""),"Method - Comparison")</f>
        <v>Method - Comparison</v>
      </c>
      <c r="C1021" s="1" t="str">
        <f>IFERROR(__xludf.DUMMYFUNCTION("""COMPUTED_VALUE"""),"Blog ")</f>
        <v>Blog </v>
      </c>
      <c r="D1021" s="1" t="str">
        <f>IFERROR(__xludf.DUMMYFUNCTION("""COMPUTED_VALUE"""),"The 10 best Intercom alternatives in 2025")</f>
        <v>The 10 best Intercom alternatives in 2025</v>
      </c>
      <c r="E1021" s="12">
        <f>IFERROR(__xludf.DUMMYFUNCTION("""COMPUTED_VALUE"""),45916.68402777778)</f>
        <v>45916.68403</v>
      </c>
    </row>
    <row r="1022">
      <c r="A1022" s="7" t="str">
        <f>IFERROR(__xludf.DUMMYFUNCTION("""COMPUTED_VALUE"""),"https://www.method.me/blog/apptivo-review/")</f>
        <v>https://www.method.me/blog/apptivo-review/</v>
      </c>
      <c r="B1022" s="1" t="str">
        <f>IFERROR(__xludf.DUMMYFUNCTION("""COMPUTED_VALUE"""),"Method - Comparison")</f>
        <v>Method - Comparison</v>
      </c>
      <c r="C1022" s="1" t="str">
        <f>IFERROR(__xludf.DUMMYFUNCTION("""COMPUTED_VALUE"""),"Blog")</f>
        <v>Blog</v>
      </c>
      <c r="D1022" s="1" t="str">
        <f>IFERROR(__xludf.DUMMYFUNCTION("""COMPUTED_VALUE"""),"Apptivo review 2025: Pros, cons, and top alternatives")</f>
        <v>Apptivo review 2025: Pros, cons, and top alternatives</v>
      </c>
      <c r="E1022" s="12">
        <f>IFERROR(__xludf.DUMMYFUNCTION("""COMPUTED_VALUE"""),45887.65416666667)</f>
        <v>45887.65417</v>
      </c>
    </row>
    <row r="1023">
      <c r="A1023" s="7" t="str">
        <f>IFERROR(__xludf.DUMMYFUNCTION("""COMPUTED_VALUE"""),"https://www.method.me/blog/crm-for-consultants/")</f>
        <v>https://www.method.me/blog/crm-for-consultants/</v>
      </c>
      <c r="B1023" s="1" t="str">
        <f>IFERROR(__xludf.DUMMYFUNCTION("""COMPUTED_VALUE"""),"Listicle - Software / Software overview")</f>
        <v>Listicle - Software / Software overview</v>
      </c>
      <c r="C1023" s="1" t="str">
        <f>IFERROR(__xludf.DUMMYFUNCTION("""COMPUTED_VALUE"""),"Blog")</f>
        <v>Blog</v>
      </c>
      <c r="D1023" s="1" t="str">
        <f>IFERROR(__xludf.DUMMYFUNCTION("""COMPUTED_VALUE"""),"Best CRM for consultants: 8 options for 2025")</f>
        <v>Best CRM for consultants: 8 options for 2025</v>
      </c>
      <c r="E1023" s="12">
        <f>IFERROR(__xludf.DUMMYFUNCTION("""COMPUTED_VALUE"""),45919.69930555556)</f>
        <v>45919.69931</v>
      </c>
    </row>
    <row r="1024">
      <c r="A1024" s="7" t="str">
        <f>IFERROR(__xludf.DUMMYFUNCTION("""COMPUTED_VALUE"""),"https://www.method.me/blog/zendesk-sell-vs-pipedrive-vs-method-crm/")</f>
        <v>https://www.method.me/blog/zendesk-sell-vs-pipedrive-vs-method-crm/</v>
      </c>
      <c r="B1024" s="1" t="str">
        <f>IFERROR(__xludf.DUMMYFUNCTION("""COMPUTED_VALUE"""),"Method - Comparison")</f>
        <v>Method - Comparison</v>
      </c>
      <c r="C1024" s="1" t="str">
        <f>IFERROR(__xludf.DUMMYFUNCTION("""COMPUTED_VALUE"""),"Blog")</f>
        <v>Blog</v>
      </c>
      <c r="D1024" s="1" t="str">
        <f>IFERROR(__xludf.DUMMYFUNCTION("""COMPUTED_VALUE"""),"Zendesk Sell vs. Pipedrive vs. Method CRM comparison ")</f>
        <v>Zendesk Sell vs. Pipedrive vs. Method CRM comparison </v>
      </c>
      <c r="E1024" s="12">
        <f>IFERROR(__xludf.DUMMYFUNCTION("""COMPUTED_VALUE"""),45923.59166666667)</f>
        <v>45923.59167</v>
      </c>
    </row>
    <row r="1025">
      <c r="A1025" s="7" t="str">
        <f>IFERROR(__xludf.DUMMYFUNCTION("""COMPUTED_VALUE"""),"https://www.method.me/blog/sugarcrm-alternative/")</f>
        <v>https://www.method.me/blog/sugarcrm-alternative/</v>
      </c>
      <c r="B1025" s="1" t="str">
        <f>IFERROR(__xludf.DUMMYFUNCTION("""COMPUTED_VALUE"""),"Method - Comparison")</f>
        <v>Method - Comparison</v>
      </c>
      <c r="C1025" s="1" t="str">
        <f>IFERROR(__xludf.DUMMYFUNCTION("""COMPUTED_VALUE"""),"Blog")</f>
        <v>Blog</v>
      </c>
      <c r="D1025" s="1" t="str">
        <f>IFERROR(__xludf.DUMMYFUNCTION("""COMPUTED_VALUE"""),"SugarCRM alternative: 11 options for 2025")</f>
        <v>SugarCRM alternative: 11 options for 2025</v>
      </c>
      <c r="E1025" s="12">
        <f>IFERROR(__xludf.DUMMYFUNCTION("""COMPUTED_VALUE"""),45924.535416666666)</f>
        <v>45924.53542</v>
      </c>
    </row>
    <row r="1026">
      <c r="A1026" s="7" t="str">
        <f>IFERROR(__xludf.DUMMYFUNCTION("""COMPUTED_VALUE"""),"https://www.method.me/blog/crm-comparison-method-vs-salesforce/")</f>
        <v>https://www.method.me/blog/crm-comparison-method-vs-salesforce/</v>
      </c>
      <c r="B1026" s="1" t="str">
        <f>IFERROR(__xludf.DUMMYFUNCTION("""COMPUTED_VALUE"""),"Method - Comparison")</f>
        <v>Method - Comparison</v>
      </c>
      <c r="C1026" s="1" t="str">
        <f>IFERROR(__xludf.DUMMYFUNCTION("""COMPUTED_VALUE"""),"Blog")</f>
        <v>Blog</v>
      </c>
      <c r="D1026" s="1" t="str">
        <f>IFERROR(__xludf.DUMMYFUNCTION("""COMPUTED_VALUE"""),"CRM Comparison: Method vs. Salesforce small business solutions ")</f>
        <v>CRM Comparison: Method vs. Salesforce small business solutions </v>
      </c>
      <c r="E1026" s="12">
        <f>IFERROR(__xludf.DUMMYFUNCTION("""COMPUTED_VALUE"""),43406.34375)</f>
        <v>43406.34375</v>
      </c>
    </row>
    <row r="1027">
      <c r="A1027" s="7" t="str">
        <f>IFERROR(__xludf.DUMMYFUNCTION("""COMPUTED_VALUE"""),"https://www.method.me/blog/best-roofing-crm/")</f>
        <v>https://www.method.me/blog/best-roofing-crm/</v>
      </c>
      <c r="B1027" s="1" t="str">
        <f>IFERROR(__xludf.DUMMYFUNCTION("""COMPUTED_VALUE"""),"Listicle - Software / Software overview")</f>
        <v>Listicle - Software / Software overview</v>
      </c>
      <c r="C1027" s="1" t="str">
        <f>IFERROR(__xludf.DUMMYFUNCTION("""COMPUTED_VALUE"""),"Blog")</f>
        <v>Blog</v>
      </c>
      <c r="D1027" s="1" t="str">
        <f>IFERROR(__xludf.DUMMYFUNCTION("""COMPUTED_VALUE"""),"7 best roofing CRM tools for 2025")</f>
        <v>7 best roofing CRM tools for 2025</v>
      </c>
      <c r="E1027" s="12">
        <f>IFERROR(__xludf.DUMMYFUNCTION("""COMPUTED_VALUE"""),45926.611805555556)</f>
        <v>45926.61181</v>
      </c>
    </row>
    <row r="1028">
      <c r="A1028" s="7" t="str">
        <f>IFERROR(__xludf.DUMMYFUNCTION("""COMPUTED_VALUE"""),"https://www.method.me/blog/crm-for-plumbers/")</f>
        <v>https://www.method.me/blog/crm-for-plumbers/</v>
      </c>
      <c r="B1028" s="1" t="str">
        <f>IFERROR(__xludf.DUMMYFUNCTION("""COMPUTED_VALUE"""),"Listicle - Software / Software overview")</f>
        <v>Listicle - Software / Software overview</v>
      </c>
      <c r="C1028" s="1" t="str">
        <f>IFERROR(__xludf.DUMMYFUNCTION("""COMPUTED_VALUE"""),"Blog")</f>
        <v>Blog</v>
      </c>
      <c r="D1028" s="1" t="str">
        <f>IFERROR(__xludf.DUMMYFUNCTION("""COMPUTED_VALUE"""),"CRM for plumbers: 12 best tools for 2025")</f>
        <v>CRM for plumbers: 12 best tools for 2025</v>
      </c>
      <c r="E1028" s="12">
        <f>IFERROR(__xludf.DUMMYFUNCTION("""COMPUTED_VALUE"""),45930.927777777775)</f>
        <v>45930.92778</v>
      </c>
    </row>
    <row r="1029">
      <c r="A1029" s="7" t="str">
        <f>IFERROR(__xludf.DUMMYFUNCTION("""COMPUTED_VALUE"""),"https://www.method.me/resources/compare/jobber-alternative/")</f>
        <v>https://www.method.me/resources/compare/jobber-alternative/</v>
      </c>
      <c r="B1029" s="1" t="str">
        <f>IFERROR(__xludf.DUMMYFUNCTION("""COMPUTED_VALUE"""),"Method - Comparison")</f>
        <v>Method - Comparison</v>
      </c>
      <c r="C1029" s="1" t="str">
        <f>IFERROR(__xludf.DUMMYFUNCTION("""COMPUTED_VALUE"""),"Blog")</f>
        <v>Blog</v>
      </c>
      <c r="D1029" s="1" t="str">
        <f>IFERROR(__xludf.DUMMYFUNCTION("""COMPUTED_VALUE"""),"12 best Jobber alternatives for field service businesses")</f>
        <v>12 best Jobber alternatives for field service businesses</v>
      </c>
      <c r="E1029" s="12">
        <f>IFERROR(__xludf.DUMMYFUNCTION("""COMPUTED_VALUE"""),44831.61666666667)</f>
        <v>44831.61667</v>
      </c>
    </row>
    <row r="1030">
      <c r="A1030" s="7" t="str">
        <f>IFERROR(__xludf.DUMMYFUNCTION("""COMPUTED_VALUE"""),"https://www.method.me/blog/netsuite-vs-quickbooks/")</f>
        <v>https://www.method.me/blog/netsuite-vs-quickbooks/</v>
      </c>
      <c r="B1030" s="1" t="str">
        <f>IFERROR(__xludf.DUMMYFUNCTION("""COMPUTED_VALUE"""),"Method - Comparison")</f>
        <v>Method - Comparison</v>
      </c>
      <c r="C1030" s="1" t="str">
        <f>IFERROR(__xludf.DUMMYFUNCTION("""COMPUTED_VALUE"""),"Blog")</f>
        <v>Blog</v>
      </c>
      <c r="D1030" s="1" t="str">
        <f>IFERROR(__xludf.DUMMYFUNCTION("""COMPUTED_VALUE"""),"NetSuite vs. QuickBooks: Which is best for your business in 2025")</f>
        <v>NetSuite vs. QuickBooks: Which is best for your business in 2025</v>
      </c>
      <c r="E1030" s="12">
        <f>IFERROR(__xludf.DUMMYFUNCTION("""COMPUTED_VALUE"""),45212.47361111111)</f>
        <v>45212.47361</v>
      </c>
    </row>
    <row r="1031">
      <c r="A1031" s="7" t="str">
        <f>IFERROR(__xludf.DUMMYFUNCTION("""COMPUTED_VALUE"""),"https://www.method.me/resources/best-residential-cleaning-software/")</f>
        <v>https://www.method.me/resources/best-residential-cleaning-software/</v>
      </c>
      <c r="B1031" s="1" t="str">
        <f>IFERROR(__xludf.DUMMYFUNCTION("""COMPUTED_VALUE"""),"Listicle - Software / Software overview")</f>
        <v>Listicle - Software / Software overview</v>
      </c>
      <c r="C1031" s="1" t="str">
        <f>IFERROR(__xludf.DUMMYFUNCTION("""COMPUTED_VALUE"""),"Blog")</f>
        <v>Blog</v>
      </c>
      <c r="D1031" s="1" t="str">
        <f>IFERROR(__xludf.DUMMYFUNCTION("""COMPUTED_VALUE"""),"11 best home cleaning software solutions in 2025")</f>
        <v>11 best home cleaning software solutions in 2025</v>
      </c>
      <c r="E1031" s="12">
        <f>IFERROR(__xludf.DUMMYFUNCTION("""COMPUTED_VALUE"""),44648.458333333336)</f>
        <v>44648.45833</v>
      </c>
    </row>
    <row r="1032">
      <c r="A1032" s="7" t="str">
        <f>IFERROR(__xludf.DUMMYFUNCTION("""COMPUTED_VALUE"""),"https://www.method.me/blog/crm-roi/")</f>
        <v>https://www.method.me/blog/crm-roi/</v>
      </c>
      <c r="B1032" s="1" t="str">
        <f>IFERROR(__xludf.DUMMYFUNCTION("""COMPUTED_VALUE"""),"CRM")</f>
        <v>CRM</v>
      </c>
      <c r="C1032" s="1" t="str">
        <f>IFERROR(__xludf.DUMMYFUNCTION("""COMPUTED_VALUE"""),"Blog")</f>
        <v>Blog</v>
      </c>
      <c r="D1032" s="1" t="str">
        <f>IFERROR(__xludf.DUMMYFUNCTION("""COMPUTED_VALUE"""),"CRM ROI in 2025: Benchmarks and best practices")</f>
        <v>CRM ROI in 2025: Benchmarks and best practices</v>
      </c>
      <c r="E1032" s="12">
        <f>IFERROR(__xludf.DUMMYFUNCTION("""COMPUTED_VALUE"""),45937.72777777778)</f>
        <v>45937.72778</v>
      </c>
    </row>
    <row r="1033">
      <c r="A1033" s="7" t="str">
        <f>IFERROR(__xludf.DUMMYFUNCTION("""COMPUTED_VALUE"""),"https://www.method.me/blog/highlevel-alternatives/")</f>
        <v>https://www.method.me/blog/highlevel-alternatives/</v>
      </c>
      <c r="B1033" s="1" t="str">
        <f>IFERROR(__xludf.DUMMYFUNCTION("""COMPUTED_VALUE"""),"Method - Comparison")</f>
        <v>Method - Comparison</v>
      </c>
      <c r="C1033" s="1" t="str">
        <f>IFERROR(__xludf.DUMMYFUNCTION("""COMPUTED_VALUE"""),"Blog")</f>
        <v>Blog</v>
      </c>
      <c r="D1033" s="1" t="str">
        <f>IFERROR(__xludf.DUMMYFUNCTION("""COMPUTED_VALUE"""),"22 HighLevel alternatives for small businesses in 2025")</f>
        <v>22 HighLevel alternatives for small businesses in 2025</v>
      </c>
      <c r="E1033" s="12">
        <f>IFERROR(__xludf.DUMMYFUNCTION("""COMPUTED_VALUE"""),45939.46944444445)</f>
        <v>45939.46944</v>
      </c>
    </row>
    <row r="1034">
      <c r="A1034" s="7" t="str">
        <f>IFERROR(__xludf.DUMMYFUNCTION("""COMPUTED_VALUE"""),"https://www.method.me/blog/how-to-grow-an-hvac-business/")</f>
        <v>https://www.method.me/blog/how-to-grow-an-hvac-business/</v>
      </c>
      <c r="B1034" s="1" t="str">
        <f>IFERROR(__xludf.DUMMYFUNCTION("""COMPUTED_VALUE"""),"Field services / Contractors")</f>
        <v>Field services / Contractors</v>
      </c>
      <c r="C1034" s="1" t="str">
        <f>IFERROR(__xludf.DUMMYFUNCTION("""COMPUTED_VALUE"""),"Blog")</f>
        <v>Blog</v>
      </c>
      <c r="D1034" s="1" t="str">
        <f>IFERROR(__xludf.DUMMYFUNCTION("""COMPUTED_VALUE"""),"How to grow an HVAC business: 13 strategies ")</f>
        <v>How to grow an HVAC business: 13 strategies </v>
      </c>
      <c r="E1034" s="12">
        <f>IFERROR(__xludf.DUMMYFUNCTION("""COMPUTED_VALUE"""),45940.63888888889)</f>
        <v>45940.63889</v>
      </c>
    </row>
    <row r="1035">
      <c r="A1035" s="7" t="str">
        <f>IFERROR(__xludf.DUMMYFUNCTION("""COMPUTED_VALUE"""),"https://www.method.me/blog/how-much-does-crm-cost/")</f>
        <v>https://www.method.me/blog/how-much-does-crm-cost/</v>
      </c>
      <c r="B1035" s="1" t="str">
        <f>IFERROR(__xludf.DUMMYFUNCTION("""COMPUTED_VALUE"""),"CRM")</f>
        <v>CRM</v>
      </c>
      <c r="C1035" s="1" t="str">
        <f>IFERROR(__xludf.DUMMYFUNCTION("""COMPUTED_VALUE"""),"Blog")</f>
        <v>Blog</v>
      </c>
      <c r="D1035" s="1" t="str">
        <f>IFERROR(__xludf.DUMMYFUNCTION("""COMPUTED_VALUE"""),"How much does CRM cost? A complete guide for 2025")</f>
        <v>How much does CRM cost? A complete guide for 2025</v>
      </c>
      <c r="E1035" s="12">
        <f>IFERROR(__xludf.DUMMYFUNCTION("""COMPUTED_VALUE"""),45317.47222222222)</f>
        <v>45317.47222</v>
      </c>
    </row>
    <row r="1036">
      <c r="A1036" s="7" t="str">
        <f>IFERROR(__xludf.DUMMYFUNCTION("""COMPUTED_VALUE"""),"https://www.method.me/blog/crm-security/")</f>
        <v>https://www.method.me/blog/crm-security/</v>
      </c>
      <c r="B1036" s="1" t="str">
        <f>IFERROR(__xludf.DUMMYFUNCTION("""COMPUTED_VALUE"""),"CRM")</f>
        <v>CRM</v>
      </c>
      <c r="C1036" s="1" t="str">
        <f>IFERROR(__xludf.DUMMYFUNCTION("""COMPUTED_VALUE"""),"Blog")</f>
        <v>Blog</v>
      </c>
      <c r="D1036" s="1" t="str">
        <f>IFERROR(__xludf.DUMMYFUNCTION("""COMPUTED_VALUE"""),"CRM security: How to choose software you can trust")</f>
        <v>CRM security: How to choose software you can trust</v>
      </c>
      <c r="E1036" s="12">
        <f>IFERROR(__xludf.DUMMYFUNCTION("""COMPUTED_VALUE"""),45945.618055555555)</f>
        <v>45945.61806</v>
      </c>
    </row>
    <row r="1037">
      <c r="A1037" s="7" t="str">
        <f>IFERROR(__xludf.DUMMYFUNCTION("""COMPUTED_VALUE"""),"https://www.method.me/blog/how-much-does-salesforce-cost/")</f>
        <v>https://www.method.me/blog/how-much-does-salesforce-cost/</v>
      </c>
      <c r="B1037" s="1" t="str">
        <f>IFERROR(__xludf.DUMMYFUNCTION("""COMPUTED_VALUE"""),"CRM")</f>
        <v>CRM</v>
      </c>
      <c r="C1037" s="1" t="str">
        <f>IFERROR(__xludf.DUMMYFUNCTION("""COMPUTED_VALUE"""),"Blog")</f>
        <v>Blog</v>
      </c>
      <c r="D1037" s="1" t="str">
        <f>IFERROR(__xludf.DUMMYFUNCTION("""COMPUTED_VALUE"""),"How much does Salesforce cost? (2025 pricing breakdown)")</f>
        <v>How much does Salesforce cost? (2025 pricing breakdown)</v>
      </c>
      <c r="E1037" s="12">
        <f>IFERROR(__xludf.DUMMYFUNCTION("""COMPUTED_VALUE"""),45951.59305555555)</f>
        <v>45951.59306</v>
      </c>
    </row>
    <row r="1038">
      <c r="A1038" s="7" t="str">
        <f>IFERROR(__xludf.DUMMYFUNCTION("""COMPUTED_VALUE"""),"https://www.method.me/blog/thryv-alternative/")</f>
        <v>https://www.method.me/blog/thryv-alternative/</v>
      </c>
      <c r="B1038" s="1" t="str">
        <f>IFERROR(__xludf.DUMMYFUNCTION("""COMPUTED_VALUE"""),"Listicle - Software / Software overview")</f>
        <v>Listicle - Software / Software overview</v>
      </c>
      <c r="C1038" s="1" t="str">
        <f>IFERROR(__xludf.DUMMYFUNCTION("""COMPUTED_VALUE"""),"Blog")</f>
        <v>Blog</v>
      </c>
      <c r="D1038" s="1" t="str">
        <f>IFERROR(__xludf.DUMMYFUNCTION("""COMPUTED_VALUE"""),"9 Thryv alternative platforms for small businesses (2025)")</f>
        <v>9 Thryv alternative platforms for small businesses (2025)</v>
      </c>
      <c r="E1038" s="12">
        <f>IFERROR(__xludf.DUMMYFUNCTION("""COMPUTED_VALUE"""),45952.53611111111)</f>
        <v>45952.53611</v>
      </c>
    </row>
    <row r="1039">
      <c r="A1039" s="7" t="str">
        <f>IFERROR(__xludf.DUMMYFUNCTION("""COMPUTED_VALUE"""),"https://www.method.me/blog/how-to-grow-a-landscaping-business/")</f>
        <v>https://www.method.me/blog/how-to-grow-a-landscaping-business/</v>
      </c>
      <c r="B1039" s="1" t="str">
        <f>IFERROR(__xludf.DUMMYFUNCTION("""COMPUTED_VALUE"""),"Field services / Contractors")</f>
        <v>Field services / Contractors</v>
      </c>
      <c r="C1039" s="1" t="str">
        <f>IFERROR(__xludf.DUMMYFUNCTION("""COMPUTED_VALUE"""),"Blog")</f>
        <v>Blog</v>
      </c>
      <c r="D1039" s="1" t="str">
        <f>IFERROR(__xludf.DUMMYFUNCTION("""COMPUTED_VALUE"""),"How to grow a landscaping business: 12 steps")</f>
        <v>How to grow a landscaping business: 12 steps</v>
      </c>
      <c r="E1039" s="12">
        <f>IFERROR(__xludf.DUMMYFUNCTION("""COMPUTED_VALUE"""),45953.592361111114)</f>
        <v>45953.59236</v>
      </c>
    </row>
    <row r="1040">
      <c r="A1040" s="7" t="str">
        <f>IFERROR(__xludf.DUMMYFUNCTION("""COMPUTED_VALUE"""),"https://www.method.me/blog/activecampaign-alternative/")</f>
        <v>https://www.method.me/blog/activecampaign-alternative/</v>
      </c>
      <c r="B1040" s="1" t="str">
        <f>IFERROR(__xludf.DUMMYFUNCTION("""COMPUTED_VALUE"""),"Listicle - Software / Software overview")</f>
        <v>Listicle - Software / Software overview</v>
      </c>
      <c r="C1040" s="1" t="str">
        <f>IFERROR(__xludf.DUMMYFUNCTION("""COMPUTED_VALUE"""),"Blog")</f>
        <v>Blog</v>
      </c>
      <c r="D1040" s="1" t="str">
        <f>IFERROR(__xludf.DUMMYFUNCTION("""COMPUTED_VALUE"""),"Top 10 ActiveCampaign alternative options for 2025")</f>
        <v>Top 10 ActiveCampaign alternative options for 2025</v>
      </c>
      <c r="E1040" s="12">
        <f>IFERROR(__xludf.DUMMYFUNCTION("""COMPUTED_VALUE"""),45958.756944444445)</f>
        <v>45958.75694</v>
      </c>
    </row>
    <row r="1041">
      <c r="A1041" s="7" t="str">
        <f>IFERROR(__xludf.DUMMYFUNCTION("""COMPUTED_VALUE"""),"https://www.method.me/blog/housecall-pro-alternatives/")</f>
        <v>https://www.method.me/blog/housecall-pro-alternatives/</v>
      </c>
      <c r="B1041" s="1" t="str">
        <f>IFERROR(__xludf.DUMMYFUNCTION("""COMPUTED_VALUE"""),"Listicle - Software / Software overview")</f>
        <v>Listicle - Software / Software overview</v>
      </c>
      <c r="C1041" s="1" t="str">
        <f>IFERROR(__xludf.DUMMYFUNCTION("""COMPUTED_VALUE"""),"Blog")</f>
        <v>Blog</v>
      </c>
      <c r="D1041" s="1" t="str">
        <f>IFERROR(__xludf.DUMMYFUNCTION("""COMPUTED_VALUE"""),"11 best Housecall Pro alternatives and competitors (2025)")</f>
        <v>11 best Housecall Pro alternatives and competitors (2025)</v>
      </c>
      <c r="E1041" s="12">
        <f>IFERROR(__xludf.DUMMYFUNCTION("""COMPUTED_VALUE"""),45335.706458333334)</f>
        <v>45335.70646</v>
      </c>
    </row>
    <row r="1042">
      <c r="A1042" s="7" t="str">
        <f>IFERROR(__xludf.DUMMYFUNCTION("""COMPUTED_VALUE"""),"https://www.method.me/blog/quickbooks-sync-comparisons/")</f>
        <v>https://www.method.me/blog/quickbooks-sync-comparisons/</v>
      </c>
      <c r="B1042" s="1" t="str">
        <f>IFERROR(__xludf.DUMMYFUNCTION("""COMPUTED_VALUE"""),"Method - Comparison")</f>
        <v>Method - Comparison</v>
      </c>
      <c r="C1042" s="1" t="str">
        <f>IFERROR(__xludf.DUMMYFUNCTION("""COMPUTED_VALUE"""),"Blog")</f>
        <v>Blog</v>
      </c>
      <c r="D1042" s="1" t="str">
        <f>IFERROR(__xludf.DUMMYFUNCTION("""COMPUTED_VALUE"""),"QuickBooks sync comparisons: How 5 top CRMs stack up")</f>
        <v>QuickBooks sync comparisons: How 5 top CRMs stack up</v>
      </c>
      <c r="E1042" s="12">
        <f>IFERROR(__xludf.DUMMYFUNCTION("""COMPUTED_VALUE"""),45961.61875)</f>
        <v>45961.61875</v>
      </c>
    </row>
    <row r="1043">
      <c r="A1043" s="7" t="str">
        <f>IFERROR(__xludf.DUMMYFUNCTION("""COMPUTED_VALUE"""),"https://www.method.me/blog/quality-control-in-manufacturing/")</f>
        <v>https://www.method.me/blog/quality-control-in-manufacturing/</v>
      </c>
      <c r="B1043" s="1" t="str">
        <f>IFERROR(__xludf.DUMMYFUNCTION("""COMPUTED_VALUE"""),"MWD")</f>
        <v>MWD</v>
      </c>
      <c r="C1043" s="1" t="str">
        <f>IFERROR(__xludf.DUMMYFUNCTION("""COMPUTED_VALUE"""),"Blog")</f>
        <v>Blog</v>
      </c>
      <c r="D1043" s="1" t="str">
        <f>IFERROR(__xludf.DUMMYFUNCTION("""COMPUTED_VALUE"""),"Quality control in manufacturing: 6 best practices")</f>
        <v>Quality control in manufacturing: 6 best practices</v>
      </c>
      <c r="E1043" s="12">
        <f>IFERROR(__xludf.DUMMYFUNCTION("""COMPUTED_VALUE"""),45968.60277777778)</f>
        <v>45968.60278</v>
      </c>
    </row>
    <row r="1044">
      <c r="A1044" s="7" t="str">
        <f>IFERROR(__xludf.DUMMYFUNCTION("""COMPUTED_VALUE"""),"https://www.method.me/blog/total-manufacturing-cost-formula/")</f>
        <v>https://www.method.me/blog/total-manufacturing-cost-formula/</v>
      </c>
      <c r="B1044" s="1" t="str">
        <f>IFERROR(__xludf.DUMMYFUNCTION("""COMPUTED_VALUE"""),"MWD")</f>
        <v>MWD</v>
      </c>
      <c r="C1044" s="1" t="str">
        <f>IFERROR(__xludf.DUMMYFUNCTION("""COMPUTED_VALUE"""),"Blog")</f>
        <v>Blog</v>
      </c>
      <c r="D1044" s="1" t="str">
        <f>IFERROR(__xludf.DUMMYFUNCTION("""COMPUTED_VALUE"""),"Total manufacturing cost formula: 2025 guide and calculator ")</f>
        <v>Total manufacturing cost formula: 2025 guide and calculator </v>
      </c>
      <c r="E1044" s="12">
        <f>IFERROR(__xludf.DUMMYFUNCTION("""COMPUTED_VALUE"""),45973.45625)</f>
        <v>45973.45625</v>
      </c>
    </row>
    <row r="1045">
      <c r="A1045" s="7" t="str">
        <f>IFERROR(__xludf.DUMMYFUNCTION("""COMPUTED_VALUE"""),"https://www.method.me/blog/crm-for-sales-reps/")</f>
        <v>https://www.method.me/blog/crm-for-sales-reps/</v>
      </c>
      <c r="B1045" s="1" t="str">
        <f>IFERROR(__xludf.DUMMYFUNCTION("""COMPUTED_VALUE"""),"Listicle - Software / Software overview")</f>
        <v>Listicle - Software / Software overview</v>
      </c>
      <c r="C1045" s="1" t="str">
        <f>IFERROR(__xludf.DUMMYFUNCTION("""COMPUTED_VALUE"""),"Blog")</f>
        <v>Blog</v>
      </c>
      <c r="D1045" s="1" t="str">
        <f>IFERROR(__xludf.DUMMYFUNCTION("""COMPUTED_VALUE"""),"CRM for sales reps: 12 best tools to boost close rates ")</f>
        <v>CRM for sales reps: 12 best tools to boost close rates </v>
      </c>
      <c r="E1045" s="12">
        <f>IFERROR(__xludf.DUMMYFUNCTION("""COMPUTED_VALUE"""),45974.61597222222)</f>
        <v>45974.61597</v>
      </c>
    </row>
    <row r="1046">
      <c r="A1046" s="7" t="str">
        <f>IFERROR(__xludf.DUMMYFUNCTION("""COMPUTED_VALUE"""),"https://www.method.me/blog/manufacturing-customer-portal/")</f>
        <v>https://www.method.me/blog/manufacturing-customer-portal/</v>
      </c>
      <c r="B1046" s="1" t="str">
        <f>IFERROR(__xludf.DUMMYFUNCTION("""COMPUTED_VALUE"""),"MWD")</f>
        <v>MWD</v>
      </c>
      <c r="C1046" s="1" t="str">
        <f>IFERROR(__xludf.DUMMYFUNCTION("""COMPUTED_VALUE"""),"Blog")</f>
        <v>Blog</v>
      </c>
      <c r="D1046" s="1" t="str">
        <f>IFERROR(__xludf.DUMMYFUNCTION("""COMPUTED_VALUE"""),"Manufacturing customer portal best practices for 2025")</f>
        <v>Manufacturing customer portal best practices for 2025</v>
      </c>
      <c r="E1046" s="12">
        <f>IFERROR(__xludf.DUMMYFUNCTION("""COMPUTED_VALUE"""),45981.436111111114)</f>
        <v>45981.43611</v>
      </c>
    </row>
    <row r="1047">
      <c r="A1047" s="7" t="str">
        <f>IFERROR(__xludf.DUMMYFUNCTION("""COMPUTED_VALUE"""),"https://www.method.me/blog/sales-activity-tracking/")</f>
        <v>https://www.method.me/blog/sales-activity-tracking/</v>
      </c>
      <c r="B1047" s="1" t="str">
        <f>IFERROR(__xludf.DUMMYFUNCTION("""COMPUTED_VALUE"""),"Sales / Marketing / Lead gen")</f>
        <v>Sales / Marketing / Lead gen</v>
      </c>
      <c r="C1047" s="1" t="str">
        <f>IFERROR(__xludf.DUMMYFUNCTION("""COMPUTED_VALUE"""),"Blog")</f>
        <v>Blog</v>
      </c>
      <c r="D1047" s="1" t="str">
        <f>IFERROR(__xludf.DUMMYFUNCTION("""COMPUTED_VALUE"""),"Sales activity tracking: Ultimate guide for sales teams in 2025")</f>
        <v>Sales activity tracking: Ultimate guide for sales teams in 2025</v>
      </c>
      <c r="E1047" s="12">
        <f>IFERROR(__xludf.DUMMYFUNCTION("""COMPUTED_VALUE"""),45987.45763888889)</f>
        <v>45987.45764</v>
      </c>
    </row>
    <row r="1048">
      <c r="A1048" s="7" t="str">
        <f>IFERROR(__xludf.DUMMYFUNCTION("""COMPUTED_VALUE"""),"https://www.method.me/blog/wholesale-price-calculator/")</f>
        <v>https://www.method.me/blog/wholesale-price-calculator/</v>
      </c>
      <c r="B1048" s="1" t="str">
        <f>IFERROR(__xludf.DUMMYFUNCTION("""COMPUTED_VALUE"""),"MWD")</f>
        <v>MWD</v>
      </c>
      <c r="C1048" s="1" t="str">
        <f>IFERROR(__xludf.DUMMYFUNCTION("""COMPUTED_VALUE"""),"Blog")</f>
        <v>Blog</v>
      </c>
      <c r="D1048" s="1" t="str">
        <f>IFERROR(__xludf.DUMMYFUNCTION("""COMPUTED_VALUE"""),"Wholesale price calculator: How to price your products right")</f>
        <v>Wholesale price calculator: How to price your products right</v>
      </c>
      <c r="E1048" s="12">
        <f>IFERROR(__xludf.DUMMYFUNCTION("""COMPUTED_VALUE"""),46003.70694444444)</f>
        <v>46003.70694</v>
      </c>
    </row>
    <row r="1049">
      <c r="A1049" s="7" t="str">
        <f>IFERROR(__xludf.DUMMYFUNCTION("""COMPUTED_VALUE"""),"https://www.method.me/blog/manufacturing-cost-estimating/")</f>
        <v>https://www.method.me/blog/manufacturing-cost-estimating/</v>
      </c>
      <c r="B1049" s="1" t="str">
        <f>IFERROR(__xludf.DUMMYFUNCTION("""COMPUTED_VALUE"""),"MWD")</f>
        <v>MWD</v>
      </c>
      <c r="C1049" s="1" t="str">
        <f>IFERROR(__xludf.DUMMYFUNCTION("""COMPUTED_VALUE"""),"Blog")</f>
        <v>Blog</v>
      </c>
      <c r="D1049" s="1" t="str">
        <f>IFERROR(__xludf.DUMMYFUNCTION("""COMPUTED_VALUE"""),"A practical guide to manufacturing cost estimating")</f>
        <v>A practical guide to manufacturing cost estimating</v>
      </c>
      <c r="E1049" s="12">
        <f>IFERROR(__xludf.DUMMYFUNCTION("""COMPUTED_VALUE"""),46007.708333333336)</f>
        <v>46007.70833</v>
      </c>
    </row>
    <row r="1050">
      <c r="A1050" s="7" t="str">
        <f>IFERROR(__xludf.DUMMYFUNCTION("""COMPUTED_VALUE"""),"https://www.method.me/blog/manufacturing-scheduling-guide/")</f>
        <v>https://www.method.me/blog/manufacturing-scheduling-guide/</v>
      </c>
      <c r="B1050" s="1" t="str">
        <f>IFERROR(__xludf.DUMMYFUNCTION("""COMPUTED_VALUE"""),"MWD")</f>
        <v>MWD</v>
      </c>
      <c r="C1050" s="1" t="str">
        <f>IFERROR(__xludf.DUMMYFUNCTION("""COMPUTED_VALUE"""),"Blog")</f>
        <v>Blog</v>
      </c>
      <c r="D1050" s="1" t="str">
        <f>IFERROR(__xludf.DUMMYFUNCTION("""COMPUTED_VALUE"""),"How to master manufacturing scheduling (2026 guide)")</f>
        <v>How to master manufacturing scheduling (2026 guide)</v>
      </c>
      <c r="E1050" s="12">
        <f>IFERROR(__xludf.DUMMYFUNCTION("""COMPUTED_VALUE"""),46010.541666666664)</f>
        <v>46010.54167</v>
      </c>
    </row>
    <row r="1051">
      <c r="A1051" s="7" t="str">
        <f>IFERROR(__xludf.DUMMYFUNCTION("""COMPUTED_VALUE"""),"https://www.method.me/blog/zoho-crm-cost/")</f>
        <v>https://www.method.me/blog/zoho-crm-cost/</v>
      </c>
      <c r="B1051" s="1" t="str">
        <f>IFERROR(__xludf.DUMMYFUNCTION("""COMPUTED_VALUE"""),"Method - Comparison")</f>
        <v>Method - Comparison</v>
      </c>
      <c r="C1051" s="1" t="str">
        <f>IFERROR(__xludf.DUMMYFUNCTION("""COMPUTED_VALUE"""),"Blog")</f>
        <v>Blog</v>
      </c>
      <c r="D1051" s="1" t="str">
        <f>IFERROR(__xludf.DUMMYFUNCTION("""COMPUTED_VALUE"""),"How much does Zoho CRM cost? (2026 pricing breakdown)")</f>
        <v>How much does Zoho CRM cost? (2026 pricing breakdown)</v>
      </c>
      <c r="E1051" s="12">
        <f>IFERROR(__xludf.DUMMYFUNCTION("""COMPUTED_VALUE"""),46022.47083333333)</f>
        <v>46022.47083</v>
      </c>
    </row>
    <row r="1052">
      <c r="A1052" s="7" t="str">
        <f>IFERROR(__xludf.DUMMYFUNCTION("""COMPUTED_VALUE"""),"https://www.method.me/blog/manufacturing-quality-management/")</f>
        <v>https://www.method.me/blog/manufacturing-quality-management/</v>
      </c>
      <c r="B1052" s="1" t="str">
        <f>IFERROR(__xludf.DUMMYFUNCTION("""COMPUTED_VALUE"""),"MWD")</f>
        <v>MWD</v>
      </c>
      <c r="C1052" s="1" t="str">
        <f>IFERROR(__xludf.DUMMYFUNCTION("""COMPUTED_VALUE"""),"Blog")</f>
        <v>Blog</v>
      </c>
      <c r="D1052" s="1" t="str">
        <f>IFERROR(__xludf.DUMMYFUNCTION("""COMPUTED_VALUE"""),"Manufacturing quality management: A complete guide (2026)")</f>
        <v>Manufacturing quality management: A complete guide (2026)</v>
      </c>
      <c r="E1052" s="12">
        <f>IFERROR(__xludf.DUMMYFUNCTION("""COMPUTED_VALUE"""),46032.88888888889)</f>
        <v>46032.88889</v>
      </c>
    </row>
    <row r="1053">
      <c r="A1053" s="7" t="str">
        <f>IFERROR(__xludf.DUMMYFUNCTION("""COMPUTED_VALUE"""),"https://www.method.me/blog/manufacturing-time-tracking/")</f>
        <v>https://www.method.me/blog/manufacturing-time-tracking/</v>
      </c>
      <c r="B1053" s="1" t="str">
        <f>IFERROR(__xludf.DUMMYFUNCTION("""COMPUTED_VALUE"""),"MWD")</f>
        <v>MWD</v>
      </c>
      <c r="C1053" s="1" t="str">
        <f>IFERROR(__xludf.DUMMYFUNCTION("""COMPUTED_VALUE"""),"Blog ")</f>
        <v>Blog </v>
      </c>
      <c r="D1053" s="1" t="str">
        <f>IFERROR(__xludf.DUMMYFUNCTION("""COMPUTED_VALUE"""),"Manufacturing time tracking: A complete guide (2026)")</f>
        <v>Manufacturing time tracking: A complete guide (2026)</v>
      </c>
      <c r="E1053" s="12">
        <f>IFERROR(__xludf.DUMMYFUNCTION("""COMPUTED_VALUE"""),46034.66527777778)</f>
        <v>46034.66528</v>
      </c>
    </row>
    <row r="1054">
      <c r="A1054" s="7" t="str">
        <f>IFERROR(__xludf.DUMMYFUNCTION("""COMPUTED_VALUE"""),"https://www.method.me/blog/lean-manufacturing-principles/")</f>
        <v>https://www.method.me/blog/lean-manufacturing-principles/</v>
      </c>
      <c r="B1054" s="1" t="str">
        <f>IFERROR(__xludf.DUMMYFUNCTION("""COMPUTED_VALUE"""),"MWD")</f>
        <v>MWD</v>
      </c>
      <c r="C1054" s="1" t="str">
        <f>IFERROR(__xludf.DUMMYFUNCTION("""COMPUTED_VALUE"""),"Blog ")</f>
        <v>Blog </v>
      </c>
      <c r="D1054" s="1" t="str">
        <f>IFERROR(__xludf.DUMMYFUNCTION("""COMPUTED_VALUE"""),"Lean manufacturing principles: A complete guide to waste reduction (2026)")</f>
        <v>Lean manufacturing principles: A complete guide to waste reduction (2026)</v>
      </c>
      <c r="E1054" s="12">
        <f>IFERROR(__xludf.DUMMYFUNCTION("""COMPUTED_VALUE"""),46038.56875)</f>
        <v>46038.56875</v>
      </c>
    </row>
    <row r="1055">
      <c r="A1055" s="7" t="str">
        <f>IFERROR(__xludf.DUMMYFUNCTION("""COMPUTED_VALUE"""),"https://www.method.me/blog/continuous-improvement-in-manufacturing/")</f>
        <v>https://www.method.me/blog/continuous-improvement-in-manufacturing/</v>
      </c>
      <c r="B1055" s="1" t="str">
        <f>IFERROR(__xludf.DUMMYFUNCTION("""COMPUTED_VALUE"""),"MWD")</f>
        <v>MWD</v>
      </c>
      <c r="C1055" s="1" t="str">
        <f>IFERROR(__xludf.DUMMYFUNCTION("""COMPUTED_VALUE"""),"Blog")</f>
        <v>Blog</v>
      </c>
      <c r="D1055" s="1" t="str">
        <f>IFERROR(__xludf.DUMMYFUNCTION("""COMPUTED_VALUE"""),"Continuous improvement in manufacturing: A complete guide (2026)")</f>
        <v>Continuous improvement in manufacturing: A complete guide (2026)</v>
      </c>
      <c r="E1055" s="12">
        <f>IFERROR(__xludf.DUMMYFUNCTION("""COMPUTED_VALUE"""),46038.62569444445)</f>
        <v>46038.62569</v>
      </c>
    </row>
    <row r="1056">
      <c r="A1056" s="7" t="str">
        <f>IFERROR(__xludf.DUMMYFUNCTION("""COMPUTED_VALUE"""),"https://www.method.me/blog/production-planning-and-scheduling/")</f>
        <v>https://www.method.me/blog/production-planning-and-scheduling/</v>
      </c>
      <c r="B1056" s="1" t="str">
        <f>IFERROR(__xludf.DUMMYFUNCTION("""COMPUTED_VALUE"""),"MWD")</f>
        <v>MWD</v>
      </c>
      <c r="C1056" s="1" t="str">
        <f>IFERROR(__xludf.DUMMYFUNCTION("""COMPUTED_VALUE"""),"Blog")</f>
        <v>Blog</v>
      </c>
      <c r="D1056" s="1" t="str">
        <f>IFERROR(__xludf.DUMMYFUNCTION("""COMPUTED_VALUE"""),"Production planning and scheduling: A 2026 guide for manufacturers")</f>
        <v>Production planning and scheduling: A 2026 guide for manufacturers</v>
      </c>
      <c r="E1056" s="12">
        <f>IFERROR(__xludf.DUMMYFUNCTION("""COMPUTED_VALUE"""),46041.71875)</f>
        <v>46041.71875</v>
      </c>
    </row>
    <row r="1057">
      <c r="A1057" s="7" t="str">
        <f>IFERROR(__xludf.DUMMYFUNCTION("""COMPUTED_VALUE"""),"https://www.method.me/blog/manufacturing-sales-lead-management/")</f>
        <v>https://www.method.me/blog/manufacturing-sales-lead-management/</v>
      </c>
      <c r="B1057" s="1" t="str">
        <f>IFERROR(__xludf.DUMMYFUNCTION("""COMPUTED_VALUE"""),"MWD")</f>
        <v>MWD</v>
      </c>
      <c r="C1057" s="1" t="str">
        <f>IFERROR(__xludf.DUMMYFUNCTION("""COMPUTED_VALUE"""),"Blog")</f>
        <v>Blog</v>
      </c>
      <c r="D1057" s="1" t="str">
        <f>IFERROR(__xludf.DUMMYFUNCTION("""COMPUTED_VALUE"""),"Manufacturing sales lead management: Best practices in 2026")</f>
        <v>Manufacturing sales lead management: Best practices in 2026</v>
      </c>
      <c r="E1057" s="12">
        <f>IFERROR(__xludf.DUMMYFUNCTION("""COMPUTED_VALUE"""),46049.620833333334)</f>
        <v>46049.62083</v>
      </c>
    </row>
    <row r="1058">
      <c r="A1058" s="7" t="str">
        <f>IFERROR(__xludf.DUMMYFUNCTION("""COMPUTED_VALUE"""),"https://www.method.me/blog/safety-stock-calculator-guide/")</f>
        <v>https://www.method.me/blog/safety-stock-calculator-guide/</v>
      </c>
      <c r="B1058" s="1" t="str">
        <f>IFERROR(__xludf.DUMMYFUNCTION("""COMPUTED_VALUE"""),"MWD")</f>
        <v>MWD</v>
      </c>
      <c r="C1058" s="1" t="str">
        <f>IFERROR(__xludf.DUMMYFUNCTION("""COMPUTED_VALUE"""),"Blog")</f>
        <v>Blog</v>
      </c>
      <c r="D1058" s="1" t="str">
        <f>IFERROR(__xludf.DUMMYFUNCTION("""COMPUTED_VALUE"""),"Safety stock calculator: 2026 guide for optimal inventory levels")</f>
        <v>Safety stock calculator: 2026 guide for optimal inventory levels</v>
      </c>
      <c r="E1058" s="12">
        <f>IFERROR(__xludf.DUMMYFUNCTION("""COMPUTED_VALUE"""),46052.64861111111)</f>
        <v>46052.64861</v>
      </c>
    </row>
    <row r="1059">
      <c r="A1059" s="7" t="str">
        <f>IFERROR(__xludf.DUMMYFUNCTION("""COMPUTED_VALUE"""),"https://www.method.me/blog/manufacturing-kpi-dashboard/")</f>
        <v>https://www.method.me/blog/manufacturing-kpi-dashboard/</v>
      </c>
      <c r="B1059" s="1" t="str">
        <f>IFERROR(__xludf.DUMMYFUNCTION("""COMPUTED_VALUE"""),"MWD")</f>
        <v>MWD</v>
      </c>
      <c r="C1059" s="1" t="str">
        <f>IFERROR(__xludf.DUMMYFUNCTION("""COMPUTED_VALUE"""),"Blog")</f>
        <v>Blog</v>
      </c>
      <c r="D1059" s="1" t="str">
        <f>IFERROR(__xludf.DUMMYFUNCTION("""COMPUTED_VALUE"""),"Manufacturing KPI dashboard: A 2026 guide for performance visualization")</f>
        <v>Manufacturing KPI dashboard: A 2026 guide for performance visualization</v>
      </c>
      <c r="E1059" s="12">
        <f>IFERROR(__xludf.DUMMYFUNCTION("""COMPUTED_VALUE"""),46052.708333333336)</f>
        <v>46052.70833</v>
      </c>
    </row>
    <row r="1060">
      <c r="A1060" s="7" t="str">
        <f>IFERROR(__xludf.DUMMYFUNCTION("""COMPUTED_VALUE"""),"https://www.method.me/blog/reorder-point-formula-guide/")</f>
        <v>https://www.method.me/blog/reorder-point-formula-guide/</v>
      </c>
      <c r="B1060" s="1" t="str">
        <f>IFERROR(__xludf.DUMMYFUNCTION("""COMPUTED_VALUE"""),"MWD")</f>
        <v>MWD</v>
      </c>
      <c r="C1060" s="1" t="str">
        <f>IFERROR(__xludf.DUMMYFUNCTION("""COMPUTED_VALUE"""),"Blog")</f>
        <v>Blog</v>
      </c>
      <c r="D1060" s="1" t="str">
        <f>IFERROR(__xludf.DUMMYFUNCTION("""COMPUTED_VALUE"""),"Reorder point formula and calculator for manufacturers: 2026 guide")</f>
        <v>Reorder point formula and calculator for manufacturers: 2026 guide</v>
      </c>
      <c r="E1060" s="12">
        <f>IFERROR(__xludf.DUMMYFUNCTION("""COMPUTED_VALUE"""),46056.78958333333)</f>
        <v>46056.78958</v>
      </c>
    </row>
    <row r="1061">
      <c r="A1061" s="7" t="str">
        <f>IFERROR(__xludf.DUMMYFUNCTION("""COMPUTED_VALUE"""),"https://www.method.me/industries/medical-device-crm/")</f>
        <v>https://www.method.me/industries/medical-device-crm/</v>
      </c>
      <c r="B1061" s="1" t="str">
        <f>IFERROR(__xludf.DUMMYFUNCTION("""COMPUTED_VALUE"""),"MWD")</f>
        <v>MWD</v>
      </c>
      <c r="C1061" s="1" t="str">
        <f>IFERROR(__xludf.DUMMYFUNCTION("""COMPUTED_VALUE"""),"Other page")</f>
        <v>Other page</v>
      </c>
      <c r="D1061" s="1" t="str">
        <f>IFERROR(__xludf.DUMMYFUNCTION("""COMPUTED_VALUE"""),"Medical device CRM")</f>
        <v>Medical device CRM</v>
      </c>
      <c r="E1061" s="14">
        <f>IFERROR(__xludf.DUMMYFUNCTION("""COMPUTED_VALUE"""),45980.0)</f>
        <v>45980</v>
      </c>
    </row>
    <row r="1062">
      <c r="A1062" s="7" t="str">
        <f>IFERROR(__xludf.DUMMYFUNCTION("""COMPUTED_VALUE"""),"https://www.method.me/industries/food-manufacturing-software/")</f>
        <v>https://www.method.me/industries/food-manufacturing-software/</v>
      </c>
      <c r="B1062" s="1" t="str">
        <f>IFERROR(__xludf.DUMMYFUNCTION("""COMPUTED_VALUE"""),"MWD")</f>
        <v>MWD</v>
      </c>
      <c r="C1062" s="1" t="str">
        <f>IFERROR(__xludf.DUMMYFUNCTION("""COMPUTED_VALUE"""),"Other page")</f>
        <v>Other page</v>
      </c>
      <c r="D1062" s="1" t="str">
        <f>IFERROR(__xludf.DUMMYFUNCTION("""COMPUTED_VALUE"""),"Food manufacturing software")</f>
        <v>Food manufacturing software</v>
      </c>
      <c r="E1062" s="14">
        <f>IFERROR(__xludf.DUMMYFUNCTION("""COMPUTED_VALUE"""),45986.0)</f>
        <v>45986</v>
      </c>
    </row>
    <row r="1063">
      <c r="A1063" s="7" t="str">
        <f>IFERROR(__xludf.DUMMYFUNCTION("""COMPUTED_VALUE"""),"https://www.method.me/industries/automotive-manufacturing-software/")</f>
        <v>https://www.method.me/industries/automotive-manufacturing-software/</v>
      </c>
      <c r="B1063" s="1" t="str">
        <f>IFERROR(__xludf.DUMMYFUNCTION("""COMPUTED_VALUE"""),"MWD")</f>
        <v>MWD</v>
      </c>
      <c r="C1063" s="1" t="str">
        <f>IFERROR(__xludf.DUMMYFUNCTION("""COMPUTED_VALUE"""),"Other page")</f>
        <v>Other page</v>
      </c>
      <c r="D1063" s="1" t="str">
        <f>IFERROR(__xludf.DUMMYFUNCTION("""COMPUTED_VALUE"""),"Automotive manufacturing software")</f>
        <v>Automotive manufacturing software</v>
      </c>
      <c r="E1063" s="14">
        <f>IFERROR(__xludf.DUMMYFUNCTION("""COMPUTED_VALUE"""),45989.0)</f>
        <v>45989</v>
      </c>
    </row>
    <row r="1064">
      <c r="A1064" s="7" t="str">
        <f>IFERROR(__xludf.DUMMYFUNCTION("""COMPUTED_VALUE"""),"https://www.method.me/industries/industrial-manufacturing-software/")</f>
        <v>https://www.method.me/industries/industrial-manufacturing-software/</v>
      </c>
      <c r="B1064" s="1" t="str">
        <f>IFERROR(__xludf.DUMMYFUNCTION("""COMPUTED_VALUE"""),"MWD")</f>
        <v>MWD</v>
      </c>
      <c r="C1064" s="1" t="str">
        <f>IFERROR(__xludf.DUMMYFUNCTION("""COMPUTED_VALUE"""),"Other page")</f>
        <v>Other page</v>
      </c>
      <c r="D1064" s="1" t="str">
        <f>IFERROR(__xludf.DUMMYFUNCTION("""COMPUTED_VALUE"""),"Industrial manufacturing software")</f>
        <v>Industrial manufacturing software</v>
      </c>
      <c r="E1064" s="15">
        <f>IFERROR(__xludf.DUMMYFUNCTION("""COMPUTED_VALUE"""),45994.0)</f>
        <v>45994</v>
      </c>
    </row>
    <row r="1065">
      <c r="A1065" s="7" t="str">
        <f>IFERROR(__xludf.DUMMYFUNCTION("""COMPUTED_VALUE"""),"https://www.method.me/crm-quickbooks/manufacturing-estimating-software/")</f>
        <v>https://www.method.me/crm-quickbooks/manufacturing-estimating-software/</v>
      </c>
      <c r="B1065" s="1" t="str">
        <f>IFERROR(__xludf.DUMMYFUNCTION("""COMPUTED_VALUE"""),"MWD")</f>
        <v>MWD</v>
      </c>
      <c r="C1065" s="1" t="str">
        <f>IFERROR(__xludf.DUMMYFUNCTION("""COMPUTED_VALUE"""),"Other page")</f>
        <v>Other page</v>
      </c>
      <c r="D1065" s="1" t="str">
        <f>IFERROR(__xludf.DUMMYFUNCTION("""COMPUTED_VALUE"""),"Manufacturing estimating software ")</f>
        <v>Manufacturing estimating software </v>
      </c>
      <c r="E1065" s="15">
        <f>IFERROR(__xludf.DUMMYFUNCTION("""COMPUTED_VALUE"""),45996.0)</f>
        <v>45996</v>
      </c>
    </row>
    <row r="1066">
      <c r="A1066" s="7" t="str">
        <f>IFERROR(__xludf.DUMMYFUNCTION("""COMPUTED_VALUE"""),"https://www.method.me/industries/crm-for-franchises/")</f>
        <v>https://www.method.me/industries/crm-for-franchises/</v>
      </c>
      <c r="B1066" s="1" t="str">
        <f>IFERROR(__xludf.DUMMYFUNCTION("""COMPUTED_VALUE"""),"MWD")</f>
        <v>MWD</v>
      </c>
      <c r="C1066" s="1" t="str">
        <f>IFERROR(__xludf.DUMMYFUNCTION("""COMPUTED_VALUE"""),"Other page")</f>
        <v>Other page</v>
      </c>
      <c r="D1066" s="1" t="str">
        <f>IFERROR(__xludf.DUMMYFUNCTION("""COMPUTED_VALUE"""),"CRM for franchises")</f>
        <v>CRM for franchises</v>
      </c>
      <c r="E1066" s="14">
        <f>IFERROR(__xludf.DUMMYFUNCTION("""COMPUTED_VALUE"""),46002.0)</f>
        <v>46002</v>
      </c>
    </row>
    <row r="1067">
      <c r="A1067" s="7" t="str">
        <f>IFERROR(__xludf.DUMMYFUNCTION("""COMPUTED_VALUE"""),"https://www.method.me/industries/pharmaceutical-manufacturing-software/")</f>
        <v>https://www.method.me/industries/pharmaceutical-manufacturing-software/</v>
      </c>
      <c r="B1067" s="1" t="str">
        <f>IFERROR(__xludf.DUMMYFUNCTION("""COMPUTED_VALUE"""),"MWD")</f>
        <v>MWD</v>
      </c>
      <c r="C1067" s="1" t="str">
        <f>IFERROR(__xludf.DUMMYFUNCTION("""COMPUTED_VALUE"""),"Other page")</f>
        <v>Other page</v>
      </c>
      <c r="D1067" s="1" t="str">
        <f>IFERROR(__xludf.DUMMYFUNCTION("""COMPUTED_VALUE"""),"Pharmaceutical manufacturing software ")</f>
        <v>Pharmaceutical manufacturing software </v>
      </c>
      <c r="E1067" s="14">
        <f>IFERROR(__xludf.DUMMYFUNCTION("""COMPUTED_VALUE"""),46020.0)</f>
        <v>46020</v>
      </c>
    </row>
    <row r="1068">
      <c r="A1068" s="7" t="str">
        <f>IFERROR(__xludf.DUMMYFUNCTION("""COMPUTED_VALUE"""),"https://www.method.me/industries/sign-manufacturing-software/")</f>
        <v>https://www.method.me/industries/sign-manufacturing-software/</v>
      </c>
      <c r="B1068" s="1" t="str">
        <f>IFERROR(__xludf.DUMMYFUNCTION("""COMPUTED_VALUE"""),"MWD")</f>
        <v>MWD</v>
      </c>
      <c r="C1068" s="1" t="str">
        <f>IFERROR(__xludf.DUMMYFUNCTION("""COMPUTED_VALUE"""),"Other page")</f>
        <v>Other page</v>
      </c>
      <c r="D1068" s="1" t="str">
        <f>IFERROR(__xludf.DUMMYFUNCTION("""COMPUTED_VALUE"""),"Sign manufacturing software ")</f>
        <v>Sign manufacturing software </v>
      </c>
      <c r="E1068" s="14">
        <f>IFERROR(__xludf.DUMMYFUNCTION("""COMPUTED_VALUE"""),46021.0)</f>
        <v>46021</v>
      </c>
    </row>
    <row r="1069">
      <c r="A1069" s="7" t="str">
        <f>IFERROR(__xludf.DUMMYFUNCTION("""COMPUTED_VALUE"""),"https://www.method.me/blog/advanced-manufacturing-guide/")</f>
        <v>https://www.method.me/blog/advanced-manufacturing-guide/</v>
      </c>
      <c r="B1069" s="1" t="str">
        <f>IFERROR(__xludf.DUMMYFUNCTION("""COMPUTED_VALUE"""),"MWD")</f>
        <v>MWD</v>
      </c>
      <c r="C1069" s="1" t="str">
        <f>IFERROR(__xludf.DUMMYFUNCTION("""COMPUTED_VALUE"""),"Blog")</f>
        <v>Blog</v>
      </c>
      <c r="D1069" s="1" t="str">
        <f>IFERROR(__xludf.DUMMYFUNCTION("""COMPUTED_VALUE"""),"Advanced manufacturing processes: A complete guide (2026)")</f>
        <v>Advanced manufacturing processes: A complete guide (2026)</v>
      </c>
      <c r="E1069" s="12">
        <f>IFERROR(__xludf.DUMMYFUNCTION("""COMPUTED_VALUE"""),46063.63055555556)</f>
        <v>46063.63056</v>
      </c>
    </row>
    <row r="1070">
      <c r="A1070" s="7" t="str">
        <f>IFERROR(__xludf.DUMMYFUNCTION("""COMPUTED_VALUE"""),"https://www.method.me/blog/selective-laser-sintering/")</f>
        <v>https://www.method.me/blog/selective-laser-sintering/</v>
      </c>
      <c r="B1070" s="1" t="str">
        <f>IFERROR(__xludf.DUMMYFUNCTION("""COMPUTED_VALUE"""),"MWD")</f>
        <v>MWD</v>
      </c>
      <c r="C1070" s="1" t="str">
        <f>IFERROR(__xludf.DUMMYFUNCTION("""COMPUTED_VALUE"""),"Blog")</f>
        <v>Blog</v>
      </c>
      <c r="D1070" s="1" t="str">
        <f>IFERROR(__xludf.DUMMYFUNCTION("""COMPUTED_VALUE"""),"Selective Laser Sintering: Ultimate guide to 3D printing (2026)")</f>
        <v>Selective Laser Sintering: Ultimate guide to 3D printing (2026)</v>
      </c>
      <c r="E1070" s="12">
        <f>IFERROR(__xludf.DUMMYFUNCTION("""COMPUTED_VALUE"""),46065.513194444444)</f>
        <v>46065.51319</v>
      </c>
    </row>
    <row r="1071">
      <c r="A1071" s="7" t="str">
        <f>IFERROR(__xludf.DUMMYFUNCTION("""COMPUTED_VALUE"""),"https://www.method.me/blog/electron-beam-melting/")</f>
        <v>https://www.method.me/blog/electron-beam-melting/</v>
      </c>
      <c r="B1071" s="1" t="str">
        <f>IFERROR(__xludf.DUMMYFUNCTION("""COMPUTED_VALUE"""),"MWD")</f>
        <v>MWD</v>
      </c>
      <c r="C1071" s="1" t="str">
        <f>IFERROR(__xludf.DUMMYFUNCTION("""COMPUTED_VALUE"""),"Blog")</f>
        <v>Blog</v>
      </c>
      <c r="D1071" s="1" t="str">
        <f>IFERROR(__xludf.DUMMYFUNCTION("""COMPUTED_VALUE"""),"Electron Beam Melting: A complete guide (2026")</f>
        <v>Electron Beam Melting: A complete guide (2026</v>
      </c>
      <c r="E1071" s="12">
        <f>IFERROR(__xludf.DUMMYFUNCTION("""COMPUTED_VALUE"""),46066.65902777778)</f>
        <v>46066.65903</v>
      </c>
    </row>
    <row r="1072">
      <c r="A1072" s="7" t="str">
        <f>IFERROR(__xludf.DUMMYFUNCTION("""COMPUTED_VALUE"""),"https://www.method.me/blog/accountants-guide-to-proposal-automation/")</f>
        <v>https://www.method.me/blog/accountants-guide-to-proposal-automation/</v>
      </c>
      <c r="B1072" s="1" t="str">
        <f>IFERROR(__xludf.DUMMYFUNCTION("""COMPUTED_VALUE"""),"Accounting")</f>
        <v>Accounting</v>
      </c>
      <c r="C1072" s="1" t="str">
        <f>IFERROR(__xludf.DUMMYFUNCTION("""COMPUTED_VALUE"""),"Blog")</f>
        <v>Blog</v>
      </c>
      <c r="D1072" s="1" t="str">
        <f>IFERROR(__xludf.DUMMYFUNCTION("""COMPUTED_VALUE"""),"The accountant’s guide to proposal automation in 2026")</f>
        <v>The accountant’s guide to proposal automation in 2026</v>
      </c>
      <c r="E1072" s="12">
        <f>IFERROR(__xludf.DUMMYFUNCTION("""COMPUTED_VALUE"""),46070.683333333334)</f>
        <v>46070.68333</v>
      </c>
    </row>
    <row r="1073">
      <c r="A1073" s="7" t="str">
        <f>IFERROR(__xludf.DUMMYFUNCTION("""COMPUTED_VALUE"""),"https://www.method.me/blog/how-to-set-up-quickbooks-for-small-business/")</f>
        <v>https://www.method.me/blog/how-to-set-up-quickbooks-for-small-business/</v>
      </c>
      <c r="B1073" s="1" t="str">
        <f>IFERROR(__xludf.DUMMYFUNCTION("""COMPUTED_VALUE"""),"QuickBooks - How-to")</f>
        <v>QuickBooks - How-to</v>
      </c>
      <c r="C1073" s="1" t="str">
        <f>IFERROR(__xludf.DUMMYFUNCTION("""COMPUTED_VALUE"""),"Blog")</f>
        <v>Blog</v>
      </c>
      <c r="D1073" s="1" t="str">
        <f>IFERROR(__xludf.DUMMYFUNCTION("""COMPUTED_VALUE"""),"How to set up QuickBooks for your small business (2026 guide)")</f>
        <v>How to set up QuickBooks for your small business (2026 guide)</v>
      </c>
      <c r="E1073" s="12">
        <f>IFERROR(__xludf.DUMMYFUNCTION("""COMPUTED_VALUE"""),46071.663194444445)</f>
        <v>46071.66319</v>
      </c>
    </row>
    <row r="1074">
      <c r="A1074" s="7" t="str">
        <f>IFERROR(__xludf.DUMMYFUNCTION("""COMPUTED_VALUE"""),"https://www.method.me/blog/white-label-client-portal/")</f>
        <v>https://www.method.me/blog/white-label-client-portal/</v>
      </c>
      <c r="B1074" s="1" t="str">
        <f>IFERROR(__xludf.DUMMYFUNCTION("""COMPUTED_VALUE"""),"CRM")</f>
        <v>CRM</v>
      </c>
      <c r="C1074" s="1" t="str">
        <f>IFERROR(__xludf.DUMMYFUNCTION("""COMPUTED_VALUE"""),"Blog")</f>
        <v>Blog</v>
      </c>
      <c r="D1074" s="1" t="str">
        <f>IFERROR(__xludf.DUMMYFUNCTION("""COMPUTED_VALUE"""),"White label client portal guide: Branding, access, and automation in 2026")</f>
        <v>White label client portal guide: Branding, access, and automation in 2026</v>
      </c>
      <c r="E1074" s="12">
        <f>IFERROR(__xludf.DUMMYFUNCTION("""COMPUTED_VALUE"""),46073.64375)</f>
        <v>46073.64375</v>
      </c>
    </row>
    <row r="1075">
      <c r="A1075" s="7" t="str">
        <f>IFERROR(__xludf.DUMMYFUNCTION("""COMPUTED_VALUE"""),"https://www.method.me/blog/how-does-quickbooks-payments-work/")</f>
        <v>https://www.method.me/blog/how-does-quickbooks-payments-work/</v>
      </c>
      <c r="B1075" s="1" t="str">
        <f>IFERROR(__xludf.DUMMYFUNCTION("""COMPUTED_VALUE"""),"QuickBooks - How-to")</f>
        <v>QuickBooks - How-to</v>
      </c>
      <c r="C1075" s="1" t="str">
        <f>IFERROR(__xludf.DUMMYFUNCTION("""COMPUTED_VALUE"""),"Blog")</f>
        <v>Blog</v>
      </c>
      <c r="D1075" s="1" t="str">
        <f>IFERROR(__xludf.DUMMYFUNCTION("""COMPUTED_VALUE"""),"How does QuickBooks Payments work? A complete guide (2026)")</f>
        <v>How does QuickBooks Payments work? A complete guide (2026)</v>
      </c>
      <c r="E1075" s="12">
        <f>IFERROR(__xludf.DUMMYFUNCTION("""COMPUTED_VALUE"""),46078.563888888886)</f>
        <v>46078.56389</v>
      </c>
    </row>
    <row r="1076">
      <c r="A1076" s="7" t="str">
        <f>IFERROR(__xludf.DUMMYFUNCTION("""COMPUTED_VALUE"""),"https://www.method.me/blog/sales-proposal-example/")</f>
        <v>https://www.method.me/blog/sales-proposal-example/</v>
      </c>
      <c r="B1076" s="1" t="str">
        <f>IFERROR(__xludf.DUMMYFUNCTION("""COMPUTED_VALUE"""),"Sales / Marketing / Lead gen")</f>
        <v>Sales / Marketing / Lead gen</v>
      </c>
      <c r="C1076" s="1" t="str">
        <f>IFERROR(__xludf.DUMMYFUNCTION("""COMPUTED_VALUE"""),"Blog")</f>
        <v>Blog</v>
      </c>
      <c r="D1076" s="1" t="str">
        <f>IFERROR(__xludf.DUMMYFUNCTION("""COMPUTED_VALUE"""),"Sales proposal example and tips to win over clients in 2026")</f>
        <v>Sales proposal example and tips to win over clients in 2026</v>
      </c>
      <c r="E1076" s="12">
        <f>IFERROR(__xludf.DUMMYFUNCTION("""COMPUTED_VALUE"""),46080.986805555556)</f>
        <v>46080.98681</v>
      </c>
    </row>
    <row r="1077">
      <c r="A1077" s="7" t="str">
        <f>IFERROR(__xludf.DUMMYFUNCTION("""COMPUTED_VALUE"""),"https://www.method.me/blog/laser-metal-deposition/")</f>
        <v>https://www.method.me/blog/laser-metal-deposition/</v>
      </c>
      <c r="B1077" s="1" t="str">
        <f>IFERROR(__xludf.DUMMYFUNCTION("""COMPUTED_VALUE"""),"MWD")</f>
        <v>MWD</v>
      </c>
      <c r="C1077" s="1" t="str">
        <f>IFERROR(__xludf.DUMMYFUNCTION("""COMPUTED_VALUE"""),"Blog")</f>
        <v>Blog</v>
      </c>
      <c r="D1077" s="1" t="str">
        <f>IFERROR(__xludf.DUMMYFUNCTION("""COMPUTED_VALUE"""),"Laser Metal Deposition (LMD): A complete guide for 2026")</f>
        <v>Laser Metal Deposition (LMD): A complete guide for 2026</v>
      </c>
      <c r="E1077" s="12">
        <f>IFERROR(__xludf.DUMMYFUNCTION("""COMPUTED_VALUE"""),46085.68402777778)</f>
        <v>46085.68403</v>
      </c>
    </row>
    <row r="1078">
      <c r="A1078" s="7" t="str">
        <f>IFERROR(__xludf.DUMMYFUNCTION("""COMPUTED_VALUE"""),"https://www.method.me/blog/work-order-management-software/")</f>
        <v>https://www.method.me/blog/work-order-management-software/</v>
      </c>
      <c r="B1078" s="1" t="str">
        <f>IFERROR(__xludf.DUMMYFUNCTION("""COMPUTED_VALUE"""),"Field services / Contractors")</f>
        <v>Field services / Contractors</v>
      </c>
      <c r="C1078" s="1" t="str">
        <f>IFERROR(__xludf.DUMMYFUNCTION("""COMPUTED_VALUE"""),"Blog")</f>
        <v>Blog</v>
      </c>
      <c r="D1078" s="1" t="str">
        <f>IFERROR(__xludf.DUMMYFUNCTION("""COMPUTED_VALUE"""),"Work order management software guide (2026)")</f>
        <v>Work order management software guide (2026)</v>
      </c>
      <c r="E1078" s="12">
        <f>IFERROR(__xludf.DUMMYFUNCTION("""COMPUTED_VALUE"""),46093.66180555556)</f>
        <v>46093.66181</v>
      </c>
    </row>
    <row r="1079">
      <c r="A1079" s="7" t="str">
        <f>IFERROR(__xludf.DUMMYFUNCTION("""COMPUTED_VALUE"""),"https://www.method.me/blog/crm-for-cleaning-business/")</f>
        <v>https://www.method.me/blog/crm-for-cleaning-business/</v>
      </c>
      <c r="B1079" s="1" t="str">
        <f>IFERROR(__xludf.DUMMYFUNCTION("""COMPUTED_VALUE"""),"Field services / Contractors")</f>
        <v>Field services / Contractors</v>
      </c>
      <c r="C1079" s="1" t="str">
        <f>IFERROR(__xludf.DUMMYFUNCTION("""COMPUTED_VALUE"""),"Blog")</f>
        <v>Blog</v>
      </c>
      <c r="D1079" s="1" t="str">
        <f>IFERROR(__xludf.DUMMYFUNCTION("""COMPUTED_VALUE"""),"Choosing a CRM for cleaning business success (2026)")</f>
        <v>Choosing a CRM for cleaning business success (2026)</v>
      </c>
      <c r="E1079" s="1" t="str">
        <f>IFERROR(__xludf.DUMMYFUNCTION("""COMPUTED_VALUE"""),"2026-03-13 22-10:00")</f>
        <v>2026-03-13 22-10:00</v>
      </c>
    </row>
    <row r="1080">
      <c r="A1080" s="1"/>
      <c r="B1080" s="1"/>
      <c r="C1080" s="1"/>
      <c r="D1080" s="1"/>
      <c r="E1080" s="1"/>
    </row>
    <row r="1081">
      <c r="A1081" s="1"/>
      <c r="B1081" s="1"/>
      <c r="C1081" s="1"/>
      <c r="D1081" s="1"/>
      <c r="E1081" s="1"/>
    </row>
    <row r="1082">
      <c r="A1082" s="1"/>
      <c r="B1082" s="1"/>
      <c r="C1082" s="1"/>
      <c r="D1082" s="1"/>
      <c r="E1082" s="1"/>
    </row>
    <row r="1083">
      <c r="A1083" s="1"/>
      <c r="B1083" s="1"/>
      <c r="C1083" s="1"/>
      <c r="D1083" s="1"/>
      <c r="E1083" s="1"/>
    </row>
    <row r="1084">
      <c r="A1084" s="1"/>
      <c r="B1084" s="1"/>
      <c r="C1084" s="1"/>
      <c r="D1084" s="1"/>
      <c r="E1084" s="1"/>
    </row>
    <row r="1085">
      <c r="A1085" s="1"/>
      <c r="B1085" s="1"/>
      <c r="C1085" s="1"/>
      <c r="D1085" s="1"/>
      <c r="E1085" s="1"/>
    </row>
    <row r="1086">
      <c r="A1086" s="1"/>
      <c r="B1086" s="1"/>
      <c r="C1086" s="1"/>
      <c r="D1086" s="1"/>
      <c r="E1086" s="1"/>
    </row>
    <row r="1087">
      <c r="A1087" s="1"/>
      <c r="B1087" s="1"/>
      <c r="C1087" s="1"/>
      <c r="D1087" s="1"/>
      <c r="E1087" s="1"/>
    </row>
    <row r="1088">
      <c r="A1088" s="1"/>
      <c r="B1088" s="1"/>
      <c r="C1088" s="1"/>
      <c r="D1088" s="1"/>
      <c r="E1088" s="1"/>
    </row>
    <row r="1089">
      <c r="A1089" s="1"/>
      <c r="B1089" s="1"/>
      <c r="C1089" s="1"/>
      <c r="D1089" s="1"/>
      <c r="E1089" s="1"/>
    </row>
    <row r="1090">
      <c r="A1090" s="1"/>
      <c r="B1090" s="1"/>
      <c r="C1090" s="1"/>
      <c r="D1090" s="1"/>
      <c r="E1090" s="1"/>
    </row>
    <row r="1091">
      <c r="A1091" s="1"/>
      <c r="B1091" s="1"/>
      <c r="C1091" s="1"/>
      <c r="D1091" s="1"/>
      <c r="E1091" s="1"/>
    </row>
    <row r="1092">
      <c r="A1092" s="1"/>
      <c r="B1092" s="1"/>
      <c r="C1092" s="1"/>
      <c r="D1092" s="1"/>
      <c r="E1092" s="1"/>
    </row>
    <row r="1093">
      <c r="A1093" s="1"/>
      <c r="B1093" s="1"/>
      <c r="C1093" s="1"/>
      <c r="D1093" s="1"/>
      <c r="E1093" s="1"/>
    </row>
    <row r="1094">
      <c r="A1094" s="1"/>
      <c r="B1094" s="1"/>
      <c r="C1094" s="1"/>
      <c r="D1094" s="1"/>
      <c r="E1094" s="1"/>
    </row>
    <row r="1095">
      <c r="A1095" s="1"/>
      <c r="B1095" s="1"/>
      <c r="C1095" s="1"/>
      <c r="D1095" s="1"/>
      <c r="E1095" s="1"/>
    </row>
    <row r="1096">
      <c r="A1096" s="1"/>
      <c r="B1096" s="1"/>
      <c r="C1096" s="1"/>
      <c r="D1096" s="1"/>
      <c r="E1096" s="1"/>
    </row>
    <row r="1097">
      <c r="A1097" s="1"/>
      <c r="B1097" s="1"/>
      <c r="C1097" s="1"/>
      <c r="D1097" s="1"/>
      <c r="E1097" s="1"/>
    </row>
    <row r="1098">
      <c r="A1098" s="1"/>
      <c r="B1098" s="1"/>
      <c r="C1098" s="1"/>
      <c r="D1098" s="1"/>
      <c r="E1098" s="1"/>
    </row>
    <row r="1099">
      <c r="A1099" s="1"/>
      <c r="B1099" s="1"/>
      <c r="C1099" s="1"/>
      <c r="D1099" s="1"/>
      <c r="E1099" s="1"/>
    </row>
    <row r="1100">
      <c r="A1100" s="1"/>
      <c r="B1100" s="1"/>
      <c r="C1100" s="1"/>
      <c r="D1100" s="1"/>
      <c r="E1100" s="1"/>
    </row>
    <row r="1101">
      <c r="A1101" s="1"/>
      <c r="B1101" s="1"/>
      <c r="C1101" s="1"/>
      <c r="D1101" s="1"/>
      <c r="E1101" s="1"/>
    </row>
    <row r="1102">
      <c r="A1102" s="1"/>
      <c r="B1102" s="1"/>
      <c r="C1102" s="1"/>
      <c r="D1102" s="1"/>
      <c r="E1102" s="1"/>
    </row>
    <row r="1103">
      <c r="A1103" s="1"/>
      <c r="B1103" s="1"/>
      <c r="C1103" s="1"/>
      <c r="D1103" s="1"/>
      <c r="E1103" s="1"/>
    </row>
    <row r="1104">
      <c r="A1104" s="1"/>
      <c r="B1104" s="1"/>
      <c r="C1104" s="1"/>
      <c r="D1104" s="1"/>
      <c r="E1104" s="1"/>
    </row>
    <row r="1105">
      <c r="A1105" s="1"/>
      <c r="B1105" s="1"/>
      <c r="C1105" s="1"/>
      <c r="D1105" s="1"/>
      <c r="E1105" s="1"/>
    </row>
    <row r="1106">
      <c r="A1106" s="1"/>
      <c r="B1106" s="1"/>
      <c r="C1106" s="1"/>
      <c r="D1106" s="1"/>
      <c r="E1106" s="1"/>
    </row>
    <row r="1107">
      <c r="A1107" s="1"/>
      <c r="B1107" s="1"/>
      <c r="C1107" s="1"/>
      <c r="D1107" s="1"/>
      <c r="E1107" s="1"/>
    </row>
    <row r="1108">
      <c r="A1108" s="1"/>
      <c r="B1108" s="1"/>
      <c r="C1108" s="1"/>
      <c r="D1108" s="1"/>
      <c r="E1108" s="1"/>
    </row>
    <row r="1109">
      <c r="A1109" s="1"/>
      <c r="B1109" s="1"/>
      <c r="C1109" s="1"/>
      <c r="D1109" s="1"/>
      <c r="E1109" s="1"/>
    </row>
    <row r="1110">
      <c r="A1110" s="1"/>
      <c r="B1110" s="1"/>
      <c r="C1110" s="1"/>
      <c r="D1110" s="1"/>
      <c r="E1110" s="1"/>
    </row>
    <row r="1111">
      <c r="A1111" s="1"/>
      <c r="B1111" s="1"/>
      <c r="C1111" s="1"/>
      <c r="D1111" s="1"/>
      <c r="E1111" s="1"/>
    </row>
    <row r="1112">
      <c r="A1112" s="1"/>
      <c r="B1112" s="1"/>
      <c r="C1112" s="1"/>
      <c r="D1112" s="1"/>
      <c r="E1112" s="1"/>
    </row>
    <row r="1113">
      <c r="A1113" s="1"/>
      <c r="B1113" s="1"/>
      <c r="C1113" s="1"/>
      <c r="D1113" s="1"/>
      <c r="E1113" s="1"/>
    </row>
    <row r="1114">
      <c r="A1114" s="1"/>
      <c r="B1114" s="1"/>
      <c r="C1114" s="1"/>
      <c r="D1114" s="1"/>
      <c r="E1114" s="1"/>
    </row>
    <row r="1115">
      <c r="A1115" s="1"/>
      <c r="B1115" s="1"/>
      <c r="C1115" s="1"/>
      <c r="D1115" s="1"/>
      <c r="E1115" s="1"/>
    </row>
    <row r="1116">
      <c r="A1116" s="1"/>
      <c r="B1116" s="1"/>
      <c r="C1116" s="1"/>
      <c r="D1116" s="1"/>
      <c r="E1116" s="1"/>
    </row>
    <row r="1117">
      <c r="A1117" s="1"/>
      <c r="B1117" s="1"/>
      <c r="C1117" s="1"/>
      <c r="D1117" s="1"/>
      <c r="E1117" s="1"/>
    </row>
    <row r="1118">
      <c r="A1118" s="1"/>
      <c r="B1118" s="1"/>
      <c r="C1118" s="1"/>
      <c r="D1118" s="1"/>
      <c r="E1118" s="1"/>
    </row>
    <row r="1119">
      <c r="A1119" s="1"/>
      <c r="B1119" s="1"/>
      <c r="C1119" s="1"/>
      <c r="D1119" s="1"/>
      <c r="E1119" s="1"/>
    </row>
    <row r="1120">
      <c r="A1120" s="1"/>
      <c r="B1120" s="1"/>
      <c r="C1120" s="1"/>
      <c r="D1120" s="1"/>
      <c r="E1120" s="1"/>
    </row>
    <row r="1121">
      <c r="A1121" s="1"/>
      <c r="B1121" s="1"/>
      <c r="C1121" s="1"/>
      <c r="D1121" s="1"/>
      <c r="E1121" s="1"/>
    </row>
    <row r="1122">
      <c r="A1122" s="1"/>
      <c r="B1122" s="1"/>
      <c r="C1122" s="1"/>
      <c r="D1122" s="1"/>
      <c r="E1122" s="1"/>
    </row>
    <row r="1123">
      <c r="A1123" s="1"/>
      <c r="B1123" s="1"/>
      <c r="C1123" s="1"/>
      <c r="D1123" s="1"/>
      <c r="E1123" s="1"/>
    </row>
    <row r="1124">
      <c r="A1124" s="1"/>
      <c r="B1124" s="1"/>
      <c r="C1124" s="1"/>
      <c r="D1124" s="1"/>
      <c r="E1124" s="1"/>
    </row>
    <row r="1125">
      <c r="A1125" s="1"/>
      <c r="B1125" s="1"/>
      <c r="C1125" s="1"/>
      <c r="D1125" s="1"/>
      <c r="E1125" s="1"/>
    </row>
    <row r="1126">
      <c r="A1126" s="1"/>
      <c r="B1126" s="1"/>
      <c r="C1126" s="1"/>
      <c r="D1126" s="1"/>
      <c r="E1126" s="1"/>
    </row>
    <row r="1127">
      <c r="A1127" s="1"/>
      <c r="B1127" s="1"/>
      <c r="C1127" s="1"/>
      <c r="D1127" s="1"/>
      <c r="E1127" s="1"/>
    </row>
    <row r="1128">
      <c r="A1128" s="1"/>
      <c r="B1128" s="1"/>
      <c r="C1128" s="1"/>
      <c r="D1128" s="1"/>
      <c r="E1128" s="1"/>
    </row>
    <row r="1129">
      <c r="A1129" s="1"/>
      <c r="B1129" s="1"/>
      <c r="C1129" s="1"/>
      <c r="D1129" s="1"/>
      <c r="E1129" s="1"/>
    </row>
    <row r="1130">
      <c r="A1130" s="1"/>
      <c r="B1130" s="1"/>
      <c r="C1130" s="1"/>
      <c r="D1130" s="1"/>
      <c r="E1130" s="1"/>
    </row>
    <row r="1131">
      <c r="A1131" s="1"/>
      <c r="B1131" s="1"/>
      <c r="C1131" s="1"/>
      <c r="D1131" s="1"/>
      <c r="E1131" s="1"/>
    </row>
    <row r="1132">
      <c r="A1132" s="1"/>
      <c r="B1132" s="1"/>
      <c r="C1132" s="1"/>
      <c r="D1132" s="1"/>
      <c r="E1132" s="1"/>
    </row>
    <row r="1133">
      <c r="A1133" s="1"/>
      <c r="B1133" s="1"/>
      <c r="C1133" s="1"/>
      <c r="D1133" s="1"/>
      <c r="E1133" s="1"/>
    </row>
    <row r="1134">
      <c r="A1134" s="1"/>
      <c r="B1134" s="1"/>
      <c r="C1134" s="1"/>
      <c r="D1134" s="1"/>
      <c r="E1134" s="1"/>
    </row>
    <row r="1135">
      <c r="A1135" s="1"/>
      <c r="B1135" s="1"/>
      <c r="C1135" s="1"/>
      <c r="D1135" s="1"/>
      <c r="E1135" s="1"/>
    </row>
    <row r="1136">
      <c r="A1136" s="1"/>
      <c r="B1136" s="1"/>
      <c r="C1136" s="1"/>
      <c r="D1136" s="1"/>
      <c r="E1136" s="1"/>
    </row>
    <row r="1137">
      <c r="A1137" s="1"/>
      <c r="B1137" s="1"/>
      <c r="C1137" s="1"/>
      <c r="D1137" s="1"/>
      <c r="E1137" s="1"/>
    </row>
    <row r="1138">
      <c r="A1138" s="1"/>
      <c r="B1138" s="1"/>
      <c r="C1138" s="1"/>
      <c r="D1138" s="1"/>
      <c r="E1138" s="1"/>
    </row>
    <row r="1139">
      <c r="A1139" s="1"/>
      <c r="B1139" s="1"/>
      <c r="C1139" s="1"/>
      <c r="D1139" s="1"/>
      <c r="E1139" s="1"/>
    </row>
    <row r="1140">
      <c r="A1140" s="1"/>
      <c r="B1140" s="1"/>
      <c r="C1140" s="1"/>
      <c r="D1140" s="1"/>
      <c r="E1140" s="1"/>
    </row>
    <row r="1141">
      <c r="A1141" s="1"/>
      <c r="B1141" s="1"/>
      <c r="C1141" s="1"/>
      <c r="D1141" s="1"/>
      <c r="E1141" s="1"/>
    </row>
    <row r="1142">
      <c r="A1142" s="1"/>
      <c r="B1142" s="1"/>
      <c r="C1142" s="1"/>
      <c r="D1142" s="1"/>
      <c r="E1142" s="1"/>
    </row>
    <row r="1143">
      <c r="A1143" s="1"/>
      <c r="B1143" s="1"/>
      <c r="C1143" s="1"/>
      <c r="D1143" s="1"/>
      <c r="E1143" s="1"/>
    </row>
    <row r="1144">
      <c r="A1144" s="1"/>
      <c r="B1144" s="1"/>
      <c r="C1144" s="1"/>
      <c r="D1144" s="1"/>
      <c r="E1144" s="1"/>
    </row>
    <row r="1145">
      <c r="A1145" s="1"/>
      <c r="B1145" s="1"/>
      <c r="C1145" s="1"/>
      <c r="D1145" s="1"/>
      <c r="E1145" s="1"/>
    </row>
    <row r="1146">
      <c r="A1146" s="1"/>
      <c r="B1146" s="1"/>
      <c r="C1146" s="1"/>
      <c r="D1146" s="1"/>
      <c r="E1146" s="1"/>
    </row>
    <row r="1147">
      <c r="A1147" s="1"/>
      <c r="B1147" s="1"/>
      <c r="C1147" s="1"/>
      <c r="D1147" s="1"/>
      <c r="E1147" s="1"/>
    </row>
    <row r="1148">
      <c r="A1148" s="1"/>
      <c r="B1148" s="1"/>
      <c r="C1148" s="1"/>
      <c r="D1148" s="1"/>
      <c r="E1148" s="1"/>
    </row>
    <row r="1149">
      <c r="A1149" s="1"/>
      <c r="B1149" s="1"/>
      <c r="C1149" s="1"/>
      <c r="D1149" s="1"/>
      <c r="E1149" s="1"/>
    </row>
    <row r="1150">
      <c r="A1150" s="1"/>
      <c r="B1150" s="1"/>
      <c r="C1150" s="1"/>
      <c r="D1150" s="1"/>
      <c r="E1150" s="1"/>
    </row>
    <row r="1151">
      <c r="A1151" s="1"/>
      <c r="B1151" s="1"/>
      <c r="C1151" s="1"/>
      <c r="D1151" s="1"/>
      <c r="E1151" s="1"/>
    </row>
    <row r="1152">
      <c r="A1152" s="1"/>
      <c r="B1152" s="1"/>
      <c r="C1152" s="1"/>
      <c r="D1152" s="1"/>
      <c r="E1152" s="1"/>
    </row>
    <row r="1153">
      <c r="A1153" s="1"/>
      <c r="B1153" s="1"/>
      <c r="C1153" s="1"/>
      <c r="D1153" s="1"/>
      <c r="E1153" s="1"/>
    </row>
    <row r="1154">
      <c r="A1154" s="1"/>
      <c r="B1154" s="1"/>
      <c r="C1154" s="1"/>
      <c r="D1154" s="1"/>
      <c r="E1154" s="1"/>
    </row>
    <row r="1155">
      <c r="A1155" s="1"/>
      <c r="B1155" s="1"/>
      <c r="C1155" s="1"/>
      <c r="D1155" s="1"/>
      <c r="E1155" s="1"/>
    </row>
    <row r="1156">
      <c r="A1156" s="1"/>
      <c r="B1156" s="1"/>
      <c r="C1156" s="1"/>
      <c r="D1156" s="1"/>
      <c r="E1156" s="1"/>
    </row>
    <row r="1157">
      <c r="A1157" s="1"/>
      <c r="B1157" s="1"/>
      <c r="C1157" s="1"/>
      <c r="D1157" s="1"/>
      <c r="E1157" s="1"/>
    </row>
    <row r="1158">
      <c r="A1158" s="1"/>
      <c r="B1158" s="1"/>
      <c r="C1158" s="1"/>
      <c r="D1158" s="1"/>
      <c r="E1158" s="1"/>
    </row>
    <row r="1159">
      <c r="A1159" s="1"/>
      <c r="B1159" s="1"/>
      <c r="C1159" s="1"/>
      <c r="D1159" s="1"/>
      <c r="E1159" s="1"/>
    </row>
    <row r="1160">
      <c r="A1160" s="1"/>
      <c r="B1160" s="1"/>
      <c r="C1160" s="1"/>
      <c r="D1160" s="1"/>
      <c r="E1160" s="1"/>
    </row>
    <row r="1161">
      <c r="A1161" s="1"/>
      <c r="B1161" s="1"/>
      <c r="C1161" s="1"/>
      <c r="D1161" s="1"/>
      <c r="E1161" s="1"/>
    </row>
    <row r="1162">
      <c r="A1162" s="1"/>
      <c r="B1162" s="1"/>
      <c r="C1162" s="1"/>
      <c r="D1162" s="1"/>
      <c r="E1162" s="1"/>
    </row>
    <row r="1163">
      <c r="A1163" s="1"/>
      <c r="B1163" s="1"/>
      <c r="C1163" s="1"/>
      <c r="D1163" s="1"/>
      <c r="E1163" s="1"/>
    </row>
    <row r="1164">
      <c r="A1164" s="1"/>
      <c r="B1164" s="1"/>
      <c r="C1164" s="1"/>
      <c r="D1164" s="1"/>
      <c r="E1164" s="1"/>
    </row>
    <row r="1165">
      <c r="A1165" s="1"/>
      <c r="B1165" s="1"/>
      <c r="C1165" s="1"/>
      <c r="D1165" s="1"/>
      <c r="E1165" s="1"/>
    </row>
    <row r="1166">
      <c r="A1166" s="1"/>
      <c r="B1166" s="1"/>
      <c r="C1166" s="1"/>
      <c r="D1166" s="1"/>
      <c r="E1166" s="1"/>
    </row>
    <row r="1167">
      <c r="A1167" s="1"/>
      <c r="B1167" s="1"/>
      <c r="C1167" s="1"/>
      <c r="D1167" s="1"/>
      <c r="E1167" s="1"/>
    </row>
    <row r="1168">
      <c r="A1168" s="1"/>
      <c r="B1168" s="1"/>
      <c r="C1168" s="1"/>
      <c r="D1168" s="1"/>
      <c r="E1168" s="1"/>
    </row>
    <row r="1169">
      <c r="A1169" s="1"/>
      <c r="B1169" s="1"/>
      <c r="C1169" s="1"/>
      <c r="D1169" s="1"/>
      <c r="E1169" s="1"/>
    </row>
    <row r="1170">
      <c r="A1170" s="1"/>
      <c r="B1170" s="1"/>
      <c r="C1170" s="1"/>
      <c r="D1170" s="1"/>
      <c r="E1170" s="1"/>
    </row>
    <row r="1171">
      <c r="A1171" s="1"/>
      <c r="B1171" s="1"/>
      <c r="C1171" s="1"/>
      <c r="D1171" s="1"/>
      <c r="E1171" s="1"/>
    </row>
    <row r="1172">
      <c r="A1172" s="1"/>
      <c r="B1172" s="1"/>
      <c r="C1172" s="1"/>
      <c r="D1172" s="1"/>
      <c r="E1172" s="1"/>
    </row>
    <row r="1173">
      <c r="A1173" s="1"/>
      <c r="B1173" s="1"/>
      <c r="C1173" s="1"/>
      <c r="D1173" s="1"/>
      <c r="E1173" s="1"/>
    </row>
    <row r="1174">
      <c r="A1174" s="1"/>
      <c r="B1174" s="1"/>
      <c r="C1174" s="1"/>
      <c r="D1174" s="1"/>
      <c r="E1174" s="1"/>
    </row>
    <row r="1175">
      <c r="A1175" s="1"/>
      <c r="B1175" s="1"/>
      <c r="C1175" s="1"/>
      <c r="D1175" s="1"/>
      <c r="E1175" s="1"/>
    </row>
    <row r="1176">
      <c r="A1176" s="1"/>
      <c r="B1176" s="1"/>
      <c r="C1176" s="1"/>
      <c r="D1176" s="1"/>
      <c r="E1176" s="1"/>
    </row>
    <row r="1177">
      <c r="A1177" s="1"/>
      <c r="B1177" s="1"/>
      <c r="C1177" s="1"/>
      <c r="D1177" s="1"/>
      <c r="E1177" s="1"/>
    </row>
    <row r="1178">
      <c r="A1178" s="1"/>
      <c r="B1178" s="1"/>
      <c r="C1178" s="1"/>
      <c r="D1178" s="1"/>
      <c r="E1178" s="1"/>
    </row>
    <row r="1179">
      <c r="A1179" s="1"/>
      <c r="B1179" s="1"/>
      <c r="C1179" s="1"/>
      <c r="D1179" s="1"/>
      <c r="E1179" s="1"/>
    </row>
    <row r="1180">
      <c r="A1180" s="1"/>
      <c r="B1180" s="1"/>
      <c r="C1180" s="1"/>
      <c r="D1180" s="1"/>
      <c r="E1180" s="1"/>
    </row>
    <row r="1181">
      <c r="A1181" s="1"/>
      <c r="B1181" s="1"/>
      <c r="C1181" s="1"/>
      <c r="D1181" s="1"/>
      <c r="E1181" s="1"/>
    </row>
    <row r="1182">
      <c r="A1182" s="1"/>
      <c r="B1182" s="1"/>
      <c r="C1182" s="1"/>
      <c r="D1182" s="1"/>
      <c r="E1182" s="1"/>
    </row>
    <row r="1183">
      <c r="A1183" s="1"/>
      <c r="B1183" s="1"/>
      <c r="C1183" s="1"/>
      <c r="D1183" s="1"/>
      <c r="E1183" s="1"/>
    </row>
    <row r="1184">
      <c r="A1184" s="1"/>
      <c r="B1184" s="1"/>
      <c r="C1184" s="1"/>
      <c r="D1184" s="1"/>
      <c r="E1184" s="1"/>
    </row>
    <row r="1185">
      <c r="A1185" s="1"/>
      <c r="B1185" s="1"/>
      <c r="C1185" s="1"/>
      <c r="D1185" s="1"/>
      <c r="E1185" s="1"/>
    </row>
    <row r="1186">
      <c r="A1186" s="1"/>
      <c r="B1186" s="1"/>
      <c r="C1186" s="1"/>
      <c r="D1186" s="1"/>
      <c r="E1186" s="1"/>
    </row>
    <row r="1187">
      <c r="A1187" s="1"/>
      <c r="B1187" s="1"/>
      <c r="C1187" s="1"/>
      <c r="D1187" s="1"/>
      <c r="E1187" s="1"/>
    </row>
    <row r="1188">
      <c r="A1188" s="1"/>
      <c r="B1188" s="1"/>
      <c r="C1188" s="1"/>
      <c r="D1188" s="1"/>
      <c r="E1188" s="1"/>
    </row>
    <row r="1189">
      <c r="A1189" s="1"/>
      <c r="B1189" s="1"/>
      <c r="C1189" s="1"/>
      <c r="D1189" s="1"/>
      <c r="E1189" s="1"/>
    </row>
    <row r="1190">
      <c r="A1190" s="1"/>
      <c r="B1190" s="1"/>
      <c r="C1190" s="1"/>
      <c r="D1190" s="1"/>
      <c r="E1190" s="1"/>
    </row>
    <row r="1191">
      <c r="A1191" s="1"/>
      <c r="B1191" s="1"/>
      <c r="C1191" s="1"/>
      <c r="D1191" s="1"/>
      <c r="E1191" s="1"/>
    </row>
    <row r="1192">
      <c r="A1192" s="1"/>
      <c r="B1192" s="1"/>
      <c r="C1192" s="1"/>
      <c r="D1192" s="1"/>
      <c r="E1192" s="1"/>
    </row>
    <row r="1193">
      <c r="A1193" s="1"/>
      <c r="B1193" s="1"/>
      <c r="C1193" s="1"/>
      <c r="D1193" s="1"/>
      <c r="E1193" s="1"/>
    </row>
    <row r="1194">
      <c r="A1194" s="1"/>
      <c r="B1194" s="1"/>
      <c r="C1194" s="1"/>
      <c r="D1194" s="1"/>
      <c r="E1194" s="1"/>
    </row>
    <row r="1195">
      <c r="A1195" s="1"/>
      <c r="B1195" s="1"/>
      <c r="C1195" s="1"/>
      <c r="D1195" s="1"/>
      <c r="E1195" s="1"/>
    </row>
    <row r="1196">
      <c r="A1196" s="1"/>
      <c r="B1196" s="1"/>
      <c r="C1196" s="1"/>
      <c r="D1196" s="1"/>
      <c r="E1196" s="1"/>
    </row>
    <row r="1197">
      <c r="A1197" s="1"/>
      <c r="B1197" s="1"/>
      <c r="C1197" s="1"/>
      <c r="D1197" s="1"/>
      <c r="E1197" s="1"/>
    </row>
    <row r="1198">
      <c r="A1198" s="1"/>
      <c r="B1198" s="1"/>
      <c r="C1198" s="1"/>
      <c r="D1198" s="1"/>
      <c r="E1198" s="1"/>
    </row>
    <row r="1199">
      <c r="A1199" s="1"/>
      <c r="B1199" s="1"/>
      <c r="C1199" s="1"/>
      <c r="D1199" s="1"/>
      <c r="E1199" s="1"/>
    </row>
    <row r="1200">
      <c r="A1200" s="1"/>
      <c r="B1200" s="1"/>
      <c r="C1200" s="1"/>
      <c r="D1200" s="1"/>
      <c r="E1200" s="1"/>
    </row>
    <row r="1201">
      <c r="A1201" s="1"/>
      <c r="B1201" s="1"/>
      <c r="C1201" s="1"/>
      <c r="D1201" s="1"/>
      <c r="E1201" s="1"/>
    </row>
    <row r="1202">
      <c r="A1202" s="1"/>
      <c r="B1202" s="1"/>
      <c r="C1202" s="1"/>
      <c r="D1202" s="1"/>
      <c r="E1202" s="1"/>
    </row>
    <row r="1203">
      <c r="A1203" s="1"/>
      <c r="B1203" s="1"/>
      <c r="C1203" s="1"/>
      <c r="D1203" s="1"/>
      <c r="E1203" s="1"/>
    </row>
    <row r="1204">
      <c r="A1204" s="1"/>
      <c r="B1204" s="1"/>
      <c r="C1204" s="1"/>
      <c r="D1204" s="1"/>
      <c r="E1204" s="1"/>
    </row>
    <row r="1205">
      <c r="A1205" s="1"/>
      <c r="B1205" s="1"/>
      <c r="C1205" s="1"/>
      <c r="D1205" s="1"/>
      <c r="E1205" s="1"/>
    </row>
    <row r="1206">
      <c r="A1206" s="1"/>
      <c r="B1206" s="1"/>
      <c r="C1206" s="1"/>
      <c r="D1206" s="1"/>
      <c r="E1206" s="1"/>
    </row>
    <row r="1207">
      <c r="A1207" s="1"/>
      <c r="B1207" s="1"/>
      <c r="C1207" s="1"/>
      <c r="D1207" s="1"/>
      <c r="E1207" s="1"/>
    </row>
    <row r="1208">
      <c r="A1208" s="1"/>
      <c r="B1208" s="1"/>
      <c r="C1208" s="1"/>
      <c r="D1208" s="1"/>
      <c r="E1208" s="1"/>
    </row>
    <row r="1209">
      <c r="A1209" s="1"/>
      <c r="B1209" s="1"/>
      <c r="C1209" s="1"/>
      <c r="D1209" s="1"/>
      <c r="E1209" s="1"/>
    </row>
    <row r="1210">
      <c r="A1210" s="1"/>
      <c r="B1210" s="1"/>
      <c r="C1210" s="1"/>
      <c r="D1210" s="1"/>
      <c r="E1210" s="1"/>
    </row>
    <row r="1211">
      <c r="A1211" s="1"/>
      <c r="B1211" s="1"/>
      <c r="C1211" s="1"/>
      <c r="D1211" s="1"/>
      <c r="E1211" s="1"/>
    </row>
    <row r="1212">
      <c r="A1212" s="1"/>
      <c r="B1212" s="1"/>
      <c r="C1212" s="1"/>
      <c r="D1212" s="1"/>
      <c r="E1212" s="1"/>
    </row>
    <row r="1213">
      <c r="A1213" s="1"/>
      <c r="B1213" s="1"/>
      <c r="C1213" s="1"/>
      <c r="D1213" s="1"/>
      <c r="E1213" s="1"/>
    </row>
    <row r="1214">
      <c r="A1214" s="1"/>
      <c r="B1214" s="1"/>
      <c r="C1214" s="1"/>
      <c r="D1214" s="1"/>
      <c r="E1214" s="1"/>
    </row>
    <row r="1215">
      <c r="A1215" s="1"/>
      <c r="B1215" s="1"/>
      <c r="C1215" s="1"/>
      <c r="D1215" s="1"/>
      <c r="E1215" s="1"/>
    </row>
    <row r="1216">
      <c r="A1216" s="1"/>
      <c r="B1216" s="1"/>
      <c r="C1216" s="1"/>
      <c r="D1216" s="1"/>
      <c r="E1216" s="1"/>
    </row>
    <row r="1217">
      <c r="A1217" s="1"/>
      <c r="B1217" s="1"/>
      <c r="C1217" s="1"/>
      <c r="D1217" s="1"/>
      <c r="E1217" s="1"/>
    </row>
    <row r="1218">
      <c r="A1218" s="1"/>
      <c r="B1218" s="1"/>
      <c r="C1218" s="1"/>
      <c r="D1218" s="1"/>
      <c r="E1218" s="1"/>
    </row>
    <row r="1219">
      <c r="A1219" s="1"/>
      <c r="B1219" s="1"/>
      <c r="C1219" s="1"/>
      <c r="D1219" s="1"/>
      <c r="E1219" s="1"/>
    </row>
    <row r="1220">
      <c r="A1220" s="1"/>
      <c r="B1220" s="1"/>
      <c r="C1220" s="1"/>
      <c r="D1220" s="1"/>
      <c r="E1220" s="1"/>
    </row>
    <row r="1221">
      <c r="A1221" s="1"/>
      <c r="B1221" s="1"/>
      <c r="C1221" s="1"/>
      <c r="D1221" s="1"/>
      <c r="E1221" s="1"/>
    </row>
    <row r="1222">
      <c r="A1222" s="1"/>
      <c r="B1222" s="1"/>
      <c r="C1222" s="1"/>
      <c r="D1222" s="1"/>
      <c r="E1222" s="1"/>
    </row>
    <row r="1223">
      <c r="A1223" s="1"/>
      <c r="B1223" s="1"/>
      <c r="C1223" s="1"/>
      <c r="D1223" s="1"/>
      <c r="E1223" s="1"/>
    </row>
    <row r="1224">
      <c r="A1224" s="1"/>
      <c r="B1224" s="1"/>
      <c r="C1224" s="1"/>
      <c r="D1224" s="1"/>
      <c r="E1224" s="1"/>
    </row>
    <row r="1225">
      <c r="A1225" s="1"/>
      <c r="B1225" s="1"/>
      <c r="C1225" s="1"/>
      <c r="D1225" s="1"/>
      <c r="E1225" s="1"/>
    </row>
    <row r="1226">
      <c r="A1226" s="1"/>
      <c r="B1226" s="1"/>
      <c r="C1226" s="1"/>
      <c r="D1226" s="1"/>
      <c r="E1226" s="1"/>
    </row>
    <row r="1227">
      <c r="A1227" s="1"/>
      <c r="B1227" s="1"/>
      <c r="C1227" s="1"/>
      <c r="D1227" s="1"/>
      <c r="E1227" s="1"/>
    </row>
    <row r="1228">
      <c r="A1228" s="1"/>
      <c r="B1228" s="1"/>
      <c r="C1228" s="1"/>
      <c r="D1228" s="1"/>
      <c r="E1228" s="1"/>
    </row>
    <row r="1229">
      <c r="A1229" s="1"/>
      <c r="B1229" s="1"/>
      <c r="C1229" s="1"/>
      <c r="D1229" s="1"/>
      <c r="E1229" s="1"/>
    </row>
    <row r="1230">
      <c r="A1230" s="1"/>
      <c r="B1230" s="1"/>
      <c r="C1230" s="1"/>
      <c r="D1230" s="1"/>
      <c r="E1230" s="1"/>
    </row>
    <row r="1231">
      <c r="A1231" s="1"/>
      <c r="B1231" s="1"/>
      <c r="C1231" s="1"/>
      <c r="D1231" s="1"/>
      <c r="E1231" s="1"/>
    </row>
    <row r="1232">
      <c r="A1232" s="1"/>
      <c r="B1232" s="1"/>
      <c r="C1232" s="1"/>
      <c r="D1232" s="1"/>
      <c r="E1232" s="1"/>
    </row>
    <row r="1233">
      <c r="A1233" s="1"/>
      <c r="B1233" s="1"/>
      <c r="C1233" s="1"/>
      <c r="D1233" s="1"/>
      <c r="E1233" s="1"/>
    </row>
    <row r="1234">
      <c r="A1234" s="1"/>
      <c r="B1234" s="1"/>
      <c r="C1234" s="1"/>
      <c r="D1234" s="1"/>
      <c r="E1234" s="1"/>
    </row>
    <row r="1235">
      <c r="A1235" s="1"/>
      <c r="B1235" s="1"/>
      <c r="C1235" s="1"/>
      <c r="D1235" s="1"/>
      <c r="E1235" s="1"/>
    </row>
    <row r="1236">
      <c r="A1236" s="1"/>
      <c r="B1236" s="1"/>
      <c r="C1236" s="1"/>
      <c r="D1236" s="1"/>
      <c r="E1236" s="1"/>
    </row>
    <row r="1237">
      <c r="A1237" s="1"/>
      <c r="B1237" s="1"/>
      <c r="C1237" s="1"/>
      <c r="D1237" s="1"/>
      <c r="E1237" s="1"/>
    </row>
    <row r="1238">
      <c r="A1238" s="1"/>
      <c r="B1238" s="1"/>
      <c r="C1238" s="1"/>
      <c r="D1238" s="1"/>
      <c r="E1238" s="1"/>
    </row>
    <row r="1239">
      <c r="A1239" s="1"/>
      <c r="B1239" s="1"/>
      <c r="C1239" s="1"/>
      <c r="D1239" s="1"/>
      <c r="E1239" s="1"/>
    </row>
    <row r="1240">
      <c r="A1240" s="1"/>
      <c r="B1240" s="1"/>
      <c r="C1240" s="1"/>
      <c r="D1240" s="1"/>
      <c r="E1240" s="1"/>
    </row>
    <row r="1241">
      <c r="A1241" s="1"/>
      <c r="B1241" s="1"/>
      <c r="C1241" s="1"/>
      <c r="D1241" s="1"/>
      <c r="E1241" s="1"/>
    </row>
    <row r="1242">
      <c r="A1242" s="1"/>
      <c r="B1242" s="1"/>
      <c r="C1242" s="1"/>
      <c r="D1242" s="1"/>
      <c r="E1242" s="1"/>
    </row>
    <row r="1243">
      <c r="A1243" s="1"/>
      <c r="B1243" s="1"/>
      <c r="C1243" s="1"/>
      <c r="D1243" s="1"/>
      <c r="E1243" s="1"/>
    </row>
    <row r="1244">
      <c r="A1244" s="1"/>
      <c r="B1244" s="1"/>
      <c r="C1244" s="1"/>
      <c r="D1244" s="1"/>
      <c r="E1244" s="1"/>
    </row>
    <row r="1245">
      <c r="A1245" s="1"/>
      <c r="B1245" s="1"/>
      <c r="C1245" s="1"/>
      <c r="D1245" s="1"/>
      <c r="E1245" s="1"/>
    </row>
    <row r="1246">
      <c r="A1246" s="1"/>
      <c r="B1246" s="1"/>
      <c r="C1246" s="1"/>
      <c r="D1246" s="1"/>
      <c r="E1246" s="1"/>
    </row>
    <row r="1247">
      <c r="A1247" s="1"/>
      <c r="B1247" s="1"/>
      <c r="C1247" s="1"/>
      <c r="D1247" s="1"/>
      <c r="E1247" s="1"/>
    </row>
    <row r="1248">
      <c r="A1248" s="1"/>
      <c r="B1248" s="1"/>
      <c r="C1248" s="1"/>
      <c r="D1248" s="1"/>
      <c r="E1248" s="1"/>
    </row>
    <row r="1249">
      <c r="A1249" s="1"/>
      <c r="B1249" s="1"/>
      <c r="C1249" s="1"/>
      <c r="D1249" s="1"/>
      <c r="E1249" s="1"/>
    </row>
    <row r="1250">
      <c r="A1250" s="1"/>
      <c r="B1250" s="1"/>
      <c r="C1250" s="1"/>
      <c r="D1250" s="1"/>
      <c r="E1250" s="1"/>
    </row>
    <row r="1251">
      <c r="A1251" s="1"/>
      <c r="B1251" s="1"/>
      <c r="C1251" s="1"/>
      <c r="D1251" s="1"/>
      <c r="E1251" s="1"/>
    </row>
    <row r="1252">
      <c r="A1252" s="1"/>
      <c r="B1252" s="1"/>
      <c r="C1252" s="1"/>
      <c r="D1252" s="1"/>
      <c r="E1252" s="1"/>
    </row>
    <row r="1253">
      <c r="A1253" s="1"/>
      <c r="B1253" s="1"/>
      <c r="C1253" s="1"/>
      <c r="D1253" s="1"/>
      <c r="E1253" s="1"/>
    </row>
    <row r="1254">
      <c r="A1254" s="1"/>
      <c r="B1254" s="1"/>
      <c r="C1254" s="1"/>
      <c r="D1254" s="1"/>
      <c r="E1254" s="1"/>
    </row>
    <row r="1255">
      <c r="A1255" s="1"/>
      <c r="B1255" s="1"/>
      <c r="C1255" s="1"/>
      <c r="D1255" s="1"/>
      <c r="E1255" s="1"/>
    </row>
    <row r="1256">
      <c r="A1256" s="1"/>
      <c r="B1256" s="1"/>
      <c r="C1256" s="1"/>
      <c r="D1256" s="1"/>
      <c r="E1256" s="1"/>
    </row>
    <row r="1257">
      <c r="A1257" s="1"/>
      <c r="B1257" s="1"/>
      <c r="C1257" s="1"/>
      <c r="D1257" s="1"/>
      <c r="E1257" s="1"/>
    </row>
    <row r="1258">
      <c r="A1258" s="1"/>
      <c r="B1258" s="1"/>
      <c r="C1258" s="1"/>
      <c r="D1258" s="1"/>
      <c r="E1258" s="1"/>
    </row>
    <row r="1259">
      <c r="A1259" s="1"/>
      <c r="B1259" s="1"/>
      <c r="C1259" s="1"/>
      <c r="D1259" s="1"/>
      <c r="E1259" s="1"/>
    </row>
    <row r="1260">
      <c r="A1260" s="1"/>
      <c r="B1260" s="1"/>
      <c r="C1260" s="1"/>
      <c r="D1260" s="1"/>
      <c r="E1260" s="1"/>
    </row>
    <row r="1261">
      <c r="A1261" s="1"/>
      <c r="B1261" s="1"/>
      <c r="C1261" s="1"/>
      <c r="D1261" s="1"/>
      <c r="E1261" s="1"/>
    </row>
    <row r="1262">
      <c r="A1262" s="1"/>
      <c r="B1262" s="1"/>
      <c r="C1262" s="1"/>
      <c r="D1262" s="1"/>
      <c r="E1262" s="1"/>
    </row>
    <row r="1263">
      <c r="A1263" s="1"/>
      <c r="B1263" s="1"/>
      <c r="C1263" s="1"/>
      <c r="D1263" s="1"/>
      <c r="E1263" s="1"/>
    </row>
    <row r="1264">
      <c r="A1264" s="1"/>
      <c r="B1264" s="1"/>
      <c r="C1264" s="1"/>
      <c r="D1264" s="1"/>
      <c r="E1264" s="1"/>
    </row>
    <row r="1265">
      <c r="A1265" s="1"/>
      <c r="B1265" s="1"/>
      <c r="C1265" s="1"/>
      <c r="D1265" s="1"/>
      <c r="E1265" s="1"/>
    </row>
    <row r="1266">
      <c r="A1266" s="1"/>
      <c r="B1266" s="1"/>
      <c r="C1266" s="1"/>
      <c r="D1266" s="1"/>
      <c r="E1266" s="1"/>
    </row>
    <row r="1267">
      <c r="A1267" s="1"/>
      <c r="B1267" s="1"/>
      <c r="C1267" s="1"/>
      <c r="D1267" s="1"/>
      <c r="E1267" s="1"/>
    </row>
    <row r="1268">
      <c r="A1268" s="1"/>
      <c r="B1268" s="1"/>
      <c r="C1268" s="1"/>
      <c r="D1268" s="1"/>
      <c r="E1268" s="1"/>
    </row>
    <row r="1269">
      <c r="A1269" s="1"/>
      <c r="B1269" s="1"/>
      <c r="C1269" s="1"/>
      <c r="D1269" s="1"/>
      <c r="E1269" s="1"/>
    </row>
    <row r="1270">
      <c r="A1270" s="1"/>
      <c r="B1270" s="1"/>
      <c r="C1270" s="1"/>
      <c r="D1270" s="1"/>
      <c r="E1270" s="1"/>
    </row>
    <row r="1271">
      <c r="A1271" s="1"/>
      <c r="B1271" s="1"/>
      <c r="C1271" s="1"/>
      <c r="D1271" s="1"/>
      <c r="E1271" s="1"/>
    </row>
    <row r="1272">
      <c r="A1272" s="1"/>
      <c r="B1272" s="1"/>
      <c r="C1272" s="1"/>
      <c r="D1272" s="1"/>
      <c r="E1272" s="1"/>
    </row>
    <row r="1273">
      <c r="A1273" s="1"/>
      <c r="B1273" s="1"/>
      <c r="C1273" s="1"/>
      <c r="D1273" s="1"/>
      <c r="E1273" s="1"/>
    </row>
    <row r="1274">
      <c r="A1274" s="1"/>
      <c r="B1274" s="1"/>
      <c r="C1274" s="1"/>
      <c r="D1274" s="1"/>
      <c r="E1274" s="1"/>
    </row>
    <row r="1275">
      <c r="A1275" s="1"/>
      <c r="B1275" s="1"/>
      <c r="C1275" s="1"/>
      <c r="D1275" s="1"/>
      <c r="E1275" s="1"/>
    </row>
    <row r="1276">
      <c r="A1276" s="1"/>
      <c r="B1276" s="1"/>
      <c r="C1276" s="1"/>
      <c r="D1276" s="1"/>
      <c r="E1276" s="1"/>
    </row>
    <row r="1277">
      <c r="A1277" s="1"/>
      <c r="B1277" s="1"/>
      <c r="C1277" s="1"/>
      <c r="D1277" s="1"/>
      <c r="E1277" s="1"/>
    </row>
    <row r="1278">
      <c r="A1278" s="1"/>
      <c r="B1278" s="1"/>
      <c r="C1278" s="1"/>
      <c r="D1278" s="1"/>
      <c r="E1278" s="1"/>
    </row>
    <row r="1279">
      <c r="A1279" s="1"/>
      <c r="B1279" s="1"/>
      <c r="C1279" s="1"/>
      <c r="D1279" s="1"/>
      <c r="E1279" s="1"/>
    </row>
    <row r="1280">
      <c r="A1280" s="1"/>
      <c r="B1280" s="1"/>
      <c r="C1280" s="1"/>
      <c r="D1280" s="1"/>
      <c r="E1280" s="1"/>
    </row>
    <row r="1281">
      <c r="A1281" s="1"/>
      <c r="B1281" s="1"/>
      <c r="C1281" s="1"/>
      <c r="D1281" s="1"/>
      <c r="E1281" s="1"/>
    </row>
    <row r="1282">
      <c r="A1282" s="1"/>
      <c r="B1282" s="1"/>
      <c r="C1282" s="1"/>
      <c r="D1282" s="1"/>
      <c r="E1282" s="1"/>
    </row>
    <row r="1283">
      <c r="A1283" s="1"/>
      <c r="B1283" s="1"/>
      <c r="C1283" s="1"/>
      <c r="D1283" s="1"/>
      <c r="E1283" s="1"/>
    </row>
    <row r="1284">
      <c r="A1284" s="1"/>
      <c r="B1284" s="1"/>
      <c r="C1284" s="1"/>
      <c r="D1284" s="1"/>
      <c r="E1284" s="1"/>
    </row>
    <row r="1285">
      <c r="A1285" s="1"/>
      <c r="B1285" s="1"/>
      <c r="C1285" s="1"/>
      <c r="D1285" s="1"/>
      <c r="E1285" s="1"/>
    </row>
    <row r="1286">
      <c r="A1286" s="1"/>
      <c r="B1286" s="1"/>
      <c r="C1286" s="1"/>
      <c r="D1286" s="1"/>
      <c r="E1286" s="1"/>
    </row>
    <row r="1287">
      <c r="A1287" s="1"/>
      <c r="B1287" s="1"/>
      <c r="C1287" s="1"/>
      <c r="D1287" s="1"/>
      <c r="E1287" s="1"/>
    </row>
    <row r="1288">
      <c r="A1288" s="1"/>
      <c r="B1288" s="1"/>
      <c r="C1288" s="1"/>
      <c r="D1288" s="1"/>
      <c r="E1288" s="1"/>
    </row>
    <row r="1289">
      <c r="A1289" s="1"/>
      <c r="B1289" s="1"/>
      <c r="C1289" s="1"/>
      <c r="D1289" s="1"/>
      <c r="E1289" s="1"/>
    </row>
    <row r="1290">
      <c r="A1290" s="1"/>
      <c r="B1290" s="1"/>
      <c r="C1290" s="1"/>
      <c r="D1290" s="1"/>
      <c r="E1290" s="1"/>
    </row>
    <row r="1291">
      <c r="A1291" s="1"/>
      <c r="B1291" s="1"/>
      <c r="C1291" s="1"/>
      <c r="D1291" s="1"/>
      <c r="E1291" s="1"/>
    </row>
    <row r="1292">
      <c r="A1292" s="1"/>
      <c r="B1292" s="1"/>
      <c r="C1292" s="1"/>
      <c r="D1292" s="1"/>
      <c r="E1292" s="1"/>
    </row>
    <row r="1293">
      <c r="A1293" s="1"/>
      <c r="B1293" s="1"/>
      <c r="C1293" s="1"/>
      <c r="D1293" s="1"/>
      <c r="E1293" s="1"/>
    </row>
    <row r="1294">
      <c r="A1294" s="1"/>
      <c r="B1294" s="1"/>
      <c r="C1294" s="1"/>
      <c r="D1294" s="1"/>
      <c r="E1294" s="1"/>
    </row>
    <row r="1295">
      <c r="A1295" s="1"/>
      <c r="B1295" s="1"/>
      <c r="C1295" s="1"/>
      <c r="D1295" s="1"/>
      <c r="E1295" s="1"/>
    </row>
    <row r="1296">
      <c r="A1296" s="1"/>
      <c r="B1296" s="1"/>
      <c r="C1296" s="1"/>
      <c r="D1296" s="1"/>
      <c r="E1296" s="1"/>
    </row>
    <row r="1297">
      <c r="A1297" s="1"/>
      <c r="B1297" s="1"/>
      <c r="C1297" s="1"/>
      <c r="D1297" s="1"/>
      <c r="E1297" s="1"/>
    </row>
    <row r="1298">
      <c r="A1298" s="1"/>
      <c r="B1298" s="1"/>
      <c r="C1298" s="1"/>
      <c r="D1298" s="1"/>
      <c r="E1298" s="1"/>
    </row>
    <row r="1299">
      <c r="A1299" s="1"/>
      <c r="B1299" s="1"/>
      <c r="C1299" s="1"/>
      <c r="D1299" s="1"/>
      <c r="E1299" s="1"/>
    </row>
    <row r="1300">
      <c r="A1300" s="1"/>
      <c r="B1300" s="1"/>
      <c r="C1300" s="1"/>
      <c r="D1300" s="1"/>
      <c r="E1300" s="1"/>
    </row>
    <row r="1301">
      <c r="A1301" s="1"/>
      <c r="B1301" s="1"/>
      <c r="C1301" s="1"/>
      <c r="D1301" s="1"/>
      <c r="E1301" s="1"/>
    </row>
    <row r="1302">
      <c r="A1302" s="1"/>
      <c r="B1302" s="1"/>
      <c r="C1302" s="1"/>
      <c r="D1302" s="1"/>
      <c r="E1302" s="1"/>
    </row>
    <row r="1303">
      <c r="A1303" s="1"/>
      <c r="B1303" s="1"/>
      <c r="C1303" s="1"/>
      <c r="D1303" s="1"/>
      <c r="E1303" s="1"/>
    </row>
    <row r="1304">
      <c r="A1304" s="1"/>
      <c r="B1304" s="1"/>
      <c r="C1304" s="1"/>
      <c r="D1304" s="1"/>
      <c r="E1304" s="1"/>
    </row>
    <row r="1305">
      <c r="A1305" s="1"/>
      <c r="B1305" s="1"/>
      <c r="C1305" s="1"/>
      <c r="D1305" s="1"/>
      <c r="E1305" s="1"/>
    </row>
    <row r="1306">
      <c r="A1306" s="1"/>
      <c r="B1306" s="1"/>
      <c r="C1306" s="1"/>
      <c r="D1306" s="1"/>
      <c r="E1306" s="1"/>
    </row>
    <row r="1307">
      <c r="A1307" s="1"/>
      <c r="B1307" s="1"/>
      <c r="C1307" s="1"/>
      <c r="D1307" s="1"/>
      <c r="E1307" s="1"/>
    </row>
    <row r="1308">
      <c r="A1308" s="1"/>
      <c r="B1308" s="1"/>
      <c r="C1308" s="1"/>
      <c r="D1308" s="1"/>
      <c r="E1308" s="1"/>
    </row>
    <row r="1309">
      <c r="A1309" s="1"/>
      <c r="B1309" s="1"/>
      <c r="C1309" s="1"/>
      <c r="D1309" s="1"/>
      <c r="E1309" s="1"/>
    </row>
    <row r="1310">
      <c r="A1310" s="1"/>
      <c r="B1310" s="1"/>
      <c r="C1310" s="1"/>
      <c r="D1310" s="1"/>
      <c r="E1310" s="1"/>
    </row>
    <row r="1311">
      <c r="A1311" s="1"/>
      <c r="B1311" s="1"/>
      <c r="C1311" s="1"/>
      <c r="D1311" s="1"/>
      <c r="E1311" s="1"/>
    </row>
    <row r="1312">
      <c r="A1312" s="1"/>
      <c r="B1312" s="1"/>
      <c r="C1312" s="1"/>
      <c r="D1312" s="1"/>
      <c r="E1312" s="1"/>
    </row>
    <row r="1313">
      <c r="A1313" s="1"/>
      <c r="B1313" s="1"/>
      <c r="C1313" s="1"/>
      <c r="D1313" s="1"/>
      <c r="E1313" s="1"/>
    </row>
    <row r="1314">
      <c r="A1314" s="1"/>
      <c r="B1314" s="1"/>
      <c r="C1314" s="1"/>
      <c r="D1314" s="1"/>
      <c r="E1314" s="1"/>
    </row>
    <row r="1315">
      <c r="A1315" s="1"/>
      <c r="B1315" s="1"/>
      <c r="C1315" s="1"/>
      <c r="D1315" s="1"/>
      <c r="E1315" s="1"/>
    </row>
    <row r="1316">
      <c r="A1316" s="1"/>
      <c r="B1316" s="1"/>
      <c r="C1316" s="1"/>
      <c r="D1316" s="1"/>
      <c r="E1316" s="1"/>
    </row>
    <row r="1317">
      <c r="A1317" s="1"/>
      <c r="B1317" s="1"/>
      <c r="C1317" s="1"/>
      <c r="D1317" s="1"/>
      <c r="E1317" s="1"/>
    </row>
    <row r="1318">
      <c r="A1318" s="1"/>
      <c r="B1318" s="1"/>
      <c r="C1318" s="1"/>
      <c r="D1318" s="1"/>
      <c r="E1318" s="1"/>
    </row>
    <row r="1319">
      <c r="A1319" s="1"/>
      <c r="B1319" s="1"/>
      <c r="C1319" s="1"/>
      <c r="D1319" s="1"/>
      <c r="E1319" s="1"/>
    </row>
    <row r="1320">
      <c r="A1320" s="1"/>
      <c r="B1320" s="1"/>
      <c r="C1320" s="1"/>
      <c r="D1320" s="1"/>
      <c r="E1320" s="1"/>
    </row>
    <row r="1321">
      <c r="A1321" s="1"/>
      <c r="B1321" s="1"/>
      <c r="C1321" s="1"/>
      <c r="D1321" s="1"/>
      <c r="E1321" s="1"/>
    </row>
    <row r="1322">
      <c r="A1322" s="1"/>
      <c r="B1322" s="1"/>
      <c r="C1322" s="1"/>
      <c r="D1322" s="1"/>
      <c r="E1322" s="1"/>
    </row>
    <row r="1323">
      <c r="A1323" s="1"/>
      <c r="B1323" s="1"/>
      <c r="C1323" s="1"/>
      <c r="D1323" s="1"/>
      <c r="E1323" s="1"/>
    </row>
    <row r="1324">
      <c r="A1324" s="1"/>
      <c r="B1324" s="1"/>
      <c r="C1324" s="1"/>
      <c r="D1324" s="1"/>
      <c r="E1324" s="1"/>
    </row>
    <row r="1325">
      <c r="A1325" s="1"/>
      <c r="B1325" s="1"/>
      <c r="C1325" s="1"/>
      <c r="D1325" s="1"/>
      <c r="E1325" s="1"/>
    </row>
    <row r="1326">
      <c r="A1326" s="1"/>
      <c r="B1326" s="1"/>
      <c r="C1326" s="1"/>
      <c r="D1326" s="1"/>
      <c r="E1326" s="1"/>
    </row>
    <row r="1327">
      <c r="A1327" s="1"/>
      <c r="B1327" s="1"/>
      <c r="C1327" s="1"/>
      <c r="D1327" s="1"/>
      <c r="E1327" s="1"/>
    </row>
    <row r="1328">
      <c r="A1328" s="1"/>
      <c r="B1328" s="1"/>
      <c r="C1328" s="1"/>
      <c r="D1328" s="1"/>
      <c r="E1328" s="1"/>
    </row>
    <row r="1329">
      <c r="A1329" s="1"/>
      <c r="B1329" s="1"/>
      <c r="C1329" s="1"/>
      <c r="D1329" s="1"/>
      <c r="E1329" s="1"/>
    </row>
    <row r="1330">
      <c r="A1330" s="1"/>
      <c r="B1330" s="1"/>
      <c r="C1330" s="1"/>
      <c r="D1330" s="1"/>
      <c r="E1330" s="1"/>
    </row>
    <row r="1331">
      <c r="A1331" s="1"/>
      <c r="B1331" s="1"/>
      <c r="C1331" s="1"/>
      <c r="D1331" s="1"/>
      <c r="E1331" s="1"/>
    </row>
    <row r="1332">
      <c r="A1332" s="1"/>
      <c r="B1332" s="1"/>
      <c r="C1332" s="1"/>
      <c r="D1332" s="1"/>
      <c r="E1332" s="1"/>
    </row>
    <row r="1333">
      <c r="A1333" s="1"/>
      <c r="B1333" s="1"/>
      <c r="C1333" s="1"/>
      <c r="D1333" s="1"/>
      <c r="E1333" s="1"/>
    </row>
    <row r="1334">
      <c r="A1334" s="1"/>
      <c r="B1334" s="1"/>
      <c r="C1334" s="1"/>
      <c r="D1334" s="1"/>
      <c r="E1334" s="1"/>
    </row>
    <row r="1335">
      <c r="A1335" s="1"/>
      <c r="B1335" s="1"/>
      <c r="C1335" s="1"/>
      <c r="D1335" s="1"/>
      <c r="E1335" s="1"/>
    </row>
    <row r="1336">
      <c r="A1336" s="1"/>
      <c r="B1336" s="1"/>
      <c r="C1336" s="1"/>
      <c r="D1336" s="1"/>
      <c r="E1336" s="1"/>
    </row>
    <row r="1337">
      <c r="A1337" s="1"/>
      <c r="B1337" s="1"/>
      <c r="C1337" s="1"/>
      <c r="D1337" s="1"/>
      <c r="E1337" s="1"/>
    </row>
    <row r="1338">
      <c r="A1338" s="1"/>
      <c r="B1338" s="1"/>
      <c r="C1338" s="1"/>
      <c r="D1338" s="1"/>
      <c r="E1338" s="1"/>
    </row>
    <row r="1339">
      <c r="A1339" s="1"/>
      <c r="B1339" s="1"/>
      <c r="C1339" s="1"/>
      <c r="D1339" s="1"/>
      <c r="E1339" s="1"/>
    </row>
    <row r="1340">
      <c r="A1340" s="1"/>
      <c r="B1340" s="1"/>
      <c r="C1340" s="1"/>
      <c r="D1340" s="1"/>
      <c r="E1340" s="1"/>
    </row>
    <row r="1341">
      <c r="A1341" s="1"/>
      <c r="B1341" s="1"/>
      <c r="C1341" s="1"/>
      <c r="D1341" s="1"/>
      <c r="E1341" s="1"/>
    </row>
    <row r="1342">
      <c r="A1342" s="1"/>
      <c r="B1342" s="1"/>
      <c r="C1342" s="1"/>
      <c r="D1342" s="1"/>
      <c r="E1342" s="1"/>
    </row>
    <row r="1343">
      <c r="A1343" s="1"/>
      <c r="B1343" s="1"/>
      <c r="C1343" s="1"/>
      <c r="D1343" s="1"/>
      <c r="E1343" s="1"/>
    </row>
    <row r="1344">
      <c r="A1344" s="1"/>
      <c r="B1344" s="1"/>
      <c r="C1344" s="1"/>
      <c r="D1344" s="1"/>
      <c r="E1344" s="1"/>
    </row>
    <row r="1345">
      <c r="A1345" s="1"/>
      <c r="B1345" s="1"/>
      <c r="C1345" s="1"/>
      <c r="D1345" s="1"/>
      <c r="E1345" s="1"/>
    </row>
    <row r="1346">
      <c r="A1346" s="1"/>
      <c r="B1346" s="1"/>
      <c r="C1346" s="1"/>
      <c r="D1346" s="1"/>
      <c r="E1346" s="1"/>
    </row>
    <row r="1347">
      <c r="A1347" s="1"/>
      <c r="B1347" s="1"/>
      <c r="C1347" s="1"/>
      <c r="D1347" s="1"/>
      <c r="E1347" s="1"/>
    </row>
    <row r="1348">
      <c r="A1348" s="1"/>
      <c r="B1348" s="1"/>
      <c r="C1348" s="1"/>
      <c r="D1348" s="1"/>
      <c r="E1348" s="1"/>
    </row>
    <row r="1349">
      <c r="A1349" s="1"/>
      <c r="B1349" s="1"/>
      <c r="C1349" s="1"/>
      <c r="D1349" s="1"/>
      <c r="E1349" s="1"/>
    </row>
    <row r="1350">
      <c r="A1350" s="1"/>
      <c r="B1350" s="1"/>
      <c r="C1350" s="1"/>
      <c r="D1350" s="1"/>
      <c r="E1350" s="1"/>
    </row>
    <row r="1351">
      <c r="A1351" s="1"/>
      <c r="B1351" s="1"/>
      <c r="C1351" s="1"/>
      <c r="D1351" s="1"/>
      <c r="E1351" s="1"/>
    </row>
    <row r="1352">
      <c r="A1352" s="1"/>
      <c r="B1352" s="1"/>
      <c r="C1352" s="1"/>
      <c r="D1352" s="1"/>
      <c r="E1352" s="1"/>
    </row>
    <row r="1353">
      <c r="A1353" s="1"/>
      <c r="B1353" s="1"/>
      <c r="C1353" s="1"/>
      <c r="D1353" s="1"/>
      <c r="E1353" s="1"/>
    </row>
    <row r="1354">
      <c r="A1354" s="1"/>
      <c r="B1354" s="1"/>
      <c r="C1354" s="1"/>
      <c r="D1354" s="1"/>
      <c r="E1354" s="1"/>
    </row>
    <row r="1355">
      <c r="A1355" s="1"/>
      <c r="B1355" s="1"/>
      <c r="C1355" s="1"/>
      <c r="D1355" s="1"/>
      <c r="E1355" s="1"/>
    </row>
    <row r="1356">
      <c r="A1356" s="1"/>
      <c r="B1356" s="1"/>
      <c r="C1356" s="1"/>
      <c r="D1356" s="1"/>
      <c r="E1356" s="1"/>
    </row>
    <row r="1357">
      <c r="A1357" s="1"/>
      <c r="B1357" s="1"/>
      <c r="C1357" s="1"/>
      <c r="D1357" s="1"/>
      <c r="E1357" s="1"/>
    </row>
    <row r="1358">
      <c r="A1358" s="1"/>
      <c r="B1358" s="1"/>
      <c r="C1358" s="1"/>
      <c r="D1358" s="1"/>
      <c r="E1358" s="1"/>
    </row>
    <row r="1359">
      <c r="A1359" s="1"/>
      <c r="B1359" s="1"/>
      <c r="C1359" s="1"/>
      <c r="D1359" s="1"/>
      <c r="E1359" s="1"/>
    </row>
    <row r="1360">
      <c r="A1360" s="1"/>
      <c r="B1360" s="1"/>
      <c r="C1360" s="1"/>
      <c r="D1360" s="1"/>
      <c r="E1360" s="1"/>
    </row>
    <row r="1361">
      <c r="A1361" s="1"/>
      <c r="B1361" s="1"/>
      <c r="C1361" s="1"/>
      <c r="D1361" s="1"/>
      <c r="E1361" s="1"/>
    </row>
    <row r="1362">
      <c r="A1362" s="1"/>
      <c r="B1362" s="1"/>
      <c r="C1362" s="1"/>
      <c r="D1362" s="1"/>
      <c r="E1362" s="1"/>
    </row>
    <row r="1363">
      <c r="A1363" s="1"/>
      <c r="B1363" s="1"/>
      <c r="C1363" s="1"/>
      <c r="D1363" s="1"/>
      <c r="E1363" s="1"/>
    </row>
    <row r="1364">
      <c r="A1364" s="1"/>
      <c r="B1364" s="1"/>
      <c r="C1364" s="1"/>
      <c r="D1364" s="1"/>
      <c r="E1364" s="1"/>
    </row>
    <row r="1365">
      <c r="A1365" s="1"/>
      <c r="B1365" s="1"/>
      <c r="C1365" s="1"/>
      <c r="D1365" s="1"/>
      <c r="E1365" s="1"/>
    </row>
    <row r="1366">
      <c r="A1366" s="1"/>
      <c r="B1366" s="1"/>
      <c r="C1366" s="1"/>
      <c r="D1366" s="1"/>
      <c r="E1366" s="1"/>
    </row>
    <row r="1367">
      <c r="A1367" s="1"/>
      <c r="B1367" s="1"/>
      <c r="C1367" s="1"/>
      <c r="D1367" s="1"/>
      <c r="E1367" s="1"/>
    </row>
    <row r="1368">
      <c r="A1368" s="1"/>
      <c r="B1368" s="1"/>
      <c r="C1368" s="1"/>
      <c r="D1368" s="1"/>
      <c r="E1368" s="1"/>
    </row>
    <row r="1369">
      <c r="A1369" s="1"/>
      <c r="B1369" s="1"/>
      <c r="C1369" s="1"/>
      <c r="D1369" s="1"/>
      <c r="E1369" s="1"/>
    </row>
    <row r="1370">
      <c r="A1370" s="1"/>
      <c r="B1370" s="1"/>
      <c r="C1370" s="1"/>
      <c r="D1370" s="1"/>
      <c r="E1370" s="1"/>
    </row>
    <row r="1371">
      <c r="A1371" s="1"/>
      <c r="B1371" s="1"/>
      <c r="C1371" s="1"/>
      <c r="D1371" s="1"/>
      <c r="E1371" s="1"/>
    </row>
    <row r="1372">
      <c r="A1372" s="1"/>
      <c r="B1372" s="1"/>
      <c r="C1372" s="1"/>
      <c r="D1372" s="1"/>
      <c r="E1372" s="1"/>
    </row>
    <row r="1373">
      <c r="A1373" s="1"/>
      <c r="B1373" s="1"/>
      <c r="C1373" s="1"/>
      <c r="D1373" s="1"/>
      <c r="E1373" s="1"/>
    </row>
    <row r="1374">
      <c r="A1374" s="1"/>
      <c r="B1374" s="1"/>
      <c r="C1374" s="1"/>
      <c r="D1374" s="1"/>
      <c r="E1374" s="1"/>
    </row>
    <row r="1375">
      <c r="A1375" s="1"/>
      <c r="B1375" s="1"/>
      <c r="C1375" s="1"/>
      <c r="D1375" s="1"/>
      <c r="E1375" s="1"/>
    </row>
    <row r="1376">
      <c r="A1376" s="1"/>
      <c r="B1376" s="1"/>
      <c r="C1376" s="1"/>
      <c r="D1376" s="1"/>
      <c r="E1376" s="1"/>
    </row>
    <row r="1377">
      <c r="A1377" s="1"/>
      <c r="B1377" s="1"/>
      <c r="C1377" s="1"/>
      <c r="D1377" s="1"/>
      <c r="E1377" s="1"/>
    </row>
    <row r="1378">
      <c r="A1378" s="1"/>
      <c r="B1378" s="1"/>
      <c r="C1378" s="1"/>
      <c r="D1378" s="1"/>
      <c r="E1378" s="1"/>
    </row>
    <row r="1379">
      <c r="A1379" s="1"/>
      <c r="B1379" s="1"/>
      <c r="C1379" s="1"/>
      <c r="D1379" s="1"/>
      <c r="E1379" s="1"/>
    </row>
    <row r="1380">
      <c r="A1380" s="1"/>
      <c r="B1380" s="1"/>
      <c r="C1380" s="1"/>
      <c r="D1380" s="1"/>
      <c r="E1380" s="1"/>
    </row>
    <row r="1381">
      <c r="A1381" s="1"/>
      <c r="B1381" s="1"/>
      <c r="C1381" s="1"/>
      <c r="D1381" s="1"/>
      <c r="E1381" s="1"/>
    </row>
    <row r="1382">
      <c r="A1382" s="1"/>
      <c r="B1382" s="1"/>
      <c r="C1382" s="1"/>
      <c r="D1382" s="1"/>
      <c r="E1382" s="1"/>
    </row>
    <row r="1383">
      <c r="A1383" s="1"/>
      <c r="B1383" s="1"/>
      <c r="C1383" s="1"/>
      <c r="D1383" s="1"/>
      <c r="E1383" s="1"/>
    </row>
    <row r="1384">
      <c r="A1384" s="1"/>
      <c r="B1384" s="1"/>
      <c r="C1384" s="1"/>
      <c r="D1384" s="1"/>
      <c r="E1384" s="1"/>
    </row>
    <row r="1385">
      <c r="A1385" s="1"/>
      <c r="B1385" s="1"/>
      <c r="C1385" s="1"/>
      <c r="D1385" s="1"/>
      <c r="E1385" s="1"/>
    </row>
    <row r="1386">
      <c r="A1386" s="1"/>
      <c r="B1386" s="1"/>
      <c r="C1386" s="1"/>
      <c r="D1386" s="1"/>
      <c r="E1386" s="1"/>
    </row>
    <row r="1387">
      <c r="A1387" s="1"/>
      <c r="B1387" s="1"/>
      <c r="C1387" s="1"/>
      <c r="D1387" s="1"/>
      <c r="E1387" s="1"/>
    </row>
    <row r="1388">
      <c r="A1388" s="1"/>
      <c r="B1388" s="1"/>
      <c r="C1388" s="1"/>
      <c r="D1388" s="1"/>
      <c r="E1388" s="1"/>
    </row>
    <row r="1389">
      <c r="A1389" s="1"/>
      <c r="B1389" s="1"/>
      <c r="C1389" s="1"/>
      <c r="D1389" s="1"/>
      <c r="E1389" s="1"/>
    </row>
    <row r="1390">
      <c r="A1390" s="1"/>
      <c r="B1390" s="1"/>
      <c r="C1390" s="1"/>
      <c r="D1390" s="1"/>
      <c r="E1390" s="1"/>
    </row>
    <row r="1391">
      <c r="A1391" s="1"/>
      <c r="B1391" s="1"/>
      <c r="C1391" s="1"/>
      <c r="D1391" s="1"/>
      <c r="E1391" s="1"/>
    </row>
    <row r="1392">
      <c r="A1392" s="1"/>
      <c r="B1392" s="1"/>
      <c r="C1392" s="1"/>
      <c r="D1392" s="1"/>
      <c r="E1392" s="1"/>
    </row>
    <row r="1393">
      <c r="A1393" s="1"/>
      <c r="B1393" s="1"/>
      <c r="C1393" s="1"/>
      <c r="D1393" s="1"/>
      <c r="E1393" s="1"/>
    </row>
    <row r="1394">
      <c r="A1394" s="1"/>
      <c r="B1394" s="1"/>
      <c r="C1394" s="1"/>
      <c r="D1394" s="1"/>
      <c r="E1394" s="1"/>
    </row>
    <row r="1395">
      <c r="A1395" s="1"/>
      <c r="B1395" s="1"/>
      <c r="C1395" s="1"/>
      <c r="D1395" s="1"/>
      <c r="E1395" s="1"/>
    </row>
    <row r="1396">
      <c r="A1396" s="1"/>
      <c r="B1396" s="1"/>
      <c r="C1396" s="1"/>
      <c r="D1396" s="1"/>
      <c r="E1396" s="1"/>
    </row>
    <row r="1397">
      <c r="A1397" s="1"/>
      <c r="B1397" s="1"/>
      <c r="C1397" s="1"/>
      <c r="D1397" s="1"/>
      <c r="E1397" s="1"/>
    </row>
    <row r="1398">
      <c r="A1398" s="1"/>
      <c r="B1398" s="1"/>
      <c r="C1398" s="1"/>
      <c r="D1398" s="1"/>
      <c r="E1398" s="1"/>
    </row>
    <row r="1399">
      <c r="A1399" s="1"/>
      <c r="B1399" s="1"/>
      <c r="C1399" s="1"/>
      <c r="D1399" s="1"/>
      <c r="E1399" s="1"/>
    </row>
    <row r="1400">
      <c r="A1400" s="1"/>
      <c r="B1400" s="1"/>
      <c r="C1400" s="1"/>
      <c r="D1400" s="1"/>
      <c r="E1400" s="1"/>
    </row>
    <row r="1401">
      <c r="A1401" s="1"/>
      <c r="B1401" s="1"/>
      <c r="C1401" s="1"/>
      <c r="D1401" s="1"/>
      <c r="E1401" s="1"/>
    </row>
    <row r="1402">
      <c r="A1402" s="1"/>
      <c r="B1402" s="1"/>
      <c r="C1402" s="1"/>
      <c r="D1402" s="1"/>
      <c r="E1402" s="1"/>
    </row>
    <row r="1403">
      <c r="A1403" s="1"/>
      <c r="B1403" s="1"/>
      <c r="C1403" s="1"/>
      <c r="D1403" s="1"/>
      <c r="E1403" s="1"/>
    </row>
    <row r="1404">
      <c r="A1404" s="1"/>
      <c r="B1404" s="1"/>
      <c r="C1404" s="1"/>
      <c r="D1404" s="1"/>
      <c r="E1404" s="1"/>
    </row>
    <row r="1405">
      <c r="A1405" s="1"/>
      <c r="B1405" s="1"/>
      <c r="C1405" s="1"/>
      <c r="D1405" s="1"/>
      <c r="E1405" s="1"/>
    </row>
    <row r="1406">
      <c r="A1406" s="1"/>
      <c r="B1406" s="1"/>
      <c r="C1406" s="1"/>
      <c r="D1406" s="1"/>
      <c r="E1406" s="1"/>
    </row>
    <row r="1407">
      <c r="A1407" s="1"/>
      <c r="B1407" s="1"/>
      <c r="C1407" s="1"/>
      <c r="D1407" s="1"/>
      <c r="E1407" s="1"/>
    </row>
    <row r="1408">
      <c r="A1408" s="1"/>
      <c r="B1408" s="1"/>
      <c r="C1408" s="1"/>
      <c r="D1408" s="1"/>
      <c r="E1408" s="1"/>
    </row>
    <row r="1409">
      <c r="A1409" s="1"/>
      <c r="B1409" s="1"/>
      <c r="C1409" s="1"/>
      <c r="D1409" s="1"/>
      <c r="E1409" s="1"/>
    </row>
    <row r="1410">
      <c r="A1410" s="1"/>
      <c r="B1410" s="1"/>
      <c r="C1410" s="1"/>
      <c r="D1410" s="1"/>
      <c r="E1410" s="1"/>
    </row>
    <row r="1411">
      <c r="A1411" s="1"/>
      <c r="B1411" s="1"/>
      <c r="C1411" s="1"/>
      <c r="D1411" s="1"/>
      <c r="E1411" s="1"/>
    </row>
    <row r="1412">
      <c r="A1412" s="1"/>
      <c r="B1412" s="1"/>
      <c r="C1412" s="1"/>
      <c r="D1412" s="1"/>
      <c r="E1412" s="1"/>
    </row>
    <row r="1413">
      <c r="A1413" s="1"/>
      <c r="B1413" s="1"/>
      <c r="C1413" s="1"/>
      <c r="D1413" s="1"/>
      <c r="E1413" s="1"/>
    </row>
    <row r="1414">
      <c r="A1414" s="1"/>
      <c r="B1414" s="1"/>
      <c r="C1414" s="1"/>
      <c r="D1414" s="1"/>
      <c r="E1414" s="1"/>
    </row>
    <row r="1415">
      <c r="A1415" s="1"/>
      <c r="B1415" s="1"/>
      <c r="C1415" s="1"/>
      <c r="D1415" s="1"/>
      <c r="E1415" s="1"/>
    </row>
    <row r="1416">
      <c r="A1416" s="1"/>
      <c r="B1416" s="1"/>
      <c r="C1416" s="1"/>
      <c r="D1416" s="1"/>
      <c r="E1416" s="1"/>
    </row>
    <row r="1417">
      <c r="A1417" s="1"/>
      <c r="B1417" s="1"/>
      <c r="C1417" s="1"/>
      <c r="D1417" s="1"/>
      <c r="E1417" s="1"/>
    </row>
    <row r="1418">
      <c r="A1418" s="1"/>
      <c r="B1418" s="1"/>
      <c r="C1418" s="1"/>
      <c r="D1418" s="1"/>
      <c r="E1418" s="1"/>
    </row>
    <row r="1419">
      <c r="A1419" s="1"/>
      <c r="B1419" s="1"/>
      <c r="C1419" s="1"/>
      <c r="D1419" s="1"/>
      <c r="E1419" s="1"/>
    </row>
    <row r="1420">
      <c r="A1420" s="1"/>
      <c r="B1420" s="1"/>
      <c r="C1420" s="1"/>
      <c r="D1420" s="1"/>
      <c r="E1420" s="1"/>
    </row>
    <row r="1421">
      <c r="A1421" s="1"/>
      <c r="B1421" s="1"/>
      <c r="C1421" s="1"/>
      <c r="D1421" s="1"/>
      <c r="E1421" s="1"/>
    </row>
    <row r="1422">
      <c r="A1422" s="1"/>
      <c r="B1422" s="1"/>
      <c r="C1422" s="1"/>
      <c r="D1422" s="1"/>
      <c r="E1422" s="1"/>
    </row>
    <row r="1423">
      <c r="A1423" s="1"/>
      <c r="B1423" s="1"/>
      <c r="C1423" s="1"/>
      <c r="D1423" s="1"/>
      <c r="E1423" s="1"/>
    </row>
    <row r="1424">
      <c r="A1424" s="1"/>
      <c r="B1424" s="1"/>
      <c r="C1424" s="1"/>
      <c r="D1424" s="1"/>
      <c r="E1424" s="1"/>
    </row>
    <row r="1425">
      <c r="A1425" s="1"/>
      <c r="B1425" s="1"/>
      <c r="C1425" s="1"/>
      <c r="D1425" s="1"/>
      <c r="E1425" s="1"/>
    </row>
    <row r="1426">
      <c r="A1426" s="1"/>
      <c r="B1426" s="1"/>
      <c r="C1426" s="1"/>
      <c r="D1426" s="1"/>
      <c r="E1426" s="1"/>
    </row>
    <row r="1427">
      <c r="A1427" s="1"/>
      <c r="B1427" s="1"/>
      <c r="C1427" s="1"/>
      <c r="D1427" s="1"/>
      <c r="E1427" s="1"/>
    </row>
    <row r="1428">
      <c r="A1428" s="1"/>
      <c r="B1428" s="1"/>
      <c r="C1428" s="1"/>
      <c r="D1428" s="1"/>
      <c r="E1428" s="1"/>
    </row>
    <row r="1429">
      <c r="A1429" s="1"/>
      <c r="B1429" s="1"/>
      <c r="C1429" s="1"/>
      <c r="D1429" s="1"/>
      <c r="E1429" s="1"/>
    </row>
    <row r="1430">
      <c r="A1430" s="1"/>
      <c r="B1430" s="1"/>
      <c r="C1430" s="1"/>
      <c r="D1430" s="1"/>
      <c r="E1430" s="1"/>
    </row>
    <row r="1431">
      <c r="A1431" s="1"/>
      <c r="B1431" s="1"/>
      <c r="C1431" s="1"/>
      <c r="D1431" s="1"/>
      <c r="E1431" s="1"/>
    </row>
    <row r="1432">
      <c r="A1432" s="1"/>
      <c r="B1432" s="1"/>
      <c r="C1432" s="1"/>
      <c r="D1432" s="1"/>
      <c r="E1432" s="1"/>
    </row>
    <row r="1433">
      <c r="A1433" s="1"/>
      <c r="B1433" s="1"/>
      <c r="C1433" s="1"/>
      <c r="D1433" s="1"/>
      <c r="E1433" s="1"/>
    </row>
    <row r="1434">
      <c r="A1434" s="1"/>
      <c r="B1434" s="1"/>
      <c r="C1434" s="1"/>
      <c r="D1434" s="1"/>
      <c r="E1434" s="1"/>
    </row>
    <row r="1435">
      <c r="A1435" s="1"/>
      <c r="B1435" s="1"/>
      <c r="C1435" s="1"/>
      <c r="D1435" s="1"/>
      <c r="E1435" s="1"/>
    </row>
    <row r="1436">
      <c r="A1436" s="1"/>
      <c r="B1436" s="1"/>
      <c r="C1436" s="1"/>
      <c r="D1436" s="1"/>
      <c r="E1436" s="1"/>
    </row>
    <row r="1437">
      <c r="A1437" s="1"/>
      <c r="B1437" s="1"/>
      <c r="C1437" s="1"/>
      <c r="D1437" s="1"/>
      <c r="E1437" s="1"/>
    </row>
    <row r="1438">
      <c r="A1438" s="1"/>
      <c r="B1438" s="1"/>
      <c r="C1438" s="1"/>
      <c r="D1438" s="1"/>
      <c r="E1438" s="1"/>
    </row>
    <row r="1439">
      <c r="A1439" s="1"/>
      <c r="B1439" s="1"/>
      <c r="C1439" s="1"/>
      <c r="D1439" s="1"/>
      <c r="E1439" s="1"/>
    </row>
    <row r="1440">
      <c r="A1440" s="1"/>
      <c r="B1440" s="1"/>
      <c r="C1440" s="1"/>
      <c r="D1440" s="1"/>
      <c r="E1440" s="1"/>
    </row>
    <row r="1441">
      <c r="A1441" s="1"/>
      <c r="B1441" s="1"/>
      <c r="C1441" s="1"/>
      <c r="D1441" s="1"/>
      <c r="E1441" s="1"/>
    </row>
    <row r="1442">
      <c r="A1442" s="1"/>
      <c r="B1442" s="1"/>
      <c r="C1442" s="1"/>
      <c r="D1442" s="1"/>
      <c r="E1442" s="1"/>
    </row>
    <row r="1443">
      <c r="A1443" s="1"/>
      <c r="B1443" s="1"/>
      <c r="C1443" s="1"/>
      <c r="D1443" s="1"/>
      <c r="E1443" s="1"/>
    </row>
    <row r="1444">
      <c r="A1444" s="1"/>
      <c r="B1444" s="1"/>
      <c r="C1444" s="1"/>
      <c r="D1444" s="1"/>
      <c r="E1444" s="1"/>
    </row>
    <row r="1445">
      <c r="A1445" s="1"/>
      <c r="B1445" s="1"/>
      <c r="C1445" s="1"/>
      <c r="D1445" s="1"/>
      <c r="E1445" s="1"/>
    </row>
    <row r="1446">
      <c r="A1446" s="1"/>
      <c r="B1446" s="1"/>
      <c r="C1446" s="1"/>
      <c r="D1446" s="1"/>
      <c r="E1446" s="1"/>
    </row>
    <row r="1447">
      <c r="A1447" s="1"/>
      <c r="B1447" s="1"/>
      <c r="C1447" s="1"/>
      <c r="D1447" s="1"/>
      <c r="E1447" s="1"/>
    </row>
    <row r="1448">
      <c r="A1448" s="1"/>
      <c r="B1448" s="1"/>
      <c r="C1448" s="1"/>
      <c r="D1448" s="1"/>
      <c r="E1448" s="1"/>
    </row>
    <row r="1449">
      <c r="A1449" s="1"/>
      <c r="B1449" s="1"/>
      <c r="C1449" s="1"/>
      <c r="D1449" s="1"/>
      <c r="E1449" s="1"/>
    </row>
    <row r="1450">
      <c r="A1450" s="1"/>
      <c r="B1450" s="1"/>
      <c r="C1450" s="1"/>
      <c r="D1450" s="1"/>
      <c r="E1450" s="1"/>
    </row>
    <row r="1451">
      <c r="A1451" s="1"/>
      <c r="B1451" s="1"/>
      <c r="C1451" s="1"/>
      <c r="D1451" s="1"/>
      <c r="E1451" s="1"/>
    </row>
    <row r="1452">
      <c r="A1452" s="1"/>
      <c r="B1452" s="1"/>
      <c r="C1452" s="1"/>
      <c r="D1452" s="1"/>
      <c r="E1452" s="1"/>
    </row>
    <row r="1453">
      <c r="A1453" s="1"/>
      <c r="B1453" s="1"/>
      <c r="C1453" s="1"/>
      <c r="D1453" s="1"/>
      <c r="E1453" s="1"/>
    </row>
    <row r="1454">
      <c r="A1454" s="1"/>
      <c r="B1454" s="1"/>
      <c r="C1454" s="1"/>
      <c r="D1454" s="1"/>
      <c r="E1454" s="1"/>
    </row>
    <row r="1455">
      <c r="A1455" s="1"/>
      <c r="B1455" s="1"/>
      <c r="C1455" s="1"/>
      <c r="D1455" s="1"/>
      <c r="E1455" s="1"/>
    </row>
    <row r="1456">
      <c r="A1456" s="1"/>
      <c r="B1456" s="1"/>
      <c r="C1456" s="1"/>
      <c r="D1456" s="1"/>
      <c r="E1456" s="1"/>
    </row>
    <row r="1457">
      <c r="A1457" s="1"/>
      <c r="B1457" s="1"/>
      <c r="C1457" s="1"/>
      <c r="D1457" s="1"/>
      <c r="E1457" s="1"/>
    </row>
    <row r="1458">
      <c r="A1458" s="1"/>
      <c r="B1458" s="1"/>
      <c r="C1458" s="1"/>
      <c r="D1458" s="1"/>
      <c r="E1458" s="1"/>
    </row>
    <row r="1459">
      <c r="A1459" s="1"/>
      <c r="B1459" s="1"/>
      <c r="C1459" s="1"/>
      <c r="D1459" s="1"/>
      <c r="E1459" s="1"/>
    </row>
    <row r="1460">
      <c r="A1460" s="1"/>
      <c r="B1460" s="1"/>
      <c r="C1460" s="1"/>
      <c r="D1460" s="1"/>
      <c r="E1460" s="1"/>
    </row>
    <row r="1461">
      <c r="A1461" s="1"/>
      <c r="B1461" s="1"/>
      <c r="C1461" s="1"/>
      <c r="D1461" s="1"/>
      <c r="E1461" s="1"/>
    </row>
    <row r="1462">
      <c r="A1462" s="1"/>
      <c r="B1462" s="1"/>
      <c r="C1462" s="1"/>
      <c r="D1462" s="1"/>
      <c r="E1462" s="1"/>
    </row>
    <row r="1463">
      <c r="A1463" s="1"/>
      <c r="B1463" s="1"/>
      <c r="C1463" s="1"/>
      <c r="D1463" s="1"/>
      <c r="E1463" s="1"/>
    </row>
    <row r="1464">
      <c r="A1464" s="1"/>
      <c r="B1464" s="1"/>
      <c r="C1464" s="1"/>
      <c r="D1464" s="1"/>
      <c r="E1464" s="1"/>
    </row>
    <row r="1465">
      <c r="A1465" s="1"/>
      <c r="B1465" s="1"/>
      <c r="C1465" s="1"/>
      <c r="D1465" s="1"/>
      <c r="E1465" s="1"/>
    </row>
    <row r="1466">
      <c r="A1466" s="1"/>
      <c r="B1466" s="1"/>
      <c r="C1466" s="1"/>
      <c r="D1466" s="1"/>
      <c r="E1466" s="1"/>
    </row>
    <row r="1467">
      <c r="A1467" s="1"/>
      <c r="B1467" s="1"/>
      <c r="C1467" s="1"/>
      <c r="D1467" s="1"/>
      <c r="E1467" s="1"/>
    </row>
    <row r="1468">
      <c r="A1468" s="1"/>
      <c r="B1468" s="1"/>
      <c r="C1468" s="1"/>
      <c r="D1468" s="1"/>
      <c r="E1468" s="1"/>
    </row>
    <row r="1469">
      <c r="A1469" s="1"/>
      <c r="B1469" s="1"/>
      <c r="C1469" s="1"/>
      <c r="D1469" s="1"/>
      <c r="E1469" s="1"/>
    </row>
    <row r="1470">
      <c r="A1470" s="1"/>
      <c r="B1470" s="1"/>
      <c r="C1470" s="1"/>
      <c r="D1470" s="1"/>
      <c r="E1470" s="1"/>
    </row>
    <row r="1471">
      <c r="A1471" s="1"/>
      <c r="B1471" s="1"/>
      <c r="C1471" s="1"/>
      <c r="D1471" s="1"/>
      <c r="E1471" s="1"/>
    </row>
    <row r="1472">
      <c r="A1472" s="1"/>
      <c r="B1472" s="1"/>
      <c r="C1472" s="1"/>
      <c r="D1472" s="1"/>
      <c r="E1472" s="1"/>
    </row>
    <row r="1473">
      <c r="A1473" s="1"/>
      <c r="B1473" s="1"/>
      <c r="C1473" s="1"/>
      <c r="D1473" s="1"/>
      <c r="E1473" s="1"/>
    </row>
    <row r="1474">
      <c r="A1474" s="1"/>
      <c r="B1474" s="1"/>
      <c r="C1474" s="1"/>
      <c r="D1474" s="1"/>
      <c r="E1474" s="1"/>
    </row>
    <row r="1475">
      <c r="A1475" s="1"/>
      <c r="B1475" s="1"/>
      <c r="C1475" s="1"/>
      <c r="D1475" s="1"/>
      <c r="E1475" s="1"/>
    </row>
    <row r="1476">
      <c r="A1476" s="1"/>
      <c r="B1476" s="1"/>
      <c r="C1476" s="1"/>
      <c r="D1476" s="1"/>
      <c r="E1476" s="1"/>
    </row>
    <row r="1477">
      <c r="A1477" s="1"/>
      <c r="B1477" s="1"/>
      <c r="C1477" s="1"/>
      <c r="D1477" s="1"/>
      <c r="E1477" s="1"/>
    </row>
    <row r="1478">
      <c r="A1478" s="1"/>
      <c r="B1478" s="1"/>
      <c r="C1478" s="1"/>
      <c r="D1478" s="1"/>
      <c r="E1478" s="1"/>
    </row>
    <row r="1479">
      <c r="A1479" s="1"/>
      <c r="B1479" s="1"/>
      <c r="C1479" s="1"/>
      <c r="D1479" s="1"/>
      <c r="E1479" s="1"/>
    </row>
    <row r="1480">
      <c r="A1480" s="1"/>
      <c r="B1480" s="1"/>
      <c r="C1480" s="1"/>
      <c r="D1480" s="1"/>
      <c r="E1480" s="1"/>
    </row>
    <row r="1481">
      <c r="A1481" s="1"/>
      <c r="B1481" s="1"/>
      <c r="C1481" s="1"/>
      <c r="D1481" s="1"/>
      <c r="E1481" s="1"/>
    </row>
    <row r="1482">
      <c r="A1482" s="1"/>
      <c r="B1482" s="1"/>
      <c r="C1482" s="1"/>
      <c r="D1482" s="1"/>
      <c r="E1482" s="1"/>
    </row>
    <row r="1483">
      <c r="A1483" s="1"/>
      <c r="B1483" s="1"/>
      <c r="C1483" s="1"/>
      <c r="D1483" s="1"/>
      <c r="E1483" s="1"/>
    </row>
    <row r="1484">
      <c r="A1484" s="1"/>
      <c r="B1484" s="1"/>
      <c r="C1484" s="1"/>
      <c r="D1484" s="1"/>
      <c r="E1484" s="1"/>
    </row>
    <row r="1485">
      <c r="A1485" s="1"/>
      <c r="B1485" s="1"/>
      <c r="C1485" s="1"/>
      <c r="D1485" s="1"/>
      <c r="E1485" s="1"/>
    </row>
    <row r="1486">
      <c r="A1486" s="1"/>
      <c r="B1486" s="1"/>
      <c r="C1486" s="1"/>
      <c r="D1486" s="1"/>
      <c r="E1486" s="1"/>
    </row>
    <row r="1487">
      <c r="A1487" s="1"/>
      <c r="B1487" s="1"/>
      <c r="C1487" s="1"/>
      <c r="D1487" s="1"/>
      <c r="E1487" s="1"/>
    </row>
    <row r="1488">
      <c r="A1488" s="1"/>
      <c r="B1488" s="1"/>
      <c r="C1488" s="1"/>
      <c r="D1488" s="1"/>
      <c r="E1488" s="1"/>
    </row>
    <row r="1489">
      <c r="A1489" s="1"/>
      <c r="B1489" s="1"/>
      <c r="C1489" s="1"/>
      <c r="D1489" s="1"/>
      <c r="E1489" s="1"/>
    </row>
    <row r="1490">
      <c r="A1490" s="1"/>
      <c r="B1490" s="1"/>
      <c r="C1490" s="1"/>
      <c r="D1490" s="1"/>
      <c r="E1490" s="1"/>
    </row>
    <row r="1491">
      <c r="A1491" s="1"/>
      <c r="B1491" s="1"/>
      <c r="C1491" s="1"/>
      <c r="D1491" s="1"/>
      <c r="E1491" s="1"/>
    </row>
    <row r="1492">
      <c r="A1492" s="1"/>
      <c r="B1492" s="1"/>
      <c r="C1492" s="1"/>
      <c r="D1492" s="1"/>
      <c r="E1492" s="1"/>
    </row>
    <row r="1493">
      <c r="A1493" s="1"/>
      <c r="B1493" s="1"/>
      <c r="C1493" s="1"/>
      <c r="D1493" s="1"/>
      <c r="E1493" s="1"/>
    </row>
    <row r="1494">
      <c r="A1494" s="1"/>
      <c r="B1494" s="1"/>
      <c r="C1494" s="1"/>
      <c r="D1494" s="1"/>
      <c r="E1494" s="1"/>
    </row>
    <row r="1495">
      <c r="A1495" s="1"/>
      <c r="B1495" s="1"/>
      <c r="C1495" s="1"/>
      <c r="D1495" s="1"/>
      <c r="E1495" s="1"/>
    </row>
    <row r="1496">
      <c r="A1496" s="1"/>
      <c r="B1496" s="1"/>
      <c r="C1496" s="1"/>
      <c r="D1496" s="1"/>
      <c r="E1496" s="1"/>
    </row>
    <row r="1497">
      <c r="A1497" s="1"/>
      <c r="B1497" s="1"/>
      <c r="C1497" s="1"/>
      <c r="D1497" s="1"/>
      <c r="E1497" s="1"/>
    </row>
    <row r="1498">
      <c r="A1498" s="1"/>
      <c r="B1498" s="1"/>
      <c r="C1498" s="1"/>
      <c r="D1498" s="1"/>
      <c r="E1498" s="1"/>
    </row>
    <row r="1499">
      <c r="A1499" s="1"/>
      <c r="B1499" s="1"/>
      <c r="C1499" s="1"/>
      <c r="D1499" s="1"/>
      <c r="E1499" s="1"/>
    </row>
    <row r="1500">
      <c r="A1500" s="1"/>
      <c r="B1500" s="1"/>
      <c r="C1500" s="1"/>
      <c r="D1500" s="1"/>
      <c r="E1500" s="1"/>
    </row>
    <row r="1501">
      <c r="A1501" s="1"/>
      <c r="B1501" s="1"/>
      <c r="C1501" s="1"/>
      <c r="D1501" s="1"/>
      <c r="E1501" s="1"/>
    </row>
    <row r="1502">
      <c r="A1502" s="1"/>
      <c r="B1502" s="1"/>
      <c r="C1502" s="1"/>
      <c r="D1502" s="1"/>
      <c r="E1502" s="1"/>
    </row>
    <row r="1503">
      <c r="A1503" s="1"/>
      <c r="B1503" s="1"/>
      <c r="C1503" s="1"/>
      <c r="D1503" s="1"/>
      <c r="E1503" s="1"/>
    </row>
    <row r="1504">
      <c r="A1504" s="1"/>
      <c r="B1504" s="1"/>
      <c r="C1504" s="1"/>
      <c r="D1504" s="1"/>
      <c r="E1504" s="1"/>
    </row>
    <row r="1505">
      <c r="A1505" s="1"/>
      <c r="B1505" s="1"/>
      <c r="C1505" s="1"/>
      <c r="D1505" s="1"/>
      <c r="E1505" s="1"/>
    </row>
    <row r="1506">
      <c r="A1506" s="1"/>
      <c r="B1506" s="1"/>
      <c r="C1506" s="1"/>
      <c r="D1506" s="1"/>
      <c r="E1506" s="1"/>
    </row>
    <row r="1507">
      <c r="A1507" s="1"/>
      <c r="B1507" s="1"/>
      <c r="C1507" s="1"/>
      <c r="D1507" s="1"/>
      <c r="E1507" s="1"/>
    </row>
    <row r="1508">
      <c r="A1508" s="1"/>
      <c r="B1508" s="1"/>
      <c r="C1508" s="1"/>
      <c r="D1508" s="1"/>
      <c r="E1508" s="1"/>
    </row>
    <row r="1509">
      <c r="A1509" s="1"/>
      <c r="B1509" s="1"/>
      <c r="C1509" s="1"/>
      <c r="D1509" s="1"/>
      <c r="E1509" s="1"/>
    </row>
    <row r="1510">
      <c r="A1510" s="1"/>
      <c r="B1510" s="1"/>
      <c r="C1510" s="1"/>
      <c r="D1510" s="1"/>
      <c r="E1510" s="1"/>
    </row>
    <row r="1511">
      <c r="A1511" s="1"/>
      <c r="B1511" s="1"/>
      <c r="C1511" s="1"/>
      <c r="D1511" s="1"/>
      <c r="E1511" s="1"/>
    </row>
    <row r="1512">
      <c r="A1512" s="1"/>
      <c r="B1512" s="1"/>
      <c r="C1512" s="1"/>
      <c r="D1512" s="1"/>
      <c r="E1512" s="1"/>
    </row>
    <row r="1513">
      <c r="A1513" s="1"/>
      <c r="B1513" s="1"/>
      <c r="C1513" s="1"/>
      <c r="D1513" s="1"/>
      <c r="E1513" s="1"/>
    </row>
    <row r="1514">
      <c r="A1514" s="1"/>
      <c r="B1514" s="1"/>
      <c r="C1514" s="1"/>
      <c r="D1514" s="1"/>
      <c r="E1514" s="1"/>
    </row>
    <row r="1515">
      <c r="A1515" s="1"/>
      <c r="B1515" s="1"/>
      <c r="C1515" s="1"/>
      <c r="D1515" s="1"/>
      <c r="E1515" s="1"/>
    </row>
    <row r="1516">
      <c r="A1516" s="1"/>
      <c r="B1516" s="1"/>
      <c r="C1516" s="1"/>
      <c r="D1516" s="1"/>
      <c r="E1516" s="1"/>
    </row>
    <row r="1517">
      <c r="A1517" s="1"/>
      <c r="B1517" s="1"/>
      <c r="C1517" s="1"/>
      <c r="D1517" s="1"/>
      <c r="E1517" s="1"/>
    </row>
    <row r="1518">
      <c r="A1518" s="1"/>
      <c r="B1518" s="1"/>
      <c r="C1518" s="1"/>
      <c r="D1518" s="1"/>
      <c r="E1518" s="1"/>
    </row>
    <row r="1519">
      <c r="A1519" s="1"/>
      <c r="B1519" s="1"/>
      <c r="C1519" s="1"/>
      <c r="D1519" s="1"/>
      <c r="E1519" s="1"/>
    </row>
    <row r="1520">
      <c r="A1520" s="1"/>
      <c r="B1520" s="1"/>
      <c r="C1520" s="1"/>
      <c r="D1520" s="1"/>
      <c r="E1520" s="1"/>
    </row>
    <row r="1521">
      <c r="A1521" s="1"/>
      <c r="B1521" s="1"/>
      <c r="C1521" s="1"/>
      <c r="D1521" s="1"/>
      <c r="E1521" s="1"/>
    </row>
    <row r="1522">
      <c r="A1522" s="1"/>
      <c r="B1522" s="1"/>
      <c r="C1522" s="1"/>
      <c r="D1522" s="1"/>
      <c r="E1522" s="1"/>
    </row>
    <row r="1523">
      <c r="A1523" s="1"/>
      <c r="B1523" s="1"/>
      <c r="C1523" s="1"/>
      <c r="D1523" s="1"/>
      <c r="E1523" s="1"/>
    </row>
    <row r="1524">
      <c r="A1524" s="1"/>
      <c r="B1524" s="1"/>
      <c r="C1524" s="1"/>
      <c r="D1524" s="1"/>
      <c r="E1524" s="1"/>
    </row>
    <row r="1525">
      <c r="A1525" s="1"/>
      <c r="B1525" s="1"/>
      <c r="C1525" s="1"/>
      <c r="D1525" s="1"/>
      <c r="E1525" s="1"/>
    </row>
    <row r="1526">
      <c r="A1526" s="1"/>
      <c r="B1526" s="1"/>
      <c r="C1526" s="1"/>
      <c r="D1526" s="1"/>
      <c r="E1526" s="1"/>
    </row>
    <row r="1527">
      <c r="A1527" s="1"/>
      <c r="B1527" s="1"/>
      <c r="C1527" s="1"/>
      <c r="D1527" s="1"/>
      <c r="E1527" s="1"/>
    </row>
    <row r="1528">
      <c r="A1528" s="1"/>
      <c r="B1528" s="1"/>
      <c r="C1528" s="1"/>
      <c r="D1528" s="1"/>
      <c r="E1528" s="1"/>
    </row>
    <row r="1529">
      <c r="A1529" s="1"/>
      <c r="B1529" s="1"/>
      <c r="C1529" s="1"/>
      <c r="D1529" s="1"/>
      <c r="E1529" s="1"/>
    </row>
    <row r="1530">
      <c r="A1530" s="1"/>
      <c r="B1530" s="1"/>
      <c r="C1530" s="1"/>
      <c r="D1530" s="1"/>
      <c r="E1530" s="1"/>
    </row>
    <row r="1531">
      <c r="A1531" s="1"/>
      <c r="B1531" s="1"/>
      <c r="C1531" s="1"/>
      <c r="D1531" s="1"/>
      <c r="E1531" s="1"/>
    </row>
    <row r="1532">
      <c r="A1532" s="1"/>
      <c r="B1532" s="1"/>
      <c r="C1532" s="1"/>
      <c r="D1532" s="1"/>
      <c r="E1532" s="1"/>
    </row>
    <row r="1533">
      <c r="A1533" s="1"/>
      <c r="B1533" s="1"/>
      <c r="C1533" s="1"/>
      <c r="D1533" s="1"/>
      <c r="E1533" s="1"/>
    </row>
    <row r="1534">
      <c r="A1534" s="1"/>
      <c r="B1534" s="1"/>
      <c r="C1534" s="1"/>
      <c r="D1534" s="1"/>
      <c r="E1534" s="1"/>
    </row>
    <row r="1535">
      <c r="A1535" s="1"/>
      <c r="B1535" s="1"/>
      <c r="C1535" s="1"/>
      <c r="D1535" s="1"/>
      <c r="E1535" s="1"/>
    </row>
    <row r="1536">
      <c r="A1536" s="1"/>
      <c r="B1536" s="1"/>
      <c r="C1536" s="1"/>
      <c r="D1536" s="1"/>
      <c r="E1536" s="1"/>
    </row>
    <row r="1537">
      <c r="A1537" s="1"/>
      <c r="B1537" s="1"/>
      <c r="C1537" s="1"/>
      <c r="D1537" s="1"/>
      <c r="E1537" s="1"/>
    </row>
    <row r="1538">
      <c r="A1538" s="1"/>
      <c r="B1538" s="1"/>
      <c r="C1538" s="1"/>
      <c r="D1538" s="1"/>
      <c r="E1538" s="1"/>
    </row>
    <row r="1539">
      <c r="A1539" s="1"/>
      <c r="B1539" s="1"/>
      <c r="C1539" s="1"/>
      <c r="D1539" s="1"/>
      <c r="E1539" s="1"/>
    </row>
    <row r="1540">
      <c r="A1540" s="1"/>
      <c r="B1540" s="1"/>
      <c r="C1540" s="1"/>
      <c r="D1540" s="1"/>
      <c r="E1540" s="1"/>
    </row>
    <row r="1541">
      <c r="A1541" s="1"/>
      <c r="B1541" s="1"/>
      <c r="C1541" s="1"/>
      <c r="D1541" s="1"/>
      <c r="E1541" s="1"/>
    </row>
    <row r="1542">
      <c r="A1542" s="1"/>
      <c r="B1542" s="1"/>
      <c r="C1542" s="1"/>
      <c r="D1542" s="1"/>
      <c r="E1542" s="1"/>
    </row>
    <row r="1543">
      <c r="A1543" s="1"/>
      <c r="B1543" s="1"/>
      <c r="C1543" s="1"/>
      <c r="D1543" s="1"/>
      <c r="E1543" s="1"/>
    </row>
    <row r="1544">
      <c r="A1544" s="1"/>
      <c r="B1544" s="1"/>
      <c r="C1544" s="1"/>
      <c r="D1544" s="1"/>
      <c r="E1544" s="1"/>
    </row>
    <row r="1545">
      <c r="A1545" s="1"/>
      <c r="B1545" s="1"/>
      <c r="C1545" s="1"/>
      <c r="D1545" s="1"/>
      <c r="E1545" s="1"/>
    </row>
    <row r="1546">
      <c r="A1546" s="1"/>
      <c r="B1546" s="1"/>
      <c r="C1546" s="1"/>
      <c r="D1546" s="1"/>
      <c r="E1546" s="1"/>
    </row>
    <row r="1547">
      <c r="A1547" s="1"/>
      <c r="B1547" s="1"/>
      <c r="C1547" s="1"/>
      <c r="D1547" s="1"/>
      <c r="E1547" s="1"/>
    </row>
    <row r="1548">
      <c r="A1548" s="1"/>
      <c r="B1548" s="1"/>
      <c r="C1548" s="1"/>
      <c r="D1548" s="1"/>
      <c r="E1548" s="1"/>
    </row>
    <row r="1549">
      <c r="A1549" s="1"/>
      <c r="B1549" s="1"/>
      <c r="C1549" s="1"/>
      <c r="D1549" s="1"/>
      <c r="E1549" s="1"/>
    </row>
    <row r="1550">
      <c r="A1550" s="1"/>
      <c r="B1550" s="1"/>
      <c r="C1550" s="1"/>
      <c r="D1550" s="1"/>
      <c r="E1550" s="1"/>
    </row>
    <row r="1551">
      <c r="A1551" s="1"/>
      <c r="B1551" s="1"/>
      <c r="C1551" s="1"/>
      <c r="D1551" s="1"/>
      <c r="E1551" s="1"/>
    </row>
    <row r="1552">
      <c r="A1552" s="1"/>
      <c r="B1552" s="1"/>
      <c r="C1552" s="1"/>
      <c r="D1552" s="1"/>
      <c r="E1552" s="1"/>
    </row>
    <row r="1553">
      <c r="A1553" s="1"/>
      <c r="B1553" s="1"/>
      <c r="C1553" s="1"/>
      <c r="D1553" s="1"/>
      <c r="E1553" s="1"/>
    </row>
    <row r="1554">
      <c r="A1554" s="1"/>
      <c r="B1554" s="1"/>
      <c r="C1554" s="1"/>
      <c r="D1554" s="1"/>
      <c r="E1554" s="1"/>
    </row>
    <row r="1555">
      <c r="A1555" s="1"/>
      <c r="B1555" s="1"/>
      <c r="C1555" s="1"/>
      <c r="D1555" s="1"/>
      <c r="E1555" s="1"/>
    </row>
    <row r="1556">
      <c r="A1556" s="1"/>
      <c r="B1556" s="1"/>
      <c r="C1556" s="1"/>
      <c r="D1556" s="1"/>
      <c r="E1556" s="1"/>
    </row>
    <row r="1557">
      <c r="A1557" s="1"/>
      <c r="B1557" s="1"/>
      <c r="C1557" s="1"/>
      <c r="D1557" s="1"/>
      <c r="E1557" s="1"/>
    </row>
    <row r="1558">
      <c r="A1558" s="1"/>
      <c r="B1558" s="1"/>
      <c r="C1558" s="1"/>
      <c r="D1558" s="1"/>
      <c r="E1558" s="1"/>
    </row>
    <row r="1559">
      <c r="A1559" s="1"/>
      <c r="B1559" s="1"/>
      <c r="C1559" s="1"/>
      <c r="D1559" s="1"/>
      <c r="E1559" s="1"/>
    </row>
    <row r="1560">
      <c r="A1560" s="1"/>
      <c r="B1560" s="1"/>
      <c r="C1560" s="1"/>
      <c r="D1560" s="1"/>
      <c r="E1560" s="1"/>
    </row>
    <row r="1561">
      <c r="A1561" s="1"/>
      <c r="B1561" s="1"/>
      <c r="C1561" s="1"/>
      <c r="D1561" s="1"/>
      <c r="E1561" s="1"/>
    </row>
    <row r="1562">
      <c r="A1562" s="1"/>
      <c r="B1562" s="1"/>
      <c r="C1562" s="1"/>
      <c r="D1562" s="1"/>
      <c r="E1562" s="1"/>
    </row>
    <row r="1563">
      <c r="A1563" s="1"/>
      <c r="B1563" s="1"/>
      <c r="C1563" s="1"/>
      <c r="D1563" s="1"/>
      <c r="E1563" s="1"/>
    </row>
    <row r="1564">
      <c r="A1564" s="1"/>
      <c r="B1564" s="1"/>
      <c r="C1564" s="1"/>
      <c r="D1564" s="1"/>
      <c r="E1564" s="1"/>
    </row>
    <row r="1565">
      <c r="A1565" s="1"/>
      <c r="B1565" s="1"/>
      <c r="C1565" s="1"/>
      <c r="D1565" s="1"/>
      <c r="E1565" s="1"/>
    </row>
    <row r="1566">
      <c r="A1566" s="1"/>
      <c r="B1566" s="1"/>
      <c r="C1566" s="1"/>
      <c r="D1566" s="1"/>
      <c r="E1566" s="1"/>
    </row>
    <row r="1567">
      <c r="A1567" s="1"/>
      <c r="B1567" s="1"/>
      <c r="C1567" s="1"/>
      <c r="D1567" s="1"/>
      <c r="E1567" s="1"/>
    </row>
    <row r="1568">
      <c r="A1568" s="1"/>
      <c r="B1568" s="1"/>
      <c r="C1568" s="1"/>
      <c r="D1568" s="1"/>
      <c r="E1568" s="1"/>
    </row>
    <row r="1569">
      <c r="A1569" s="1"/>
      <c r="B1569" s="1"/>
      <c r="C1569" s="1"/>
      <c r="D1569" s="1"/>
      <c r="E1569" s="1"/>
    </row>
    <row r="1570">
      <c r="A1570" s="1"/>
      <c r="B1570" s="1"/>
      <c r="C1570" s="1"/>
      <c r="D1570" s="1"/>
      <c r="E1570" s="1"/>
    </row>
    <row r="1571">
      <c r="A1571" s="1"/>
      <c r="B1571" s="1"/>
      <c r="C1571" s="1"/>
      <c r="D1571" s="1"/>
      <c r="E1571" s="1"/>
    </row>
    <row r="1572">
      <c r="A1572" s="1"/>
      <c r="B1572" s="1"/>
      <c r="C1572" s="1"/>
      <c r="D1572" s="1"/>
      <c r="E1572" s="1"/>
    </row>
    <row r="1573">
      <c r="A1573" s="1"/>
      <c r="B1573" s="1"/>
      <c r="C1573" s="1"/>
      <c r="D1573" s="1"/>
      <c r="E1573" s="1"/>
    </row>
    <row r="1574">
      <c r="A1574" s="1"/>
      <c r="B1574" s="1"/>
      <c r="C1574" s="1"/>
      <c r="D1574" s="1"/>
      <c r="E1574" s="1"/>
    </row>
    <row r="1575">
      <c r="A1575" s="1"/>
      <c r="B1575" s="1"/>
      <c r="C1575" s="1"/>
      <c r="D1575" s="1"/>
      <c r="E1575" s="1"/>
    </row>
    <row r="1576">
      <c r="A1576" s="1"/>
      <c r="B1576" s="1"/>
      <c r="C1576" s="1"/>
      <c r="D1576" s="1"/>
      <c r="E1576" s="1"/>
    </row>
    <row r="1577">
      <c r="A1577" s="1"/>
      <c r="B1577" s="1"/>
      <c r="C1577" s="1"/>
      <c r="D1577" s="1"/>
      <c r="E1577" s="1"/>
    </row>
    <row r="1578">
      <c r="A1578" s="1"/>
      <c r="B1578" s="1"/>
      <c r="C1578" s="1"/>
      <c r="D1578" s="1"/>
      <c r="E1578" s="1"/>
    </row>
    <row r="1579">
      <c r="A1579" s="1"/>
      <c r="B1579" s="1"/>
      <c r="C1579" s="1"/>
      <c r="D1579" s="1"/>
      <c r="E1579" s="1"/>
    </row>
    <row r="1580">
      <c r="A1580" s="1"/>
      <c r="B1580" s="1"/>
      <c r="C1580" s="1"/>
      <c r="D1580" s="1"/>
      <c r="E1580" s="1"/>
    </row>
    <row r="1581">
      <c r="A1581" s="1"/>
      <c r="B1581" s="1"/>
      <c r="C1581" s="1"/>
      <c r="D1581" s="1"/>
      <c r="E1581" s="1"/>
    </row>
    <row r="1582">
      <c r="A1582" s="1"/>
      <c r="B1582" s="1"/>
      <c r="C1582" s="1"/>
      <c r="D1582" s="1"/>
      <c r="E1582" s="1"/>
    </row>
    <row r="1583">
      <c r="A1583" s="1"/>
      <c r="B1583" s="1"/>
      <c r="C1583" s="1"/>
      <c r="D1583" s="1"/>
      <c r="E1583" s="1"/>
    </row>
    <row r="1584">
      <c r="A1584" s="1"/>
      <c r="B1584" s="1"/>
      <c r="C1584" s="1"/>
      <c r="D1584" s="1"/>
      <c r="E1584" s="1"/>
    </row>
    <row r="1585">
      <c r="A1585" s="1"/>
      <c r="B1585" s="1"/>
      <c r="C1585" s="1"/>
      <c r="D1585" s="1"/>
      <c r="E1585" s="1"/>
    </row>
    <row r="1586">
      <c r="A1586" s="1"/>
      <c r="B1586" s="1"/>
      <c r="C1586" s="1"/>
      <c r="D1586" s="1"/>
      <c r="E1586" s="1"/>
    </row>
    <row r="1587">
      <c r="A1587" s="1"/>
      <c r="B1587" s="1"/>
      <c r="C1587" s="1"/>
      <c r="D1587" s="1"/>
      <c r="E1587" s="1"/>
    </row>
    <row r="1588">
      <c r="A1588" s="1"/>
      <c r="B1588" s="1"/>
      <c r="C1588" s="1"/>
      <c r="D1588" s="1"/>
      <c r="E1588" s="1"/>
    </row>
    <row r="1589">
      <c r="A1589" s="1"/>
      <c r="B1589" s="1"/>
      <c r="C1589" s="1"/>
      <c r="D1589" s="1"/>
      <c r="E1589" s="1"/>
    </row>
    <row r="1590">
      <c r="A1590" s="1"/>
      <c r="B1590" s="1"/>
      <c r="C1590" s="1"/>
      <c r="D1590" s="1"/>
      <c r="E1590" s="1"/>
    </row>
    <row r="1591">
      <c r="A1591" s="1"/>
      <c r="B1591" s="1"/>
      <c r="C1591" s="1"/>
      <c r="D1591" s="1"/>
      <c r="E1591" s="1"/>
    </row>
    <row r="1592">
      <c r="A1592" s="1"/>
      <c r="B1592" s="1"/>
      <c r="C1592" s="1"/>
      <c r="D1592" s="1"/>
      <c r="E1592" s="1"/>
    </row>
    <row r="1593">
      <c r="A1593" s="1"/>
      <c r="B1593" s="1"/>
      <c r="C1593" s="1"/>
      <c r="D1593" s="1"/>
      <c r="E1593" s="1"/>
    </row>
    <row r="1594">
      <c r="A1594" s="1"/>
      <c r="B1594" s="1"/>
      <c r="C1594" s="1"/>
      <c r="D1594" s="1"/>
      <c r="E1594" s="1"/>
    </row>
    <row r="1595">
      <c r="A1595" s="1"/>
      <c r="B1595" s="1"/>
      <c r="C1595" s="1"/>
      <c r="D1595" s="1"/>
      <c r="E1595" s="1"/>
    </row>
    <row r="1596">
      <c r="A1596" s="1"/>
      <c r="B1596" s="1"/>
      <c r="C1596" s="1"/>
      <c r="D1596" s="1"/>
      <c r="E1596" s="1"/>
    </row>
    <row r="1597">
      <c r="A1597" s="1"/>
      <c r="B1597" s="1"/>
      <c r="C1597" s="1"/>
      <c r="D1597" s="1"/>
      <c r="E1597" s="1"/>
    </row>
    <row r="1598">
      <c r="A1598" s="1"/>
      <c r="B1598" s="1"/>
      <c r="C1598" s="1"/>
      <c r="D1598" s="1"/>
      <c r="E1598" s="1"/>
    </row>
    <row r="1599">
      <c r="A1599" s="1"/>
      <c r="B1599" s="1"/>
      <c r="C1599" s="1"/>
      <c r="D1599" s="1"/>
      <c r="E1599" s="1"/>
    </row>
    <row r="1600">
      <c r="A1600" s="1"/>
      <c r="B1600" s="1"/>
      <c r="C1600" s="1"/>
      <c r="D1600" s="1"/>
      <c r="E1600" s="1"/>
    </row>
    <row r="1601">
      <c r="A1601" s="1"/>
      <c r="B1601" s="1"/>
      <c r="C1601" s="1"/>
      <c r="D1601" s="1"/>
      <c r="E1601" s="1"/>
    </row>
    <row r="1602">
      <c r="A1602" s="1"/>
      <c r="B1602" s="1"/>
      <c r="C1602" s="1"/>
      <c r="D1602" s="1"/>
      <c r="E1602" s="1"/>
    </row>
    <row r="1603">
      <c r="A1603" s="1"/>
      <c r="B1603" s="1"/>
      <c r="C1603" s="1"/>
      <c r="D1603" s="1"/>
      <c r="E1603" s="1"/>
    </row>
    <row r="1604">
      <c r="A1604" s="1"/>
      <c r="B1604" s="1"/>
      <c r="C1604" s="1"/>
      <c r="D1604" s="1"/>
      <c r="E1604" s="1"/>
    </row>
    <row r="1605">
      <c r="A1605" s="1"/>
      <c r="B1605" s="1"/>
      <c r="C1605" s="1"/>
      <c r="D1605" s="1"/>
      <c r="E1605" s="1"/>
    </row>
    <row r="1606">
      <c r="A1606" s="1"/>
      <c r="B1606" s="1"/>
      <c r="C1606" s="1"/>
      <c r="D1606" s="1"/>
      <c r="E1606" s="1"/>
    </row>
    <row r="1607">
      <c r="A1607" s="1"/>
      <c r="B1607" s="1"/>
      <c r="C1607" s="1"/>
      <c r="D1607" s="1"/>
      <c r="E1607" s="1"/>
    </row>
    <row r="1608">
      <c r="A1608" s="1"/>
      <c r="B1608" s="1"/>
      <c r="C1608" s="1"/>
      <c r="D1608" s="1"/>
      <c r="E1608" s="1"/>
    </row>
    <row r="1609">
      <c r="A1609" s="1"/>
      <c r="B1609" s="1"/>
      <c r="C1609" s="1"/>
      <c r="D1609" s="1"/>
      <c r="E1609" s="1"/>
    </row>
    <row r="1610">
      <c r="A1610" s="1"/>
      <c r="B1610" s="1"/>
      <c r="C1610" s="1"/>
      <c r="D1610" s="1"/>
      <c r="E1610" s="1"/>
    </row>
    <row r="1611">
      <c r="A1611" s="1"/>
      <c r="B1611" s="1"/>
      <c r="C1611" s="1"/>
      <c r="D1611" s="1"/>
      <c r="E1611" s="1"/>
    </row>
    <row r="1612">
      <c r="A1612" s="1"/>
      <c r="B1612" s="1"/>
      <c r="C1612" s="1"/>
      <c r="D1612" s="1"/>
      <c r="E1612" s="1"/>
    </row>
    <row r="1613">
      <c r="A1613" s="1"/>
      <c r="B1613" s="1"/>
      <c r="C1613" s="1"/>
      <c r="D1613" s="1"/>
      <c r="E1613" s="1"/>
    </row>
    <row r="1614">
      <c r="A1614" s="1"/>
      <c r="B1614" s="1"/>
      <c r="C1614" s="1"/>
      <c r="D1614" s="1"/>
      <c r="E1614" s="1"/>
    </row>
    <row r="1615">
      <c r="A1615" s="1"/>
      <c r="B1615" s="1"/>
      <c r="C1615" s="1"/>
      <c r="D1615" s="1"/>
      <c r="E1615" s="1"/>
    </row>
    <row r="1616">
      <c r="A1616" s="1"/>
      <c r="B1616" s="1"/>
      <c r="C1616" s="1"/>
      <c r="D1616" s="1"/>
      <c r="E1616" s="1"/>
    </row>
    <row r="1617">
      <c r="A1617" s="1"/>
      <c r="B1617" s="1"/>
      <c r="C1617" s="1"/>
      <c r="D1617" s="1"/>
      <c r="E1617" s="1"/>
    </row>
    <row r="1618">
      <c r="A1618" s="1"/>
      <c r="B1618" s="1"/>
      <c r="C1618" s="1"/>
      <c r="D1618" s="1"/>
      <c r="E1618" s="1"/>
    </row>
    <row r="1619">
      <c r="A1619" s="1"/>
      <c r="B1619" s="1"/>
      <c r="C1619" s="1"/>
      <c r="D1619" s="1"/>
      <c r="E1619" s="1"/>
    </row>
    <row r="1620">
      <c r="A1620" s="1"/>
      <c r="B1620" s="1"/>
      <c r="C1620" s="1"/>
      <c r="D1620" s="1"/>
      <c r="E1620" s="1"/>
    </row>
    <row r="1621">
      <c r="A1621" s="1"/>
      <c r="B1621" s="1"/>
      <c r="C1621" s="1"/>
      <c r="D1621" s="1"/>
      <c r="E1621" s="1"/>
    </row>
    <row r="1622">
      <c r="A1622" s="1"/>
      <c r="B1622" s="1"/>
      <c r="C1622" s="1"/>
      <c r="D1622" s="1"/>
      <c r="E1622" s="1"/>
    </row>
    <row r="1623">
      <c r="A1623" s="1"/>
      <c r="B1623" s="1"/>
      <c r="C1623" s="1"/>
      <c r="D1623" s="1"/>
      <c r="E1623" s="1"/>
    </row>
    <row r="1624">
      <c r="A1624" s="1"/>
      <c r="B1624" s="1"/>
      <c r="C1624" s="1"/>
      <c r="D1624" s="1"/>
      <c r="E1624" s="1"/>
    </row>
    <row r="1625">
      <c r="A1625" s="1"/>
      <c r="B1625" s="1"/>
      <c r="C1625" s="1"/>
      <c r="D1625" s="1"/>
      <c r="E1625" s="1"/>
    </row>
    <row r="1626">
      <c r="A1626" s="1"/>
      <c r="B1626" s="1"/>
      <c r="C1626" s="1"/>
      <c r="D1626" s="1"/>
      <c r="E1626" s="1"/>
    </row>
    <row r="1627">
      <c r="A1627" s="1"/>
      <c r="B1627" s="1"/>
      <c r="C1627" s="1"/>
      <c r="D1627" s="1"/>
      <c r="E1627" s="1"/>
    </row>
    <row r="1628">
      <c r="A1628" s="1"/>
      <c r="B1628" s="1"/>
      <c r="C1628" s="1"/>
      <c r="D1628" s="1"/>
      <c r="E1628" s="1"/>
    </row>
    <row r="1629">
      <c r="A1629" s="1"/>
      <c r="B1629" s="1"/>
      <c r="C1629" s="1"/>
      <c r="D1629" s="1"/>
      <c r="E1629" s="1"/>
    </row>
    <row r="1630">
      <c r="A1630" s="1"/>
      <c r="B1630" s="1"/>
      <c r="C1630" s="1"/>
      <c r="D1630" s="1"/>
      <c r="E1630" s="1"/>
    </row>
    <row r="1631">
      <c r="A1631" s="1"/>
      <c r="B1631" s="1"/>
      <c r="C1631" s="1"/>
      <c r="D1631" s="1"/>
      <c r="E1631" s="1"/>
    </row>
    <row r="1632">
      <c r="A1632" s="1"/>
      <c r="B1632" s="1"/>
      <c r="C1632" s="1"/>
      <c r="D1632" s="1"/>
      <c r="E1632" s="1"/>
    </row>
    <row r="1633">
      <c r="A1633" s="1"/>
      <c r="B1633" s="1"/>
      <c r="C1633" s="1"/>
      <c r="D1633" s="1"/>
      <c r="E1633" s="1"/>
    </row>
    <row r="1634">
      <c r="A1634" s="1"/>
      <c r="B1634" s="1"/>
      <c r="C1634" s="1"/>
      <c r="D1634" s="1"/>
      <c r="E1634" s="1"/>
    </row>
    <row r="1635">
      <c r="A1635" s="1"/>
      <c r="B1635" s="1"/>
      <c r="C1635" s="1"/>
      <c r="D1635" s="1"/>
      <c r="E1635" s="1"/>
    </row>
    <row r="1636">
      <c r="A1636" s="1"/>
      <c r="B1636" s="1"/>
      <c r="C1636" s="1"/>
      <c r="D1636" s="1"/>
      <c r="E1636" s="1"/>
    </row>
    <row r="1637">
      <c r="A1637" s="1"/>
      <c r="B1637" s="1"/>
      <c r="C1637" s="1"/>
      <c r="D1637" s="1"/>
      <c r="E1637" s="1"/>
    </row>
    <row r="1638">
      <c r="A1638" s="1"/>
      <c r="B1638" s="1"/>
      <c r="C1638" s="1"/>
      <c r="D1638" s="1"/>
      <c r="E1638" s="1"/>
    </row>
    <row r="1639">
      <c r="A1639" s="1"/>
      <c r="B1639" s="1"/>
      <c r="C1639" s="1"/>
      <c r="D1639" s="1"/>
      <c r="E1639" s="1"/>
    </row>
    <row r="1640">
      <c r="A1640" s="1"/>
      <c r="B1640" s="1"/>
      <c r="C1640" s="1"/>
      <c r="D1640" s="1"/>
      <c r="E1640" s="1"/>
    </row>
    <row r="1641">
      <c r="A1641" s="1"/>
      <c r="B1641" s="1"/>
      <c r="C1641" s="1"/>
      <c r="D1641" s="1"/>
      <c r="E1641" s="1"/>
    </row>
    <row r="1642">
      <c r="A1642" s="1"/>
      <c r="B1642" s="1"/>
      <c r="C1642" s="1"/>
      <c r="D1642" s="1"/>
      <c r="E1642" s="1"/>
    </row>
    <row r="1643">
      <c r="A1643" s="1"/>
      <c r="B1643" s="1"/>
      <c r="C1643" s="1"/>
      <c r="D1643" s="1"/>
      <c r="E1643" s="1"/>
    </row>
    <row r="1644">
      <c r="A1644" s="1"/>
      <c r="B1644" s="1"/>
      <c r="C1644" s="1"/>
      <c r="D1644" s="1"/>
      <c r="E1644" s="1"/>
    </row>
    <row r="1645">
      <c r="A1645" s="1"/>
      <c r="B1645" s="1"/>
      <c r="C1645" s="1"/>
      <c r="D1645" s="1"/>
      <c r="E1645" s="1"/>
    </row>
    <row r="1646">
      <c r="A1646" s="1"/>
      <c r="B1646" s="1"/>
      <c r="C1646" s="1"/>
      <c r="D1646" s="1"/>
      <c r="E1646" s="1"/>
    </row>
    <row r="1647">
      <c r="A1647" s="1"/>
      <c r="B1647" s="1"/>
      <c r="C1647" s="1"/>
      <c r="D1647" s="1"/>
      <c r="E1647" s="1"/>
    </row>
    <row r="1648">
      <c r="A1648" s="1"/>
      <c r="B1648" s="1"/>
      <c r="C1648" s="1"/>
      <c r="D1648" s="1"/>
      <c r="E1648" s="1"/>
    </row>
    <row r="1649">
      <c r="A1649" s="1"/>
      <c r="B1649" s="1"/>
      <c r="C1649" s="1"/>
      <c r="D1649" s="1"/>
      <c r="E1649" s="1"/>
    </row>
    <row r="1650">
      <c r="A1650" s="1"/>
      <c r="B1650" s="1"/>
      <c r="C1650" s="1"/>
      <c r="D1650" s="1"/>
      <c r="E1650" s="1"/>
    </row>
    <row r="1651">
      <c r="A1651" s="1"/>
      <c r="B1651" s="1"/>
      <c r="C1651" s="1"/>
      <c r="D1651" s="1"/>
      <c r="E1651" s="1"/>
    </row>
    <row r="1652">
      <c r="A1652" s="1"/>
      <c r="B1652" s="1"/>
      <c r="C1652" s="1"/>
      <c r="D1652" s="1"/>
      <c r="E1652" s="1"/>
    </row>
    <row r="1653">
      <c r="A1653" s="1"/>
      <c r="B1653" s="1"/>
      <c r="C1653" s="1"/>
      <c r="D1653" s="1"/>
      <c r="E1653" s="1"/>
    </row>
    <row r="1654">
      <c r="A1654" s="1"/>
      <c r="B1654" s="1"/>
      <c r="C1654" s="1"/>
      <c r="D1654" s="1"/>
      <c r="E1654" s="1"/>
    </row>
    <row r="1655">
      <c r="A1655" s="1"/>
      <c r="B1655" s="1"/>
      <c r="C1655" s="1"/>
      <c r="D1655" s="1"/>
      <c r="E1655" s="1"/>
    </row>
    <row r="1656">
      <c r="A1656" s="1"/>
      <c r="B1656" s="1"/>
      <c r="C1656" s="1"/>
      <c r="D1656" s="1"/>
      <c r="E1656" s="1"/>
    </row>
    <row r="1657">
      <c r="A1657" s="1"/>
      <c r="B1657" s="1"/>
      <c r="C1657" s="1"/>
      <c r="D1657" s="1"/>
      <c r="E1657" s="1"/>
    </row>
    <row r="1658">
      <c r="A1658" s="1"/>
      <c r="B1658" s="1"/>
      <c r="C1658" s="1"/>
      <c r="D1658" s="1"/>
      <c r="E1658" s="1"/>
    </row>
    <row r="1659">
      <c r="A1659" s="1"/>
      <c r="B1659" s="1"/>
      <c r="C1659" s="1"/>
      <c r="D1659" s="1"/>
      <c r="E1659" s="1"/>
    </row>
    <row r="1660">
      <c r="A1660" s="1"/>
      <c r="B1660" s="1"/>
      <c r="C1660" s="1"/>
      <c r="D1660" s="1"/>
      <c r="E1660" s="1"/>
    </row>
    <row r="1661">
      <c r="A1661" s="1"/>
      <c r="B1661" s="1"/>
      <c r="C1661" s="1"/>
      <c r="D1661" s="1"/>
      <c r="E1661" s="1"/>
    </row>
    <row r="1662">
      <c r="A1662" s="1"/>
      <c r="B1662" s="1"/>
      <c r="C1662" s="1"/>
      <c r="D1662" s="1"/>
      <c r="E1662" s="1"/>
    </row>
    <row r="1663">
      <c r="A1663" s="1"/>
      <c r="B1663" s="1"/>
      <c r="C1663" s="1"/>
      <c r="D1663" s="1"/>
      <c r="E1663" s="1"/>
    </row>
    <row r="1664">
      <c r="A1664" s="1"/>
      <c r="B1664" s="1"/>
      <c r="C1664" s="1"/>
      <c r="D1664" s="1"/>
      <c r="E1664" s="1"/>
    </row>
    <row r="1665">
      <c r="A1665" s="1"/>
      <c r="B1665" s="1"/>
      <c r="C1665" s="1"/>
      <c r="D1665" s="1"/>
      <c r="E1665" s="1"/>
    </row>
    <row r="1666">
      <c r="A1666" s="1"/>
      <c r="B1666" s="1"/>
      <c r="C1666" s="1"/>
      <c r="D1666" s="1"/>
      <c r="E1666" s="1"/>
    </row>
    <row r="1667">
      <c r="A1667" s="1"/>
      <c r="B1667" s="1"/>
      <c r="C1667" s="1"/>
      <c r="D1667" s="1"/>
      <c r="E1667" s="1"/>
    </row>
    <row r="1668">
      <c r="A1668" s="1"/>
      <c r="B1668" s="1"/>
      <c r="C1668" s="1"/>
      <c r="D1668" s="1"/>
      <c r="E1668" s="1"/>
    </row>
    <row r="1669">
      <c r="A1669" s="1"/>
      <c r="B1669" s="1"/>
      <c r="C1669" s="1"/>
      <c r="D1669" s="1"/>
      <c r="E1669" s="1"/>
    </row>
    <row r="1670">
      <c r="A1670" s="1"/>
      <c r="B1670" s="1"/>
      <c r="C1670" s="1"/>
      <c r="D1670" s="1"/>
      <c r="E1670" s="1"/>
    </row>
    <row r="1671">
      <c r="A1671" s="1"/>
      <c r="B1671" s="1"/>
      <c r="C1671" s="1"/>
      <c r="D1671" s="1"/>
      <c r="E1671" s="1"/>
    </row>
    <row r="1672">
      <c r="A1672" s="1"/>
      <c r="B1672" s="1"/>
      <c r="C1672" s="1"/>
      <c r="D1672" s="1"/>
      <c r="E1672" s="1"/>
    </row>
    <row r="1673">
      <c r="A1673" s="1"/>
      <c r="B1673" s="1"/>
      <c r="C1673" s="1"/>
      <c r="D1673" s="1"/>
      <c r="E1673" s="1"/>
    </row>
    <row r="1674">
      <c r="A1674" s="1"/>
      <c r="B1674" s="1"/>
      <c r="C1674" s="1"/>
      <c r="D1674" s="1"/>
      <c r="E1674" s="1"/>
    </row>
    <row r="1675">
      <c r="A1675" s="1"/>
      <c r="B1675" s="1"/>
      <c r="C1675" s="1"/>
      <c r="D1675" s="1"/>
      <c r="E1675" s="1"/>
    </row>
    <row r="1676">
      <c r="A1676" s="1"/>
      <c r="B1676" s="1"/>
      <c r="C1676" s="1"/>
      <c r="D1676" s="1"/>
      <c r="E1676" s="1"/>
    </row>
    <row r="1677">
      <c r="A1677" s="1"/>
      <c r="B1677" s="1"/>
      <c r="C1677" s="1"/>
      <c r="D1677" s="1"/>
      <c r="E1677" s="1"/>
    </row>
    <row r="1678">
      <c r="A1678" s="1"/>
      <c r="B1678" s="1"/>
      <c r="C1678" s="1"/>
      <c r="D1678" s="1"/>
      <c r="E1678" s="1"/>
    </row>
    <row r="1679">
      <c r="A1679" s="1"/>
      <c r="B1679" s="1"/>
      <c r="C1679" s="1"/>
      <c r="D1679" s="1"/>
      <c r="E1679" s="1"/>
    </row>
    <row r="1680">
      <c r="A1680" s="1"/>
      <c r="B1680" s="1"/>
      <c r="C1680" s="1"/>
      <c r="D1680" s="1"/>
      <c r="E1680" s="1"/>
    </row>
    <row r="1681">
      <c r="A1681" s="1"/>
      <c r="B1681" s="1"/>
      <c r="C1681" s="1"/>
      <c r="D1681" s="1"/>
      <c r="E1681" s="1"/>
    </row>
    <row r="1682">
      <c r="A1682" s="1"/>
      <c r="B1682" s="1"/>
      <c r="C1682" s="1"/>
      <c r="D1682" s="1"/>
      <c r="E1682" s="1"/>
    </row>
    <row r="1683">
      <c r="A1683" s="1"/>
      <c r="B1683" s="1"/>
      <c r="C1683" s="1"/>
      <c r="D1683" s="1"/>
      <c r="E1683" s="1"/>
    </row>
    <row r="1684">
      <c r="A1684" s="1"/>
      <c r="B1684" s="1"/>
      <c r="C1684" s="1"/>
      <c r="D1684" s="1"/>
      <c r="E1684" s="1"/>
    </row>
    <row r="1685">
      <c r="A1685" s="1"/>
      <c r="B1685" s="1"/>
      <c r="C1685" s="1"/>
      <c r="D1685" s="1"/>
      <c r="E1685" s="1"/>
    </row>
    <row r="1686">
      <c r="A1686" s="1"/>
      <c r="B1686" s="1"/>
      <c r="C1686" s="1"/>
      <c r="D1686" s="1"/>
      <c r="E1686" s="1"/>
    </row>
    <row r="1687">
      <c r="A1687" s="1"/>
      <c r="B1687" s="1"/>
      <c r="C1687" s="1"/>
      <c r="D1687" s="1"/>
      <c r="E1687" s="1"/>
    </row>
    <row r="1688">
      <c r="A1688" s="1"/>
      <c r="B1688" s="1"/>
      <c r="C1688" s="1"/>
      <c r="D1688" s="1"/>
      <c r="E1688" s="1"/>
    </row>
    <row r="1689">
      <c r="A1689" s="1"/>
      <c r="B1689" s="1"/>
      <c r="C1689" s="1"/>
      <c r="D1689" s="1"/>
      <c r="E1689" s="1"/>
    </row>
    <row r="1690">
      <c r="A1690" s="1"/>
      <c r="B1690" s="1"/>
      <c r="C1690" s="1"/>
      <c r="D1690" s="1"/>
      <c r="E1690" s="1"/>
    </row>
    <row r="1691">
      <c r="A1691" s="1"/>
      <c r="B1691" s="1"/>
      <c r="C1691" s="1"/>
      <c r="D1691" s="1"/>
      <c r="E1691" s="1"/>
    </row>
    <row r="1692">
      <c r="A1692" s="1"/>
      <c r="B1692" s="1"/>
      <c r="C1692" s="1"/>
      <c r="D1692" s="1"/>
      <c r="E1692" s="1"/>
    </row>
    <row r="1693">
      <c r="A1693" s="1"/>
      <c r="B1693" s="1"/>
      <c r="C1693" s="1"/>
      <c r="D1693" s="1"/>
      <c r="E1693" s="1"/>
    </row>
    <row r="1694">
      <c r="A1694" s="1"/>
      <c r="B1694" s="1"/>
      <c r="C1694" s="1"/>
      <c r="D1694" s="1"/>
      <c r="E1694" s="1"/>
    </row>
    <row r="1695">
      <c r="A1695" s="1"/>
      <c r="B1695" s="1"/>
      <c r="C1695" s="1"/>
      <c r="D1695" s="1"/>
      <c r="E1695" s="1"/>
    </row>
    <row r="1696">
      <c r="A1696" s="1"/>
      <c r="B1696" s="1"/>
      <c r="C1696" s="1"/>
      <c r="D1696" s="1"/>
      <c r="E1696" s="1"/>
    </row>
    <row r="1697">
      <c r="A1697" s="1"/>
      <c r="B1697" s="1"/>
      <c r="C1697" s="1"/>
      <c r="D1697" s="1"/>
      <c r="E1697" s="1"/>
    </row>
    <row r="1698">
      <c r="A1698" s="1"/>
      <c r="B1698" s="1"/>
      <c r="C1698" s="1"/>
      <c r="D1698" s="1"/>
      <c r="E1698" s="1"/>
    </row>
    <row r="1699">
      <c r="A1699" s="1"/>
      <c r="B1699" s="1"/>
      <c r="C1699" s="1"/>
      <c r="D1699" s="1"/>
      <c r="E1699" s="1"/>
    </row>
    <row r="1700">
      <c r="A1700" s="1"/>
      <c r="B1700" s="1"/>
      <c r="C1700" s="1"/>
      <c r="D1700" s="1"/>
      <c r="E1700" s="1"/>
    </row>
    <row r="1701">
      <c r="A1701" s="1"/>
      <c r="B1701" s="1"/>
      <c r="C1701" s="1"/>
      <c r="D1701" s="1"/>
      <c r="E1701" s="1"/>
    </row>
    <row r="1702">
      <c r="A1702" s="1"/>
      <c r="B1702" s="1"/>
      <c r="C1702" s="1"/>
      <c r="D1702" s="1"/>
      <c r="E1702" s="1"/>
    </row>
    <row r="1703">
      <c r="A1703" s="1"/>
      <c r="B1703" s="1"/>
      <c r="C1703" s="1"/>
      <c r="D1703" s="1"/>
      <c r="E1703" s="1"/>
    </row>
    <row r="1704">
      <c r="A1704" s="1"/>
      <c r="B1704" s="1"/>
      <c r="C1704" s="1"/>
      <c r="D1704" s="1"/>
      <c r="E1704" s="1"/>
    </row>
    <row r="1705">
      <c r="A1705" s="1"/>
      <c r="B1705" s="1"/>
      <c r="C1705" s="1"/>
      <c r="D1705" s="1"/>
      <c r="E1705" s="1"/>
    </row>
    <row r="1706">
      <c r="A1706" s="1"/>
      <c r="B1706" s="1"/>
      <c r="C1706" s="1"/>
      <c r="D1706" s="1"/>
      <c r="E1706" s="1"/>
    </row>
    <row r="1707">
      <c r="A1707" s="1"/>
      <c r="B1707" s="1"/>
      <c r="C1707" s="1"/>
      <c r="D1707" s="1"/>
      <c r="E1707" s="1"/>
    </row>
    <row r="1708">
      <c r="A1708" s="1"/>
      <c r="B1708" s="1"/>
      <c r="C1708" s="1"/>
      <c r="D1708" s="1"/>
      <c r="E1708" s="1"/>
    </row>
    <row r="1709">
      <c r="A1709" s="1"/>
      <c r="B1709" s="1"/>
      <c r="C1709" s="1"/>
      <c r="D1709" s="1"/>
      <c r="E1709" s="1"/>
    </row>
    <row r="1710">
      <c r="A1710" s="1"/>
      <c r="B1710" s="1"/>
      <c r="C1710" s="1"/>
      <c r="D1710" s="1"/>
      <c r="E1710" s="1"/>
    </row>
    <row r="1711">
      <c r="A1711" s="1"/>
      <c r="B1711" s="1"/>
      <c r="C1711" s="1"/>
      <c r="D1711" s="1"/>
      <c r="E1711" s="1"/>
    </row>
    <row r="1712">
      <c r="A1712" s="1"/>
      <c r="B1712" s="1"/>
      <c r="C1712" s="1"/>
      <c r="D1712" s="1"/>
      <c r="E1712" s="1"/>
    </row>
    <row r="1713">
      <c r="A1713" s="1"/>
      <c r="B1713" s="1"/>
      <c r="C1713" s="1"/>
      <c r="D1713" s="1"/>
      <c r="E1713" s="1"/>
    </row>
    <row r="1714">
      <c r="A1714" s="1"/>
      <c r="B1714" s="1"/>
      <c r="C1714" s="1"/>
      <c r="D1714" s="1"/>
      <c r="E1714" s="1"/>
    </row>
    <row r="1715">
      <c r="A1715" s="1"/>
      <c r="B1715" s="1"/>
      <c r="C1715" s="1"/>
      <c r="D1715" s="1"/>
      <c r="E1715" s="1"/>
    </row>
    <row r="1716">
      <c r="A1716" s="1"/>
      <c r="B1716" s="1"/>
      <c r="C1716" s="1"/>
      <c r="D1716" s="1"/>
      <c r="E1716" s="1"/>
    </row>
    <row r="1717">
      <c r="A1717" s="1"/>
      <c r="B1717" s="1"/>
      <c r="C1717" s="1"/>
      <c r="D1717" s="1"/>
      <c r="E1717" s="1"/>
    </row>
    <row r="1718">
      <c r="A1718" s="1"/>
      <c r="B1718" s="1"/>
      <c r="C1718" s="1"/>
      <c r="D1718" s="1"/>
      <c r="E1718" s="1"/>
    </row>
    <row r="1719">
      <c r="A1719" s="1"/>
      <c r="B1719" s="1"/>
      <c r="C1719" s="1"/>
      <c r="D1719" s="1"/>
      <c r="E1719" s="1"/>
    </row>
    <row r="1720">
      <c r="A1720" s="1"/>
      <c r="B1720" s="1"/>
      <c r="C1720" s="1"/>
      <c r="D1720" s="1"/>
      <c r="E1720" s="1"/>
    </row>
    <row r="1721">
      <c r="A1721" s="1"/>
      <c r="B1721" s="1"/>
      <c r="C1721" s="1"/>
      <c r="D1721" s="1"/>
      <c r="E1721" s="1"/>
    </row>
    <row r="1722">
      <c r="A1722" s="1"/>
      <c r="B1722" s="1"/>
      <c r="C1722" s="1"/>
      <c r="D1722" s="1"/>
      <c r="E1722" s="1"/>
    </row>
    <row r="1723">
      <c r="A1723" s="1"/>
      <c r="B1723" s="1"/>
      <c r="C1723" s="1"/>
      <c r="D1723" s="1"/>
      <c r="E1723" s="1"/>
    </row>
    <row r="1724">
      <c r="A1724" s="1"/>
      <c r="B1724" s="1"/>
      <c r="C1724" s="1"/>
      <c r="D1724" s="1"/>
      <c r="E1724" s="1"/>
    </row>
    <row r="1725">
      <c r="A1725" s="1"/>
      <c r="B1725" s="1"/>
      <c r="C1725" s="1"/>
      <c r="D1725" s="1"/>
      <c r="E1725" s="1"/>
    </row>
    <row r="1726">
      <c r="A1726" s="1"/>
      <c r="B1726" s="1"/>
      <c r="C1726" s="1"/>
      <c r="D1726" s="1"/>
      <c r="E1726" s="1"/>
    </row>
    <row r="1727">
      <c r="A1727" s="1"/>
      <c r="B1727" s="1"/>
      <c r="C1727" s="1"/>
      <c r="D1727" s="1"/>
      <c r="E1727" s="1"/>
    </row>
    <row r="1728">
      <c r="A1728" s="1"/>
      <c r="B1728" s="1"/>
      <c r="C1728" s="1"/>
      <c r="D1728" s="1"/>
      <c r="E1728" s="1"/>
    </row>
    <row r="1729">
      <c r="A1729" s="1"/>
      <c r="B1729" s="1"/>
      <c r="C1729" s="1"/>
      <c r="D1729" s="1"/>
      <c r="E1729" s="1"/>
    </row>
    <row r="1730">
      <c r="A1730" s="1"/>
      <c r="B1730" s="1"/>
      <c r="C1730" s="1"/>
      <c r="D1730" s="1"/>
      <c r="E1730" s="1"/>
    </row>
    <row r="1731">
      <c r="A1731" s="1"/>
      <c r="B1731" s="1"/>
      <c r="C1731" s="1"/>
      <c r="D1731" s="1"/>
      <c r="E1731" s="1"/>
    </row>
    <row r="1732">
      <c r="A1732" s="1"/>
      <c r="B1732" s="1"/>
      <c r="C1732" s="1"/>
      <c r="D1732" s="1"/>
      <c r="E1732" s="1"/>
    </row>
    <row r="1733">
      <c r="A1733" s="1"/>
      <c r="B1733" s="1"/>
      <c r="C1733" s="1"/>
      <c r="D1733" s="1"/>
      <c r="E1733" s="1"/>
    </row>
    <row r="1734">
      <c r="A1734" s="1"/>
      <c r="B1734" s="1"/>
      <c r="C1734" s="1"/>
      <c r="D1734" s="1"/>
      <c r="E1734" s="1"/>
    </row>
    <row r="1735">
      <c r="A1735" s="1"/>
      <c r="B1735" s="1"/>
      <c r="C1735" s="1"/>
      <c r="D1735" s="1"/>
      <c r="E1735" s="1"/>
    </row>
    <row r="1736">
      <c r="A1736" s="1"/>
      <c r="B1736" s="1"/>
      <c r="C1736" s="1"/>
      <c r="D1736" s="1"/>
      <c r="E1736" s="1"/>
    </row>
    <row r="1737">
      <c r="A1737" s="1"/>
      <c r="B1737" s="1"/>
      <c r="C1737" s="1"/>
      <c r="D1737" s="1"/>
      <c r="E1737" s="1"/>
    </row>
    <row r="1738">
      <c r="A1738" s="1"/>
      <c r="B1738" s="1"/>
      <c r="C1738" s="1"/>
      <c r="D1738" s="1"/>
      <c r="E1738" s="1"/>
    </row>
    <row r="1739">
      <c r="A1739" s="1"/>
      <c r="B1739" s="1"/>
      <c r="C1739" s="1"/>
      <c r="D1739" s="1"/>
      <c r="E1739" s="1"/>
    </row>
    <row r="1740">
      <c r="A1740" s="1"/>
      <c r="B1740" s="1"/>
      <c r="C1740" s="1"/>
      <c r="D1740" s="1"/>
      <c r="E1740" s="1"/>
    </row>
    <row r="1741">
      <c r="A1741" s="1"/>
      <c r="B1741" s="1"/>
      <c r="C1741" s="1"/>
      <c r="D1741" s="1"/>
      <c r="E1741" s="1"/>
    </row>
    <row r="1742">
      <c r="A1742" s="1"/>
      <c r="B1742" s="1"/>
      <c r="C1742" s="1"/>
      <c r="D1742" s="1"/>
      <c r="E1742" s="1"/>
    </row>
    <row r="1743">
      <c r="A1743" s="1"/>
      <c r="B1743" s="1"/>
      <c r="C1743" s="1"/>
      <c r="D1743" s="1"/>
      <c r="E1743" s="1"/>
    </row>
    <row r="1744">
      <c r="A1744" s="1"/>
      <c r="B1744" s="1"/>
      <c r="C1744" s="1"/>
      <c r="D1744" s="1"/>
      <c r="E1744" s="1"/>
    </row>
    <row r="1745">
      <c r="A1745" s="1"/>
      <c r="B1745" s="1"/>
      <c r="C1745" s="1"/>
      <c r="D1745" s="1"/>
      <c r="E1745" s="1"/>
    </row>
    <row r="1746">
      <c r="A1746" s="1"/>
      <c r="B1746" s="1"/>
      <c r="C1746" s="1"/>
      <c r="D1746" s="1"/>
      <c r="E1746" s="1"/>
    </row>
    <row r="1747">
      <c r="A1747" s="1"/>
      <c r="B1747" s="1"/>
      <c r="C1747" s="1"/>
      <c r="D1747" s="1"/>
      <c r="E1747" s="1"/>
    </row>
    <row r="1748">
      <c r="A1748" s="1"/>
      <c r="B1748" s="1"/>
      <c r="C1748" s="1"/>
      <c r="D1748" s="1"/>
      <c r="E1748" s="1"/>
    </row>
    <row r="1749">
      <c r="A1749" s="1"/>
      <c r="B1749" s="1"/>
      <c r="C1749" s="1"/>
      <c r="D1749" s="1"/>
      <c r="E1749" s="1"/>
    </row>
    <row r="1750">
      <c r="A1750" s="1"/>
      <c r="B1750" s="1"/>
      <c r="C1750" s="1"/>
      <c r="D1750" s="1"/>
      <c r="E1750" s="1"/>
    </row>
    <row r="1751">
      <c r="A1751" s="1"/>
      <c r="B1751" s="1"/>
      <c r="C1751" s="1"/>
      <c r="D1751" s="1"/>
      <c r="E1751" s="1"/>
    </row>
    <row r="1752">
      <c r="A1752" s="1"/>
      <c r="B1752" s="1"/>
      <c r="C1752" s="1"/>
      <c r="D1752" s="1"/>
      <c r="E1752" s="1"/>
    </row>
    <row r="1753">
      <c r="A1753" s="1"/>
      <c r="B1753" s="1"/>
      <c r="C1753" s="1"/>
      <c r="D1753" s="1"/>
      <c r="E1753" s="1"/>
    </row>
    <row r="1754">
      <c r="A1754" s="1"/>
      <c r="B1754" s="1"/>
      <c r="C1754" s="1"/>
      <c r="D1754" s="1"/>
      <c r="E1754" s="1"/>
    </row>
    <row r="1755">
      <c r="A1755" s="1"/>
      <c r="B1755" s="1"/>
      <c r="C1755" s="1"/>
      <c r="D1755" s="1"/>
      <c r="E1755" s="1"/>
    </row>
    <row r="1756">
      <c r="A1756" s="1"/>
      <c r="B1756" s="1"/>
      <c r="C1756" s="1"/>
      <c r="D1756" s="1"/>
      <c r="E1756" s="1"/>
    </row>
    <row r="1757">
      <c r="A1757" s="1"/>
      <c r="B1757" s="1"/>
      <c r="C1757" s="1"/>
      <c r="D1757" s="1"/>
      <c r="E1757" s="1"/>
    </row>
    <row r="1758">
      <c r="A1758" s="1"/>
      <c r="B1758" s="1"/>
      <c r="C1758" s="1"/>
      <c r="D1758" s="1"/>
      <c r="E1758" s="1"/>
    </row>
    <row r="1759">
      <c r="A1759" s="1"/>
      <c r="B1759" s="1"/>
      <c r="C1759" s="1"/>
      <c r="D1759" s="1"/>
      <c r="E1759" s="1"/>
    </row>
    <row r="1760">
      <c r="A1760" s="1"/>
      <c r="B1760" s="1"/>
      <c r="C1760" s="1"/>
      <c r="D1760" s="1"/>
      <c r="E1760" s="1"/>
    </row>
    <row r="1761">
      <c r="A1761" s="1"/>
      <c r="B1761" s="1"/>
      <c r="C1761" s="1"/>
      <c r="D1761" s="1"/>
      <c r="E1761" s="1"/>
    </row>
    <row r="1762">
      <c r="A1762" s="1"/>
      <c r="B1762" s="1"/>
      <c r="C1762" s="1"/>
      <c r="D1762" s="1"/>
      <c r="E1762" s="1"/>
    </row>
    <row r="1763">
      <c r="A1763" s="1"/>
      <c r="B1763" s="1"/>
      <c r="C1763" s="1"/>
      <c r="D1763" s="1"/>
      <c r="E1763" s="1"/>
    </row>
    <row r="1764">
      <c r="A1764" s="1"/>
      <c r="B1764" s="1"/>
      <c r="C1764" s="1"/>
      <c r="D1764" s="1"/>
      <c r="E1764" s="1"/>
    </row>
    <row r="1765">
      <c r="A1765" s="1"/>
      <c r="B1765" s="1"/>
      <c r="C1765" s="1"/>
      <c r="D1765" s="1"/>
      <c r="E1765" s="1"/>
    </row>
    <row r="1766">
      <c r="A1766" s="1"/>
      <c r="B1766" s="1"/>
      <c r="C1766" s="1"/>
      <c r="D1766" s="1"/>
      <c r="E1766" s="1"/>
    </row>
    <row r="1767">
      <c r="A1767" s="1"/>
      <c r="B1767" s="1"/>
      <c r="C1767" s="1"/>
      <c r="D1767" s="1"/>
      <c r="E1767" s="1"/>
    </row>
    <row r="1768">
      <c r="A1768" s="1"/>
      <c r="B1768" s="1"/>
      <c r="C1768" s="1"/>
      <c r="D1768" s="1"/>
      <c r="E1768" s="1"/>
    </row>
    <row r="1769">
      <c r="A1769" s="1"/>
      <c r="B1769" s="1"/>
      <c r="C1769" s="1"/>
      <c r="D1769" s="1"/>
      <c r="E1769" s="1"/>
    </row>
    <row r="1770">
      <c r="A1770" s="1"/>
      <c r="B1770" s="1"/>
      <c r="C1770" s="1"/>
      <c r="D1770" s="1"/>
      <c r="E1770" s="1"/>
    </row>
    <row r="1771">
      <c r="A1771" s="1"/>
      <c r="B1771" s="1"/>
      <c r="C1771" s="1"/>
      <c r="D1771" s="1"/>
      <c r="E1771" s="1"/>
    </row>
    <row r="1772">
      <c r="A1772" s="1"/>
      <c r="B1772" s="1"/>
      <c r="C1772" s="1"/>
      <c r="D1772" s="1"/>
      <c r="E1772" s="1"/>
    </row>
    <row r="1773">
      <c r="A1773" s="1"/>
      <c r="B1773" s="1"/>
      <c r="C1773" s="1"/>
      <c r="D1773" s="1"/>
      <c r="E1773" s="1"/>
    </row>
    <row r="1774">
      <c r="A1774" s="1"/>
      <c r="B1774" s="1"/>
      <c r="C1774" s="1"/>
      <c r="D1774" s="1"/>
      <c r="E1774" s="1"/>
    </row>
    <row r="1775">
      <c r="A1775" s="1"/>
      <c r="B1775" s="1"/>
      <c r="C1775" s="1"/>
      <c r="D1775" s="1"/>
      <c r="E1775" s="1"/>
    </row>
    <row r="1776">
      <c r="A1776" s="1"/>
      <c r="B1776" s="1"/>
      <c r="C1776" s="1"/>
      <c r="D1776" s="1"/>
      <c r="E1776" s="1"/>
    </row>
    <row r="1777">
      <c r="A1777" s="1"/>
      <c r="B1777" s="1"/>
      <c r="C1777" s="1"/>
      <c r="D1777" s="1"/>
      <c r="E1777" s="1"/>
    </row>
    <row r="1778">
      <c r="A1778" s="1"/>
      <c r="B1778" s="1"/>
      <c r="C1778" s="1"/>
      <c r="D1778" s="1"/>
      <c r="E1778" s="1"/>
    </row>
    <row r="1779">
      <c r="A1779" s="1"/>
      <c r="B1779" s="1"/>
      <c r="C1779" s="1"/>
      <c r="D1779" s="1"/>
      <c r="E1779" s="1"/>
    </row>
    <row r="1780">
      <c r="A1780" s="1"/>
      <c r="B1780" s="1"/>
      <c r="C1780" s="1"/>
      <c r="D1780" s="1"/>
      <c r="E1780" s="1"/>
    </row>
    <row r="1781">
      <c r="A1781" s="1"/>
      <c r="B1781" s="1"/>
      <c r="C1781" s="1"/>
      <c r="D1781" s="1"/>
      <c r="E1781" s="1"/>
    </row>
    <row r="1782">
      <c r="A1782" s="1"/>
      <c r="B1782" s="1"/>
      <c r="C1782" s="1"/>
      <c r="D1782" s="1"/>
      <c r="E1782" s="1"/>
    </row>
    <row r="1783">
      <c r="A1783" s="1"/>
      <c r="B1783" s="1"/>
      <c r="C1783" s="1"/>
      <c r="D1783" s="1"/>
      <c r="E1783" s="1"/>
    </row>
    <row r="1784">
      <c r="A1784" s="1"/>
      <c r="B1784" s="1"/>
      <c r="C1784" s="1"/>
      <c r="D1784" s="1"/>
      <c r="E1784" s="1"/>
    </row>
    <row r="1785">
      <c r="A1785" s="1"/>
      <c r="B1785" s="1"/>
      <c r="C1785" s="1"/>
      <c r="D1785" s="1"/>
      <c r="E1785" s="1"/>
    </row>
    <row r="1786">
      <c r="A1786" s="1"/>
      <c r="B1786" s="1"/>
      <c r="C1786" s="1"/>
      <c r="D1786" s="1"/>
      <c r="E1786" s="1"/>
    </row>
    <row r="1787">
      <c r="A1787" s="1"/>
      <c r="B1787" s="1"/>
      <c r="C1787" s="1"/>
      <c r="D1787" s="1"/>
      <c r="E1787" s="1"/>
    </row>
    <row r="1788">
      <c r="A1788" s="1"/>
      <c r="B1788" s="1"/>
      <c r="C1788" s="1"/>
      <c r="D1788" s="1"/>
      <c r="E1788" s="1"/>
    </row>
    <row r="1789">
      <c r="A1789" s="1"/>
      <c r="B1789" s="1"/>
      <c r="C1789" s="1"/>
      <c r="D1789" s="1"/>
      <c r="E1789" s="1"/>
    </row>
    <row r="1790">
      <c r="A1790" s="1"/>
      <c r="B1790" s="1"/>
      <c r="C1790" s="1"/>
      <c r="D1790" s="1"/>
      <c r="E1790" s="1"/>
    </row>
    <row r="1791">
      <c r="A1791" s="1"/>
      <c r="B1791" s="1"/>
      <c r="C1791" s="1"/>
      <c r="D1791" s="1"/>
      <c r="E1791" s="1"/>
    </row>
    <row r="1792">
      <c r="A1792" s="1"/>
      <c r="B1792" s="1"/>
      <c r="C1792" s="1"/>
      <c r="D1792" s="1"/>
      <c r="E1792" s="1"/>
    </row>
    <row r="1793">
      <c r="A1793" s="1"/>
      <c r="B1793" s="1"/>
      <c r="C1793" s="1"/>
      <c r="D1793" s="1"/>
      <c r="E1793" s="1"/>
    </row>
    <row r="1794">
      <c r="A1794" s="1"/>
      <c r="B1794" s="1"/>
      <c r="C1794" s="1"/>
      <c r="D1794" s="1"/>
      <c r="E1794" s="1"/>
    </row>
    <row r="1795">
      <c r="A1795" s="1"/>
      <c r="B1795" s="1"/>
      <c r="C1795" s="1"/>
      <c r="D1795" s="1"/>
      <c r="E1795" s="1"/>
    </row>
    <row r="1796">
      <c r="A1796" s="1"/>
      <c r="B1796" s="1"/>
      <c r="C1796" s="1"/>
      <c r="D1796" s="1"/>
      <c r="E1796" s="1"/>
    </row>
    <row r="1797">
      <c r="A1797" s="1"/>
      <c r="B1797" s="1"/>
      <c r="C1797" s="1"/>
      <c r="D1797" s="1"/>
      <c r="E1797" s="1"/>
    </row>
    <row r="1798">
      <c r="A1798" s="1"/>
      <c r="B1798" s="1"/>
      <c r="C1798" s="1"/>
      <c r="D1798" s="1"/>
      <c r="E1798" s="1"/>
    </row>
    <row r="1799">
      <c r="A1799" s="1"/>
      <c r="B1799" s="1"/>
      <c r="C1799" s="1"/>
      <c r="D1799" s="1"/>
      <c r="E1799" s="1"/>
    </row>
    <row r="1800">
      <c r="A1800" s="1"/>
      <c r="B1800" s="1"/>
      <c r="C1800" s="1"/>
      <c r="D1800" s="1"/>
      <c r="E1800" s="1"/>
    </row>
    <row r="1801">
      <c r="A1801" s="1"/>
      <c r="B1801" s="1"/>
      <c r="C1801" s="1"/>
      <c r="D1801" s="1"/>
      <c r="E1801" s="1"/>
    </row>
    <row r="1802">
      <c r="A1802" s="1"/>
      <c r="B1802" s="1"/>
      <c r="C1802" s="1"/>
      <c r="D1802" s="1"/>
      <c r="E1802" s="1"/>
    </row>
    <row r="1803">
      <c r="A1803" s="1"/>
      <c r="B1803" s="1"/>
      <c r="C1803" s="1"/>
      <c r="D1803" s="1"/>
      <c r="E1803" s="1"/>
    </row>
    <row r="1804">
      <c r="A1804" s="1"/>
      <c r="B1804" s="1"/>
      <c r="C1804" s="1"/>
      <c r="D1804" s="1"/>
      <c r="E1804" s="1"/>
    </row>
    <row r="1805">
      <c r="A1805" s="1"/>
      <c r="B1805" s="1"/>
      <c r="C1805" s="1"/>
      <c r="D1805" s="1"/>
      <c r="E1805" s="1"/>
    </row>
    <row r="1806">
      <c r="A1806" s="1"/>
      <c r="B1806" s="1"/>
      <c r="C1806" s="1"/>
      <c r="D1806" s="1"/>
      <c r="E1806" s="1"/>
    </row>
    <row r="1807">
      <c r="A1807" s="1"/>
      <c r="B1807" s="1"/>
      <c r="C1807" s="1"/>
      <c r="D1807" s="1"/>
      <c r="E1807" s="1"/>
    </row>
    <row r="1808">
      <c r="A1808" s="1"/>
      <c r="B1808" s="1"/>
      <c r="C1808" s="1"/>
      <c r="D1808" s="1"/>
      <c r="E1808" s="1"/>
    </row>
    <row r="1809">
      <c r="A1809" s="1"/>
      <c r="B1809" s="1"/>
      <c r="C1809" s="1"/>
      <c r="D1809" s="1"/>
      <c r="E1809" s="1"/>
    </row>
    <row r="1810">
      <c r="A1810" s="1"/>
      <c r="B1810" s="1"/>
      <c r="C1810" s="1"/>
      <c r="D1810" s="1"/>
      <c r="E1810" s="1"/>
    </row>
    <row r="1811">
      <c r="A1811" s="1"/>
      <c r="B1811" s="1"/>
      <c r="C1811" s="1"/>
      <c r="D1811" s="1"/>
      <c r="E1811" s="1"/>
    </row>
    <row r="1812">
      <c r="A1812" s="1"/>
      <c r="B1812" s="1"/>
      <c r="C1812" s="1"/>
      <c r="D1812" s="1"/>
      <c r="E1812" s="1"/>
    </row>
    <row r="1813">
      <c r="A1813" s="1"/>
      <c r="B1813" s="1"/>
      <c r="C1813" s="1"/>
      <c r="D1813" s="1"/>
      <c r="E1813" s="1"/>
    </row>
    <row r="1814">
      <c r="A1814" s="1"/>
      <c r="B1814" s="1"/>
      <c r="C1814" s="1"/>
      <c r="D1814" s="1"/>
      <c r="E1814" s="1"/>
    </row>
    <row r="1815">
      <c r="A1815" s="1"/>
      <c r="B1815" s="1"/>
      <c r="C1815" s="1"/>
      <c r="D1815" s="1"/>
      <c r="E1815" s="1"/>
    </row>
    <row r="1816">
      <c r="A1816" s="1"/>
      <c r="B1816" s="1"/>
      <c r="C1816" s="1"/>
      <c r="D1816" s="1"/>
      <c r="E1816" s="1"/>
    </row>
    <row r="1817">
      <c r="A1817" s="1"/>
      <c r="B1817" s="1"/>
      <c r="C1817" s="1"/>
      <c r="D1817" s="1"/>
      <c r="E1817" s="1"/>
    </row>
    <row r="1818">
      <c r="A1818" s="1"/>
      <c r="B1818" s="1"/>
      <c r="C1818" s="1"/>
      <c r="D1818" s="1"/>
      <c r="E1818" s="1"/>
    </row>
    <row r="1819">
      <c r="A1819" s="1"/>
      <c r="B1819" s="1"/>
      <c r="C1819" s="1"/>
      <c r="D1819" s="1"/>
      <c r="E1819" s="1"/>
    </row>
    <row r="1820">
      <c r="A1820" s="1"/>
      <c r="B1820" s="1"/>
      <c r="C1820" s="1"/>
      <c r="D1820" s="1"/>
      <c r="E1820" s="1"/>
    </row>
    <row r="1821">
      <c r="A1821" s="1"/>
      <c r="B1821" s="1"/>
      <c r="C1821" s="1"/>
      <c r="D1821" s="1"/>
      <c r="E1821" s="1"/>
    </row>
    <row r="1822">
      <c r="A1822" s="1"/>
      <c r="B1822" s="1"/>
      <c r="C1822" s="1"/>
      <c r="D1822" s="1"/>
      <c r="E1822" s="1"/>
    </row>
    <row r="1823">
      <c r="A1823" s="1"/>
      <c r="B1823" s="1"/>
      <c r="C1823" s="1"/>
      <c r="D1823" s="1"/>
      <c r="E1823" s="1"/>
    </row>
    <row r="1824">
      <c r="A1824" s="1"/>
      <c r="B1824" s="1"/>
      <c r="C1824" s="1"/>
      <c r="D1824" s="1"/>
      <c r="E1824" s="1"/>
    </row>
    <row r="1825">
      <c r="A1825" s="1"/>
      <c r="B1825" s="1"/>
      <c r="C1825" s="1"/>
      <c r="D1825" s="1"/>
      <c r="E1825" s="1"/>
    </row>
    <row r="1826">
      <c r="A1826" s="1"/>
      <c r="B1826" s="1"/>
      <c r="C1826" s="1"/>
      <c r="D1826" s="1"/>
      <c r="E1826" s="1"/>
    </row>
    <row r="1827">
      <c r="A1827" s="1"/>
      <c r="B1827" s="1"/>
      <c r="C1827" s="1"/>
      <c r="D1827" s="1"/>
      <c r="E1827" s="1"/>
    </row>
    <row r="1828">
      <c r="A1828" s="1"/>
      <c r="B1828" s="1"/>
      <c r="C1828" s="1"/>
      <c r="D1828" s="1"/>
      <c r="E1828" s="1"/>
    </row>
    <row r="1829">
      <c r="A1829" s="1"/>
      <c r="B1829" s="1"/>
      <c r="C1829" s="1"/>
      <c r="D1829" s="1"/>
      <c r="E1829" s="1"/>
    </row>
    <row r="1830">
      <c r="A1830" s="1"/>
      <c r="B1830" s="1"/>
      <c r="C1830" s="1"/>
      <c r="D1830" s="1"/>
      <c r="E1830" s="1"/>
    </row>
    <row r="1831">
      <c r="A1831" s="1"/>
      <c r="B1831" s="1"/>
      <c r="C1831" s="1"/>
      <c r="D1831" s="1"/>
      <c r="E1831" s="1"/>
    </row>
    <row r="1832">
      <c r="A1832" s="1"/>
      <c r="B1832" s="1"/>
      <c r="C1832" s="1"/>
      <c r="D1832" s="1"/>
      <c r="E1832" s="1"/>
    </row>
    <row r="1833">
      <c r="A1833" s="1"/>
      <c r="B1833" s="1"/>
      <c r="C1833" s="1"/>
      <c r="D1833" s="1"/>
      <c r="E1833" s="1"/>
    </row>
    <row r="1834">
      <c r="A1834" s="1"/>
      <c r="B1834" s="1"/>
      <c r="C1834" s="1"/>
      <c r="D1834" s="1"/>
      <c r="E1834" s="1"/>
    </row>
    <row r="1835">
      <c r="A1835" s="1"/>
      <c r="B1835" s="1"/>
      <c r="C1835" s="1"/>
      <c r="D1835" s="1"/>
      <c r="E1835" s="1"/>
    </row>
    <row r="1836">
      <c r="A1836" s="1"/>
      <c r="B1836" s="1"/>
      <c r="C1836" s="1"/>
      <c r="D1836" s="1"/>
      <c r="E1836" s="1"/>
    </row>
    <row r="1837">
      <c r="A1837" s="1"/>
      <c r="B1837" s="1"/>
      <c r="C1837" s="1"/>
      <c r="D1837" s="1"/>
      <c r="E1837" s="1"/>
    </row>
    <row r="1838">
      <c r="A1838" s="1"/>
      <c r="B1838" s="1"/>
      <c r="C1838" s="1"/>
      <c r="D1838" s="1"/>
      <c r="E1838" s="1"/>
    </row>
    <row r="1839">
      <c r="A1839" s="1"/>
      <c r="B1839" s="1"/>
      <c r="C1839" s="1"/>
      <c r="D1839" s="1"/>
      <c r="E1839" s="1"/>
    </row>
    <row r="1840">
      <c r="A1840" s="1"/>
      <c r="B1840" s="1"/>
      <c r="C1840" s="1"/>
      <c r="D1840" s="1"/>
      <c r="E1840" s="1"/>
    </row>
    <row r="1841">
      <c r="A1841" s="1"/>
      <c r="B1841" s="1"/>
      <c r="C1841" s="1"/>
      <c r="D1841" s="1"/>
      <c r="E1841" s="1"/>
    </row>
    <row r="1842">
      <c r="A1842" s="1"/>
      <c r="B1842" s="1"/>
      <c r="C1842" s="1"/>
      <c r="D1842" s="1"/>
      <c r="E1842" s="1"/>
    </row>
    <row r="1843">
      <c r="A1843" s="1"/>
      <c r="B1843" s="1"/>
      <c r="C1843" s="1"/>
      <c r="D1843" s="1"/>
      <c r="E1843" s="1"/>
    </row>
    <row r="1844">
      <c r="A1844" s="1"/>
      <c r="B1844" s="1"/>
      <c r="C1844" s="1"/>
      <c r="D1844" s="1"/>
      <c r="E1844" s="1"/>
    </row>
    <row r="1845">
      <c r="A1845" s="1"/>
      <c r="B1845" s="1"/>
      <c r="C1845" s="1"/>
      <c r="D1845" s="1"/>
      <c r="E1845" s="1"/>
    </row>
    <row r="1846">
      <c r="A1846" s="1"/>
      <c r="B1846" s="1"/>
      <c r="C1846" s="1"/>
      <c r="D1846" s="1"/>
      <c r="E1846" s="1"/>
    </row>
    <row r="1847">
      <c r="A1847" s="1"/>
      <c r="B1847" s="1"/>
      <c r="C1847" s="1"/>
      <c r="D1847" s="1"/>
      <c r="E1847" s="1"/>
    </row>
    <row r="1848">
      <c r="A1848" s="1"/>
      <c r="B1848" s="1"/>
      <c r="C1848" s="1"/>
      <c r="D1848" s="1"/>
      <c r="E1848" s="1"/>
    </row>
    <row r="1849">
      <c r="A1849" s="1"/>
      <c r="B1849" s="1"/>
      <c r="C1849" s="1"/>
      <c r="D1849" s="1"/>
      <c r="E1849" s="1"/>
    </row>
    <row r="1850">
      <c r="A1850" s="1"/>
      <c r="B1850" s="1"/>
      <c r="C1850" s="1"/>
      <c r="D1850" s="1"/>
      <c r="E1850" s="1"/>
    </row>
    <row r="1851">
      <c r="A1851" s="1"/>
      <c r="B1851" s="1"/>
      <c r="C1851" s="1"/>
      <c r="D1851" s="1"/>
      <c r="E1851" s="1"/>
    </row>
    <row r="1852">
      <c r="A1852" s="1"/>
      <c r="B1852" s="1"/>
      <c r="C1852" s="1"/>
      <c r="D1852" s="1"/>
      <c r="E1852" s="1"/>
    </row>
    <row r="1853">
      <c r="A1853" s="1"/>
      <c r="B1853" s="1"/>
      <c r="C1853" s="1"/>
      <c r="D1853" s="1"/>
      <c r="E1853" s="1"/>
    </row>
    <row r="1854">
      <c r="A1854" s="1"/>
      <c r="B1854" s="1"/>
      <c r="C1854" s="1"/>
      <c r="D1854" s="1"/>
      <c r="E1854" s="1"/>
    </row>
    <row r="1855">
      <c r="A1855" s="1"/>
      <c r="B1855" s="1"/>
      <c r="C1855" s="1"/>
      <c r="D1855" s="1"/>
      <c r="E1855" s="1"/>
    </row>
    <row r="1856">
      <c r="A1856" s="1"/>
      <c r="B1856" s="1"/>
      <c r="C1856" s="1"/>
      <c r="D1856" s="1"/>
      <c r="E1856" s="1"/>
    </row>
    <row r="1857">
      <c r="A1857" s="1"/>
      <c r="B1857" s="1"/>
      <c r="C1857" s="1"/>
      <c r="D1857" s="1"/>
      <c r="E1857" s="1"/>
    </row>
    <row r="1858">
      <c r="A1858" s="1"/>
      <c r="B1858" s="1"/>
      <c r="C1858" s="1"/>
      <c r="D1858" s="1"/>
      <c r="E1858" s="1"/>
    </row>
    <row r="1859">
      <c r="A1859" s="1"/>
      <c r="B1859" s="1"/>
      <c r="C1859" s="1"/>
      <c r="D1859" s="1"/>
      <c r="E1859" s="1"/>
    </row>
    <row r="1860">
      <c r="A1860" s="1"/>
      <c r="B1860" s="1"/>
      <c r="C1860" s="1"/>
      <c r="D1860" s="1"/>
      <c r="E1860" s="1"/>
    </row>
    <row r="1861">
      <c r="A1861" s="1"/>
      <c r="B1861" s="1"/>
      <c r="C1861" s="1"/>
      <c r="D1861" s="1"/>
      <c r="E1861" s="1"/>
    </row>
    <row r="1862">
      <c r="A1862" s="1"/>
      <c r="B1862" s="1"/>
      <c r="C1862" s="1"/>
      <c r="D1862" s="1"/>
      <c r="E1862" s="1"/>
    </row>
    <row r="1863">
      <c r="A1863" s="1"/>
      <c r="B1863" s="1"/>
      <c r="C1863" s="1"/>
      <c r="D1863" s="1"/>
      <c r="E1863" s="1"/>
    </row>
    <row r="1864">
      <c r="A1864" s="1"/>
      <c r="B1864" s="1"/>
      <c r="C1864" s="1"/>
      <c r="D1864" s="1"/>
      <c r="E1864" s="1"/>
    </row>
    <row r="1865">
      <c r="A1865" s="1"/>
      <c r="B1865" s="1"/>
      <c r="C1865" s="1"/>
      <c r="D1865" s="1"/>
      <c r="E1865" s="1"/>
    </row>
    <row r="1866">
      <c r="A1866" s="1"/>
      <c r="B1866" s="1"/>
      <c r="C1866" s="1"/>
      <c r="D1866" s="1"/>
      <c r="E1866" s="1"/>
    </row>
    <row r="1867">
      <c r="A1867" s="1"/>
      <c r="B1867" s="1"/>
      <c r="C1867" s="1"/>
      <c r="D1867" s="1"/>
      <c r="E1867" s="1"/>
    </row>
    <row r="1868">
      <c r="A1868" s="1"/>
      <c r="B1868" s="1"/>
      <c r="C1868" s="1"/>
      <c r="D1868" s="1"/>
      <c r="E1868" s="1"/>
    </row>
    <row r="1869">
      <c r="A1869" s="1"/>
      <c r="B1869" s="1"/>
      <c r="C1869" s="1"/>
      <c r="D1869" s="1"/>
      <c r="E1869" s="1"/>
    </row>
    <row r="1870">
      <c r="A1870" s="1"/>
      <c r="B1870" s="1"/>
      <c r="C1870" s="1"/>
      <c r="D1870" s="1"/>
      <c r="E1870" s="1"/>
    </row>
    <row r="1871">
      <c r="A1871" s="1"/>
      <c r="B1871" s="1"/>
      <c r="C1871" s="1"/>
      <c r="D1871" s="1"/>
      <c r="E1871" s="1"/>
    </row>
    <row r="1872">
      <c r="A1872" s="1"/>
      <c r="B1872" s="1"/>
      <c r="C1872" s="1"/>
      <c r="D1872" s="1"/>
      <c r="E1872" s="1"/>
    </row>
    <row r="1873">
      <c r="A1873" s="1"/>
      <c r="B1873" s="1"/>
      <c r="C1873" s="1"/>
      <c r="D1873" s="1"/>
      <c r="E1873" s="1"/>
    </row>
    <row r="1874">
      <c r="A1874" s="1"/>
      <c r="B1874" s="1"/>
      <c r="C1874" s="1"/>
      <c r="D1874" s="1"/>
      <c r="E1874" s="1"/>
    </row>
    <row r="1875">
      <c r="A1875" s="1"/>
      <c r="B1875" s="1"/>
      <c r="C1875" s="1"/>
      <c r="D1875" s="1"/>
      <c r="E1875" s="1"/>
    </row>
    <row r="1876">
      <c r="A1876" s="1"/>
      <c r="B1876" s="1"/>
      <c r="C1876" s="1"/>
      <c r="D1876" s="1"/>
      <c r="E1876" s="1"/>
    </row>
    <row r="1877">
      <c r="A1877" s="1"/>
      <c r="B1877" s="1"/>
      <c r="C1877" s="1"/>
      <c r="D1877" s="1"/>
      <c r="E1877" s="1"/>
    </row>
    <row r="1878">
      <c r="A1878" s="1"/>
      <c r="B1878" s="1"/>
      <c r="C1878" s="1"/>
      <c r="D1878" s="1"/>
      <c r="E1878" s="1"/>
    </row>
    <row r="1879">
      <c r="A1879" s="1"/>
      <c r="B1879" s="1"/>
      <c r="C1879" s="1"/>
      <c r="D1879" s="1"/>
      <c r="E1879" s="1"/>
    </row>
    <row r="1880">
      <c r="A1880" s="1"/>
      <c r="B1880" s="1"/>
      <c r="C1880" s="1"/>
      <c r="D1880" s="1"/>
      <c r="E1880" s="1"/>
    </row>
    <row r="1881">
      <c r="A1881" s="1"/>
      <c r="B1881" s="1"/>
      <c r="C1881" s="1"/>
      <c r="D1881" s="1"/>
      <c r="E1881" s="1"/>
    </row>
    <row r="1882">
      <c r="A1882" s="1"/>
      <c r="B1882" s="1"/>
      <c r="C1882" s="1"/>
      <c r="D1882" s="1"/>
      <c r="E1882" s="1"/>
    </row>
    <row r="1883">
      <c r="A1883" s="1"/>
      <c r="B1883" s="1"/>
      <c r="C1883" s="1"/>
      <c r="D1883" s="1"/>
      <c r="E1883" s="1"/>
    </row>
    <row r="1884">
      <c r="A1884" s="1"/>
      <c r="B1884" s="1"/>
      <c r="C1884" s="1"/>
      <c r="D1884" s="1"/>
      <c r="E1884" s="1"/>
    </row>
    <row r="1885">
      <c r="A1885" s="1"/>
      <c r="B1885" s="1"/>
      <c r="C1885" s="1"/>
      <c r="D1885" s="1"/>
      <c r="E1885" s="1"/>
    </row>
    <row r="1886">
      <c r="A1886" s="1"/>
      <c r="B1886" s="1"/>
      <c r="C1886" s="1"/>
      <c r="D1886" s="1"/>
      <c r="E1886" s="1"/>
    </row>
    <row r="1887">
      <c r="A1887" s="1"/>
      <c r="B1887" s="1"/>
      <c r="C1887" s="1"/>
      <c r="D1887" s="1"/>
      <c r="E1887" s="1"/>
    </row>
    <row r="1888">
      <c r="A1888" s="1"/>
      <c r="B1888" s="1"/>
      <c r="C1888" s="1"/>
      <c r="D1888" s="1"/>
      <c r="E1888" s="1"/>
    </row>
    <row r="1889">
      <c r="A1889" s="1"/>
      <c r="B1889" s="1"/>
      <c r="C1889" s="1"/>
      <c r="D1889" s="1"/>
      <c r="E1889" s="1"/>
    </row>
    <row r="1890">
      <c r="A1890" s="1"/>
      <c r="B1890" s="1"/>
      <c r="C1890" s="1"/>
      <c r="D1890" s="1"/>
      <c r="E1890" s="1"/>
    </row>
    <row r="1891">
      <c r="A1891" s="1"/>
      <c r="B1891" s="1"/>
      <c r="C1891" s="1"/>
      <c r="D1891" s="1"/>
      <c r="E1891" s="1"/>
    </row>
    <row r="1892">
      <c r="A1892" s="1"/>
      <c r="B1892" s="1"/>
      <c r="C1892" s="1"/>
      <c r="D1892" s="1"/>
      <c r="E1892" s="1"/>
    </row>
    <row r="1893">
      <c r="A1893" s="1"/>
      <c r="B1893" s="1"/>
      <c r="C1893" s="1"/>
      <c r="D1893" s="1"/>
      <c r="E1893" s="1"/>
    </row>
    <row r="1894">
      <c r="A1894" s="1"/>
      <c r="B1894" s="1"/>
      <c r="C1894" s="1"/>
      <c r="D1894" s="1"/>
      <c r="E1894" s="1"/>
    </row>
    <row r="1895">
      <c r="A1895" s="1"/>
      <c r="B1895" s="1"/>
      <c r="C1895" s="1"/>
      <c r="D1895" s="1"/>
      <c r="E1895" s="1"/>
    </row>
    <row r="1896">
      <c r="A1896" s="1"/>
      <c r="B1896" s="1"/>
      <c r="C1896" s="1"/>
      <c r="D1896" s="1"/>
      <c r="E1896" s="1"/>
    </row>
    <row r="1897">
      <c r="A1897" s="1"/>
      <c r="B1897" s="1"/>
      <c r="C1897" s="1"/>
      <c r="D1897" s="1"/>
      <c r="E1897" s="1"/>
    </row>
    <row r="1898">
      <c r="A1898" s="1"/>
      <c r="B1898" s="1"/>
      <c r="C1898" s="1"/>
      <c r="D1898" s="1"/>
      <c r="E1898" s="1"/>
    </row>
    <row r="1899">
      <c r="A1899" s="1"/>
      <c r="B1899" s="1"/>
      <c r="C1899" s="1"/>
      <c r="D1899" s="1"/>
      <c r="E1899" s="1"/>
    </row>
    <row r="1900">
      <c r="A1900" s="1"/>
      <c r="B1900" s="1"/>
      <c r="C1900" s="1"/>
      <c r="D1900" s="1"/>
      <c r="E1900" s="1"/>
    </row>
    <row r="1901">
      <c r="A1901" s="1"/>
      <c r="B1901" s="1"/>
      <c r="C1901" s="1"/>
      <c r="D1901" s="1"/>
      <c r="E1901" s="1"/>
    </row>
    <row r="1902">
      <c r="A1902" s="1"/>
      <c r="B1902" s="1"/>
      <c r="C1902" s="1"/>
      <c r="D1902" s="1"/>
      <c r="E1902" s="1"/>
    </row>
    <row r="1903">
      <c r="A1903" s="1"/>
      <c r="B1903" s="1"/>
      <c r="C1903" s="1"/>
      <c r="D1903" s="1"/>
      <c r="E1903" s="1"/>
    </row>
    <row r="1904">
      <c r="A1904" s="1"/>
      <c r="B1904" s="1"/>
      <c r="C1904" s="1"/>
      <c r="D1904" s="1"/>
      <c r="E1904" s="1"/>
    </row>
    <row r="1905">
      <c r="A1905" s="1"/>
      <c r="B1905" s="1"/>
      <c r="C1905" s="1"/>
      <c r="D1905" s="1"/>
      <c r="E1905" s="1"/>
    </row>
    <row r="1906">
      <c r="A1906" s="1"/>
      <c r="B1906" s="1"/>
      <c r="C1906" s="1"/>
      <c r="D1906" s="1"/>
      <c r="E1906" s="1"/>
    </row>
    <row r="1907">
      <c r="A1907" s="1"/>
      <c r="B1907" s="1"/>
      <c r="C1907" s="1"/>
      <c r="D1907" s="1"/>
      <c r="E1907" s="1"/>
    </row>
    <row r="1908">
      <c r="A1908" s="1"/>
      <c r="B1908" s="1"/>
      <c r="C1908" s="1"/>
      <c r="D1908" s="1"/>
      <c r="E1908" s="1"/>
    </row>
    <row r="1909">
      <c r="A1909" s="1"/>
      <c r="B1909" s="1"/>
      <c r="C1909" s="1"/>
      <c r="D1909" s="1"/>
      <c r="E1909" s="1"/>
    </row>
    <row r="1910">
      <c r="A1910" s="1"/>
      <c r="B1910" s="1"/>
      <c r="C1910" s="1"/>
      <c r="D1910" s="1"/>
      <c r="E1910" s="1"/>
    </row>
    <row r="1911">
      <c r="A1911" s="1"/>
      <c r="B1911" s="1"/>
      <c r="C1911" s="1"/>
      <c r="D1911" s="1"/>
      <c r="E1911" s="1"/>
    </row>
    <row r="1912">
      <c r="A1912" s="1"/>
      <c r="B1912" s="1"/>
      <c r="C1912" s="1"/>
      <c r="D1912" s="1"/>
      <c r="E1912" s="1"/>
    </row>
    <row r="1913">
      <c r="A1913" s="1"/>
      <c r="B1913" s="1"/>
      <c r="C1913" s="1"/>
      <c r="D1913" s="1"/>
      <c r="E1913" s="1"/>
    </row>
    <row r="1914">
      <c r="A1914" s="1"/>
      <c r="B1914" s="1"/>
      <c r="C1914" s="1"/>
      <c r="D1914" s="1"/>
      <c r="E1914" s="1"/>
    </row>
    <row r="1915">
      <c r="A1915" s="1"/>
      <c r="B1915" s="1"/>
      <c r="C1915" s="1"/>
      <c r="D1915" s="1"/>
      <c r="E1915" s="1"/>
    </row>
    <row r="1916">
      <c r="A1916" s="1"/>
      <c r="B1916" s="1"/>
      <c r="C1916" s="1"/>
      <c r="D1916" s="1"/>
      <c r="E1916" s="1"/>
    </row>
    <row r="1917">
      <c r="A1917" s="1"/>
      <c r="B1917" s="1"/>
      <c r="C1917" s="1"/>
      <c r="D1917" s="1"/>
      <c r="E1917" s="1"/>
    </row>
    <row r="1918">
      <c r="A1918" s="1"/>
      <c r="B1918" s="1"/>
      <c r="C1918" s="1"/>
      <c r="D1918" s="1"/>
      <c r="E1918" s="1"/>
    </row>
    <row r="1919">
      <c r="A1919" s="1"/>
      <c r="B1919" s="1"/>
      <c r="C1919" s="1"/>
      <c r="D1919" s="1"/>
      <c r="E1919" s="1"/>
    </row>
    <row r="1920">
      <c r="A1920" s="1"/>
      <c r="B1920" s="1"/>
      <c r="C1920" s="1"/>
      <c r="D1920" s="1"/>
      <c r="E1920" s="1"/>
    </row>
    <row r="1921">
      <c r="A1921" s="1"/>
      <c r="B1921" s="1"/>
      <c r="C1921" s="1"/>
      <c r="D1921" s="1"/>
      <c r="E1921" s="1"/>
    </row>
    <row r="1922">
      <c r="A1922" s="1"/>
      <c r="B1922" s="1"/>
      <c r="C1922" s="1"/>
      <c r="D1922" s="1"/>
      <c r="E1922" s="1"/>
    </row>
    <row r="1923">
      <c r="A1923" s="1"/>
      <c r="B1923" s="1"/>
      <c r="C1923" s="1"/>
      <c r="D1923" s="1"/>
      <c r="E1923" s="1"/>
    </row>
    <row r="1924">
      <c r="A1924" s="1"/>
      <c r="B1924" s="1"/>
      <c r="C1924" s="1"/>
      <c r="D1924" s="1"/>
      <c r="E1924" s="1"/>
    </row>
    <row r="1925">
      <c r="A1925" s="1"/>
      <c r="B1925" s="1"/>
      <c r="C1925" s="1"/>
      <c r="D1925" s="1"/>
      <c r="E1925" s="1"/>
    </row>
    <row r="1926">
      <c r="A1926" s="1"/>
      <c r="B1926" s="1"/>
      <c r="C1926" s="1"/>
      <c r="D1926" s="1"/>
      <c r="E1926" s="1"/>
    </row>
    <row r="1927">
      <c r="A1927" s="1"/>
      <c r="B1927" s="1"/>
      <c r="C1927" s="1"/>
      <c r="D1927" s="1"/>
      <c r="E1927" s="1"/>
    </row>
    <row r="1928">
      <c r="A1928" s="1"/>
      <c r="B1928" s="1"/>
      <c r="C1928" s="1"/>
      <c r="D1928" s="1"/>
      <c r="E1928" s="1"/>
    </row>
    <row r="1929">
      <c r="A1929" s="1"/>
      <c r="B1929" s="1"/>
      <c r="C1929" s="1"/>
      <c r="D1929" s="1"/>
      <c r="E1929" s="1"/>
    </row>
    <row r="1930">
      <c r="A1930" s="1"/>
      <c r="B1930" s="1"/>
      <c r="C1930" s="1"/>
      <c r="D1930" s="1"/>
      <c r="E1930" s="1"/>
    </row>
    <row r="1931">
      <c r="A1931" s="1"/>
      <c r="B1931" s="1"/>
      <c r="C1931" s="1"/>
      <c r="D1931" s="1"/>
      <c r="E1931" s="1"/>
    </row>
    <row r="1932">
      <c r="A1932" s="1"/>
      <c r="B1932" s="1"/>
      <c r="C1932" s="1"/>
      <c r="D1932" s="1"/>
      <c r="E1932" s="1"/>
    </row>
    <row r="1933">
      <c r="A1933" s="1"/>
      <c r="B1933" s="1"/>
      <c r="C1933" s="1"/>
      <c r="D1933" s="1"/>
      <c r="E1933" s="1"/>
    </row>
    <row r="1934">
      <c r="A1934" s="1"/>
      <c r="B1934" s="1"/>
      <c r="C1934" s="1"/>
      <c r="D1934" s="1"/>
      <c r="E1934" s="1"/>
    </row>
    <row r="1935">
      <c r="A1935" s="1"/>
      <c r="B1935" s="1"/>
      <c r="C1935" s="1"/>
      <c r="D1935" s="1"/>
      <c r="E1935" s="1"/>
    </row>
    <row r="1936">
      <c r="A1936" s="1"/>
      <c r="B1936" s="1"/>
      <c r="C1936" s="1"/>
      <c r="D1936" s="1"/>
      <c r="E1936" s="1"/>
    </row>
    <row r="1937">
      <c r="A1937" s="1"/>
      <c r="B1937" s="1"/>
      <c r="C1937" s="1"/>
      <c r="D1937" s="1"/>
      <c r="E1937" s="1"/>
    </row>
    <row r="1938">
      <c r="A1938" s="1"/>
      <c r="B1938" s="1"/>
      <c r="C1938" s="1"/>
      <c r="D1938" s="1"/>
      <c r="E1938" s="1"/>
    </row>
    <row r="1939">
      <c r="A1939" s="1"/>
      <c r="B1939" s="1"/>
      <c r="C1939" s="1"/>
      <c r="D1939" s="1"/>
      <c r="E1939" s="1"/>
    </row>
    <row r="1940">
      <c r="A1940" s="1"/>
      <c r="B1940" s="1"/>
      <c r="C1940" s="1"/>
      <c r="D1940" s="1"/>
      <c r="E1940" s="1"/>
    </row>
    <row r="1941">
      <c r="A1941" s="1"/>
      <c r="B1941" s="1"/>
      <c r="C1941" s="1"/>
      <c r="D1941" s="1"/>
      <c r="E1941" s="1"/>
    </row>
    <row r="1942">
      <c r="A1942" s="1"/>
      <c r="B1942" s="1"/>
      <c r="C1942" s="1"/>
      <c r="D1942" s="1"/>
      <c r="E1942" s="1"/>
    </row>
    <row r="1943">
      <c r="A1943" s="1"/>
      <c r="B1943" s="1"/>
      <c r="C1943" s="1"/>
      <c r="D1943" s="1"/>
      <c r="E1943" s="1"/>
    </row>
    <row r="1944">
      <c r="A1944" s="1"/>
      <c r="B1944" s="1"/>
      <c r="C1944" s="1"/>
      <c r="D1944" s="1"/>
      <c r="E1944" s="1"/>
    </row>
    <row r="1945">
      <c r="A1945" s="1"/>
      <c r="B1945" s="1"/>
      <c r="C1945" s="1"/>
      <c r="D1945" s="1"/>
      <c r="E1945" s="1"/>
    </row>
    <row r="1946">
      <c r="A1946" s="1"/>
      <c r="B1946" s="1"/>
      <c r="C1946" s="1"/>
      <c r="D1946" s="1"/>
      <c r="E1946" s="1"/>
    </row>
    <row r="1947">
      <c r="A1947" s="1"/>
      <c r="B1947" s="1"/>
      <c r="C1947" s="1"/>
      <c r="D1947" s="1"/>
      <c r="E1947" s="1"/>
    </row>
    <row r="1948">
      <c r="A1948" s="1"/>
      <c r="B1948" s="1"/>
      <c r="C1948" s="1"/>
      <c r="D1948" s="1"/>
      <c r="E1948" s="1"/>
    </row>
    <row r="1949">
      <c r="A1949" s="1"/>
      <c r="B1949" s="1"/>
      <c r="C1949" s="1"/>
      <c r="D1949" s="1"/>
      <c r="E1949" s="1"/>
    </row>
    <row r="1950">
      <c r="A1950" s="1"/>
      <c r="B1950" s="1"/>
      <c r="C1950" s="1"/>
      <c r="D1950" s="1"/>
      <c r="E1950" s="1"/>
    </row>
    <row r="1951">
      <c r="A1951" s="1"/>
      <c r="B1951" s="1"/>
      <c r="C1951" s="1"/>
      <c r="D1951" s="1"/>
      <c r="E1951" s="1"/>
    </row>
    <row r="1952">
      <c r="A1952" s="1"/>
      <c r="B1952" s="1"/>
      <c r="C1952" s="1"/>
      <c r="D1952" s="1"/>
      <c r="E1952" s="1"/>
    </row>
    <row r="1953">
      <c r="A1953" s="1"/>
      <c r="B1953" s="1"/>
      <c r="C1953" s="1"/>
      <c r="D1953" s="1"/>
      <c r="E1953" s="1"/>
    </row>
    <row r="1954">
      <c r="A1954" s="1"/>
      <c r="B1954" s="1"/>
      <c r="C1954" s="1"/>
      <c r="D1954" s="1"/>
      <c r="E1954" s="1"/>
    </row>
    <row r="1955">
      <c r="A1955" s="1"/>
      <c r="B1955" s="1"/>
      <c r="C1955" s="1"/>
      <c r="D1955" s="1"/>
      <c r="E1955" s="1"/>
    </row>
    <row r="1956">
      <c r="A1956" s="1"/>
      <c r="B1956" s="1"/>
      <c r="C1956" s="1"/>
      <c r="D1956" s="1"/>
      <c r="E1956" s="1"/>
    </row>
    <row r="1957">
      <c r="A1957" s="1"/>
      <c r="B1957" s="1"/>
      <c r="C1957" s="1"/>
      <c r="D1957" s="1"/>
      <c r="E1957" s="1"/>
    </row>
    <row r="1958">
      <c r="A1958" s="1"/>
      <c r="B1958" s="1"/>
      <c r="C1958" s="1"/>
      <c r="D1958" s="1"/>
      <c r="E1958" s="1"/>
    </row>
    <row r="1959">
      <c r="A1959" s="1"/>
      <c r="B1959" s="1"/>
      <c r="C1959" s="1"/>
      <c r="D1959" s="1"/>
      <c r="E1959" s="1"/>
    </row>
    <row r="1960">
      <c r="A1960" s="1"/>
      <c r="B1960" s="1"/>
      <c r="C1960" s="1"/>
      <c r="D1960" s="1"/>
      <c r="E1960" s="1"/>
    </row>
    <row r="1961">
      <c r="A1961" s="1"/>
      <c r="B1961" s="1"/>
      <c r="C1961" s="1"/>
      <c r="D1961" s="1"/>
      <c r="E1961" s="1"/>
    </row>
    <row r="1962">
      <c r="A1962" s="1"/>
      <c r="B1962" s="1"/>
      <c r="C1962" s="1"/>
      <c r="D1962" s="1"/>
      <c r="E1962" s="1"/>
    </row>
    <row r="1963">
      <c r="A1963" s="1"/>
      <c r="B1963" s="1"/>
      <c r="C1963" s="1"/>
      <c r="D1963" s="1"/>
      <c r="E1963" s="1"/>
    </row>
    <row r="1964">
      <c r="A1964" s="1"/>
      <c r="B1964" s="1"/>
      <c r="C1964" s="1"/>
      <c r="D1964" s="1"/>
      <c r="E1964" s="1"/>
    </row>
    <row r="1965">
      <c r="A1965" s="1"/>
      <c r="B1965" s="1"/>
      <c r="C1965" s="1"/>
      <c r="D1965" s="1"/>
      <c r="E1965" s="1"/>
    </row>
    <row r="1966">
      <c r="A1966" s="1"/>
      <c r="B1966" s="1"/>
      <c r="C1966" s="1"/>
      <c r="D1966" s="1"/>
      <c r="E1966" s="1"/>
    </row>
    <row r="1967">
      <c r="A1967" s="1"/>
      <c r="B1967" s="1"/>
      <c r="C1967" s="1"/>
      <c r="D1967" s="1"/>
      <c r="E1967" s="1"/>
    </row>
    <row r="1968">
      <c r="A1968" s="1"/>
      <c r="B1968" s="1"/>
      <c r="C1968" s="1"/>
      <c r="D1968" s="1"/>
      <c r="E1968" s="1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  <hyperlink r:id="rId435" ref="A436"/>
    <hyperlink r:id="rId436" ref="A437"/>
    <hyperlink r:id="rId437" ref="A438"/>
    <hyperlink r:id="rId438" ref="A439"/>
    <hyperlink r:id="rId439" ref="A440"/>
    <hyperlink r:id="rId440" ref="A441"/>
    <hyperlink r:id="rId441" ref="A442"/>
    <hyperlink r:id="rId442" ref="A443"/>
    <hyperlink r:id="rId443" ref="A444"/>
    <hyperlink r:id="rId444" ref="A445"/>
    <hyperlink r:id="rId445" ref="A446"/>
    <hyperlink r:id="rId446" ref="A447"/>
    <hyperlink r:id="rId447" ref="A448"/>
    <hyperlink r:id="rId448" ref="A449"/>
    <hyperlink r:id="rId449" ref="A450"/>
    <hyperlink r:id="rId450" ref="A451"/>
    <hyperlink r:id="rId451" ref="A452"/>
    <hyperlink r:id="rId452" ref="A453"/>
    <hyperlink r:id="rId453" ref="A454"/>
    <hyperlink r:id="rId454" ref="A455"/>
    <hyperlink r:id="rId455" ref="A456"/>
    <hyperlink r:id="rId456" ref="A457"/>
    <hyperlink r:id="rId457" ref="A458"/>
    <hyperlink r:id="rId458" ref="A459"/>
    <hyperlink r:id="rId459" ref="A460"/>
    <hyperlink r:id="rId460" ref="A461"/>
    <hyperlink r:id="rId461" ref="A462"/>
    <hyperlink r:id="rId462" ref="A463"/>
    <hyperlink r:id="rId463" ref="A464"/>
    <hyperlink r:id="rId464" ref="A465"/>
    <hyperlink r:id="rId465" ref="A466"/>
    <hyperlink r:id="rId466" ref="A467"/>
    <hyperlink r:id="rId467" ref="A468"/>
    <hyperlink r:id="rId468" ref="A469"/>
    <hyperlink r:id="rId469" ref="A470"/>
    <hyperlink r:id="rId470" ref="A471"/>
    <hyperlink r:id="rId471" ref="A472"/>
    <hyperlink r:id="rId472" ref="A473"/>
    <hyperlink r:id="rId473" ref="A474"/>
    <hyperlink r:id="rId474" ref="A475"/>
    <hyperlink r:id="rId475" ref="A476"/>
    <hyperlink r:id="rId476" ref="A477"/>
    <hyperlink r:id="rId477" ref="A478"/>
    <hyperlink r:id="rId478" ref="A479"/>
    <hyperlink r:id="rId479" ref="A480"/>
    <hyperlink r:id="rId480" ref="A481"/>
    <hyperlink r:id="rId481" ref="A482"/>
    <hyperlink r:id="rId482" ref="A483"/>
    <hyperlink r:id="rId483" ref="A484"/>
    <hyperlink r:id="rId484" ref="A485"/>
    <hyperlink r:id="rId485" ref="A486"/>
    <hyperlink r:id="rId486" ref="A487"/>
    <hyperlink r:id="rId487" ref="A488"/>
    <hyperlink r:id="rId488" ref="A489"/>
    <hyperlink r:id="rId489" ref="A490"/>
    <hyperlink r:id="rId490" ref="A491"/>
    <hyperlink r:id="rId491" ref="A492"/>
    <hyperlink r:id="rId492" ref="A493"/>
    <hyperlink r:id="rId493" ref="A494"/>
    <hyperlink r:id="rId494" ref="A495"/>
    <hyperlink r:id="rId495" ref="A496"/>
    <hyperlink r:id="rId496" ref="A497"/>
    <hyperlink r:id="rId497" ref="A498"/>
    <hyperlink r:id="rId498" ref="A499"/>
    <hyperlink r:id="rId499" ref="A500"/>
    <hyperlink r:id="rId500" ref="A501"/>
    <hyperlink r:id="rId501" ref="A502"/>
    <hyperlink r:id="rId502" ref="A503"/>
    <hyperlink r:id="rId503" ref="A504"/>
    <hyperlink r:id="rId504" ref="A505"/>
    <hyperlink r:id="rId505" ref="A506"/>
    <hyperlink r:id="rId506" ref="A507"/>
    <hyperlink r:id="rId507" ref="A508"/>
    <hyperlink r:id="rId508" ref="A509"/>
    <hyperlink r:id="rId509" ref="A510"/>
    <hyperlink r:id="rId510" ref="A511"/>
    <hyperlink r:id="rId511" ref="A512"/>
    <hyperlink r:id="rId512" ref="A513"/>
    <hyperlink r:id="rId513" ref="A514"/>
    <hyperlink r:id="rId514" ref="A515"/>
    <hyperlink r:id="rId515" ref="A516"/>
    <hyperlink r:id="rId516" ref="A517"/>
    <hyperlink r:id="rId517" ref="A518"/>
    <hyperlink r:id="rId518" ref="A519"/>
    <hyperlink r:id="rId519" ref="A520"/>
    <hyperlink r:id="rId520" ref="A521"/>
    <hyperlink r:id="rId521" ref="A522"/>
    <hyperlink r:id="rId522" ref="A523"/>
    <hyperlink r:id="rId523" ref="A524"/>
    <hyperlink r:id="rId524" ref="A525"/>
    <hyperlink r:id="rId525" ref="A526"/>
    <hyperlink r:id="rId526" ref="A527"/>
    <hyperlink r:id="rId527" ref="A528"/>
    <hyperlink r:id="rId528" ref="A529"/>
    <hyperlink r:id="rId529" ref="A530"/>
    <hyperlink r:id="rId530" ref="A531"/>
    <hyperlink r:id="rId531" ref="A532"/>
    <hyperlink r:id="rId532" ref="A533"/>
    <hyperlink r:id="rId533" ref="A534"/>
    <hyperlink r:id="rId534" ref="A535"/>
    <hyperlink r:id="rId535" ref="A536"/>
    <hyperlink r:id="rId536" ref="A537"/>
    <hyperlink r:id="rId537" ref="A538"/>
    <hyperlink r:id="rId538" ref="A539"/>
    <hyperlink r:id="rId539" ref="A540"/>
    <hyperlink r:id="rId540" ref="A541"/>
    <hyperlink r:id="rId541" ref="A542"/>
    <hyperlink r:id="rId542" ref="A543"/>
    <hyperlink r:id="rId543" ref="A544"/>
    <hyperlink r:id="rId544" ref="A545"/>
    <hyperlink r:id="rId545" ref="A546"/>
    <hyperlink r:id="rId546" ref="A547"/>
    <hyperlink r:id="rId547" ref="A548"/>
    <hyperlink r:id="rId548" ref="A549"/>
    <hyperlink r:id="rId549" ref="A550"/>
    <hyperlink r:id="rId550" ref="A551"/>
    <hyperlink r:id="rId551" ref="A552"/>
    <hyperlink r:id="rId552" ref="A553"/>
    <hyperlink r:id="rId553" ref="A554"/>
    <hyperlink r:id="rId554" ref="A555"/>
    <hyperlink r:id="rId555" ref="A556"/>
    <hyperlink r:id="rId556" ref="A557"/>
    <hyperlink r:id="rId557" ref="A558"/>
    <hyperlink r:id="rId558" ref="A559"/>
    <hyperlink r:id="rId559" ref="A560"/>
    <hyperlink r:id="rId560" ref="A561"/>
    <hyperlink r:id="rId561" ref="A562"/>
    <hyperlink r:id="rId562" ref="A563"/>
    <hyperlink r:id="rId563" ref="A564"/>
    <hyperlink r:id="rId564" ref="A565"/>
    <hyperlink r:id="rId565" ref="A566"/>
    <hyperlink r:id="rId566" ref="A567"/>
    <hyperlink r:id="rId567" ref="A568"/>
    <hyperlink r:id="rId568" ref="A569"/>
    <hyperlink r:id="rId569" ref="A570"/>
    <hyperlink r:id="rId570" ref="A571"/>
    <hyperlink r:id="rId571" ref="A572"/>
    <hyperlink r:id="rId572" ref="A573"/>
    <hyperlink r:id="rId573" ref="A574"/>
    <hyperlink r:id="rId574" ref="A575"/>
    <hyperlink r:id="rId575" ref="A576"/>
    <hyperlink r:id="rId576" ref="A577"/>
    <hyperlink r:id="rId577" ref="A578"/>
    <hyperlink r:id="rId578" ref="A579"/>
    <hyperlink r:id="rId579" ref="A580"/>
    <hyperlink r:id="rId580" ref="A581"/>
    <hyperlink r:id="rId581" ref="A582"/>
    <hyperlink r:id="rId582" ref="A583"/>
    <hyperlink r:id="rId583" ref="A584"/>
    <hyperlink r:id="rId584" ref="A585"/>
    <hyperlink r:id="rId585" ref="A586"/>
    <hyperlink r:id="rId586" ref="A587"/>
    <hyperlink r:id="rId587" ref="A588"/>
    <hyperlink r:id="rId588" ref="A589"/>
    <hyperlink r:id="rId589" ref="A590"/>
    <hyperlink r:id="rId590" ref="A591"/>
    <hyperlink r:id="rId591" ref="A592"/>
    <hyperlink r:id="rId592" ref="A593"/>
    <hyperlink r:id="rId593" ref="A594"/>
    <hyperlink r:id="rId594" ref="A595"/>
    <hyperlink r:id="rId595" ref="A596"/>
    <hyperlink r:id="rId596" ref="A597"/>
    <hyperlink r:id="rId597" ref="A598"/>
    <hyperlink r:id="rId598" ref="A599"/>
    <hyperlink r:id="rId599" ref="A600"/>
    <hyperlink r:id="rId600" ref="A601"/>
    <hyperlink r:id="rId601" ref="A602"/>
    <hyperlink r:id="rId602" ref="A603"/>
    <hyperlink r:id="rId603" ref="A604"/>
    <hyperlink r:id="rId604" ref="A605"/>
    <hyperlink r:id="rId605" ref="A606"/>
    <hyperlink r:id="rId606" ref="A607"/>
    <hyperlink r:id="rId607" ref="A608"/>
    <hyperlink r:id="rId608" ref="A609"/>
    <hyperlink r:id="rId609" ref="A610"/>
    <hyperlink r:id="rId610" ref="A611"/>
    <hyperlink r:id="rId611" ref="A612"/>
    <hyperlink r:id="rId612" ref="A613"/>
    <hyperlink r:id="rId613" ref="A614"/>
    <hyperlink r:id="rId614" ref="A615"/>
    <hyperlink r:id="rId615" ref="A616"/>
    <hyperlink r:id="rId616" ref="A617"/>
    <hyperlink r:id="rId617" ref="A618"/>
    <hyperlink r:id="rId618" ref="A619"/>
    <hyperlink r:id="rId619" ref="A620"/>
    <hyperlink r:id="rId620" ref="A621"/>
    <hyperlink r:id="rId621" ref="A622"/>
    <hyperlink r:id="rId622" ref="A623"/>
    <hyperlink r:id="rId623" ref="A624"/>
    <hyperlink r:id="rId624" ref="A625"/>
    <hyperlink r:id="rId625" ref="A626"/>
    <hyperlink r:id="rId626" ref="A627"/>
    <hyperlink r:id="rId627" ref="A628"/>
    <hyperlink r:id="rId628" ref="A629"/>
    <hyperlink r:id="rId629" ref="A630"/>
    <hyperlink r:id="rId630" ref="A631"/>
    <hyperlink r:id="rId631" ref="A632"/>
    <hyperlink r:id="rId632" ref="A633"/>
    <hyperlink r:id="rId633" ref="A634"/>
    <hyperlink r:id="rId634" ref="A635"/>
    <hyperlink r:id="rId635" ref="A636"/>
    <hyperlink r:id="rId636" ref="A637"/>
    <hyperlink r:id="rId637" ref="A638"/>
    <hyperlink r:id="rId638" ref="A639"/>
    <hyperlink r:id="rId639" ref="A640"/>
    <hyperlink r:id="rId640" ref="A641"/>
    <hyperlink r:id="rId641" ref="A642"/>
    <hyperlink r:id="rId642" ref="A643"/>
    <hyperlink r:id="rId643" ref="A644"/>
    <hyperlink r:id="rId644" ref="A645"/>
    <hyperlink r:id="rId645" ref="A646"/>
    <hyperlink r:id="rId646" ref="A647"/>
    <hyperlink r:id="rId647" ref="A648"/>
    <hyperlink r:id="rId648" ref="A649"/>
    <hyperlink r:id="rId649" ref="A650"/>
    <hyperlink r:id="rId650" ref="A651"/>
    <hyperlink r:id="rId651" ref="A652"/>
    <hyperlink r:id="rId652" ref="A653"/>
    <hyperlink r:id="rId653" ref="A654"/>
    <hyperlink r:id="rId654" ref="A655"/>
    <hyperlink r:id="rId655" ref="A656"/>
    <hyperlink r:id="rId656" ref="A657"/>
    <hyperlink r:id="rId657" ref="A658"/>
    <hyperlink r:id="rId658" ref="A659"/>
    <hyperlink r:id="rId659" ref="A660"/>
    <hyperlink r:id="rId660" ref="A661"/>
    <hyperlink r:id="rId661" ref="A662"/>
    <hyperlink r:id="rId662" ref="A663"/>
    <hyperlink r:id="rId663" ref="A664"/>
    <hyperlink r:id="rId664" ref="A665"/>
    <hyperlink r:id="rId665" ref="A666"/>
    <hyperlink r:id="rId666" ref="A667"/>
    <hyperlink r:id="rId667" ref="A668"/>
    <hyperlink r:id="rId668" ref="A669"/>
    <hyperlink r:id="rId669" ref="A670"/>
    <hyperlink r:id="rId670" ref="A671"/>
    <hyperlink r:id="rId671" ref="A672"/>
    <hyperlink r:id="rId672" ref="A673"/>
    <hyperlink r:id="rId673" ref="A674"/>
    <hyperlink r:id="rId674" ref="A675"/>
    <hyperlink r:id="rId675" ref="A676"/>
    <hyperlink r:id="rId676" ref="A677"/>
    <hyperlink r:id="rId677" ref="A678"/>
    <hyperlink r:id="rId678" ref="A679"/>
    <hyperlink r:id="rId679" ref="A680"/>
    <hyperlink r:id="rId680" ref="A681"/>
    <hyperlink r:id="rId681" ref="A682"/>
    <hyperlink r:id="rId682" ref="A683"/>
    <hyperlink r:id="rId683" ref="A684"/>
    <hyperlink r:id="rId684" ref="A685"/>
    <hyperlink r:id="rId685" ref="A686"/>
    <hyperlink r:id="rId686" ref="A687"/>
    <hyperlink r:id="rId687" ref="A688"/>
    <hyperlink r:id="rId688" ref="A689"/>
    <hyperlink r:id="rId689" ref="A690"/>
    <hyperlink r:id="rId690" ref="A691"/>
    <hyperlink r:id="rId691" ref="A692"/>
    <hyperlink r:id="rId692" ref="A693"/>
    <hyperlink r:id="rId693" ref="A694"/>
    <hyperlink r:id="rId694" ref="A695"/>
    <hyperlink r:id="rId695" ref="A696"/>
    <hyperlink r:id="rId696" ref="A697"/>
    <hyperlink r:id="rId697" ref="A698"/>
    <hyperlink r:id="rId698" ref="A699"/>
    <hyperlink r:id="rId699" ref="A700"/>
    <hyperlink r:id="rId700" ref="A701"/>
    <hyperlink r:id="rId701" ref="A702"/>
    <hyperlink r:id="rId702" ref="A703"/>
    <hyperlink r:id="rId703" ref="A704"/>
    <hyperlink r:id="rId704" ref="A705"/>
    <hyperlink r:id="rId705" ref="A706"/>
    <hyperlink r:id="rId706" ref="A707"/>
    <hyperlink r:id="rId707" ref="A708"/>
    <hyperlink r:id="rId708" ref="A709"/>
    <hyperlink r:id="rId709" ref="A710"/>
    <hyperlink r:id="rId710" ref="A711"/>
    <hyperlink r:id="rId711" ref="A712"/>
    <hyperlink r:id="rId712" ref="A713"/>
    <hyperlink r:id="rId713" ref="A714"/>
    <hyperlink r:id="rId714" ref="A715"/>
    <hyperlink r:id="rId715" ref="A716"/>
    <hyperlink r:id="rId716" ref="A717"/>
    <hyperlink r:id="rId717" ref="A718"/>
    <hyperlink r:id="rId718" ref="A719"/>
    <hyperlink r:id="rId719" ref="A720"/>
    <hyperlink r:id="rId720" ref="A721"/>
    <hyperlink r:id="rId721" ref="A722"/>
    <hyperlink r:id="rId722" ref="A723"/>
    <hyperlink r:id="rId723" ref="A724"/>
    <hyperlink r:id="rId724" ref="A725"/>
    <hyperlink r:id="rId725" ref="A726"/>
    <hyperlink r:id="rId726" ref="A727"/>
    <hyperlink r:id="rId727" ref="A728"/>
    <hyperlink r:id="rId728" ref="A729"/>
    <hyperlink r:id="rId729" ref="A730"/>
    <hyperlink r:id="rId730" ref="A731"/>
    <hyperlink r:id="rId731" ref="A732"/>
    <hyperlink r:id="rId732" ref="A733"/>
    <hyperlink r:id="rId733" ref="A734"/>
    <hyperlink r:id="rId734" ref="A735"/>
    <hyperlink r:id="rId735" ref="A736"/>
    <hyperlink r:id="rId736" ref="A737"/>
    <hyperlink r:id="rId737" ref="A738"/>
    <hyperlink r:id="rId738" ref="A739"/>
    <hyperlink r:id="rId739" ref="A740"/>
    <hyperlink r:id="rId740" ref="A741"/>
    <hyperlink r:id="rId741" ref="A742"/>
    <hyperlink r:id="rId742" ref="A743"/>
    <hyperlink r:id="rId743" ref="A744"/>
    <hyperlink r:id="rId744" ref="A745"/>
    <hyperlink r:id="rId745" ref="A746"/>
    <hyperlink r:id="rId746" ref="A747"/>
    <hyperlink r:id="rId747" ref="A748"/>
    <hyperlink r:id="rId748" ref="A749"/>
    <hyperlink r:id="rId749" ref="A750"/>
    <hyperlink r:id="rId750" ref="A751"/>
    <hyperlink r:id="rId751" ref="A752"/>
    <hyperlink r:id="rId752" ref="A753"/>
    <hyperlink r:id="rId753" ref="A754"/>
    <hyperlink r:id="rId754" ref="A755"/>
    <hyperlink r:id="rId755" ref="A756"/>
    <hyperlink r:id="rId756" ref="A757"/>
    <hyperlink r:id="rId757" ref="A758"/>
    <hyperlink r:id="rId758" ref="A759"/>
    <hyperlink r:id="rId759" ref="A760"/>
    <hyperlink r:id="rId760" ref="A761"/>
    <hyperlink r:id="rId761" ref="A762"/>
    <hyperlink r:id="rId762" ref="A763"/>
    <hyperlink r:id="rId763" ref="A764"/>
    <hyperlink r:id="rId764" ref="A765"/>
    <hyperlink r:id="rId765" ref="A766"/>
    <hyperlink r:id="rId766" ref="A767"/>
    <hyperlink r:id="rId767" ref="A768"/>
    <hyperlink r:id="rId768" ref="A769"/>
    <hyperlink r:id="rId769" ref="A770"/>
    <hyperlink r:id="rId770" ref="A771"/>
    <hyperlink r:id="rId771" ref="A772"/>
    <hyperlink r:id="rId772" ref="A773"/>
    <hyperlink r:id="rId773" ref="A774"/>
    <hyperlink r:id="rId774" ref="A775"/>
    <hyperlink r:id="rId775" ref="A776"/>
    <hyperlink r:id="rId776" ref="A777"/>
    <hyperlink r:id="rId777" ref="A778"/>
    <hyperlink r:id="rId778" ref="A779"/>
    <hyperlink r:id="rId779" ref="A780"/>
    <hyperlink r:id="rId780" ref="A781"/>
    <hyperlink r:id="rId781" ref="A782"/>
    <hyperlink r:id="rId782" ref="A783"/>
    <hyperlink r:id="rId783" ref="A784"/>
    <hyperlink r:id="rId784" ref="A785"/>
    <hyperlink r:id="rId785" ref="A786"/>
    <hyperlink r:id="rId786" ref="A787"/>
    <hyperlink r:id="rId787" ref="A788"/>
    <hyperlink r:id="rId788" ref="A789"/>
    <hyperlink r:id="rId789" ref="A790"/>
    <hyperlink r:id="rId790" ref="A791"/>
    <hyperlink r:id="rId791" ref="A792"/>
    <hyperlink r:id="rId792" ref="A793"/>
    <hyperlink r:id="rId793" ref="A794"/>
    <hyperlink r:id="rId794" ref="A795"/>
    <hyperlink r:id="rId795" ref="A796"/>
    <hyperlink r:id="rId796" ref="A797"/>
    <hyperlink r:id="rId797" ref="A798"/>
    <hyperlink r:id="rId798" ref="A799"/>
    <hyperlink r:id="rId799" ref="A800"/>
    <hyperlink r:id="rId800" ref="A801"/>
    <hyperlink r:id="rId801" ref="A802"/>
    <hyperlink r:id="rId802" ref="A803"/>
    <hyperlink r:id="rId803" ref="A804"/>
    <hyperlink r:id="rId804" ref="A805"/>
    <hyperlink r:id="rId805" ref="A806"/>
    <hyperlink r:id="rId806" ref="A807"/>
    <hyperlink r:id="rId807" ref="A808"/>
    <hyperlink r:id="rId808" ref="A809"/>
    <hyperlink r:id="rId809" ref="A810"/>
    <hyperlink r:id="rId810" ref="A811"/>
    <hyperlink r:id="rId811" ref="A812"/>
    <hyperlink r:id="rId812" ref="A813"/>
    <hyperlink r:id="rId813" ref="A814"/>
    <hyperlink r:id="rId814" ref="A815"/>
    <hyperlink r:id="rId815" ref="A816"/>
    <hyperlink r:id="rId816" ref="A817"/>
    <hyperlink r:id="rId817" ref="A818"/>
    <hyperlink r:id="rId818" ref="A819"/>
    <hyperlink r:id="rId819" ref="A820"/>
    <hyperlink r:id="rId820" ref="A821"/>
    <hyperlink r:id="rId821" ref="A822"/>
    <hyperlink r:id="rId822" ref="A823"/>
    <hyperlink r:id="rId823" ref="A824"/>
    <hyperlink r:id="rId824" ref="A825"/>
    <hyperlink r:id="rId825" ref="A826"/>
    <hyperlink r:id="rId826" ref="A827"/>
    <hyperlink r:id="rId827" ref="A828"/>
    <hyperlink r:id="rId828" ref="A829"/>
    <hyperlink r:id="rId829" ref="A830"/>
    <hyperlink r:id="rId830" ref="A831"/>
    <hyperlink r:id="rId831" ref="A832"/>
    <hyperlink r:id="rId832" ref="A833"/>
    <hyperlink r:id="rId833" ref="A834"/>
    <hyperlink r:id="rId834" ref="A835"/>
    <hyperlink r:id="rId835" ref="A836"/>
    <hyperlink r:id="rId836" ref="A837"/>
    <hyperlink r:id="rId837" ref="A838"/>
    <hyperlink r:id="rId838" ref="A839"/>
    <hyperlink r:id="rId839" ref="A840"/>
    <hyperlink r:id="rId840" ref="A841"/>
    <hyperlink r:id="rId841" ref="A842"/>
    <hyperlink r:id="rId842" ref="A843"/>
    <hyperlink r:id="rId843" ref="A844"/>
    <hyperlink r:id="rId844" ref="A845"/>
    <hyperlink r:id="rId845" ref="A846"/>
    <hyperlink r:id="rId846" ref="A847"/>
    <hyperlink r:id="rId847" ref="A848"/>
    <hyperlink r:id="rId848" ref="A849"/>
    <hyperlink r:id="rId849" ref="A850"/>
    <hyperlink r:id="rId850" ref="A851"/>
    <hyperlink r:id="rId851" ref="A852"/>
    <hyperlink r:id="rId852" ref="A853"/>
    <hyperlink r:id="rId853" ref="A854"/>
    <hyperlink r:id="rId854" ref="A855"/>
    <hyperlink r:id="rId855" ref="A856"/>
    <hyperlink r:id="rId856" ref="A857"/>
    <hyperlink r:id="rId857" ref="A858"/>
    <hyperlink r:id="rId858" ref="A859"/>
    <hyperlink r:id="rId859" ref="A860"/>
    <hyperlink r:id="rId860" ref="A861"/>
    <hyperlink r:id="rId861" ref="A862"/>
    <hyperlink r:id="rId862" ref="A863"/>
    <hyperlink r:id="rId863" ref="A864"/>
    <hyperlink r:id="rId864" ref="A865"/>
    <hyperlink r:id="rId865" ref="A866"/>
    <hyperlink r:id="rId866" ref="A867"/>
    <hyperlink r:id="rId867" ref="A868"/>
    <hyperlink r:id="rId868" ref="A869"/>
    <hyperlink r:id="rId869" ref="A870"/>
    <hyperlink r:id="rId870" ref="A871"/>
    <hyperlink r:id="rId871" ref="A872"/>
    <hyperlink r:id="rId872" ref="A873"/>
    <hyperlink r:id="rId873" ref="A874"/>
    <hyperlink r:id="rId874" ref="A875"/>
    <hyperlink r:id="rId875" ref="A876"/>
    <hyperlink r:id="rId876" ref="A877"/>
    <hyperlink r:id="rId877" ref="A878"/>
    <hyperlink r:id="rId878" ref="A879"/>
    <hyperlink r:id="rId879" ref="A880"/>
    <hyperlink r:id="rId880" ref="A881"/>
    <hyperlink r:id="rId881" ref="A882"/>
    <hyperlink r:id="rId882" ref="A883"/>
    <hyperlink r:id="rId883" ref="A884"/>
    <hyperlink r:id="rId884" ref="A885"/>
    <hyperlink r:id="rId885" ref="A886"/>
    <hyperlink r:id="rId886" ref="A887"/>
    <hyperlink r:id="rId887" ref="A888"/>
    <hyperlink r:id="rId888" ref="A889"/>
    <hyperlink r:id="rId889" ref="A890"/>
    <hyperlink r:id="rId890" ref="A891"/>
    <hyperlink r:id="rId891" ref="A892"/>
    <hyperlink r:id="rId892" ref="A893"/>
    <hyperlink r:id="rId893" ref="A894"/>
    <hyperlink r:id="rId894" ref="A895"/>
    <hyperlink r:id="rId895" ref="A896"/>
    <hyperlink r:id="rId896" ref="A897"/>
    <hyperlink r:id="rId897" ref="A898"/>
    <hyperlink r:id="rId898" ref="A899"/>
    <hyperlink r:id="rId899" ref="A900"/>
    <hyperlink r:id="rId900" ref="A901"/>
    <hyperlink r:id="rId901" ref="A902"/>
    <hyperlink r:id="rId902" ref="A903"/>
    <hyperlink r:id="rId903" ref="A904"/>
    <hyperlink r:id="rId904" ref="A905"/>
    <hyperlink r:id="rId905" ref="A906"/>
    <hyperlink r:id="rId906" ref="A907"/>
    <hyperlink r:id="rId907" ref="A908"/>
    <hyperlink r:id="rId908" ref="A909"/>
    <hyperlink r:id="rId909" ref="A910"/>
    <hyperlink r:id="rId910" ref="A911"/>
    <hyperlink r:id="rId911" ref="A912"/>
    <hyperlink r:id="rId912" ref="A913"/>
    <hyperlink r:id="rId913" ref="A914"/>
    <hyperlink r:id="rId914" ref="A915"/>
    <hyperlink r:id="rId915" ref="A916"/>
    <hyperlink r:id="rId916" ref="A917"/>
    <hyperlink r:id="rId917" ref="A918"/>
    <hyperlink r:id="rId918" ref="A919"/>
    <hyperlink r:id="rId919" ref="A920"/>
    <hyperlink r:id="rId920" ref="A921"/>
    <hyperlink r:id="rId921" ref="A922"/>
    <hyperlink r:id="rId922" ref="A923"/>
    <hyperlink r:id="rId923" ref="A924"/>
    <hyperlink r:id="rId924" ref="A925"/>
    <hyperlink r:id="rId925" ref="A926"/>
    <hyperlink r:id="rId926" ref="A927"/>
    <hyperlink r:id="rId927" ref="A928"/>
    <hyperlink r:id="rId928" ref="A929"/>
    <hyperlink r:id="rId929" ref="A930"/>
    <hyperlink r:id="rId930" ref="A931"/>
    <hyperlink r:id="rId931" ref="A932"/>
    <hyperlink r:id="rId932" ref="A933"/>
    <hyperlink r:id="rId933" ref="A934"/>
    <hyperlink r:id="rId934" ref="A935"/>
    <hyperlink r:id="rId935" ref="A936"/>
    <hyperlink r:id="rId936" ref="A937"/>
    <hyperlink r:id="rId937" ref="A938"/>
    <hyperlink r:id="rId938" ref="A939"/>
    <hyperlink r:id="rId939" ref="A940"/>
    <hyperlink r:id="rId940" ref="A941"/>
    <hyperlink r:id="rId941" ref="A942"/>
    <hyperlink r:id="rId942" ref="A943"/>
    <hyperlink r:id="rId943" ref="A944"/>
    <hyperlink r:id="rId944" ref="A945"/>
    <hyperlink r:id="rId945" ref="A946"/>
    <hyperlink r:id="rId946" ref="A947"/>
    <hyperlink r:id="rId947" ref="A948"/>
    <hyperlink r:id="rId948" ref="A949"/>
    <hyperlink r:id="rId949" ref="A950"/>
    <hyperlink r:id="rId950" ref="A951"/>
    <hyperlink r:id="rId951" ref="A952"/>
    <hyperlink r:id="rId952" ref="A953"/>
    <hyperlink r:id="rId953" ref="A954"/>
    <hyperlink r:id="rId954" ref="A955"/>
    <hyperlink r:id="rId955" ref="A956"/>
    <hyperlink r:id="rId956" ref="A957"/>
    <hyperlink r:id="rId957" ref="A958"/>
    <hyperlink r:id="rId958" ref="A959"/>
    <hyperlink r:id="rId959" ref="A960"/>
    <hyperlink r:id="rId960" ref="A961"/>
    <hyperlink r:id="rId961" ref="A962"/>
    <hyperlink r:id="rId962" ref="A963"/>
    <hyperlink r:id="rId963" ref="A964"/>
    <hyperlink r:id="rId964" ref="A965"/>
    <hyperlink r:id="rId965" ref="A966"/>
    <hyperlink r:id="rId966" ref="A967"/>
    <hyperlink r:id="rId967" ref="A968"/>
    <hyperlink r:id="rId968" ref="A969"/>
    <hyperlink r:id="rId969" ref="A970"/>
    <hyperlink r:id="rId970" ref="A971"/>
    <hyperlink r:id="rId971" ref="A972"/>
    <hyperlink r:id="rId972" ref="A973"/>
    <hyperlink r:id="rId973" ref="A974"/>
    <hyperlink r:id="rId974" ref="A975"/>
    <hyperlink r:id="rId975" ref="A976"/>
    <hyperlink r:id="rId976" ref="A977"/>
    <hyperlink r:id="rId977" ref="A978"/>
    <hyperlink r:id="rId978" ref="A979"/>
    <hyperlink r:id="rId979" ref="A980"/>
    <hyperlink r:id="rId980" ref="A981"/>
    <hyperlink r:id="rId981" ref="A982"/>
    <hyperlink r:id="rId982" ref="A983"/>
    <hyperlink r:id="rId983" ref="A984"/>
    <hyperlink r:id="rId984" ref="A985"/>
    <hyperlink r:id="rId985" ref="A986"/>
    <hyperlink r:id="rId986" ref="A987"/>
    <hyperlink r:id="rId987" ref="A988"/>
    <hyperlink r:id="rId988" ref="A989"/>
    <hyperlink r:id="rId989" ref="A990"/>
    <hyperlink r:id="rId990" ref="A991"/>
    <hyperlink r:id="rId991" ref="A992"/>
    <hyperlink r:id="rId992" ref="A993"/>
    <hyperlink r:id="rId993" ref="A994"/>
    <hyperlink r:id="rId994" ref="A995"/>
    <hyperlink r:id="rId995" ref="A996"/>
    <hyperlink r:id="rId996" ref="A997"/>
    <hyperlink r:id="rId997" ref="A998"/>
    <hyperlink r:id="rId998" ref="A999"/>
    <hyperlink r:id="rId999" ref="A1000"/>
    <hyperlink r:id="rId1000" ref="A1001"/>
    <hyperlink r:id="rId1001" ref="A1002"/>
    <hyperlink r:id="rId1002" ref="A1003"/>
    <hyperlink r:id="rId1003" ref="A1004"/>
    <hyperlink r:id="rId1004" ref="A1005"/>
    <hyperlink r:id="rId1005" ref="A1006"/>
    <hyperlink r:id="rId1006" ref="A1007"/>
    <hyperlink r:id="rId1007" ref="A1008"/>
    <hyperlink r:id="rId1008" ref="A1009"/>
    <hyperlink r:id="rId1009" ref="A1010"/>
    <hyperlink r:id="rId1010" ref="D1010"/>
    <hyperlink r:id="rId1011" ref="A1011"/>
    <hyperlink r:id="rId1012" ref="A1012"/>
    <hyperlink r:id="rId1013" ref="A1013"/>
    <hyperlink r:id="rId1014" ref="A1014"/>
    <hyperlink r:id="rId1015" ref="A1015"/>
    <hyperlink r:id="rId1016" ref="A1016"/>
    <hyperlink r:id="rId1017" ref="A1017"/>
    <hyperlink r:id="rId1018" ref="A1018"/>
    <hyperlink r:id="rId1019" ref="A1019"/>
    <hyperlink r:id="rId1020" ref="A1020"/>
    <hyperlink r:id="rId1021" ref="A1021"/>
    <hyperlink r:id="rId1022" ref="A1022"/>
    <hyperlink r:id="rId1023" ref="A1023"/>
    <hyperlink r:id="rId1024" ref="A1024"/>
    <hyperlink r:id="rId1025" ref="A1025"/>
    <hyperlink r:id="rId1026" ref="A1026"/>
    <hyperlink r:id="rId1027" ref="A1027"/>
    <hyperlink r:id="rId1028" ref="A1028"/>
    <hyperlink r:id="rId1029" ref="A1029"/>
    <hyperlink r:id="rId1030" ref="A1030"/>
    <hyperlink r:id="rId1031" ref="A1031"/>
    <hyperlink r:id="rId1032" ref="A1032"/>
    <hyperlink r:id="rId1033" ref="A1033"/>
    <hyperlink r:id="rId1034" ref="A1034"/>
    <hyperlink r:id="rId1035" ref="A1035"/>
    <hyperlink r:id="rId1036" ref="A1036"/>
    <hyperlink r:id="rId1037" ref="A1037"/>
    <hyperlink r:id="rId1038" ref="A1038"/>
    <hyperlink r:id="rId1039" ref="A1039"/>
    <hyperlink r:id="rId1040" ref="A1040"/>
    <hyperlink r:id="rId1041" ref="A1041"/>
    <hyperlink r:id="rId1042" ref="A1042"/>
    <hyperlink r:id="rId1043" ref="A1043"/>
    <hyperlink r:id="rId1044" ref="A1044"/>
    <hyperlink r:id="rId1045" ref="A1045"/>
    <hyperlink r:id="rId1046" ref="A1046"/>
    <hyperlink r:id="rId1047" ref="A1047"/>
    <hyperlink r:id="rId1048" ref="A1048"/>
    <hyperlink r:id="rId1049" ref="A1049"/>
    <hyperlink r:id="rId1050" ref="A1050"/>
    <hyperlink r:id="rId1051" ref="A1051"/>
    <hyperlink r:id="rId1052" ref="A1052"/>
    <hyperlink r:id="rId1053" ref="A1053"/>
    <hyperlink r:id="rId1054" ref="A1054"/>
    <hyperlink r:id="rId1055" ref="A1055"/>
    <hyperlink r:id="rId1056" ref="A1056"/>
    <hyperlink r:id="rId1057" ref="A1057"/>
    <hyperlink r:id="rId1058" ref="A1058"/>
    <hyperlink r:id="rId1059" ref="A1059"/>
    <hyperlink r:id="rId1060" ref="A1060"/>
    <hyperlink r:id="rId1061" ref="A1061"/>
    <hyperlink r:id="rId1062" ref="A1062"/>
    <hyperlink r:id="rId1063" ref="A1063"/>
    <hyperlink r:id="rId1064" ref="A1064"/>
    <hyperlink r:id="rId1065" ref="A1065"/>
    <hyperlink r:id="rId1066" ref="A1066"/>
    <hyperlink r:id="rId1067" ref="A1067"/>
    <hyperlink r:id="rId1068" ref="A1068"/>
    <hyperlink r:id="rId1069" ref="A1069"/>
    <hyperlink r:id="rId1070" ref="A1070"/>
    <hyperlink r:id="rId1071" ref="A1071"/>
    <hyperlink r:id="rId1072" ref="A1072"/>
    <hyperlink r:id="rId1073" ref="A1073"/>
    <hyperlink r:id="rId1074" ref="A1074"/>
    <hyperlink r:id="rId1075" ref="A1075"/>
    <hyperlink r:id="rId1076" ref="A1076"/>
    <hyperlink r:id="rId1077" ref="A1077"/>
    <hyperlink r:id="rId1078" ref="A1078"/>
    <hyperlink r:id="rId1079" ref="A1079"/>
  </hyperlinks>
  <drawing r:id="rId1080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D1DC"/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42.57"/>
    <col customWidth="1" min="2" max="2" width="32.0"/>
    <col customWidth="1" min="3" max="3" width="20.43"/>
    <col customWidth="1" min="4" max="4" width="26.71"/>
  </cols>
  <sheetData>
    <row r="1"/>
    <row r="2"/>
    <row r="3"/>
    <row r="4"/>
    <row r="5"/>
    <row r="6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D1DC"/>
    <outlinePr summaryBelow="0" summaryRight="0"/>
  </sheetPr>
  <sheetViews>
    <sheetView showGridLines="0" workbookViewId="0"/>
  </sheetViews>
  <sheetFormatPr customHeight="1" defaultColWidth="14.43" defaultRowHeight="15.0"/>
  <cols>
    <col customWidth="1" min="3" max="3" width="26.29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</sheetData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D1DC"/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</sheetData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D1DC"/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42.57"/>
    <col customWidth="1" min="2" max="2" width="90.14"/>
    <col customWidth="1" min="3" max="3" width="18.29"/>
    <col customWidth="1" min="4" max="4" width="26.71"/>
  </cols>
  <sheetData>
    <row r="1"/>
    <row r="2"/>
    <row r="3"/>
    <row r="4"/>
    <row r="5"/>
    <row r="6"/>
    <row r="7"/>
    <row r="8"/>
    <row r="9"/>
    <row r="10"/>
    <row r="11"/>
    <row r="12"/>
  </sheetData>
  <hyperlinks>
    <hyperlink r:id="rId2" ref="A4"/>
    <hyperlink r:id="rId3" ref="B4"/>
  </hyperlinks>
  <drawing r:id="rId4"/>
</worksheet>
</file>